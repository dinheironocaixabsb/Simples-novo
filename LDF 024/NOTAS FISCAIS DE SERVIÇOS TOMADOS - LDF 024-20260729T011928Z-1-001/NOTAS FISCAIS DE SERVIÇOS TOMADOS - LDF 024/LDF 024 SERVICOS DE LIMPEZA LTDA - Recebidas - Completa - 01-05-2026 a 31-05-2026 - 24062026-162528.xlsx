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ção" sheetId="1" r:id="rId1"/>
    <sheet name="Resumo" sheetId="2" r:id="rId2"/>
  </sheets>
  <definedNames>
    <definedName name="_xlnm._FilterDatabase" localSheetId="0">'Relação'!$A$1:$AO$3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3.83203125" customWidth="1"/>
    <col min="3" max="3" width="11.83203125" customWidth="1"/>
    <col min="4" max="4" width="20.83203125" customWidth="1"/>
    <col min="5" max="5" width="42.83203125" customWidth="1"/>
    <col min="6" max="6" width="20.83203125" customWidth="1"/>
    <col min="7" max="7" width="42.83203125" customWidth="1"/>
    <col min="8" max="8" width="18.83203125" customWidth="1"/>
    <col min="9" max="9" width="16.83203125" customWidth="1"/>
    <col min="10" max="10" width="30.83203125" customWidth="1"/>
    <col min="11" max="11" width="8.83203125" customWidth="1"/>
    <col min="12" max="12" width="9.83203125" customWidth="1"/>
    <col min="13" max="13" width="16.83203125" customWidth="1"/>
    <col min="14" max="14" width="22.83203125" customWidth="1"/>
    <col min="15" max="15" width="20.83203125" customWidth="1"/>
    <col min="16" max="16" width="16.83203125" customWidth="1"/>
    <col min="17" max="17" width="16.83203125" customWidth="1"/>
    <col min="18" max="18" width="14.83203125" customWidth="1"/>
    <col min="19" max="19" width="15.83203125" customWidth="1"/>
    <col min="20" max="20" width="18.83203125" customWidth="1"/>
    <col min="21" max="21" width="44.83203125" customWidth="1"/>
    <col min="22" max="22" width="44.83203125" customWidth="1"/>
    <col min="23" max="23" width="18.83203125" customWidth="1"/>
    <col min="24" max="24" width="16.83203125" customWidth="1"/>
    <col min="25" max="25" width="14.83203125" customWidth="1"/>
    <col min="26" max="26" width="14.83203125" customWidth="1"/>
    <col min="27" max="27" width="16.83203125" customWidth="1"/>
    <col min="28" max="28" width="16.83203125" customWidth="1"/>
    <col min="29" max="29" width="22.83203125" customWidth="1"/>
    <col min="30" max="30" width="12.83203125" customWidth="1"/>
    <col min="31" max="31" width="20.83203125" customWidth="1"/>
    <col min="32" max="32" width="20.83203125" customWidth="1"/>
    <col min="33" max="33" width="18.83203125" customWidth="1"/>
    <col min="34" max="34" width="18.83203125" customWidth="1"/>
    <col min="35" max="35" width="50.83203125" customWidth="1"/>
    <col min="36" max="36" width="42.83203125" customWidth="1"/>
    <col min="37" max="37" width="20.83203125" customWidth="1"/>
    <col min="38" max="38" width="24.83203125" customWidth="1"/>
    <col min="39" max="39" width="24.83203125" customWidth="1"/>
    <col min="40" max="40" width="12.83203125" customWidth="1"/>
    <col min="41" max="41" width="52.83203125" customWidth="1"/>
  </cols>
  <sheetData>
    <row r="1">
      <c r="A1" t="str">
        <v>Número NFS-e</v>
      </c>
      <c r="B1" t="str">
        <v>Data Geração</v>
      </c>
      <c r="C1" t="str">
        <v>Competência</v>
      </c>
      <c r="D1" t="str">
        <v>CNPJ/CPF Prestador</v>
      </c>
      <c r="E1" t="str">
        <v>Nome Prestador</v>
      </c>
      <c r="F1" t="str">
        <v>CNPJ/CPF Tomador</v>
      </c>
      <c r="G1" t="str">
        <v>Nome Tomador</v>
      </c>
      <c r="H1" t="str">
        <v>Valor do Serviço (R$)</v>
      </c>
      <c r="I1" t="str">
        <v>Insc. Municipal Emitente</v>
      </c>
      <c r="J1" t="str">
        <v>Simples Nacional</v>
      </c>
      <c r="K1" t="str">
        <v>DPS Nº</v>
      </c>
      <c r="L1" t="str">
        <v>DPS Série</v>
      </c>
      <c r="M1" t="str">
        <v>Situação NFS-e</v>
      </c>
      <c r="N1" t="str">
        <v>Tributação do ISSQN</v>
      </c>
      <c r="O1" t="str">
        <v>Município de Incidência</v>
      </c>
      <c r="P1" t="str">
        <v>Desconto Incond. (R$)</v>
      </c>
      <c r="Q1" t="str">
        <v>Base de Cálculo (R$)</v>
      </c>
      <c r="R1" t="str">
        <v>Alíquota ISSQN (%)</v>
      </c>
      <c r="S1" t="str">
        <v>Valor do ISSQN (R$)</v>
      </c>
      <c r="T1" t="str">
        <v>Retenção ISSQN</v>
      </c>
      <c r="U1" t="str">
        <v>Cód. Tributação Nacional</v>
      </c>
      <c r="V1" t="str">
        <v>Descrição do Serviço</v>
      </c>
      <c r="W1" t="str">
        <v>Sit. Trib. PIS/COFINS</v>
      </c>
      <c r="X1" t="str">
        <v>BC PIS/COFINS (R$)</v>
      </c>
      <c r="Y1" t="str">
        <v>PIS - Alíquota (%)</v>
      </c>
      <c r="Z1" t="str">
        <v>PIS - Débito (R$)</v>
      </c>
      <c r="AA1" t="str">
        <v>COFINS - Alíquota (%)</v>
      </c>
      <c r="AB1" t="str">
        <v>COFINS - Débito (R$)</v>
      </c>
      <c r="AC1" t="str">
        <v>Descr. Contrib. Sociais Ret.</v>
      </c>
      <c r="AD1" t="str">
        <v>IRRF (R$)</v>
      </c>
      <c r="AE1" t="str">
        <v>Contrib. Sociais Ret. (R$)</v>
      </c>
      <c r="AF1" t="str">
        <v>Contrib. Previd. Ret. (R$)</v>
      </c>
      <c r="AG1" t="str">
        <v>% Total Tributos (SN)</v>
      </c>
      <c r="AH1" t="str">
        <v>Insc. Municipal Tomador</v>
      </c>
      <c r="AI1" t="str">
        <v>Informações Complementares</v>
      </c>
      <c r="AJ1" t="str">
        <v>Evento</v>
      </c>
      <c r="AK1" t="str">
        <v>Autor do Evento</v>
      </c>
      <c r="AL1" t="str">
        <v>Data do Evento</v>
      </c>
      <c r="AM1" t="str">
        <v>Data Registro do Evento</v>
      </c>
      <c r="AN1" t="str">
        <v>Situação</v>
      </c>
      <c r="AO1" t="str">
        <v>Chave NFS-e</v>
      </c>
    </row>
    <row r="2">
      <c r="A2">
        <v>893</v>
      </c>
      <c r="B2" s="1">
        <v>46168</v>
      </c>
      <c r="C2" t="str">
        <v>05/2026</v>
      </c>
      <c r="D2" t="str">
        <v>07886705000105</v>
      </c>
      <c r="E2" t="str">
        <v>S &amp; L Contabilidade Consultoria e Auditoria S/s</v>
      </c>
      <c r="F2" t="str">
        <v>08982982000176</v>
      </c>
      <c r="G2" t="str">
        <v>L/DF 024 SERVICOS DE LIMPEZA LTDA</v>
      </c>
      <c r="H2" s="2">
        <v>1312</v>
      </c>
      <c r="I2" t="str">
        <v>0747512100170</v>
      </c>
      <c r="J2" t="str">
        <v>Microempresa ou Empresa de Pequeno Porte (ME/EPP)</v>
      </c>
      <c r="K2" t="str">
        <v>893</v>
      </c>
      <c r="L2" t="str">
        <v>70001</v>
      </c>
      <c r="M2" t="str">
        <v>100 - NFS-e Gerada</v>
      </c>
      <c r="N2" t="str">
        <v>1 - Operação Tributável</v>
      </c>
      <c r="O2" t="str">
        <v>Brasília/DF</v>
      </c>
      <c r="P2" s="2">
        <v>0</v>
      </c>
      <c r="Q2" s="2">
        <v>1312</v>
      </c>
      <c r="R2" s="3">
        <v>0</v>
      </c>
      <c r="S2" s="2">
        <v>0</v>
      </c>
      <c r="T2" t="str">
        <v>1 - Não Retido</v>
      </c>
      <c r="U2" t="str">
        <v>171901 - Contabilidade, inclusive serviços técnicos e auxiliares.</v>
      </c>
      <c r="V2" t="str">
        <v>HONORÁRIOS CONTÁBEIS</v>
      </c>
      <c r="W2" t="str">
        <v>Não informado</v>
      </c>
      <c r="X2" s="2">
        <v>0</v>
      </c>
      <c r="Y2" s="3">
        <v>0</v>
      </c>
      <c r="Z2" s="2">
        <v>0</v>
      </c>
      <c r="AA2" s="3">
        <v>0</v>
      </c>
      <c r="AB2" s="2">
        <v>0</v>
      </c>
      <c r="AC2" t="str">
        <v>0 - PIS/COFINS/CSLL Não Retidos</v>
      </c>
      <c r="AD2" s="2">
        <v>0</v>
      </c>
      <c r="AE2" s="2">
        <v>0</v>
      </c>
      <c r="AF2" s="2">
        <v>0</v>
      </c>
      <c r="AG2" t="str">
        <v/>
      </c>
      <c r="AH2" t="str">
        <v>0749098400107</v>
      </c>
      <c r="AI2" t="str">
        <v>-</v>
      </c>
      <c r="AJ2" t="str">
        <v/>
      </c>
      <c r="AK2" t="str">
        <v/>
      </c>
      <c r="AL2" t="str">
        <v/>
      </c>
      <c r="AM2" t="str">
        <v/>
      </c>
      <c r="AN2" t="str">
        <v>Normal</v>
      </c>
      <c r="AO2" t="str">
        <v>53001081207886705000105000000000089326051779830173</v>
      </c>
    </row>
    <row r="3">
      <c r="A3">
        <v>5213</v>
      </c>
      <c r="B3" s="1">
        <v>46157</v>
      </c>
      <c r="C3" t="str">
        <v>05/2026</v>
      </c>
      <c r="D3" t="str">
        <v>25178553000160</v>
      </c>
      <c r="E3" t="str">
        <v>CHECK UP ASSISTENCIA MEDICA LTDA ME</v>
      </c>
      <c r="F3" t="str">
        <v>08982982000176</v>
      </c>
      <c r="G3" t="str">
        <v>L/DF 024 SERVICOS DE LIMPEZA LTDA</v>
      </c>
      <c r="H3" s="2">
        <v>263.9</v>
      </c>
      <c r="I3" t="str">
        <v>0777540300147</v>
      </c>
      <c r="J3" t="str">
        <v>Microempresa ou Empresa de Pequeno Porte (ME/EPP)</v>
      </c>
      <c r="K3" t="str">
        <v>5213</v>
      </c>
      <c r="L3" t="str">
        <v>70001</v>
      </c>
      <c r="M3" t="str">
        <v>100 - NFS-e Gerada</v>
      </c>
      <c r="N3" t="str">
        <v>1 - Operação Tributável</v>
      </c>
      <c r="O3" t="str">
        <v>Brasília/DF</v>
      </c>
      <c r="P3" s="2">
        <v>0</v>
      </c>
      <c r="Q3" s="2">
        <v>263.9</v>
      </c>
      <c r="R3" s="3">
        <v>2</v>
      </c>
      <c r="S3" s="2">
        <v>5.28</v>
      </c>
      <c r="T3" t="str">
        <v>1 - Não Retido</v>
      </c>
      <c r="U3" t="str">
        <v>040303 - Clínicas, sanatórios, manicômios, casas de saúde, prontos-socorros, ambulatórios e congêneres.</v>
      </c>
      <c r="V3" t="str">
        <v>Exames complementares de diagnóstico Elaboração de LTCAT COORDENAÇÃO DO PCMSO PGR - Programa de Gerenciamento de Riscos (NR-01) Assessoria de envio das informações de SST ao e-Social</v>
      </c>
      <c r="W3" t="str">
        <v>1 - Operação Tributável com Alíquota Básica</v>
      </c>
      <c r="X3" s="2">
        <v>0</v>
      </c>
      <c r="Y3" s="3">
        <v>0</v>
      </c>
      <c r="Z3" s="2">
        <v>0</v>
      </c>
      <c r="AA3" s="3">
        <v>0</v>
      </c>
      <c r="AB3" s="2">
        <v>0</v>
      </c>
      <c r="AC3" t="str">
        <v>0 - PIS/COFINS/CSLL Não Retidos</v>
      </c>
      <c r="AD3" s="2">
        <v>0</v>
      </c>
      <c r="AE3" s="2">
        <v>0</v>
      </c>
      <c r="AF3" s="2">
        <v>0</v>
      </c>
      <c r="AG3" s="3">
        <v>0</v>
      </c>
      <c r="AH3" t="str">
        <v>0749098400107</v>
      </c>
      <c r="AI3" t="str">
        <v>-</v>
      </c>
      <c r="AJ3" t="str">
        <v/>
      </c>
      <c r="AK3" t="str">
        <v/>
      </c>
      <c r="AL3" t="str">
        <v/>
      </c>
      <c r="AM3" t="str">
        <v/>
      </c>
      <c r="AN3" t="str">
        <v>Normal</v>
      </c>
      <c r="AO3" t="str">
        <v>53001081225178553000160000000000521326051778865882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TOTAL (2 notas)</v>
      </c>
      <c r="H4" s="2">
        <f>SUBTOTAL(9,H2:H3)</f>
        <v>1575.9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s="2">
        <f>SUBTOTAL(9,P2:P3)</f>
        <v>0</v>
      </c>
      <c r="Q4" s="2">
        <f>SUBTOTAL(9,Q2:Q3)</f>
        <v>1575.9</v>
      </c>
      <c r="R4" t="str">
        <v/>
      </c>
      <c r="S4" s="2">
        <f>SUBTOTAL(9,S2:S3)</f>
        <v>5.28</v>
      </c>
      <c r="T4" t="str">
        <v/>
      </c>
      <c r="U4" t="str">
        <v/>
      </c>
      <c r="V4" t="str">
        <v/>
      </c>
      <c r="W4" t="str">
        <v/>
      </c>
      <c r="X4" s="2">
        <f>SUBTOTAL(9,X2:X3)</f>
        <v>0</v>
      </c>
      <c r="Y4" t="str">
        <v/>
      </c>
      <c r="Z4" s="2">
        <f>SUBTOTAL(9,Z2:Z3)</f>
        <v>0</v>
      </c>
      <c r="AA4" t="str">
        <v/>
      </c>
      <c r="AB4" s="2">
        <f>SUBTOTAL(9,AB2:AB3)</f>
        <v>0</v>
      </c>
      <c r="AC4" t="str">
        <v/>
      </c>
      <c r="AD4" s="2">
        <f>SUBTOTAL(9,AD2:AD3)</f>
        <v>0</v>
      </c>
      <c r="AE4" s="2">
        <f>SUBTOTAL(9,AE2:AE3)</f>
        <v>0</v>
      </c>
      <c r="AF4" s="2">
        <f>SUBTOTAL(9,AF2:AF3)</f>
        <v>0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</row>
  </sheetData>
  <autoFilter ref="A1:AO3"/>
  <ignoredErrors>
    <ignoredError numberStoredAsText="1" sqref="A1:A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20.83203125" customWidth="1"/>
    <col min="3" max="3" width="16.83203125" customWidth="1"/>
  </cols>
  <sheetData>
    <row r="1">
      <c r="A1" t="str">
        <v>Situação</v>
      </c>
      <c r="B1" t="str">
        <v>Qtd</v>
      </c>
      <c r="C1" t="str">
        <v>Valor (R$)</v>
      </c>
    </row>
    <row r="2">
      <c r="A2" t="str">
        <v>Normal</v>
      </c>
      <c r="B2">
        <v>2</v>
      </c>
      <c r="C2" s="2">
        <v>1575.9</v>
      </c>
    </row>
    <row r="3">
      <c r="A3" t="str">
        <v>Cancelada</v>
      </c>
      <c r="B3">
        <v>0</v>
      </c>
      <c r="C3" s="2">
        <v>0</v>
      </c>
    </row>
    <row r="4">
      <c r="A4" t="str">
        <v>Substituída</v>
      </c>
      <c r="B4">
        <v>0</v>
      </c>
      <c r="C4" s="2">
        <v>0</v>
      </c>
    </row>
    <row r="5">
      <c r="A5" t="str">
        <v>Total</v>
      </c>
      <c r="B5">
        <v>2</v>
      </c>
      <c r="C5" s="2">
        <v>1575.9</v>
      </c>
    </row>
    <row r="7">
      <c r="A7" t="str">
        <v>Gerado em:</v>
      </c>
      <c r="B7" t="str">
        <v>24/06/2026, 16:25:28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Relação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