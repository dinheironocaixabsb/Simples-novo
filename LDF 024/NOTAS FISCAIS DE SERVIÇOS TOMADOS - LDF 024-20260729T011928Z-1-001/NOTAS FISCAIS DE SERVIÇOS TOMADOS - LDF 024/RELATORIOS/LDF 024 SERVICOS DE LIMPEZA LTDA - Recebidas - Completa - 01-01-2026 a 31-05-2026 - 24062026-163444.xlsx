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ção" sheetId="1" r:id="rId1"/>
    <sheet name="Resumo" sheetId="2" r:id="rId2"/>
  </sheets>
  <definedNames>
    <definedName name="_xlnm._FilterDatabase" localSheetId="0">'Relação'!$A$1:$AO$12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3.83203125" customWidth="1"/>
    <col min="3" max="3" width="11.83203125" customWidth="1"/>
    <col min="4" max="4" width="20.83203125" customWidth="1"/>
    <col min="5" max="5" width="42.83203125" customWidth="1"/>
    <col min="6" max="6" width="20.83203125" customWidth="1"/>
    <col min="7" max="7" width="42.83203125" customWidth="1"/>
    <col min="8" max="8" width="18.83203125" customWidth="1"/>
    <col min="9" max="9" width="16.83203125" customWidth="1"/>
    <col min="10" max="10" width="30.83203125" customWidth="1"/>
    <col min="11" max="11" width="8.83203125" customWidth="1"/>
    <col min="12" max="12" width="9.83203125" customWidth="1"/>
    <col min="13" max="13" width="16.83203125" customWidth="1"/>
    <col min="14" max="14" width="22.83203125" customWidth="1"/>
    <col min="15" max="15" width="20.83203125" customWidth="1"/>
    <col min="16" max="16" width="16.83203125" customWidth="1"/>
    <col min="17" max="17" width="16.83203125" customWidth="1"/>
    <col min="18" max="18" width="14.83203125" customWidth="1"/>
    <col min="19" max="19" width="15.83203125" customWidth="1"/>
    <col min="20" max="20" width="18.83203125" customWidth="1"/>
    <col min="21" max="21" width="44.83203125" customWidth="1"/>
    <col min="22" max="22" width="44.83203125" customWidth="1"/>
    <col min="23" max="23" width="18.83203125" customWidth="1"/>
    <col min="24" max="24" width="16.83203125" customWidth="1"/>
    <col min="25" max="25" width="14.83203125" customWidth="1"/>
    <col min="26" max="26" width="14.83203125" customWidth="1"/>
    <col min="27" max="27" width="16.83203125" customWidth="1"/>
    <col min="28" max="28" width="16.83203125" customWidth="1"/>
    <col min="29" max="29" width="22.83203125" customWidth="1"/>
    <col min="30" max="30" width="12.83203125" customWidth="1"/>
    <col min="31" max="31" width="20.83203125" customWidth="1"/>
    <col min="32" max="32" width="20.83203125" customWidth="1"/>
    <col min="33" max="33" width="18.83203125" customWidth="1"/>
    <col min="34" max="34" width="18.83203125" customWidth="1"/>
    <col min="35" max="35" width="50.83203125" customWidth="1"/>
    <col min="36" max="36" width="42.83203125" customWidth="1"/>
    <col min="37" max="37" width="20.83203125" customWidth="1"/>
    <col min="38" max="38" width="24.83203125" customWidth="1"/>
    <col min="39" max="39" width="24.83203125" customWidth="1"/>
    <col min="40" max="40" width="12.83203125" customWidth="1"/>
    <col min="41" max="41" width="52.83203125" customWidth="1"/>
  </cols>
  <sheetData>
    <row r="1">
      <c r="A1" t="str">
        <v>Número NFS-e</v>
      </c>
      <c r="B1" t="str">
        <v>Data Geração</v>
      </c>
      <c r="C1" t="str">
        <v>Competência</v>
      </c>
      <c r="D1" t="str">
        <v>CNPJ/CPF Prestador</v>
      </c>
      <c r="E1" t="str">
        <v>Nome Prestador</v>
      </c>
      <c r="F1" t="str">
        <v>CNPJ/CPF Tomador</v>
      </c>
      <c r="G1" t="str">
        <v>Nome Tomador</v>
      </c>
      <c r="H1" t="str">
        <v>Valor do Serviço (R$)</v>
      </c>
      <c r="I1" t="str">
        <v>Insc. Municipal Emitente</v>
      </c>
      <c r="J1" t="str">
        <v>Simples Nacional</v>
      </c>
      <c r="K1" t="str">
        <v>DPS Nº</v>
      </c>
      <c r="L1" t="str">
        <v>DPS Série</v>
      </c>
      <c r="M1" t="str">
        <v>Situação NFS-e</v>
      </c>
      <c r="N1" t="str">
        <v>Tributação do ISSQN</v>
      </c>
      <c r="O1" t="str">
        <v>Município de Incidência</v>
      </c>
      <c r="P1" t="str">
        <v>Desconto Incond. (R$)</v>
      </c>
      <c r="Q1" t="str">
        <v>Base de Cálculo (R$)</v>
      </c>
      <c r="R1" t="str">
        <v>Alíquota ISSQN (%)</v>
      </c>
      <c r="S1" t="str">
        <v>Valor do ISSQN (R$)</v>
      </c>
      <c r="T1" t="str">
        <v>Retenção ISSQN</v>
      </c>
      <c r="U1" t="str">
        <v>Cód. Tributação Nacional</v>
      </c>
      <c r="V1" t="str">
        <v>Descrição do Serviço</v>
      </c>
      <c r="W1" t="str">
        <v>Sit. Trib. PIS/COFINS</v>
      </c>
      <c r="X1" t="str">
        <v>BC PIS/COFINS (R$)</v>
      </c>
      <c r="Y1" t="str">
        <v>PIS - Alíquota (%)</v>
      </c>
      <c r="Z1" t="str">
        <v>PIS - Débito (R$)</v>
      </c>
      <c r="AA1" t="str">
        <v>COFINS - Alíquota (%)</v>
      </c>
      <c r="AB1" t="str">
        <v>COFINS - Débito (R$)</v>
      </c>
      <c r="AC1" t="str">
        <v>Descr. Contrib. Sociais Ret.</v>
      </c>
      <c r="AD1" t="str">
        <v>IRRF (R$)</v>
      </c>
      <c r="AE1" t="str">
        <v>Contrib. Sociais Ret. (R$)</v>
      </c>
      <c r="AF1" t="str">
        <v>Contrib. Previd. Ret. (R$)</v>
      </c>
      <c r="AG1" t="str">
        <v>% Total Tributos (SN)</v>
      </c>
      <c r="AH1" t="str">
        <v>Insc. Municipal Tomador</v>
      </c>
      <c r="AI1" t="str">
        <v>Informações Complementares</v>
      </c>
      <c r="AJ1" t="str">
        <v>Evento</v>
      </c>
      <c r="AK1" t="str">
        <v>Autor do Evento</v>
      </c>
      <c r="AL1" t="str">
        <v>Data do Evento</v>
      </c>
      <c r="AM1" t="str">
        <v>Data Registro do Evento</v>
      </c>
      <c r="AN1" t="str">
        <v>Situação</v>
      </c>
      <c r="AO1" t="str">
        <v>Chave NFS-e</v>
      </c>
    </row>
    <row r="2">
      <c r="A2">
        <v>4700</v>
      </c>
      <c r="B2" s="1">
        <v>46027</v>
      </c>
      <c r="C2" t="str">
        <v>01/2026</v>
      </c>
      <c r="D2" t="str">
        <v>25178553000160</v>
      </c>
      <c r="E2" t="str">
        <v>CHECK UP ASSISTENCIA MEDICA LTDA ME</v>
      </c>
      <c r="F2" t="str">
        <v>08982982000176</v>
      </c>
      <c r="G2" t="str">
        <v>L/DF 024 SERVICOS DE LIMPEZA LTDA</v>
      </c>
      <c r="H2" s="2">
        <v>263.9</v>
      </c>
      <c r="I2" t="str">
        <v>0777540300147</v>
      </c>
      <c r="J2" t="str">
        <v>Microempresa ou Empresa de Pequeno Porte (ME/EPP)</v>
      </c>
      <c r="K2" t="str">
        <v>4700</v>
      </c>
      <c r="L2" t="str">
        <v>70001</v>
      </c>
      <c r="M2" t="str">
        <v>100 - NFS-e Gerada</v>
      </c>
      <c r="N2" t="str">
        <v>1 - Operação Tributável</v>
      </c>
      <c r="O2" t="str">
        <v>Brasília/DF</v>
      </c>
      <c r="P2" s="2">
        <v>0</v>
      </c>
      <c r="Q2" s="2">
        <v>263.9</v>
      </c>
      <c r="R2" s="3">
        <v>2</v>
      </c>
      <c r="S2" s="2">
        <v>5.28</v>
      </c>
      <c r="T2" t="str">
        <v>1 - Não Retido</v>
      </c>
      <c r="U2" t="str">
        <v>040101 - Medicina.</v>
      </c>
      <c r="V2" t="str">
        <v>Exames complementares de diagnóstico Elaboração de LTCAT COORDENAÇÃO DO PCMSO PGR - Programa de Gerenciamento de Riscos (NR-01) Assessoria de envio das informações de SST ao e-Social</v>
      </c>
      <c r="W2" t="str">
        <v>Não informado</v>
      </c>
      <c r="X2" s="2">
        <v>0</v>
      </c>
      <c r="Y2" s="3">
        <v>0</v>
      </c>
      <c r="Z2" s="2">
        <v>0</v>
      </c>
      <c r="AA2" s="3">
        <v>0</v>
      </c>
      <c r="AB2" s="2">
        <v>0</v>
      </c>
      <c r="AC2" t="str">
        <v>Não informado</v>
      </c>
      <c r="AD2" s="2">
        <v>0</v>
      </c>
      <c r="AE2" s="2">
        <v>0</v>
      </c>
      <c r="AF2" s="2">
        <v>0</v>
      </c>
      <c r="AG2" t="str">
        <v/>
      </c>
      <c r="AH2" t="str">
        <v>0749098400107</v>
      </c>
      <c r="AI2" t="str">
        <v>-</v>
      </c>
      <c r="AJ2" t="str">
        <v/>
      </c>
      <c r="AK2" t="str">
        <v/>
      </c>
      <c r="AL2" t="str">
        <v/>
      </c>
      <c r="AM2" t="str">
        <v/>
      </c>
      <c r="AN2" t="str">
        <v>Normal</v>
      </c>
      <c r="AO2" t="str">
        <v>53001081225178553000160000000000470026011767641463</v>
      </c>
    </row>
    <row r="3">
      <c r="A3">
        <v>796</v>
      </c>
      <c r="B3" s="1">
        <v>46024</v>
      </c>
      <c r="C3" t="str">
        <v>12/2025</v>
      </c>
      <c r="D3" t="str">
        <v>07886705000105</v>
      </c>
      <c r="E3" t="str">
        <v>S &amp; L CONTABILIDADE CONSULTORIA E AUDITORIA S/S</v>
      </c>
      <c r="F3" t="str">
        <v>08982982000176</v>
      </c>
      <c r="G3" t="str">
        <v>L/DF 024 SERVICOS DE LIMPEZA LTDA</v>
      </c>
      <c r="H3" s="2">
        <v>1312</v>
      </c>
      <c r="I3" t="str">
        <v>0747512100170</v>
      </c>
      <c r="J3" t="str">
        <v>Microempresa ou Empresa de Pequeno Porte (ME/EPP)</v>
      </c>
      <c r="K3" t="str">
        <v>796</v>
      </c>
      <c r="L3" t="str">
        <v>70001</v>
      </c>
      <c r="M3" t="str">
        <v>100 - NFS-e Gerada</v>
      </c>
      <c r="N3" t="str">
        <v>1 - Operação Tributável</v>
      </c>
      <c r="O3" t="str">
        <v>Brasília/DF</v>
      </c>
      <c r="P3" s="2">
        <v>0</v>
      </c>
      <c r="Q3" s="2">
        <v>1312</v>
      </c>
      <c r="R3" s="3">
        <v>0</v>
      </c>
      <c r="S3" s="2">
        <v>0</v>
      </c>
      <c r="T3" t="str">
        <v>1 - Não Retido</v>
      </c>
      <c r="U3" t="str">
        <v>171901 - Contabilidade, inclusive serviços técnicos e auxiliares.</v>
      </c>
      <c r="V3" t="str">
        <v>HONORÁRIOS CONTÁBEIS</v>
      </c>
      <c r="W3" t="str">
        <v>Não informado</v>
      </c>
      <c r="X3" s="2">
        <v>0</v>
      </c>
      <c r="Y3" s="3">
        <v>0</v>
      </c>
      <c r="Z3" s="2">
        <v>0</v>
      </c>
      <c r="AA3" s="3">
        <v>0</v>
      </c>
      <c r="AB3" s="2">
        <v>0</v>
      </c>
      <c r="AC3" t="str">
        <v>Não informado</v>
      </c>
      <c r="AD3" s="2">
        <v>0</v>
      </c>
      <c r="AE3" s="2">
        <v>0</v>
      </c>
      <c r="AF3" s="2">
        <v>0</v>
      </c>
      <c r="AG3" t="str">
        <v/>
      </c>
      <c r="AH3" t="str">
        <v>0749098400107</v>
      </c>
      <c r="AI3" t="str">
        <v>-</v>
      </c>
      <c r="AJ3" t="str">
        <v/>
      </c>
      <c r="AK3" t="str">
        <v/>
      </c>
      <c r="AL3" t="str">
        <v/>
      </c>
      <c r="AM3" t="str">
        <v/>
      </c>
      <c r="AN3" t="str">
        <v>Normal</v>
      </c>
      <c r="AO3" t="str">
        <v>53001081207886705000105000000000079626011767334036</v>
      </c>
    </row>
    <row r="4">
      <c r="A4">
        <v>817</v>
      </c>
      <c r="B4" s="1">
        <v>46059</v>
      </c>
      <c r="C4" t="str">
        <v>01/2026</v>
      </c>
      <c r="D4" t="str">
        <v>07886705000105</v>
      </c>
      <c r="E4" t="str">
        <v>S &amp; L CONTABILIDADE CONSULTORIA E AUDITORIA S/S</v>
      </c>
      <c r="F4" t="str">
        <v>08982982000176</v>
      </c>
      <c r="G4" t="str">
        <v>L/DF 024 SERVICOS DE LIMPEZA LTDA</v>
      </c>
      <c r="H4" s="2">
        <v>1312</v>
      </c>
      <c r="I4" t="str">
        <v>0747512100170</v>
      </c>
      <c r="J4" t="str">
        <v>Microempresa ou Empresa de Pequeno Porte (ME/EPP)</v>
      </c>
      <c r="K4" t="str">
        <v>817</v>
      </c>
      <c r="L4" t="str">
        <v>70001</v>
      </c>
      <c r="M4" t="str">
        <v>100 - NFS-e Gerada</v>
      </c>
      <c r="N4" t="str">
        <v>1 - Operação Tributável</v>
      </c>
      <c r="O4" t="str">
        <v>Brasília/DF</v>
      </c>
      <c r="P4" s="2">
        <v>0</v>
      </c>
      <c r="Q4" s="2">
        <v>1312</v>
      </c>
      <c r="R4" s="3">
        <v>0</v>
      </c>
      <c r="S4" s="2">
        <v>0</v>
      </c>
      <c r="T4" t="str">
        <v>1 - Não Retido</v>
      </c>
      <c r="U4" t="str">
        <v>171901 - Contabilidade, inclusive serviços técnicos e auxiliares.</v>
      </c>
      <c r="V4" t="str">
        <v>HONORÁRIOS CONTÁBEIS</v>
      </c>
      <c r="W4" t="str">
        <v>Não informado</v>
      </c>
      <c r="X4" s="2">
        <v>0</v>
      </c>
      <c r="Y4" s="3">
        <v>0</v>
      </c>
      <c r="Z4" s="2">
        <v>0</v>
      </c>
      <c r="AA4" s="3">
        <v>0</v>
      </c>
      <c r="AB4" s="2">
        <v>0</v>
      </c>
      <c r="AC4" t="str">
        <v>Não informado</v>
      </c>
      <c r="AD4" s="2">
        <v>0</v>
      </c>
      <c r="AE4" s="2">
        <v>0</v>
      </c>
      <c r="AF4" s="2">
        <v>0</v>
      </c>
      <c r="AG4" t="str">
        <v/>
      </c>
      <c r="AH4" t="str">
        <v>0749098400107</v>
      </c>
      <c r="AI4" t="str">
        <v>-</v>
      </c>
      <c r="AJ4" t="str">
        <v/>
      </c>
      <c r="AK4" t="str">
        <v/>
      </c>
      <c r="AL4" t="str">
        <v/>
      </c>
      <c r="AM4" t="str">
        <v/>
      </c>
      <c r="AN4" t="str">
        <v>Normal</v>
      </c>
      <c r="AO4" t="str">
        <v>53001081207886705000105000000000081726021770373587</v>
      </c>
    </row>
    <row r="5">
      <c r="A5">
        <v>4834</v>
      </c>
      <c r="B5" s="1">
        <v>46058</v>
      </c>
      <c r="C5" t="str">
        <v>02/2026</v>
      </c>
      <c r="D5" t="str">
        <v>25178553000160</v>
      </c>
      <c r="E5" t="str">
        <v>CHECK UP ASSISTENCIA MEDICA LTDA ME</v>
      </c>
      <c r="F5" t="str">
        <v>08982982000176</v>
      </c>
      <c r="G5" t="str">
        <v>L/DF 024 SERVICOS DE LIMPEZA LTDA</v>
      </c>
      <c r="H5" s="2">
        <v>263.9</v>
      </c>
      <c r="I5" t="str">
        <v>0777540300147</v>
      </c>
      <c r="J5" t="str">
        <v>Microempresa ou Empresa de Pequeno Porte (ME/EPP)</v>
      </c>
      <c r="K5" t="str">
        <v>4834</v>
      </c>
      <c r="L5" t="str">
        <v>70001</v>
      </c>
      <c r="M5" t="str">
        <v>100 - NFS-e Gerada</v>
      </c>
      <c r="N5" t="str">
        <v>1 - Operação Tributável</v>
      </c>
      <c r="O5" t="str">
        <v>Brasília/DF</v>
      </c>
      <c r="P5" s="2">
        <v>0</v>
      </c>
      <c r="Q5" s="2">
        <v>263.9</v>
      </c>
      <c r="R5" s="3">
        <v>0</v>
      </c>
      <c r="S5" s="2">
        <v>0</v>
      </c>
      <c r="T5" t="str">
        <v>1 - Não Retido</v>
      </c>
      <c r="U5" t="str">
        <v>040301 - Hospitais e congêneres.</v>
      </c>
      <c r="V5" t="str">
        <v>Exames complementares de diagnóstico Elaboração de LTCAT COORDENAÇÃO DO PCMSO PGR - Programa de Gerenciamento de Riscos (NR-01) Assessoria de envio das informações de SST ao e-Social</v>
      </c>
      <c r="W5" t="str">
        <v>Não informado</v>
      </c>
      <c r="X5" s="2">
        <v>0</v>
      </c>
      <c r="Y5" s="3">
        <v>0</v>
      </c>
      <c r="Z5" s="2">
        <v>0</v>
      </c>
      <c r="AA5" s="3">
        <v>0</v>
      </c>
      <c r="AB5" s="2">
        <v>0</v>
      </c>
      <c r="AC5" t="str">
        <v>Não informado</v>
      </c>
      <c r="AD5" s="2">
        <v>0</v>
      </c>
      <c r="AE5" s="2">
        <v>0</v>
      </c>
      <c r="AF5" s="2">
        <v>0</v>
      </c>
      <c r="AG5" t="str">
        <v/>
      </c>
      <c r="AH5" t="str">
        <v>0749098400107</v>
      </c>
      <c r="AI5" t="str">
        <v>-</v>
      </c>
      <c r="AJ5" t="str">
        <v/>
      </c>
      <c r="AK5" t="str">
        <v/>
      </c>
      <c r="AL5" t="str">
        <v/>
      </c>
      <c r="AM5" t="str">
        <v/>
      </c>
      <c r="AN5" t="str">
        <v>Normal</v>
      </c>
      <c r="AO5" t="str">
        <v>53001081225178553000160000000000483426021770301432</v>
      </c>
    </row>
    <row r="6">
      <c r="A6">
        <v>19939</v>
      </c>
      <c r="B6" s="1">
        <v>46057</v>
      </c>
      <c r="C6" t="str">
        <v>02/2026</v>
      </c>
      <c r="D6" t="str">
        <v>19945014000610</v>
      </c>
      <c r="E6" t="str">
        <v>SAGA DETROIT COMERCIO DE VEICULOS, PECAS E SERVICOS LTDA</v>
      </c>
      <c r="F6" t="str">
        <v>08982982000176</v>
      </c>
      <c r="G6" t="str">
        <v>L/DF 024 SERVICOS DE LIMPEZA LTDA</v>
      </c>
      <c r="H6" s="2">
        <v>2419.2</v>
      </c>
      <c r="I6" t="str">
        <v>0770437100320</v>
      </c>
      <c r="J6" t="str">
        <v>Não Optante</v>
      </c>
      <c r="K6" t="str">
        <v>20049</v>
      </c>
      <c r="L6" t="str">
        <v>00003</v>
      </c>
      <c r="M6" t="str">
        <v>100 - NFS-e Gerada</v>
      </c>
      <c r="N6" t="str">
        <v>1 - Operação Tributável</v>
      </c>
      <c r="O6" t="str">
        <v>Brasília/DF</v>
      </c>
      <c r="P6" s="2">
        <v>0</v>
      </c>
      <c r="Q6" s="2">
        <v>2419.2</v>
      </c>
      <c r="R6" s="3">
        <v>5</v>
      </c>
      <c r="S6" s="2">
        <v>120.96</v>
      </c>
      <c r="T6" t="str">
        <v>1 - Não Retido</v>
      </c>
      <c r="U6" t="str">
        <v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V6" t="str">
        <v>NS:20049 OS:47891 Placa:REG0I23 KM: 107559 Chassi:988675116MKK24140 Prop.: L DF SERVICOS DE LIMPEZA EIRELI OF04 - LIMPEZA DOS FREIOS - 0.12 HrsOF07 - Alinhamento de Suspencao Balanceamento Rodizio - 1.15 Hrs OF08 - HIGIENIZACAO DO AR CONDICIONADO - 0.65 Hrs OF180 - LIMPEZA DAS PARTES PLASTICAS DO MOTOR - 0.05 Hrs OF30 - HIGIENIZACAO DA CAIXA EVAPORADORA - 0.39 Hrs OF800 - CALIBRAGEM DE PNEUS COM NITROGENIO - 0.25 Hrs OF41 - TRATAMENTO INTERNO DO MOTOR - 0.12 Hrs OF400 - APLICACAO DO KIT L 4 IT</v>
      </c>
      <c r="W6" t="str">
        <v>Não informado</v>
      </c>
      <c r="X6" s="2">
        <v>0</v>
      </c>
      <c r="Y6" s="3">
        <v>0</v>
      </c>
      <c r="Z6" s="2">
        <v>0</v>
      </c>
      <c r="AA6" s="3">
        <v>0</v>
      </c>
      <c r="AB6" s="2">
        <v>0</v>
      </c>
      <c r="AC6" t="str">
        <v>Não informado</v>
      </c>
      <c r="AD6" s="2">
        <v>0</v>
      </c>
      <c r="AE6" s="2">
        <v>0</v>
      </c>
      <c r="AF6" s="2">
        <v>0</v>
      </c>
      <c r="AG6" t="str">
        <v/>
      </c>
      <c r="AH6" t="str">
        <v>0749098400107</v>
      </c>
      <c r="AI6" t="str">
        <v>-</v>
      </c>
      <c r="AJ6" t="str">
        <v/>
      </c>
      <c r="AK6" t="str">
        <v/>
      </c>
      <c r="AL6" t="str">
        <v/>
      </c>
      <c r="AM6" t="str">
        <v/>
      </c>
      <c r="AN6" t="str">
        <v>Normal</v>
      </c>
      <c r="AO6" t="str">
        <v>53001081219945014000610000000001993926021770204983</v>
      </c>
    </row>
    <row r="7">
      <c r="A7">
        <v>845</v>
      </c>
      <c r="B7" s="1">
        <v>46111</v>
      </c>
      <c r="C7" t="str">
        <v>03/2026</v>
      </c>
      <c r="D7" t="str">
        <v>07886705000105</v>
      </c>
      <c r="E7" t="str">
        <v>S &amp; L CONTABILIDADE CONSULTORIA E AUDITORIA S/S</v>
      </c>
      <c r="F7" t="str">
        <v>08982982000176</v>
      </c>
      <c r="G7" t="str">
        <v>L/DF 024 SERVICOS DE LIMPEZA LTDA</v>
      </c>
      <c r="H7" s="2">
        <v>1312</v>
      </c>
      <c r="I7" t="str">
        <v>0747512100170</v>
      </c>
      <c r="J7" t="str">
        <v>Microempresa ou Empresa de Pequeno Porte (ME/EPP)</v>
      </c>
      <c r="K7" t="str">
        <v>845</v>
      </c>
      <c r="L7" t="str">
        <v>70001</v>
      </c>
      <c r="M7" t="str">
        <v>100 - NFS-e Gerada</v>
      </c>
      <c r="N7" t="str">
        <v>1 - Operação Tributável</v>
      </c>
      <c r="O7" t="str">
        <v>Brasília/DF</v>
      </c>
      <c r="P7" s="2">
        <v>0</v>
      </c>
      <c r="Q7" s="2">
        <v>1312</v>
      </c>
      <c r="R7" s="3">
        <v>0</v>
      </c>
      <c r="S7" s="2">
        <v>0</v>
      </c>
      <c r="T7" t="str">
        <v>1 - Não Retido</v>
      </c>
      <c r="U7" t="str">
        <v>171901 - Contabilidade, inclusive serviços técnicos e auxiliares.</v>
      </c>
      <c r="V7" t="str">
        <v>HONORÁRIOS CONTÁBEIS</v>
      </c>
      <c r="W7" t="str">
        <v>Não informado</v>
      </c>
      <c r="X7" s="2">
        <v>0</v>
      </c>
      <c r="Y7" s="3">
        <v>0</v>
      </c>
      <c r="Z7" s="2">
        <v>0</v>
      </c>
      <c r="AA7" s="3">
        <v>0</v>
      </c>
      <c r="AB7" s="2">
        <v>0</v>
      </c>
      <c r="AC7" t="str">
        <v>Não informado</v>
      </c>
      <c r="AD7" s="2">
        <v>0</v>
      </c>
      <c r="AE7" s="2">
        <v>0</v>
      </c>
      <c r="AF7" s="2">
        <v>0</v>
      </c>
      <c r="AG7" t="str">
        <v/>
      </c>
      <c r="AH7" t="str">
        <v>0749098400107</v>
      </c>
      <c r="AI7" t="str">
        <v>-</v>
      </c>
      <c r="AJ7" t="str">
        <v/>
      </c>
      <c r="AK7" t="str">
        <v/>
      </c>
      <c r="AL7" t="str">
        <v/>
      </c>
      <c r="AM7" t="str">
        <v/>
      </c>
      <c r="AN7" t="str">
        <v>Normal</v>
      </c>
      <c r="AO7" t="str">
        <v>53001081207886705000105000000000084526031774874155</v>
      </c>
    </row>
    <row r="8">
      <c r="A8">
        <v>4981</v>
      </c>
      <c r="B8" s="1">
        <v>46093</v>
      </c>
      <c r="C8" t="str">
        <v>03/2026</v>
      </c>
      <c r="D8" t="str">
        <v>25178553000160</v>
      </c>
      <c r="E8" t="str">
        <v>CHECK UP ASSISTENCIA MEDICA LTDA ME</v>
      </c>
      <c r="F8" t="str">
        <v>08982982000176</v>
      </c>
      <c r="G8" t="str">
        <v>L/DF 024 SERVICOS DE LIMPEZA LTDA</v>
      </c>
      <c r="H8" s="2">
        <v>263.9</v>
      </c>
      <c r="I8" t="str">
        <v>0777540300147</v>
      </c>
      <c r="J8" t="str">
        <v>Microempresa ou Empresa de Pequeno Porte (ME/EPP)</v>
      </c>
      <c r="K8" t="str">
        <v>4981</v>
      </c>
      <c r="L8" t="str">
        <v>70001</v>
      </c>
      <c r="M8" t="str">
        <v>100 - NFS-e Gerada</v>
      </c>
      <c r="N8" t="str">
        <v>1 - Operação Tributável</v>
      </c>
      <c r="O8" t="str">
        <v>Brasília/DF</v>
      </c>
      <c r="P8" s="2">
        <v>0</v>
      </c>
      <c r="Q8" s="2">
        <v>263.9</v>
      </c>
      <c r="R8" s="3">
        <v>0</v>
      </c>
      <c r="S8" s="2">
        <v>0</v>
      </c>
      <c r="T8" t="str">
        <v>1 - Não Retido</v>
      </c>
      <c r="U8" t="str">
        <v>040101 - Medicina.</v>
      </c>
      <c r="V8" t="str">
        <v>Exames complementares de diagnóstico Elaboração de LTCAT COORDENAÇÃO DO PCMSO PGR - Programa de Gerenciamento de Riscos (NR-01) Assessoria de envio das informações de SST ao e-Social</v>
      </c>
      <c r="W8" t="str">
        <v>Não informado</v>
      </c>
      <c r="X8" s="2">
        <v>0</v>
      </c>
      <c r="Y8" s="3">
        <v>0</v>
      </c>
      <c r="Z8" s="2">
        <v>0</v>
      </c>
      <c r="AA8" s="3">
        <v>0</v>
      </c>
      <c r="AB8" s="2">
        <v>0</v>
      </c>
      <c r="AC8" t="str">
        <v>Não informado</v>
      </c>
      <c r="AD8" s="2">
        <v>0</v>
      </c>
      <c r="AE8" s="2">
        <v>0</v>
      </c>
      <c r="AF8" s="2">
        <v>0</v>
      </c>
      <c r="AG8" t="str">
        <v/>
      </c>
      <c r="AH8" t="str">
        <v>0749098400107</v>
      </c>
      <c r="AI8" t="str">
        <v>-</v>
      </c>
      <c r="AJ8" t="str">
        <v/>
      </c>
      <c r="AK8" t="str">
        <v/>
      </c>
      <c r="AL8" t="str">
        <v/>
      </c>
      <c r="AM8" t="str">
        <v/>
      </c>
      <c r="AN8" t="str">
        <v>Normal</v>
      </c>
      <c r="AO8" t="str">
        <v>53001081225178553000160000000000498126031773324915</v>
      </c>
    </row>
    <row r="9">
      <c r="A9">
        <v>831</v>
      </c>
      <c r="B9" s="1">
        <v>46090</v>
      </c>
      <c r="C9" t="str">
        <v>02/2026</v>
      </c>
      <c r="D9" t="str">
        <v>07886705000105</v>
      </c>
      <c r="E9" t="str">
        <v>S &amp; L CONTABILIDADE CONSULTORIA E AUDITORIA S/S</v>
      </c>
      <c r="F9" t="str">
        <v>08982982000176</v>
      </c>
      <c r="G9" t="str">
        <v>L/DF 024 SERVICOS DE LIMPEZA LTDA</v>
      </c>
      <c r="H9" s="2">
        <v>1312</v>
      </c>
      <c r="I9" t="str">
        <v>0747512100170</v>
      </c>
      <c r="J9" t="str">
        <v>Microempresa ou Empresa de Pequeno Porte (ME/EPP)</v>
      </c>
      <c r="K9" t="str">
        <v>831</v>
      </c>
      <c r="L9" t="str">
        <v>70001</v>
      </c>
      <c r="M9" t="str">
        <v>100 - NFS-e Gerada</v>
      </c>
      <c r="N9" t="str">
        <v>1 - Operação Tributável</v>
      </c>
      <c r="O9" t="str">
        <v>Brasília/DF</v>
      </c>
      <c r="P9" s="2">
        <v>0</v>
      </c>
      <c r="Q9" s="2">
        <v>1312</v>
      </c>
      <c r="R9" s="3">
        <v>0</v>
      </c>
      <c r="S9" s="2">
        <v>0</v>
      </c>
      <c r="T9" t="str">
        <v>1 - Não Retido</v>
      </c>
      <c r="U9" t="str">
        <v>171901 - Contabilidade, inclusive serviços técnicos e auxiliares.</v>
      </c>
      <c r="V9" t="str">
        <v>HONORÁRIOS CONTÁBEIS</v>
      </c>
      <c r="W9" t="str">
        <v>Não informado</v>
      </c>
      <c r="X9" s="2">
        <v>0</v>
      </c>
      <c r="Y9" s="3">
        <v>0</v>
      </c>
      <c r="Z9" s="2">
        <v>0</v>
      </c>
      <c r="AA9" s="3">
        <v>0</v>
      </c>
      <c r="AB9" s="2">
        <v>0</v>
      </c>
      <c r="AC9" t="str">
        <v>Não informado</v>
      </c>
      <c r="AD9" s="2">
        <v>0</v>
      </c>
      <c r="AE9" s="2">
        <v>0</v>
      </c>
      <c r="AF9" s="2">
        <v>0</v>
      </c>
      <c r="AG9" t="str">
        <v/>
      </c>
      <c r="AH9" t="str">
        <v>0749098400107</v>
      </c>
      <c r="AI9" t="str">
        <v>-</v>
      </c>
      <c r="AJ9" t="str">
        <v/>
      </c>
      <c r="AK9" t="str">
        <v/>
      </c>
      <c r="AL9" t="str">
        <v/>
      </c>
      <c r="AM9" t="str">
        <v/>
      </c>
      <c r="AN9" t="str">
        <v>Normal</v>
      </c>
      <c r="AO9" t="str">
        <v>53001081207886705000105000000000083126031773050313</v>
      </c>
    </row>
    <row r="10">
      <c r="A10">
        <v>21154</v>
      </c>
      <c r="B10" s="1">
        <v>46130</v>
      </c>
      <c r="C10" t="str">
        <v>04/2026</v>
      </c>
      <c r="D10" t="str">
        <v>19945014000610</v>
      </c>
      <c r="E10" t="str">
        <v>SAGA DETROIT COMERCIO DE VEICULOS, PECAS E SERVICOS LTDA</v>
      </c>
      <c r="F10" t="str">
        <v>08982982000176</v>
      </c>
      <c r="G10" t="str">
        <v>L/DF 024 SERVICOS DE LIMPEZA LTDA</v>
      </c>
      <c r="H10" s="2">
        <v>1440</v>
      </c>
      <c r="I10" t="str">
        <v>0770437100320</v>
      </c>
      <c r="J10" t="str">
        <v>Não Optante</v>
      </c>
      <c r="K10" t="str">
        <v>21268</v>
      </c>
      <c r="L10" t="str">
        <v>00003</v>
      </c>
      <c r="M10" t="str">
        <v>100 - NFS-e Gerada</v>
      </c>
      <c r="N10" t="str">
        <v>1 - Operação Tributável</v>
      </c>
      <c r="O10" t="str">
        <v>Brasília/DF</v>
      </c>
      <c r="P10" s="2">
        <v>0</v>
      </c>
      <c r="Q10" s="2">
        <v>1440</v>
      </c>
      <c r="R10" s="3">
        <v>5</v>
      </c>
      <c r="S10" s="2">
        <v>72</v>
      </c>
      <c r="T10" t="str">
        <v>1 - Não Retido</v>
      </c>
      <c r="U10" t="str">
        <v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V10" t="str">
        <v>NS:21268 OS:49319 Placa:REG0I23 KM: 109990 Chassi:988675116MKK24140 Prop.: L DF SERVICOS DE LIMPEZA EIRELI 087501P1 - SUBSTITUICAO MOTOR DE PARTIDA - 3.00 HrsTrib aprox R$: 193.68 Fed, R$ 0.00 Est e R$ 11.17 Mun. Fonte: IBPT/DF</v>
      </c>
      <c r="W10" t="str">
        <v>Não informado</v>
      </c>
      <c r="X10" s="2">
        <v>0</v>
      </c>
      <c r="Y10" s="3">
        <v>0</v>
      </c>
      <c r="Z10" s="2">
        <v>0</v>
      </c>
      <c r="AA10" s="3">
        <v>0</v>
      </c>
      <c r="AB10" s="2">
        <v>0</v>
      </c>
      <c r="AC10" t="str">
        <v>Não informado</v>
      </c>
      <c r="AD10" s="2">
        <v>0</v>
      </c>
      <c r="AE10" s="2">
        <v>0</v>
      </c>
      <c r="AF10" s="2">
        <v>0</v>
      </c>
      <c r="AG10" t="str">
        <v/>
      </c>
      <c r="AH10" t="str">
        <v>0749098400107</v>
      </c>
      <c r="AI10" t="str">
        <v>-</v>
      </c>
      <c r="AJ10" t="str">
        <v/>
      </c>
      <c r="AK10" t="str">
        <v/>
      </c>
      <c r="AL10" t="str">
        <v/>
      </c>
      <c r="AM10" t="str">
        <v/>
      </c>
      <c r="AN10" t="str">
        <v>Normal</v>
      </c>
      <c r="AO10" t="str">
        <v>53001081219945014000610000000002115426041776513146</v>
      </c>
    </row>
    <row r="11">
      <c r="A11">
        <v>893</v>
      </c>
      <c r="B11" s="1">
        <v>46168</v>
      </c>
      <c r="C11" t="str">
        <v>05/2026</v>
      </c>
      <c r="D11" t="str">
        <v>07886705000105</v>
      </c>
      <c r="E11" t="str">
        <v>S &amp; L Contabilidade Consultoria e Auditoria S/s</v>
      </c>
      <c r="F11" t="str">
        <v>08982982000176</v>
      </c>
      <c r="G11" t="str">
        <v>L/DF 024 SERVICOS DE LIMPEZA LTDA</v>
      </c>
      <c r="H11" s="2">
        <v>1312</v>
      </c>
      <c r="I11" t="str">
        <v>0747512100170</v>
      </c>
      <c r="J11" t="str">
        <v>Microempresa ou Empresa de Pequeno Porte (ME/EPP)</v>
      </c>
      <c r="K11" t="str">
        <v>893</v>
      </c>
      <c r="L11" t="str">
        <v>70001</v>
      </c>
      <c r="M11" t="str">
        <v>100 - NFS-e Gerada</v>
      </c>
      <c r="N11" t="str">
        <v>1 - Operação Tributável</v>
      </c>
      <c r="O11" t="str">
        <v>Brasília/DF</v>
      </c>
      <c r="P11" s="2">
        <v>0</v>
      </c>
      <c r="Q11" s="2">
        <v>1312</v>
      </c>
      <c r="R11" s="3">
        <v>0</v>
      </c>
      <c r="S11" s="2">
        <v>0</v>
      </c>
      <c r="T11" t="str">
        <v>1 - Não Retido</v>
      </c>
      <c r="U11" t="str">
        <v>171901 - Contabilidade, inclusive serviços técnicos e auxiliares.</v>
      </c>
      <c r="V11" t="str">
        <v>HONORÁRIOS CONTÁBEIS</v>
      </c>
      <c r="W11" t="str">
        <v>Não informado</v>
      </c>
      <c r="X11" s="2">
        <v>0</v>
      </c>
      <c r="Y11" s="3">
        <v>0</v>
      </c>
      <c r="Z11" s="2">
        <v>0</v>
      </c>
      <c r="AA11" s="3">
        <v>0</v>
      </c>
      <c r="AB11" s="2">
        <v>0</v>
      </c>
      <c r="AC11" t="str">
        <v>0 - PIS/COFINS/CSLL Não Retidos</v>
      </c>
      <c r="AD11" s="2">
        <v>0</v>
      </c>
      <c r="AE11" s="2">
        <v>0</v>
      </c>
      <c r="AF11" s="2">
        <v>0</v>
      </c>
      <c r="AG11" t="str">
        <v/>
      </c>
      <c r="AH11" t="str">
        <v>0749098400107</v>
      </c>
      <c r="AI11" t="str">
        <v>-</v>
      </c>
      <c r="AJ11" t="str">
        <v/>
      </c>
      <c r="AK11" t="str">
        <v/>
      </c>
      <c r="AL11" t="str">
        <v/>
      </c>
      <c r="AM11" t="str">
        <v/>
      </c>
      <c r="AN11" t="str">
        <v>Normal</v>
      </c>
      <c r="AO11" t="str">
        <v>53001081207886705000105000000000089326051779830173</v>
      </c>
    </row>
    <row r="12">
      <c r="A12">
        <v>5213</v>
      </c>
      <c r="B12" s="1">
        <v>46157</v>
      </c>
      <c r="C12" t="str">
        <v>05/2026</v>
      </c>
      <c r="D12" t="str">
        <v>25178553000160</v>
      </c>
      <c r="E12" t="str">
        <v>CHECK UP ASSISTENCIA MEDICA LTDA ME</v>
      </c>
      <c r="F12" t="str">
        <v>08982982000176</v>
      </c>
      <c r="G12" t="str">
        <v>L/DF 024 SERVICOS DE LIMPEZA LTDA</v>
      </c>
      <c r="H12" s="2">
        <v>263.9</v>
      </c>
      <c r="I12" t="str">
        <v>0777540300147</v>
      </c>
      <c r="J12" t="str">
        <v>Microempresa ou Empresa de Pequeno Porte (ME/EPP)</v>
      </c>
      <c r="K12" t="str">
        <v>5213</v>
      </c>
      <c r="L12" t="str">
        <v>70001</v>
      </c>
      <c r="M12" t="str">
        <v>100 - NFS-e Gerada</v>
      </c>
      <c r="N12" t="str">
        <v>1 - Operação Tributável</v>
      </c>
      <c r="O12" t="str">
        <v>Brasília/DF</v>
      </c>
      <c r="P12" s="2">
        <v>0</v>
      </c>
      <c r="Q12" s="2">
        <v>263.9</v>
      </c>
      <c r="R12" s="3">
        <v>2</v>
      </c>
      <c r="S12" s="2">
        <v>5.28</v>
      </c>
      <c r="T12" t="str">
        <v>1 - Não Retido</v>
      </c>
      <c r="U12" t="str">
        <v>040303 - Clínicas, sanatórios, manicômios, casas de saúde, prontos-socorros, ambulatórios e congêneres.</v>
      </c>
      <c r="V12" t="str">
        <v>Exames complementares de diagnóstico Elaboração de LTCAT COORDENAÇÃO DO PCMSO PGR - Programa de Gerenciamento de Riscos (NR-01) Assessoria de envio das informações de SST ao e-Social</v>
      </c>
      <c r="W12" t="str">
        <v>1 - Operação Tributável com Alíquota Básica</v>
      </c>
      <c r="X12" s="2">
        <v>0</v>
      </c>
      <c r="Y12" s="3">
        <v>0</v>
      </c>
      <c r="Z12" s="2">
        <v>0</v>
      </c>
      <c r="AA12" s="3">
        <v>0</v>
      </c>
      <c r="AB12" s="2">
        <v>0</v>
      </c>
      <c r="AC12" t="str">
        <v>0 - PIS/COFINS/CSLL Não Retidos</v>
      </c>
      <c r="AD12" s="2">
        <v>0</v>
      </c>
      <c r="AE12" s="2">
        <v>0</v>
      </c>
      <c r="AF12" s="2">
        <v>0</v>
      </c>
      <c r="AG12" s="3">
        <v>0</v>
      </c>
      <c r="AH12" t="str">
        <v>0749098400107</v>
      </c>
      <c r="AI12" t="str">
        <v>-</v>
      </c>
      <c r="AJ12" t="str">
        <v/>
      </c>
      <c r="AK12" t="str">
        <v/>
      </c>
      <c r="AL12" t="str">
        <v/>
      </c>
      <c r="AM12" t="str">
        <v/>
      </c>
      <c r="AN12" t="str">
        <v>Normal</v>
      </c>
      <c r="AO12" t="str">
        <v>53001081225178553000160000000000521326051778865882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TOTAL (11 notas)</v>
      </c>
      <c r="H13" s="2">
        <f>SUBTOTAL(9,H2:H12)</f>
        <v>11474.8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s="2">
        <f>SUBTOTAL(9,P2:P12)</f>
        <v>0</v>
      </c>
      <c r="Q13" s="2">
        <f>SUBTOTAL(9,Q2:Q12)</f>
        <v>11474.8</v>
      </c>
      <c r="R13" t="str">
        <v/>
      </c>
      <c r="S13" s="2">
        <f>SUBTOTAL(9,S2:S12)</f>
        <v>203.52</v>
      </c>
      <c r="T13" t="str">
        <v/>
      </c>
      <c r="U13" t="str">
        <v/>
      </c>
      <c r="V13" t="str">
        <v/>
      </c>
      <c r="W13" t="str">
        <v/>
      </c>
      <c r="X13" s="2">
        <f>SUBTOTAL(9,X2:X12)</f>
        <v>0</v>
      </c>
      <c r="Y13" t="str">
        <v/>
      </c>
      <c r="Z13" s="2">
        <f>SUBTOTAL(9,Z2:Z12)</f>
        <v>0</v>
      </c>
      <c r="AA13" t="str">
        <v/>
      </c>
      <c r="AB13" s="2">
        <f>SUBTOTAL(9,AB2:AB12)</f>
        <v>0</v>
      </c>
      <c r="AC13" t="str">
        <v/>
      </c>
      <c r="AD13" s="2">
        <f>SUBTOTAL(9,AD2:AD12)</f>
        <v>0</v>
      </c>
      <c r="AE13" s="2">
        <f>SUBTOTAL(9,AE2:AE12)</f>
        <v>0</v>
      </c>
      <c r="AF13" s="2">
        <f>SUBTOTAL(9,AF2:AF12)</f>
        <v>0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</row>
  </sheetData>
  <autoFilter ref="A1:AO12"/>
  <ignoredErrors>
    <ignoredError numberStoredAsText="1" sqref="A1:AO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20.83203125" customWidth="1"/>
    <col min="3" max="3" width="16.83203125" customWidth="1"/>
  </cols>
  <sheetData>
    <row r="1">
      <c r="A1" t="str">
        <v>Situação</v>
      </c>
      <c r="B1" t="str">
        <v>Qtd</v>
      </c>
      <c r="C1" t="str">
        <v>Valor (R$)</v>
      </c>
    </row>
    <row r="2">
      <c r="A2" t="str">
        <v>Normal</v>
      </c>
      <c r="B2">
        <v>11</v>
      </c>
      <c r="C2" s="2">
        <v>11474.8</v>
      </c>
    </row>
    <row r="3">
      <c r="A3" t="str">
        <v>Cancelada</v>
      </c>
      <c r="B3">
        <v>0</v>
      </c>
      <c r="C3" s="2">
        <v>0</v>
      </c>
    </row>
    <row r="4">
      <c r="A4" t="str">
        <v>Substituída</v>
      </c>
      <c r="B4">
        <v>0</v>
      </c>
      <c r="C4" s="2">
        <v>0</v>
      </c>
    </row>
    <row r="5">
      <c r="A5" t="str">
        <v>Total</v>
      </c>
      <c r="B5">
        <v>11</v>
      </c>
      <c r="C5" s="2">
        <v>11474.8</v>
      </c>
    </row>
    <row r="7">
      <c r="A7" t="str">
        <v>Gerado em:</v>
      </c>
      <c r="B7" t="str">
        <v>24/06/2026, 16:34:44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Relação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