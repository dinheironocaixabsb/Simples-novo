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Meus documentos\LDF 005 - 023 - 024\Luciana\LUCIANA - ARQUIVOS DEFINITIVOS\Arquivos Faturamento\Copias Faturamento\"/>
    </mc:Choice>
  </mc:AlternateContent>
  <xr:revisionPtr revIDLastSave="0" documentId="13_ncr:1_{4D00CA6D-9277-4B84-B71C-5C3B7937628C}" xr6:coauthVersionLast="47" xr6:coauthVersionMax="47" xr10:uidLastSave="{00000000-0000-0000-0000-000000000000}"/>
  <bookViews>
    <workbookView xWindow="-120" yWindow="-120" windowWidth="21840" windowHeight="13140" xr2:uid="{FD299839-D44B-481B-897C-62055CB9639F}"/>
  </bookViews>
  <sheets>
    <sheet name="024" sheetId="3" r:id="rId1"/>
    <sheet name="023" sheetId="2" r:id="rId2"/>
    <sheet name="005" sheetId="1" r:id="rId3"/>
  </sheets>
  <definedNames>
    <definedName name="_FiltrarBancoDados" localSheetId="2" hidden="1">'005'!$A$1:$O$65</definedName>
    <definedName name="_FiltrarBancoDados" localSheetId="1">'023'!$A$1:$O$23</definedName>
    <definedName name="_xlnm._FilterDatabase" localSheetId="2" hidden="1">'005'!$A$1:$O$65</definedName>
    <definedName name="_xlnm._FilterDatabase" localSheetId="1" hidden="1">'023'!$A$1:$O$25</definedName>
    <definedName name="_xlnm._FilterDatabase" localSheetId="0" hidden="1">'024'!$A$1:$N$80</definedName>
    <definedName name="_xlnm.Print_Area" localSheetId="0">'024'!$A$1:$N$85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3" i="3" l="1"/>
  <c r="J83" i="3"/>
  <c r="E83" i="3"/>
  <c r="G76" i="3"/>
  <c r="H76" i="3" s="1"/>
  <c r="G75" i="3"/>
  <c r="H75" i="3" s="1"/>
  <c r="G74" i="3"/>
  <c r="H74" i="3" s="1"/>
  <c r="G73" i="3"/>
  <c r="H73" i="3" s="1"/>
  <c r="G72" i="3"/>
  <c r="H72" i="3" s="1"/>
  <c r="I72" i="3" s="1"/>
  <c r="G71" i="3"/>
  <c r="H71" i="3" s="1"/>
  <c r="G70" i="3"/>
  <c r="G3" i="3"/>
  <c r="H3" i="3" s="1"/>
  <c r="I3" i="3" s="1"/>
  <c r="G69" i="3"/>
  <c r="H69" i="3" s="1"/>
  <c r="G68" i="3"/>
  <c r="H68" i="3" s="1"/>
  <c r="G67" i="3"/>
  <c r="H67" i="3" s="1"/>
  <c r="G66" i="3"/>
  <c r="H66" i="3" s="1"/>
  <c r="G65" i="3"/>
  <c r="H65" i="3" s="1"/>
  <c r="G64" i="3"/>
  <c r="G63" i="3"/>
  <c r="H63" i="3" s="1"/>
  <c r="I63" i="3" s="1"/>
  <c r="G62" i="3"/>
  <c r="G61" i="3"/>
  <c r="H61" i="3" s="1"/>
  <c r="I61" i="3" s="1"/>
  <c r="G60" i="3"/>
  <c r="G59" i="3"/>
  <c r="G58" i="3"/>
  <c r="G57" i="3"/>
  <c r="G56" i="3"/>
  <c r="H56" i="3" s="1"/>
  <c r="G55" i="3"/>
  <c r="G54" i="3"/>
  <c r="H54" i="3" s="1"/>
  <c r="G53" i="3"/>
  <c r="H53" i="3" s="1"/>
  <c r="I53" i="3" s="1"/>
  <c r="G52" i="3"/>
  <c r="H52" i="3" s="1"/>
  <c r="G51" i="3"/>
  <c r="H51" i="3" s="1"/>
  <c r="G50" i="3"/>
  <c r="H50" i="3" s="1"/>
  <c r="G49" i="3"/>
  <c r="H49" i="3" s="1"/>
  <c r="I49" i="3" s="1"/>
  <c r="G48" i="3"/>
  <c r="G47" i="3"/>
  <c r="G46" i="3"/>
  <c r="G45" i="3"/>
  <c r="G44" i="3"/>
  <c r="G43" i="3"/>
  <c r="G42" i="3"/>
  <c r="G41" i="3"/>
  <c r="H41" i="3" s="1"/>
  <c r="G40" i="3"/>
  <c r="H40" i="3" s="1"/>
  <c r="G2" i="3"/>
  <c r="H2" i="3" s="1"/>
  <c r="G39" i="3"/>
  <c r="H39" i="3" s="1"/>
  <c r="G38" i="3"/>
  <c r="H38" i="3" s="1"/>
  <c r="G37" i="3"/>
  <c r="H37" i="3" s="1"/>
  <c r="G36" i="3"/>
  <c r="H36" i="3" s="1"/>
  <c r="I36" i="3" s="1"/>
  <c r="G35" i="3"/>
  <c r="G34" i="3"/>
  <c r="G33" i="3"/>
  <c r="H33" i="3" s="1"/>
  <c r="I33" i="3" s="1"/>
  <c r="G32" i="3"/>
  <c r="G31" i="3"/>
  <c r="H31" i="3" s="1"/>
  <c r="N30" i="3"/>
  <c r="G30" i="3"/>
  <c r="H30" i="3" s="1"/>
  <c r="G29" i="3"/>
  <c r="H29" i="3" s="1"/>
  <c r="G28" i="3"/>
  <c r="H28" i="3" s="1"/>
  <c r="I28" i="3" s="1"/>
  <c r="G27" i="3"/>
  <c r="G26" i="3"/>
  <c r="G25" i="3"/>
  <c r="G24" i="3"/>
  <c r="G80" i="3"/>
  <c r="H80" i="3" s="1"/>
  <c r="I80" i="3" s="1"/>
  <c r="G23" i="3"/>
  <c r="G22" i="3"/>
  <c r="H22" i="3" s="1"/>
  <c r="I22" i="3" s="1"/>
  <c r="G21" i="3"/>
  <c r="G20" i="3"/>
  <c r="H20" i="3" s="1"/>
  <c r="I20" i="3" s="1"/>
  <c r="G19" i="3"/>
  <c r="G18" i="3"/>
  <c r="H18" i="3" s="1"/>
  <c r="G17" i="3"/>
  <c r="H17" i="3" s="1"/>
  <c r="I17" i="3" s="1"/>
  <c r="G16" i="3"/>
  <c r="G15" i="3"/>
  <c r="G14" i="3"/>
  <c r="H14" i="3" s="1"/>
  <c r="G13" i="3"/>
  <c r="H13" i="3" s="1"/>
  <c r="I13" i="3" s="1"/>
  <c r="G79" i="3"/>
  <c r="G78" i="3"/>
  <c r="G77" i="3"/>
  <c r="G12" i="3"/>
  <c r="G11" i="3"/>
  <c r="G10" i="3"/>
  <c r="G9" i="3"/>
  <c r="H9" i="3" s="1"/>
  <c r="I9" i="3" s="1"/>
  <c r="G8" i="3"/>
  <c r="G7" i="3"/>
  <c r="G6" i="3"/>
  <c r="G5" i="3"/>
  <c r="G4" i="3"/>
  <c r="G28" i="2"/>
  <c r="F28" i="2"/>
  <c r="H25" i="2"/>
  <c r="H24" i="2"/>
  <c r="J24" i="2" s="1"/>
  <c r="H23" i="2"/>
  <c r="J23" i="2" s="1"/>
  <c r="H22" i="2"/>
  <c r="J22" i="2" s="1"/>
  <c r="H21" i="2"/>
  <c r="J21" i="2" s="1"/>
  <c r="H20" i="2"/>
  <c r="I20" i="2" s="1"/>
  <c r="H19" i="2"/>
  <c r="J19" i="2" s="1"/>
  <c r="H18" i="2"/>
  <c r="H17" i="2"/>
  <c r="I17" i="2" s="1"/>
  <c r="J17" i="2" s="1"/>
  <c r="H16" i="2"/>
  <c r="J16" i="2" s="1"/>
  <c r="O16" i="2" s="1"/>
  <c r="H15" i="2"/>
  <c r="I15" i="2" s="1"/>
  <c r="H14" i="2"/>
  <c r="I14" i="2" s="1"/>
  <c r="J14" i="2" s="1"/>
  <c r="H13" i="2"/>
  <c r="H12" i="2"/>
  <c r="H11" i="2"/>
  <c r="H10" i="2"/>
  <c r="I10" i="2" s="1"/>
  <c r="J10" i="2" s="1"/>
  <c r="H9" i="2"/>
  <c r="H8" i="2"/>
  <c r="H7" i="2"/>
  <c r="H6" i="2"/>
  <c r="I6" i="2" s="1"/>
  <c r="J6" i="2" s="1"/>
  <c r="H5" i="2"/>
  <c r="H4" i="2"/>
  <c r="H3" i="2"/>
  <c r="J3" i="2" s="1"/>
  <c r="H2" i="2"/>
  <c r="I2" i="2" s="1"/>
  <c r="I8" i="2" l="1"/>
  <c r="J8" i="2" s="1"/>
  <c r="J2" i="2"/>
  <c r="L2" i="2" s="1"/>
  <c r="O2" i="2" s="1"/>
  <c r="O3" i="2"/>
  <c r="I12" i="2"/>
  <c r="J12" i="2" s="1"/>
  <c r="O19" i="2"/>
  <c r="O22" i="2"/>
  <c r="H5" i="3"/>
  <c r="I5" i="3" s="1"/>
  <c r="K5" i="3" s="1"/>
  <c r="N5" i="3" s="1"/>
  <c r="I19" i="3"/>
  <c r="N19" i="3" s="1"/>
  <c r="I65" i="3"/>
  <c r="H19" i="3"/>
  <c r="H25" i="3"/>
  <c r="I25" i="3" s="1"/>
  <c r="I40" i="3"/>
  <c r="N40" i="3" s="1"/>
  <c r="I51" i="3"/>
  <c r="H26" i="3"/>
  <c r="I26" i="3" s="1"/>
  <c r="I29" i="3"/>
  <c r="N29" i="3" s="1"/>
  <c r="I38" i="3"/>
  <c r="H42" i="3"/>
  <c r="I42" i="3" s="1"/>
  <c r="H44" i="3"/>
  <c r="I44" i="3" s="1"/>
  <c r="N44" i="3" s="1"/>
  <c r="H46" i="3"/>
  <c r="I46" i="3" s="1"/>
  <c r="N46" i="3" s="1"/>
  <c r="I74" i="3"/>
  <c r="N74" i="3" s="1"/>
  <c r="I14" i="3"/>
  <c r="N14" i="3" s="1"/>
  <c r="H16" i="3"/>
  <c r="I16" i="3" s="1"/>
  <c r="K16" i="3" s="1"/>
  <c r="N16" i="3" s="1"/>
  <c r="I2" i="3"/>
  <c r="K2" i="3" s="1"/>
  <c r="N2" i="3" s="1"/>
  <c r="H55" i="3"/>
  <c r="I55" i="3" s="1"/>
  <c r="N55" i="3" s="1"/>
  <c r="I76" i="3"/>
  <c r="N76" i="3" s="1"/>
  <c r="H10" i="3"/>
  <c r="I10" i="3" s="1"/>
  <c r="H77" i="3"/>
  <c r="I77" i="3" s="1"/>
  <c r="I31" i="3"/>
  <c r="H57" i="3"/>
  <c r="I57" i="3" s="1"/>
  <c r="H59" i="3"/>
  <c r="I59" i="3" s="1"/>
  <c r="I66" i="3"/>
  <c r="I68" i="3"/>
  <c r="H8" i="3"/>
  <c r="I8" i="3" s="1"/>
  <c r="N22" i="3"/>
  <c r="H27" i="3"/>
  <c r="I27" i="3" s="1"/>
  <c r="H35" i="3"/>
  <c r="I35" i="3" s="1"/>
  <c r="N53" i="3"/>
  <c r="N63" i="3"/>
  <c r="H11" i="3"/>
  <c r="I11" i="3" s="1"/>
  <c r="K13" i="3"/>
  <c r="N13" i="3" s="1"/>
  <c r="H23" i="3"/>
  <c r="I23" i="3" s="1"/>
  <c r="N36" i="3"/>
  <c r="H48" i="3"/>
  <c r="I48" i="3" s="1"/>
  <c r="K3" i="3"/>
  <c r="N3" i="3" s="1"/>
  <c r="H12" i="3"/>
  <c r="I12" i="3" s="1"/>
  <c r="H79" i="3"/>
  <c r="I79" i="3" s="1"/>
  <c r="H15" i="3"/>
  <c r="I15" i="3" s="1"/>
  <c r="H21" i="3"/>
  <c r="I21" i="3" s="1"/>
  <c r="K28" i="3"/>
  <c r="N28" i="3" s="1"/>
  <c r="N49" i="3"/>
  <c r="N51" i="3"/>
  <c r="G83" i="3"/>
  <c r="H4" i="3"/>
  <c r="K9" i="3"/>
  <c r="N9" i="3" s="1"/>
  <c r="N17" i="3"/>
  <c r="N72" i="3"/>
  <c r="K20" i="3"/>
  <c r="N20" i="3" s="1"/>
  <c r="K33" i="3"/>
  <c r="N33" i="3" s="1"/>
  <c r="N38" i="3"/>
  <c r="N61" i="3"/>
  <c r="N80" i="3"/>
  <c r="H34" i="3"/>
  <c r="I34" i="3" s="1"/>
  <c r="N66" i="3"/>
  <c r="H6" i="3"/>
  <c r="I6" i="3" s="1"/>
  <c r="H7" i="3"/>
  <c r="I7" i="3" s="1"/>
  <c r="H78" i="3"/>
  <c r="I78" i="3" s="1"/>
  <c r="H32" i="3"/>
  <c r="I32" i="3" s="1"/>
  <c r="I39" i="3"/>
  <c r="I41" i="3"/>
  <c r="H45" i="3"/>
  <c r="I45" i="3" s="1"/>
  <c r="I52" i="3"/>
  <c r="I54" i="3"/>
  <c r="I56" i="3"/>
  <c r="H58" i="3"/>
  <c r="I58" i="3" s="1"/>
  <c r="I67" i="3"/>
  <c r="I75" i="3"/>
  <c r="H62" i="3"/>
  <c r="I62" i="3" s="1"/>
  <c r="M65" i="3"/>
  <c r="M83" i="3" s="1"/>
  <c r="I71" i="3"/>
  <c r="I18" i="3"/>
  <c r="H47" i="3"/>
  <c r="I47" i="3" s="1"/>
  <c r="H60" i="3"/>
  <c r="I60" i="3" s="1"/>
  <c r="I69" i="3"/>
  <c r="H70" i="3"/>
  <c r="I70" i="3" s="1"/>
  <c r="H24" i="3"/>
  <c r="I24" i="3" s="1"/>
  <c r="I37" i="3"/>
  <c r="H43" i="3"/>
  <c r="I43" i="3" s="1"/>
  <c r="I50" i="3"/>
  <c r="H64" i="3"/>
  <c r="I64" i="3" s="1"/>
  <c r="I73" i="3"/>
  <c r="L10" i="2"/>
  <c r="N10" i="2"/>
  <c r="O14" i="2"/>
  <c r="L6" i="2"/>
  <c r="N6" i="2"/>
  <c r="I7" i="2"/>
  <c r="J7" i="2" s="1"/>
  <c r="J15" i="2"/>
  <c r="O17" i="2"/>
  <c r="I9" i="2"/>
  <c r="J9" i="2" s="1"/>
  <c r="I5" i="2"/>
  <c r="J5" i="2" s="1"/>
  <c r="I13" i="2"/>
  <c r="J13" i="2" s="1"/>
  <c r="H28" i="2"/>
  <c r="I4" i="2"/>
  <c r="J4" i="2" s="1"/>
  <c r="I11" i="2"/>
  <c r="J11" i="2" s="1"/>
  <c r="I25" i="2"/>
  <c r="J25" i="2" s="1"/>
  <c r="O21" i="2"/>
  <c r="O23" i="2"/>
  <c r="I18" i="2"/>
  <c r="J18" i="2" s="1"/>
  <c r="J20" i="2"/>
  <c r="O24" i="2"/>
  <c r="N8" i="2" l="1"/>
  <c r="L8" i="2"/>
  <c r="O8" i="2" s="1"/>
  <c r="L12" i="2"/>
  <c r="N12" i="2"/>
  <c r="J28" i="2"/>
  <c r="O6" i="2"/>
  <c r="I28" i="2"/>
  <c r="O10" i="2"/>
  <c r="K26" i="3"/>
  <c r="N26" i="3"/>
  <c r="K25" i="3"/>
  <c r="N25" i="3" s="1"/>
  <c r="K42" i="3"/>
  <c r="N42" i="3" s="1"/>
  <c r="N10" i="3"/>
  <c r="N57" i="3"/>
  <c r="K77" i="3"/>
  <c r="N77" i="3" s="1"/>
  <c r="N59" i="3"/>
  <c r="N68" i="3"/>
  <c r="N31" i="3"/>
  <c r="N45" i="3"/>
  <c r="N27" i="3"/>
  <c r="K7" i="3"/>
  <c r="N7" i="3" s="1"/>
  <c r="K70" i="3"/>
  <c r="N70" i="3" s="1"/>
  <c r="N48" i="3"/>
  <c r="N24" i="3"/>
  <c r="N58" i="3"/>
  <c r="K78" i="3"/>
  <c r="N78" i="3" s="1"/>
  <c r="N23" i="3"/>
  <c r="N8" i="3"/>
  <c r="N43" i="3"/>
  <c r="K47" i="3"/>
  <c r="N47" i="3" s="1"/>
  <c r="K6" i="3"/>
  <c r="N6" i="3" s="1"/>
  <c r="K34" i="3"/>
  <c r="N34" i="3" s="1"/>
  <c r="N12" i="3"/>
  <c r="N32" i="3"/>
  <c r="K21" i="3"/>
  <c r="N21" i="3" s="1"/>
  <c r="N11" i="3"/>
  <c r="N60" i="3"/>
  <c r="N71" i="3"/>
  <c r="N54" i="3"/>
  <c r="K15" i="3"/>
  <c r="N15" i="3" s="1"/>
  <c r="N18" i="3"/>
  <c r="N52" i="3"/>
  <c r="N65" i="3"/>
  <c r="H83" i="3"/>
  <c r="K79" i="3"/>
  <c r="N79" i="3" s="1"/>
  <c r="N64" i="3"/>
  <c r="N37" i="3"/>
  <c r="N62" i="3"/>
  <c r="N67" i="3"/>
  <c r="N41" i="3"/>
  <c r="N35" i="3"/>
  <c r="N39" i="3"/>
  <c r="N73" i="3"/>
  <c r="N69" i="3"/>
  <c r="N50" i="3"/>
  <c r="K75" i="3"/>
  <c r="N75" i="3" s="1"/>
  <c r="K56" i="3"/>
  <c r="N56" i="3" s="1"/>
  <c r="I4" i="3"/>
  <c r="L18" i="2"/>
  <c r="O18" i="2" s="1"/>
  <c r="L11" i="2"/>
  <c r="N11" i="2"/>
  <c r="O4" i="2"/>
  <c r="L7" i="2"/>
  <c r="N7" i="2"/>
  <c r="L9" i="2"/>
  <c r="N9" i="2"/>
  <c r="L5" i="2"/>
  <c r="N5" i="2"/>
  <c r="L15" i="2"/>
  <c r="O15" i="2" s="1"/>
  <c r="L20" i="2"/>
  <c r="O20" i="2" s="1"/>
  <c r="O25" i="2"/>
  <c r="L13" i="2"/>
  <c r="N13" i="2"/>
  <c r="O9" i="2" l="1"/>
  <c r="L28" i="2"/>
  <c r="N28" i="2"/>
  <c r="O7" i="2"/>
  <c r="O12" i="2"/>
  <c r="O13" i="2"/>
  <c r="O5" i="2"/>
  <c r="O11" i="2"/>
  <c r="K83" i="3"/>
  <c r="N4" i="3"/>
  <c r="I83" i="3"/>
  <c r="O28" i="2" l="1"/>
  <c r="N83" i="3"/>
  <c r="G68" i="1"/>
  <c r="F68" i="1"/>
  <c r="H57" i="1"/>
  <c r="I57" i="1" s="1"/>
  <c r="H56" i="1"/>
  <c r="I56" i="1" s="1"/>
  <c r="J56" i="1" s="1"/>
  <c r="H55" i="1"/>
  <c r="I55" i="1" s="1"/>
  <c r="J55" i="1" s="1"/>
  <c r="H54" i="1"/>
  <c r="I54" i="1" s="1"/>
  <c r="J54" i="1" s="1"/>
  <c r="H53" i="1"/>
  <c r="I53" i="1" s="1"/>
  <c r="H52" i="1"/>
  <c r="I52" i="1" s="1"/>
  <c r="J52" i="1" s="1"/>
  <c r="H51" i="1"/>
  <c r="H65" i="1"/>
  <c r="H64" i="1"/>
  <c r="H63" i="1"/>
  <c r="H60" i="1"/>
  <c r="H59" i="1"/>
  <c r="H58" i="1"/>
  <c r="H50" i="1"/>
  <c r="H49" i="1"/>
  <c r="H48" i="1"/>
  <c r="H47" i="1"/>
  <c r="I47" i="1" s="1"/>
  <c r="J47" i="1" s="1"/>
  <c r="H46" i="1"/>
  <c r="H45" i="1"/>
  <c r="I45" i="1" s="1"/>
  <c r="J45" i="1" s="1"/>
  <c r="H44" i="1"/>
  <c r="I44" i="1" s="1"/>
  <c r="H43" i="1"/>
  <c r="I43" i="1" s="1"/>
  <c r="H42" i="1"/>
  <c r="J42" i="1" s="1"/>
  <c r="H41" i="1"/>
  <c r="J41" i="1" s="1"/>
  <c r="H40" i="1"/>
  <c r="H39" i="1"/>
  <c r="I39" i="1" s="1"/>
  <c r="J39" i="1" s="1"/>
  <c r="L39" i="1" s="1"/>
  <c r="H38" i="1"/>
  <c r="I38" i="1" s="1"/>
  <c r="J38" i="1" s="1"/>
  <c r="H37" i="1"/>
  <c r="H36" i="1"/>
  <c r="H35" i="1"/>
  <c r="I35" i="1" s="1"/>
  <c r="H62" i="1"/>
  <c r="I62" i="1" s="1"/>
  <c r="J62" i="1" s="1"/>
  <c r="H61" i="1"/>
  <c r="I61" i="1" s="1"/>
  <c r="J61" i="1" s="1"/>
  <c r="H34" i="1"/>
  <c r="I34" i="1" s="1"/>
  <c r="J34" i="1" s="1"/>
  <c r="L34" i="1" s="1"/>
  <c r="H33" i="1"/>
  <c r="I33" i="1" s="1"/>
  <c r="J33" i="1" s="1"/>
  <c r="H32" i="1"/>
  <c r="I32" i="1" s="1"/>
  <c r="H31" i="1"/>
  <c r="H30" i="1"/>
  <c r="I30" i="1" s="1"/>
  <c r="J30" i="1" s="1"/>
  <c r="M30" i="1" s="1"/>
  <c r="H29" i="1"/>
  <c r="I29" i="1" s="1"/>
  <c r="J29" i="1" s="1"/>
  <c r="H28" i="1"/>
  <c r="I28" i="1" s="1"/>
  <c r="H27" i="1"/>
  <c r="H26" i="1"/>
  <c r="I25" i="1"/>
  <c r="J25" i="1" s="1"/>
  <c r="H25" i="1"/>
  <c r="H24" i="1"/>
  <c r="I24" i="1" s="1"/>
  <c r="H23" i="1"/>
  <c r="H22" i="1"/>
  <c r="H21" i="1"/>
  <c r="H20" i="1"/>
  <c r="H19" i="1"/>
  <c r="H18" i="1"/>
  <c r="H17" i="1"/>
  <c r="I17" i="1" s="1"/>
  <c r="J17" i="1" s="1"/>
  <c r="H16" i="1"/>
  <c r="I16" i="1" s="1"/>
  <c r="J16" i="1" s="1"/>
  <c r="H15" i="1"/>
  <c r="H14" i="1"/>
  <c r="H13" i="1"/>
  <c r="I13" i="1" s="1"/>
  <c r="J13" i="1" s="1"/>
  <c r="H12" i="1"/>
  <c r="I12" i="1" s="1"/>
  <c r="H11" i="1"/>
  <c r="H10" i="1"/>
  <c r="H9" i="1"/>
  <c r="I9" i="1" s="1"/>
  <c r="J9" i="1" s="1"/>
  <c r="H8" i="1"/>
  <c r="I8" i="1" s="1"/>
  <c r="J8" i="1" s="1"/>
  <c r="H7" i="1"/>
  <c r="H6" i="1"/>
  <c r="I6" i="1" s="1"/>
  <c r="J6" i="1" s="1"/>
  <c r="H5" i="1"/>
  <c r="I5" i="1" s="1"/>
  <c r="J5" i="1" s="1"/>
  <c r="H4" i="1"/>
  <c r="I4" i="1" s="1"/>
  <c r="H3" i="1"/>
  <c r="H2" i="1"/>
  <c r="K61" i="1" l="1"/>
  <c r="L55" i="1"/>
  <c r="L8" i="1"/>
  <c r="O52" i="1"/>
  <c r="I20" i="1"/>
  <c r="J20" i="1" s="1"/>
  <c r="I22" i="1"/>
  <c r="J22" i="1" s="1"/>
  <c r="I26" i="1"/>
  <c r="J26" i="1" s="1"/>
  <c r="J12" i="1"/>
  <c r="M12" i="1" s="1"/>
  <c r="I21" i="1"/>
  <c r="J21" i="1" s="1"/>
  <c r="I37" i="1"/>
  <c r="J37" i="1" s="1"/>
  <c r="J24" i="1"/>
  <c r="L24" i="1" s="1"/>
  <c r="H68" i="1"/>
  <c r="M25" i="1"/>
  <c r="N25" i="1"/>
  <c r="L25" i="1"/>
  <c r="M29" i="1"/>
  <c r="N29" i="1"/>
  <c r="L29" i="1"/>
  <c r="N33" i="1"/>
  <c r="L33" i="1"/>
  <c r="O33" i="1" s="1"/>
  <c r="M13" i="1"/>
  <c r="L13" i="1"/>
  <c r="N13" i="1"/>
  <c r="M17" i="1"/>
  <c r="L17" i="1"/>
  <c r="N17" i="1"/>
  <c r="M41" i="1"/>
  <c r="L41" i="1"/>
  <c r="N41" i="1"/>
  <c r="L38" i="1"/>
  <c r="O38" i="1" s="1"/>
  <c r="O6" i="1"/>
  <c r="M9" i="1"/>
  <c r="L9" i="1"/>
  <c r="N9" i="1"/>
  <c r="I2" i="1"/>
  <c r="J2" i="1" s="1"/>
  <c r="O5" i="1"/>
  <c r="I10" i="1"/>
  <c r="J10" i="1" s="1"/>
  <c r="I11" i="1"/>
  <c r="J11" i="1" s="1"/>
  <c r="N16" i="1"/>
  <c r="M16" i="1"/>
  <c r="I27" i="1"/>
  <c r="J27" i="1" s="1"/>
  <c r="J28" i="1"/>
  <c r="O45" i="1"/>
  <c r="J4" i="1"/>
  <c r="I7" i="1"/>
  <c r="J7" i="1" s="1"/>
  <c r="M24" i="1"/>
  <c r="N34" i="1"/>
  <c r="O34" i="1" s="1"/>
  <c r="I3" i="1"/>
  <c r="J3" i="1" s="1"/>
  <c r="I14" i="1"/>
  <c r="J14" i="1" s="1"/>
  <c r="I15" i="1"/>
  <c r="J15" i="1" s="1"/>
  <c r="L16" i="1"/>
  <c r="I31" i="1"/>
  <c r="J31" i="1" s="1"/>
  <c r="J32" i="1"/>
  <c r="L62" i="1"/>
  <c r="K62" i="1"/>
  <c r="O47" i="1"/>
  <c r="L54" i="1"/>
  <c r="O54" i="1" s="1"/>
  <c r="M56" i="1"/>
  <c r="L56" i="1"/>
  <c r="N56" i="1"/>
  <c r="N12" i="1"/>
  <c r="I23" i="1"/>
  <c r="J23" i="1" s="1"/>
  <c r="N8" i="1"/>
  <c r="M8" i="1"/>
  <c r="I18" i="1"/>
  <c r="J18" i="1" s="1"/>
  <c r="I19" i="1"/>
  <c r="J19" i="1" s="1"/>
  <c r="L30" i="1"/>
  <c r="N30" i="1"/>
  <c r="M62" i="1"/>
  <c r="I36" i="1"/>
  <c r="J36" i="1" s="1"/>
  <c r="I40" i="1"/>
  <c r="J40" i="1" s="1"/>
  <c r="M42" i="1"/>
  <c r="L42" i="1"/>
  <c r="N42" i="1"/>
  <c r="M61" i="1"/>
  <c r="L61" i="1"/>
  <c r="O39" i="1"/>
  <c r="J35" i="1"/>
  <c r="I48" i="1"/>
  <c r="J48" i="1" s="1"/>
  <c r="I49" i="1"/>
  <c r="J49" i="1" s="1"/>
  <c r="I50" i="1"/>
  <c r="J50" i="1" s="1"/>
  <c r="I58" i="1"/>
  <c r="J58" i="1" s="1"/>
  <c r="I59" i="1"/>
  <c r="J59" i="1" s="1"/>
  <c r="I60" i="1"/>
  <c r="J60" i="1" s="1"/>
  <c r="I63" i="1"/>
  <c r="J63" i="1" s="1"/>
  <c r="I64" i="1"/>
  <c r="J64" i="1" s="1"/>
  <c r="I65" i="1"/>
  <c r="J65" i="1" s="1"/>
  <c r="I51" i="1"/>
  <c r="J51" i="1" s="1"/>
  <c r="N55" i="1"/>
  <c r="M55" i="1"/>
  <c r="J43" i="1"/>
  <c r="J44" i="1"/>
  <c r="I46" i="1"/>
  <c r="J46" i="1" s="1"/>
  <c r="J53" i="1"/>
  <c r="J57" i="1"/>
  <c r="O16" i="1" l="1"/>
  <c r="O13" i="1"/>
  <c r="O29" i="1"/>
  <c r="L12" i="1"/>
  <c r="O12" i="1" s="1"/>
  <c r="L21" i="1"/>
  <c r="N21" i="1"/>
  <c r="O62" i="1"/>
  <c r="O17" i="1"/>
  <c r="O9" i="1"/>
  <c r="O8" i="1"/>
  <c r="O25" i="1"/>
  <c r="N20" i="1"/>
  <c r="L20" i="1"/>
  <c r="M22" i="1"/>
  <c r="L22" i="1"/>
  <c r="N22" i="1"/>
  <c r="N26" i="1"/>
  <c r="M26" i="1"/>
  <c r="L26" i="1"/>
  <c r="O26" i="1" s="1"/>
  <c r="L37" i="1"/>
  <c r="O30" i="1"/>
  <c r="N24" i="1"/>
  <c r="O24" i="1" s="1"/>
  <c r="N37" i="1"/>
  <c r="O61" i="1"/>
  <c r="M21" i="1"/>
  <c r="O21" i="1" s="1"/>
  <c r="O56" i="1"/>
  <c r="O41" i="1"/>
  <c r="M37" i="1"/>
  <c r="O42" i="1"/>
  <c r="L40" i="1"/>
  <c r="O40" i="1" s="1"/>
  <c r="O64" i="1"/>
  <c r="L64" i="1"/>
  <c r="M64" i="1"/>
  <c r="L19" i="1"/>
  <c r="N19" i="1"/>
  <c r="N15" i="1"/>
  <c r="L15" i="1"/>
  <c r="M15" i="1"/>
  <c r="L58" i="1"/>
  <c r="O58" i="1" s="1"/>
  <c r="M58" i="1"/>
  <c r="N11" i="1"/>
  <c r="M11" i="1"/>
  <c r="L11" i="1"/>
  <c r="L60" i="1"/>
  <c r="M60" i="1"/>
  <c r="L10" i="1"/>
  <c r="N10" i="1"/>
  <c r="M10" i="1"/>
  <c r="M51" i="1"/>
  <c r="K51" i="1"/>
  <c r="L51" i="1"/>
  <c r="L49" i="1"/>
  <c r="O49" i="1" s="1"/>
  <c r="M49" i="1"/>
  <c r="L31" i="1"/>
  <c r="M31" i="1"/>
  <c r="N31" i="1"/>
  <c r="L14" i="1"/>
  <c r="M14" i="1"/>
  <c r="N14" i="1"/>
  <c r="N7" i="1"/>
  <c r="M7" i="1"/>
  <c r="L7" i="1"/>
  <c r="L63" i="1"/>
  <c r="O63" i="1" s="1"/>
  <c r="M63" i="1"/>
  <c r="L65" i="1"/>
  <c r="M65" i="1"/>
  <c r="L59" i="1"/>
  <c r="M59" i="1"/>
  <c r="L50" i="1"/>
  <c r="O50" i="1" s="1"/>
  <c r="M50" i="1"/>
  <c r="L48" i="1"/>
  <c r="O48" i="1" s="1"/>
  <c r="M48" i="1"/>
  <c r="N36" i="1"/>
  <c r="M36" i="1"/>
  <c r="L36" i="1"/>
  <c r="L23" i="1"/>
  <c r="N23" i="1"/>
  <c r="M23" i="1"/>
  <c r="N32" i="1"/>
  <c r="M32" i="1"/>
  <c r="L32" i="1"/>
  <c r="K3" i="1"/>
  <c r="L3" i="1"/>
  <c r="M3" i="1"/>
  <c r="K57" i="1"/>
  <c r="M57" i="1"/>
  <c r="L57" i="1"/>
  <c r="L43" i="1"/>
  <c r="M43" i="1"/>
  <c r="J68" i="1"/>
  <c r="K2" i="1"/>
  <c r="L2" i="1"/>
  <c r="M2" i="1"/>
  <c r="N28" i="1"/>
  <c r="M28" i="1"/>
  <c r="L28" i="1"/>
  <c r="I68" i="1"/>
  <c r="O46" i="1"/>
  <c r="L18" i="1"/>
  <c r="M18" i="1"/>
  <c r="N18" i="1"/>
  <c r="L27" i="1"/>
  <c r="N27" i="1"/>
  <c r="M27" i="1"/>
  <c r="L44" i="1"/>
  <c r="O44" i="1" s="1"/>
  <c r="L53" i="1"/>
  <c r="O53" i="1" s="1"/>
  <c r="O55" i="1"/>
  <c r="L35" i="1"/>
  <c r="N35" i="1"/>
  <c r="M35" i="1"/>
  <c r="L4" i="1"/>
  <c r="M4" i="1"/>
  <c r="K4" i="1"/>
  <c r="O10" i="1" l="1"/>
  <c r="O43" i="1"/>
  <c r="O65" i="1"/>
  <c r="O19" i="1"/>
  <c r="O59" i="1"/>
  <c r="O35" i="1"/>
  <c r="O27" i="1"/>
  <c r="O32" i="1"/>
  <c r="O60" i="1"/>
  <c r="O15" i="1"/>
  <c r="O14" i="1"/>
  <c r="O51" i="1"/>
  <c r="O37" i="1"/>
  <c r="O20" i="1"/>
  <c r="O4" i="1"/>
  <c r="O28" i="1"/>
  <c r="O3" i="1"/>
  <c r="O23" i="1"/>
  <c r="O36" i="1"/>
  <c r="O7" i="1"/>
  <c r="O31" i="1"/>
  <c r="O18" i="1"/>
  <c r="O57" i="1"/>
  <c r="O11" i="1"/>
  <c r="O22" i="1"/>
  <c r="L68" i="1"/>
  <c r="N68" i="1"/>
  <c r="M68" i="1"/>
  <c r="O2" i="1"/>
  <c r="K68" i="1"/>
  <c r="O6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Um usuário do Microsoft Office satisfeito</author>
    <author>Financeiro01</author>
    <author>MASTER</author>
    <author>Gabriela</author>
  </authors>
  <commentList>
    <comment ref="M1" authorId="0" shapeId="0" xr:uid="{0398B757-4027-47AC-B268-1BE8527EFDAE}">
      <text>
        <r>
          <rPr>
            <sz val="9"/>
            <color indexed="81"/>
            <rFont val="Tahoma"/>
            <family val="2"/>
          </rPr>
          <t>Fabrícia:
Não há valor mínimo para a guia deste imposto.</t>
        </r>
      </text>
    </comment>
    <comment ref="A2" authorId="0" shapeId="0" xr:uid="{86B2DF0C-707D-4D17-9FF4-3D0C54B634CB}">
      <text>
        <r>
          <rPr>
            <sz val="9"/>
            <color indexed="81"/>
            <rFont val="Tahoma"/>
            <family val="2"/>
          </rPr>
          <t>Kátia: Serviço de Limpeza Avulsa ( com 01 asg 44h 5x2).
Valor: R$ 5.400,32
Inicio do Contrato: 01/02/2024
OBS.: ACEITE PARA12 MESES DE SERVIÇO: ATÈ JAN/2025 
Pedido: X18623
DVP: 024/109/24 
FN: 06/02/2024</t>
        </r>
      </text>
    </comment>
    <comment ref="B2" authorId="0" shapeId="0" xr:uid="{4B74491E-A532-4CC6-BAD5-47407DF0BE96}">
      <text>
        <r>
          <rPr>
            <sz val="9"/>
            <color indexed="81"/>
            <rFont val="Tahoma"/>
            <family val="2"/>
          </rPr>
          <t>Kátia: Pedido válido por 12 meses (JAN/25 A JAN/26).
FN: E-mail do dia 04/02/2025</t>
        </r>
      </text>
    </comment>
    <comment ref="C2" authorId="1" shapeId="0" xr:uid="{6063379B-3AE1-46A8-95C2-5ACE2554CE01}">
      <text>
        <r>
          <rPr>
            <b/>
            <sz val="9"/>
            <color indexed="81"/>
            <rFont val="Segoe UI"/>
            <charset val="1"/>
          </rPr>
          <t>NOTA 2312
RPS 2311</t>
        </r>
      </text>
    </comment>
    <comment ref="M2" authorId="0" shapeId="0" xr:uid="{AAD0C3E5-0218-479E-8935-1660AD25136D}">
      <text>
        <r>
          <rPr>
            <sz val="9"/>
            <color indexed="81"/>
            <rFont val="Tahoma"/>
            <family val="2"/>
          </rPr>
          <t xml:space="preserve">Kátia: Sistema da Sefaz DF, não permite retenção de ISS quando o cliente não tem inscrição no DF.
</t>
        </r>
      </text>
    </comment>
    <comment ref="A3" authorId="0" shapeId="0" xr:uid="{51AC0F13-4233-4E37-AF94-E4E1E565828C}">
      <text>
        <r>
          <rPr>
            <sz val="9"/>
            <color indexed="81"/>
            <rFont val="Tahoma"/>
            <family val="2"/>
          </rPr>
          <t xml:space="preserve">Gabriela: A partir de 14/06/2024 mudança de endereço.
FN: Email enviado pelo cliente dia 13/06/2024 (gmail)
Lorena: Cliente retoma serviço, 1x/sem. 
Valor: R$ 443,41
Inicio: 10/07/2017
DVP: Não teve
FN: 06/07/2017
FINANCEIRO: a partir de outubro/10, serviço de limpeza 1x semana. DVP 05/962/10. R$ 232,99.
</t>
        </r>
      </text>
    </comment>
    <comment ref="C3" authorId="1" shapeId="0" xr:uid="{441E0529-7A38-4666-8DA4-1813CE7C554A}">
      <text>
        <r>
          <rPr>
            <b/>
            <sz val="9"/>
            <color indexed="81"/>
            <rFont val="Segoe UI"/>
            <charset val="1"/>
          </rPr>
          <t>NOTA 2311
RPS 2312</t>
        </r>
        <r>
          <rPr>
            <sz val="9"/>
            <color indexed="81"/>
            <rFont val="Segoe UI"/>
            <charset val="1"/>
          </rPr>
          <t xml:space="preserve">
</t>
        </r>
      </text>
    </comment>
    <comment ref="D3" authorId="1" shapeId="0" xr:uid="{0B516992-5E97-4596-B579-EDC5C9E5A785}">
      <text>
        <r>
          <rPr>
            <sz val="9"/>
            <color indexed="81"/>
            <rFont val="Segoe UI"/>
            <charset val="1"/>
          </rPr>
          <t xml:space="preserve">Kátia: Cliente precisa de 15 dias de antecedencia para o pagamento.
</t>
        </r>
      </text>
    </comment>
    <comment ref="K3" authorId="0" shapeId="0" xr:uid="{E0848C1F-1CBF-4B88-9CC6-45FFA5CA0C4A}">
      <text>
        <r>
          <rPr>
            <sz val="9"/>
            <color indexed="81"/>
            <rFont val="Tahoma"/>
            <family val="2"/>
          </rPr>
          <t xml:space="preserve">Kátia: Cliente Solicitou que fosse incluida a retenção de INSS nas notas a partir de 06/2023.
E-mail: 30/05/2023.
</t>
        </r>
      </text>
    </comment>
    <comment ref="M3" authorId="0" shapeId="0" xr:uid="{8B059746-0FDA-495A-82A7-CAA153DC7110}">
      <text>
        <r>
          <rPr>
            <sz val="9"/>
            <color indexed="81"/>
            <rFont val="Tahoma"/>
            <family val="2"/>
          </rPr>
          <t xml:space="preserve">Kátia: Sistema da Sefaz DF, não permite retenção de ISS quando o cliente não tem inscrição no DF.
</t>
        </r>
      </text>
    </comment>
    <comment ref="A4" authorId="0" shapeId="0" xr:uid="{E56628F7-9AAF-4638-9B69-BBFAD7400AAC}">
      <text>
        <r>
          <rPr>
            <sz val="9"/>
            <color indexed="81"/>
            <rFont val="Tahoma"/>
            <family val="2"/>
          </rPr>
          <t>Lorena: A partir de OUT/16, redução na frequencia para 1x/sem. 
Valor: R$ 123,61
Inicio: 01/10/2016
DVP: 024/667/16
FN: 06/10/2016
Daniele:
Limpeza 1xquinzena
Início: 10/10/12
DVP 005/712/2012
R$ 96,95</t>
        </r>
      </text>
    </comment>
    <comment ref="A5" authorId="0" shapeId="0" xr:uid="{F4565073-6725-4D64-B2E4-13EE570F2475}">
      <text>
        <r>
          <rPr>
            <sz val="9"/>
            <color indexed="81"/>
            <rFont val="Tahoma"/>
            <family val="2"/>
          </rPr>
          <t>Gabriela: Serviço de copeira/limpadora,  2ª a 6ª - 8 às 12h.
Valor: R$ 2.705,59
Início: 08.02.21
DVP: 024/043/21
FN: 08/02/21</t>
        </r>
      </text>
    </comment>
    <comment ref="M5" authorId="0" shapeId="0" xr:uid="{28C16BE1-E2B7-40DC-A113-499851A4D564}">
      <text>
        <r>
          <rPr>
            <sz val="9"/>
            <color indexed="81"/>
            <rFont val="Tahoma"/>
            <family val="2"/>
          </rPr>
          <t xml:space="preserve">Kátia: Retenção de ISS retirada, pois o sistema não aceita pelo cliente não ser substituto tribitário.
09/08/2023.
</t>
        </r>
      </text>
    </comment>
    <comment ref="A6" authorId="0" shapeId="0" xr:uid="{C6C7AD23-28E4-4A83-B180-DA6AFDFEBB14}">
      <text>
        <r>
          <rPr>
            <sz val="9"/>
            <color indexed="81"/>
            <rFont val="Tahoma"/>
            <family val="2"/>
          </rPr>
          <t xml:space="preserve">Kátia: Serviço de limpeza: 2x sem – sls 1505/1506 –R$ 555,99 e 3x - sls 1512/1513 - R$ 667,19.
Valor: R$ 1.223,19
Inicio: 25/01/2024
DVP: 001/049/2024
FN: 31/01/2024
</t>
        </r>
      </text>
    </comment>
    <comment ref="M6" authorId="0" shapeId="0" xr:uid="{F12E936A-3EF2-4B01-A839-149B89360F24}">
      <text>
        <r>
          <rPr>
            <sz val="9"/>
            <color indexed="81"/>
            <rFont val="Tahoma"/>
            <family val="2"/>
          </rPr>
          <t xml:space="preserve">Kátia: Sistema da Sefaz DF, não permite retenção de ISS quando o cliente é substituto tributário.
</t>
        </r>
      </text>
    </comment>
    <comment ref="A7" authorId="0" shapeId="0" xr:uid="{FDDD2307-C988-4523-8042-4D8AF2985F83}">
      <text>
        <r>
          <rPr>
            <sz val="9"/>
            <color indexed="81"/>
            <rFont val="Tahoma"/>
            <family val="2"/>
          </rPr>
          <t xml:space="preserve">Kátia: A partir de 01/02/2023 os serviços passam a ser: Serviço de limpeza 1x + 1 manutenção.
Novo Valor: R$ 884,13
DVP: 024/032/24
FN: 31/01/2024
Kátia: Serviço de limpeza 1x/sem.
Valor: R$ 625,98
Inicio: 21/06/2022
DVP: 024/325/2022
FN: 20/06/2022
</t>
        </r>
      </text>
    </comment>
    <comment ref="M7" authorId="0" shapeId="0" xr:uid="{A023174D-A98B-4552-94D7-E5BC80D00718}">
      <text>
        <r>
          <rPr>
            <sz val="9"/>
            <color indexed="81"/>
            <rFont val="Tahoma"/>
            <family val="2"/>
          </rPr>
          <t xml:space="preserve">Kátia: Sistema da Sefaz DF, não permite retenção de ISS quando o cliente não tem inscrição no DF.
</t>
        </r>
      </text>
    </comment>
    <comment ref="A8" authorId="0" shapeId="0" xr:uid="{BD5D7280-819D-4A74-8A6D-C9D9411BD6BB}">
      <text>
        <r>
          <rPr>
            <sz val="9"/>
            <color indexed="81"/>
            <rFont val="Tahoma"/>
            <family val="2"/>
          </rPr>
          <t xml:space="preserve">Kátia: A partir de 20/06/24 o cliente pediu a Mudança de CNPJ para 88.031.539/0007-44 (CNPJ de Brasília).
FN: Mensagem do cliente Sr. Thiago pelo WhatApp.
Kátia: Serviço de limpeza 2xsem - 3ª e 5ª – 9horas.
Valor: R$ 1.293,63
Inicio: 27/02/2024
DVP: 001/866/23
FN: 20/02/2024
</t>
        </r>
      </text>
    </comment>
    <comment ref="M8" authorId="0" shapeId="0" xr:uid="{576335E5-1ACB-4BE2-978C-FA442866626C}">
      <text>
        <r>
          <rPr>
            <sz val="9"/>
            <color indexed="81"/>
            <rFont val="Tahoma"/>
            <family val="2"/>
          </rPr>
          <t xml:space="preserve">Kátia: Sistema da Sefaz DF, não permite retenção de ISS quando o cliente não tem inscrição no DF.
</t>
        </r>
      </text>
    </comment>
    <comment ref="A9" authorId="0" shapeId="0" xr:uid="{CA398878-A8B8-462E-8DC7-C2FE8FC59441}">
      <text>
        <r>
          <rPr>
            <sz val="9"/>
            <color indexed="81"/>
            <rFont val="Tahoma"/>
            <family val="2"/>
          </rPr>
          <t xml:space="preserve">Kátia: A partir do dia 13/11/2024 os serviço de limpeza passa a ser presatos  1x/quinzena.
Novo Valor: R$ 295,67
DVP: 024/934/24
FN: 12/11/2024
Kátia: Serviço de limpeza 1x/sem + 1 retorno-  4ª e 6ª as 6h.
Valor: R$ 704,38
Inicio: 06/12/2023
DVP: 024/1036/23
FN: 12/12/2023
</t>
        </r>
      </text>
    </comment>
    <comment ref="M9" authorId="0" shapeId="0" xr:uid="{E02EC64D-E3F0-496B-ADEE-7B0A79DC9F58}">
      <text>
        <r>
          <rPr>
            <sz val="9"/>
            <color indexed="81"/>
            <rFont val="Tahoma"/>
            <family val="2"/>
          </rPr>
          <t xml:space="preserve">Kátia: Sistema da Sefaz DF, não permite retenção de ISS quando o cliente não tem inscrição no DF.
</t>
        </r>
      </text>
    </comment>
    <comment ref="A10" authorId="0" shapeId="0" xr:uid="{8BD02FA9-2ED5-4846-AA38-907C386C1A95}">
      <text>
        <r>
          <rPr>
            <sz val="9"/>
            <color indexed="81"/>
            <rFont val="Tahoma"/>
            <family val="2"/>
          </rPr>
          <t>Kátia: A partir de 01/11/2024 os serviços de Limpeza passam a ser prestado 2x semana.
Novo Valor: R$ 859,75
DVP: 024/828/24
FN: 31/10/24
Kátia: Serviço de Limpeza 1x semana.
Valor: R$ 447,03
Início: 20/03/2023
DVP: 024/179/23
FN: 30/03/23</t>
        </r>
      </text>
    </comment>
    <comment ref="A11" authorId="0" shapeId="0" xr:uid="{74ED8A5E-B24C-4862-85E9-4725CA797C70}">
      <text>
        <r>
          <rPr>
            <sz val="9"/>
            <color indexed="81"/>
            <rFont val="Tahoma"/>
            <family val="2"/>
          </rPr>
          <t xml:space="preserve">Kátia: Serviço Serviço de lavagem de carpete, realizado no dia 25/07/2025.
Valor: R$ 389,18
DVP: 024/621/25
FN: 29/07/2025
</t>
        </r>
      </text>
    </comment>
    <comment ref="A12" authorId="0" shapeId="0" xr:uid="{7B324CD0-ED97-4A20-A2B8-90D7158806B0}">
      <text>
        <r>
          <rPr>
            <sz val="9"/>
            <color indexed="81"/>
            <rFont val="Tahoma"/>
            <family val="2"/>
          </rPr>
          <t xml:space="preserve">Kátia: A partir de 01/07/2023 atera-se a razão social do cliente que passa a serArruda &amp; Alarcão - Advogados Associados (Antigo Arruda e Simões Advogados Associados).
FN: 14/06/2023 
FINANCEIRO: serviço de limpeza 1x semana.  DVP 05/1000/10. R$ 183,85.
Inicio 11/11/10.
</t>
        </r>
      </text>
    </comment>
    <comment ref="A13" authorId="0" shapeId="0" xr:uid="{99ACD502-0BCF-49AD-B531-9DC8C488F86A}">
      <text>
        <r>
          <rPr>
            <sz val="9"/>
            <color indexed="81"/>
            <rFont val="Tahoma"/>
            <family val="2"/>
          </rPr>
          <t xml:space="preserve">Kátia: Troca de Franquia (cliente saiu da LDF 005 e foi para a LDF 024), sem fornecimento de produtos, a partir de 01/02/2022.
Valor: R$ 5.050,87
FN: 01/02/2022
- Kessy -
01 copeira limpadora de 2ª a 6ª , de 8h as 18h, com 1h50m de almoço
R$ 1.573,16
</t>
        </r>
      </text>
    </comment>
    <comment ref="M13" authorId="0" shapeId="0" xr:uid="{24E5B661-BC10-47EA-A7FA-218CD59FA2B3}">
      <text>
        <r>
          <rPr>
            <sz val="9"/>
            <color indexed="81"/>
            <rFont val="Tahoma"/>
            <family val="2"/>
          </rPr>
          <t xml:space="preserve">Kátia: Sistema da Sefaz DF, não permite retenção de ISS quando o cliente não tem inscrição no DF.
</t>
        </r>
      </text>
    </comment>
    <comment ref="A14" authorId="0" shapeId="0" xr:uid="{E0699527-C2A7-4B44-809C-DCDBB125B5BA}">
      <text>
        <r>
          <rPr>
            <sz val="9"/>
            <color indexed="81"/>
            <rFont val="Tahoma"/>
            <family val="2"/>
          </rPr>
          <t xml:space="preserve">FINANCEIRO:
A partir de 26/08/2011 o serviço passará 1x semana nas salas 826/827.
DVP: 005/730/2011.
R$ 272,80. </t>
        </r>
      </text>
    </comment>
    <comment ref="A15" authorId="0" shapeId="0" xr:uid="{F02E19AE-E18E-4CF2-86F6-357F970A716D}">
      <text>
        <r>
          <rPr>
            <sz val="9"/>
            <color indexed="81"/>
            <rFont val="Tahoma"/>
            <family val="2"/>
          </rPr>
          <t xml:space="preserve">Kátia: Serviço de limpeza 2x/sem.
Valor: R$ 2.393,73
Inicio: 14/02/2023
DVP: 024.843.22
FN: 06/02/2023
</t>
        </r>
      </text>
    </comment>
    <comment ref="M15" authorId="0" shapeId="0" xr:uid="{CC0ACC1F-71C1-473C-AF74-DF50EC4FB33A}">
      <text>
        <r>
          <rPr>
            <sz val="9"/>
            <color indexed="81"/>
            <rFont val="Tahoma"/>
            <family val="2"/>
          </rPr>
          <t xml:space="preserve">Kátia: Sistema da Sefaz DF, não permite retenção de ISS quando o cliente não tem inscrição no DF.
</t>
        </r>
      </text>
    </comment>
    <comment ref="A16" authorId="0" shapeId="0" xr:uid="{3FDD37AD-71B3-4807-88B3-8A04ADF50EA7}">
      <text>
        <r>
          <rPr>
            <sz val="9"/>
            <color indexed="81"/>
            <rFont val="Tahoma"/>
            <family val="2"/>
          </rPr>
          <t xml:space="preserve">Kátia: A partir de 01/01/22, o contrato passa a ser 1x semana.
Valor: : R$ 594,45
DVP: Não Informado
FN: 27.12.2021.
Gabriela: A partir de 28/09/21, redução de contrato para quinzenal.
Valor: : R$ 376,74
DVP: 024/701/21
FN: 04.10.2021.
Lorena: Serviço de limpeza 1x/sem.
Valor: R$ 342,20
Inicio: 19/08/2014
DVP: 005/316/2014
FN: 28/08/2014
</t>
        </r>
      </text>
    </comment>
    <comment ref="M16" authorId="0" shapeId="0" xr:uid="{F31FEB2D-A1FC-446C-B934-6278AB53A139}">
      <text>
        <r>
          <rPr>
            <sz val="9"/>
            <color indexed="81"/>
            <rFont val="Tahoma"/>
            <family val="2"/>
          </rPr>
          <t xml:space="preserve">Kátia: Sistema da Sefaz DF, não permite retenção de ISS quando o cliente não tem inscrição no DF.
</t>
        </r>
      </text>
    </comment>
    <comment ref="A17" authorId="0" shapeId="0" xr:uid="{947F8886-B5FE-4456-8C17-53BC568C57E2}">
      <text>
        <r>
          <rPr>
            <sz val="9"/>
            <color indexed="81"/>
            <rFont val="Tahoma"/>
            <family val="2"/>
          </rPr>
          <t xml:space="preserve">Kátia: A partir de 13/07/2022 os serviços passam a serem prestados 2x semana.
Novo Valor: R$ 828,65
Inicio: 13/07/2022
DVP: Não teve
FN: 31/08/2022
</t>
        </r>
      </text>
    </comment>
    <comment ref="A18" authorId="0" shapeId="0" xr:uid="{040A4DAB-1E34-465E-BB1C-F1001F94046C}">
      <text>
        <r>
          <rPr>
            <sz val="9"/>
            <color indexed="81"/>
            <rFont val="Tahoma"/>
            <family val="2"/>
          </rPr>
          <t xml:space="preserve">Kátia: Serviço  de limpeza 1x sem (3ª feira  as  10h)
Valor: R$ 323,57
Inicio: 08/05/2024
DVP: 001/393/24
FN: 13/05/2024
</t>
        </r>
      </text>
    </comment>
    <comment ref="A19" authorId="0" shapeId="0" xr:uid="{11E8005A-22EC-47C4-B8B7-CA93A54EB810}">
      <text>
        <r>
          <rPr>
            <sz val="9"/>
            <color indexed="81"/>
            <rFont val="Tahoma"/>
            <family val="2"/>
          </rPr>
          <t xml:space="preserve">Gabriela:A partir de Março/2021 aumento de contrato para limp 03x + 2 retornos.
Valor: R$  1.612,68
DVP: 024/ 114/21
FN: 25/02/21
Lorena: Serviço  de limpeza 3x vezes por semana.
Valor: R$ 1.144,50
Inicio: 09/11/2019
DVP: 024/778/2019
FN: 11/11/2019
</t>
        </r>
      </text>
    </comment>
    <comment ref="A20" authorId="0" shapeId="0" xr:uid="{2018B025-4C55-4EDE-BD97-8A66F0525202}">
      <text>
        <r>
          <rPr>
            <sz val="9"/>
            <color indexed="81"/>
            <rFont val="Tahoma"/>
            <family val="2"/>
          </rPr>
          <t xml:space="preserve">Kátia: A partir de 02/12/2024 o contrato passou as ser: Prestação de Serviço de limpeza 5x/sem - 2h.
Vaor: R$ 2.523,93
DVP: 024/878/24
FN: 02/12/2024
Kátia: A partir de 01/08/2023 Altera-se o CNPJ do Cliente para 53.100.095/0002-62 e deixa ser o CNPJ do Cód. 000383.
Vaor: R$ 1.076,79
FN: 30/07/2024
Kátia: A partir de 05/05/2022 o contrato passou as ser: Prestação de Serviço de limpeza 3x/sem.
Vaor: R$ 927,60
DVP: 024.300.22
FN: 01/06/2022
Gabriela: Prestação de Serviço de limpeza 2x/sem.
Vaor: R$ 520,57
Início: 24/05/2021
DVP: 023.270.21
FN: 19/05/2021
</t>
        </r>
      </text>
    </comment>
    <comment ref="M20" authorId="0" shapeId="0" xr:uid="{AB38D26F-B052-40BC-89E2-A5FA87FC3128}">
      <text>
        <r>
          <rPr>
            <sz val="9"/>
            <color indexed="81"/>
            <rFont val="Tahoma"/>
            <family val="2"/>
          </rPr>
          <t xml:space="preserve">Kátia: Sistema da Sefaz DF, não permite retenção de ISS quando o cliente não tem inscrição no DF.
</t>
        </r>
      </text>
    </comment>
    <comment ref="A21" authorId="0" shapeId="0" xr:uid="{59EA21F4-E313-4E9E-9EAA-75B4E01235D9}">
      <text>
        <r>
          <rPr>
            <sz val="9"/>
            <color indexed="81"/>
            <rFont val="Tahoma"/>
            <family val="2"/>
          </rPr>
          <t>Kátia: A partir de 02/03/2024 aumento de contrato para uma espaço maior e troca de endereço, o serviço passa a ser prestado no SHS  Qd 06 Conj A Bl E Sl. 812/813 Asa Sul Brasilia DF CEP: 70322-915.  3x + 2 retornos.
Novo Valor: R$ 1.300,00
DVP: 024.214.24 – valor renegociado com o cliente
FN: 04/04/2024.
Carina: A partir de 01/10/2017 troca de endereço, o serviço passa a ser prestado na sala 801 do Bloco E.
Valor: R$ 591,37
Inicio: 01/10/2017
DVP: 024/632/2017.
FN: 20/09/2017.
financeiro:
Serviço de Limpeza 5xsemana nas salas 805/806.
DVP 005/535/2013
Início: 30/10/2013
Valor: R$ 765,85
FN: 30/10/2013</t>
        </r>
      </text>
    </comment>
    <comment ref="M21" authorId="0" shapeId="0" xr:uid="{57EF4D0F-C79E-45DB-9D80-249F37700EC7}">
      <text>
        <r>
          <rPr>
            <sz val="9"/>
            <color indexed="81"/>
            <rFont val="Tahoma"/>
            <family val="2"/>
          </rPr>
          <t xml:space="preserve">Kátia: Sistema da Sefaz DF, não permite retenção de ISS quando o cliente não tem inscrição no DF.
</t>
        </r>
      </text>
    </comment>
    <comment ref="A22" authorId="0" shapeId="0" xr:uid="{16DACAC2-3C32-48A0-B75D-777AC807ED43}">
      <text>
        <r>
          <rPr>
            <sz val="9"/>
            <color indexed="81"/>
            <rFont val="Tahoma"/>
            <family val="2"/>
          </rPr>
          <t xml:space="preserve">Kátia: Serviço de Limpeza Avulsa, realizado no dia 15/08/2025.
Valor: R$ 846,30
DVP: 024/651/25
FN: 29/07/2025
</t>
        </r>
      </text>
    </comment>
    <comment ref="A23" authorId="0" shapeId="0" xr:uid="{0D99F9E8-5D00-4F50-8159-F22414D17217}">
      <text>
        <r>
          <rPr>
            <sz val="9"/>
            <color indexed="81"/>
            <rFont val="Tahoma"/>
            <family val="2"/>
          </rPr>
          <t xml:space="preserve">Kátia: A partir de 28/08/2023 os serviços passam a ser 5x semana (6h/dia).
Valor: R$ 4.269,70
DVP: 024/371/23 
FN: 28/08/2023
Kátia: Serviço de Limpeza 5x semana (4h/dia).
Valor: R$ 2.968,24 
Inicio: 05/12/2022
DVP: 001/738/22  
FN: 28/11/2022
</t>
        </r>
      </text>
    </comment>
    <comment ref="A24" authorId="0" shapeId="0" xr:uid="{5A854F90-22C2-4578-A39B-90AD094FEA94}">
      <text>
        <r>
          <rPr>
            <sz val="9"/>
            <color indexed="81"/>
            <rFont val="Tahoma"/>
            <family val="2"/>
          </rPr>
          <t xml:space="preserve">Kátia: Serviço de Limpeza 1x semana.
Valor: R$435,50
Inicio: 03/09/2022
DVP: 024/567/22  
FN: 29/08/2022
</t>
        </r>
      </text>
    </comment>
    <comment ref="A25" authorId="0" shapeId="0" xr:uid="{C8E2BE98-9023-4116-AFE7-1E088FD0C045}">
      <text>
        <r>
          <rPr>
            <sz val="9"/>
            <color indexed="81"/>
            <rFont val="Tahoma"/>
            <family val="2"/>
          </rPr>
          <t>Kátia: Renegociação do valor do contrato com o cliente.
Novo Valor: R$ 1.040,17
Inicio: 01/04/2023
DVP: Não teve
FN: 04/04/2023 
Carina: Renegociação com o cliente.
Valor: R$ 917,51
Inicio: 01/02/2019
DVP: 024/069/2019
FN: 31/01/2019 
Lorena: A partir de Mar/16 serviço passa a ser prestado 5x/sem, em novo formato. 
Valor: R$ 1.020,23
Inicio: 01/03/2016
DVP: 024/118/16
FN: 24/02/2016
- Andreza -
A partir de 17/11/10, serviço de limpeza 5x semana, das 8 às 10 h de segunda a sexta.
DVP 05/1084/10
r$ 595,00</t>
        </r>
      </text>
    </comment>
    <comment ref="M25" authorId="0" shapeId="0" xr:uid="{94D5EF98-893D-45A7-A665-96F40F7CC7E7}">
      <text>
        <r>
          <rPr>
            <sz val="9"/>
            <color indexed="81"/>
            <rFont val="Tahoma"/>
            <family val="2"/>
          </rPr>
          <t xml:space="preserve">Kátia: Sistema da Sefaz DF, não permite retenção de ISS quando o cliente não tem inscrição no DF.
</t>
        </r>
      </text>
    </comment>
    <comment ref="A26" authorId="0" shapeId="0" xr:uid="{6F1D5313-74F3-4A60-BF7C-677F6BA5D96B}">
      <text>
        <r>
          <rPr>
            <sz val="9"/>
            <color indexed="81"/>
            <rFont val="Tahoma"/>
            <family val="2"/>
          </rPr>
          <t xml:space="preserve">Kátia: Serviço de Limpeza 2x semana
Valor: R$ 642,24
Inicio: 01/06/2022
DVP: 024/278/2022 (Op. B)
FN: 29/05/2022
</t>
        </r>
      </text>
    </comment>
    <comment ref="M26" authorId="0" shapeId="0" xr:uid="{CA6960F6-013A-424C-83DC-9A914A79B1B3}">
      <text>
        <r>
          <rPr>
            <sz val="9"/>
            <color indexed="81"/>
            <rFont val="Tahoma"/>
            <family val="2"/>
          </rPr>
          <t xml:space="preserve">Kátia: Sistema da Sefaz DF, não permite retenção de ISS quando o cliente não tem inscrição no DF.
</t>
        </r>
      </text>
    </comment>
    <comment ref="A27" authorId="0" shapeId="0" xr:uid="{8F1AC3B7-CBC6-4B89-8628-9C0DB67E364C}">
      <text>
        <r>
          <rPr>
            <sz val="9"/>
            <color indexed="81"/>
            <rFont val="Tahoma"/>
            <family val="2"/>
          </rPr>
          <t xml:space="preserve">Gabriela: Serviço de limpeza 1 asg 4h x 5xsemana.
Valor: R$ 2.542,87 
DVP: 001/831/2020
FN: 01/12/2020
</t>
        </r>
      </text>
    </comment>
    <comment ref="M27" authorId="0" shapeId="0" xr:uid="{FCE1536E-42EE-4DAF-86AA-6010048A0923}">
      <text>
        <r>
          <rPr>
            <sz val="9"/>
            <color indexed="81"/>
            <rFont val="Tahoma"/>
            <family val="2"/>
          </rPr>
          <t xml:space="preserve">Kátia: Sistema da Sefaz DF, não permite retenção de ISS quando o cliente não tem inscrição no DF.
</t>
        </r>
      </text>
    </comment>
    <comment ref="A28" authorId="0" shapeId="0" xr:uid="{5C79E031-849E-4A43-87FB-BE2BCBCC3999}">
      <text>
        <r>
          <rPr>
            <sz val="9"/>
            <color indexed="81"/>
            <rFont val="Tahoma"/>
            <family val="2"/>
          </rPr>
          <t xml:space="preserve">Gabriela: A partir de 02/05/23 aumento de contrato para 3x/se.
Valor: R$ 1.544,74
DVP: 024/439/23
FN: 08/05/23
Kátia: A partir do dia 18/04/2022 o contrato aumento para 2x semana.
Novo Valor: R$ 1.015,36
Data da Alteração: 18/04/2022
DVP: 024.178.22
FN: 02/05/2022
FINANCEIRO:
Serviço de conservação e limpeza 3x semana com retorno 2x para banheiro, sala 412.R$673,16. DVP:005/380/2011.
</t>
        </r>
      </text>
    </comment>
    <comment ref="H28" authorId="0" shapeId="0" xr:uid="{208F7202-6ED5-4369-B2FD-1246AEA01E96}">
      <text>
        <r>
          <rPr>
            <sz val="9"/>
            <color indexed="81"/>
            <rFont val="Tahoma"/>
            <family val="2"/>
          </rPr>
          <t>Kátia:
Diferença de Janeiro, Fevereiro e Março/2025.</t>
        </r>
      </text>
    </comment>
    <comment ref="A29" authorId="0" shapeId="0" xr:uid="{682FBCDB-081D-4652-812D-FD4D4240CF34}">
      <text>
        <r>
          <rPr>
            <sz val="9"/>
            <color indexed="81"/>
            <rFont val="Tahoma"/>
            <family val="2"/>
          </rPr>
          <t xml:space="preserve">Gabriela: Serviço de limpeza 3x/sem.
Valor: R$ 980,00
Inicio: 04/11/2024
DVP: 001/837/24
FN: 25/11/24
</t>
        </r>
      </text>
    </comment>
    <comment ref="A30" authorId="0" shapeId="0" xr:uid="{EE5188F1-1503-489C-9152-5A138FB8C5D7}">
      <text>
        <r>
          <rPr>
            <sz val="9"/>
            <color indexed="81"/>
            <rFont val="Tahoma"/>
            <family val="2"/>
          </rPr>
          <t xml:space="preserve">Kátia: Serviço de Limpeza 5x semana
Valor: R$ 2.316,38
Inicio: 02/06/2025
DVP: 024/472/2025
FN: 03/06/2025
</t>
        </r>
      </text>
    </comment>
    <comment ref="A31" authorId="0" shapeId="0" xr:uid="{85B2507A-C540-4359-9AC3-F5BDCC41727C}">
      <text>
        <r>
          <rPr>
            <sz val="9"/>
            <color indexed="81"/>
            <rFont val="Tahoma"/>
            <family val="2"/>
          </rPr>
          <t xml:space="preserve">Kátia: Serviço de limpeza 1x/sem. 
Valor: R$ 450,00
Inicio: 25/06/2025
DVP: 001/582/25
FN: 25/06/25
</t>
        </r>
      </text>
    </comment>
    <comment ref="A32" authorId="0" shapeId="0" xr:uid="{F5167DB9-8402-4CB6-91EF-0A1C7CBFB329}">
      <text>
        <r>
          <rPr>
            <sz val="9"/>
            <color indexed="81"/>
            <rFont val="Tahoma"/>
            <family val="2"/>
          </rPr>
          <t xml:space="preserve">Kátia: Serviço de Limpeza 1x semana
Valor: R$ 348,84
Inicio: 19/05/2023
DVP: 023/464/23
FN: 15/05/2023
</t>
        </r>
      </text>
    </comment>
    <comment ref="A33" authorId="0" shapeId="0" xr:uid="{94FF787F-BFA4-4635-BCBC-DE3711EC6472}">
      <text>
        <r>
          <rPr>
            <sz val="9"/>
            <color indexed="81"/>
            <rFont val="Tahoma"/>
            <family val="2"/>
          </rPr>
          <t>Kátia: A partir de 17/04/2025 acrescentou ao presente contrato a limpeza da sala 527 - 1x por semana (R$ 395,18).
Novo Valor do Contrato: R$ 2.673,91
DVP: 024/289/25
FN: 17/04/2025
Kátia: A partir de Abril/2023 houve a Alteração no CNPJ/ Razão social de:  Gennari e Madruga Relações Governamentais Ltda Epp (- Cód. 166) para: Edelman do Brasil Consultoria e Comunicação Ltda;
FN: 30/03/2023
Kátia: A partir de 01/09/2022 houve aumento no contrato e os serviços passam a ser 5x semana.
Novo Valor: R$ 1.826,13
Início: 01/09/2022
DVP: 024/528/22
FN: 01/09/22
Gabriela: Serviço de limpeza 3X/SEM.
Valor: R$ 1.166,44
Início: 07/04/2021
DVP: 024/144/2021  
FN: 06/04/21</t>
        </r>
      </text>
    </comment>
    <comment ref="B33" authorId="0" shapeId="0" xr:uid="{76C14A27-7DC7-4665-8644-CCEA5AEA5171}">
      <text>
        <r>
          <rPr>
            <sz val="9"/>
            <color indexed="81"/>
            <rFont val="Tahoma"/>
            <family val="2"/>
          </rPr>
          <t>Kátia: Numero de pedido válido para todo o ano de 2025.</t>
        </r>
      </text>
    </comment>
    <comment ref="M33" authorId="0" shapeId="0" xr:uid="{4F551C41-88DD-4350-908A-061BEF67CBD3}">
      <text>
        <r>
          <rPr>
            <sz val="9"/>
            <color indexed="81"/>
            <rFont val="Tahoma"/>
            <family val="2"/>
          </rPr>
          <t xml:space="preserve">Kátia: Sistema da Sefaz DF, não permite retenção de ISS quando o cliente não tem inscrição no DF.
</t>
        </r>
      </text>
    </comment>
    <comment ref="A34" authorId="0" shapeId="0" xr:uid="{78AC3608-8533-4606-9A5C-1B07132838A5}">
      <text>
        <r>
          <rPr>
            <sz val="9"/>
            <color indexed="81"/>
            <rFont val="Tahoma"/>
            <family val="2"/>
          </rPr>
          <t>Kátia: A partir de 17/04/2025 acrescentou ao presente contrato a limpeza da sala 527 - 1x por semana (R$ 395,18).
Novo Valor do Contrato: R$ 2.673,91
DVP: 024/289/25
FN: 17/04/2025
Kátia: A partir de Abril/2023 houve a Alteração no CNPJ/ Razão social de:  Gennari e Madruga Relações Governamentais Ltda Epp (- Cód. 166) para: Edelman do Brasil Consultoria e Comunicação Ltda;
FN: 30/03/2023
Kátia: A partir de 01/09/2022 houve aumento no contrato e os serviços passam a ser 5x semana.
Novo Valor: R$ 1.826,13
Início: 01/09/2022
DVP: 024/528/22
FN: 01/09/22
Gabriela: Serviço de limpeza 3X/SEM.
Valor: R$ 1.166,44
Início: 07/04/2021
DVP: 024/144/2021  
FN: 06/04/21</t>
        </r>
      </text>
    </comment>
    <comment ref="B34" authorId="0" shapeId="0" xr:uid="{6C009C12-B02C-4FCB-B5E1-7388C034D0D6}">
      <text>
        <r>
          <rPr>
            <sz val="9"/>
            <color indexed="81"/>
            <rFont val="Tahoma"/>
            <family val="2"/>
          </rPr>
          <t>Kátia: Numero de pedido válido para todo o ano de 2025.</t>
        </r>
      </text>
    </comment>
    <comment ref="M34" authorId="0" shapeId="0" xr:uid="{2F5BC9DB-3ED1-41FF-B65F-94CC6181476E}">
      <text>
        <r>
          <rPr>
            <sz val="9"/>
            <color indexed="81"/>
            <rFont val="Tahoma"/>
            <family val="2"/>
          </rPr>
          <t xml:space="preserve">Kátia: Sistema da Sefaz DF, não permite retenção de ISS quando o cliente não tem inscrição no DF.
</t>
        </r>
      </text>
    </comment>
    <comment ref="A35" authorId="0" shapeId="0" xr:uid="{D93AFE0A-1300-4257-BDF7-A4183B0B2D97}">
      <text>
        <r>
          <rPr>
            <sz val="9"/>
            <color indexed="81"/>
            <rFont val="Tahoma"/>
            <family val="2"/>
          </rPr>
          <t>Kátia: Serviço de Limpeza 1x semana.
Valor: R$ 456,98
Início: 21/11/2023
DVP: 024/981/23
FN: 20/11/23</t>
        </r>
      </text>
    </comment>
    <comment ref="A36" authorId="0" shapeId="0" xr:uid="{D91816D8-976A-4B8B-B3DB-CEE7C252FD1F}">
      <text>
        <r>
          <rPr>
            <sz val="9"/>
            <color indexed="81"/>
            <rFont val="Tahoma"/>
            <family val="2"/>
          </rPr>
          <t>Kátia: Serviço de Limpeza 15x 15 dias.
Valor: R$ 199,00
Início: 23/03/2023
DVP: 024/294/23
FN: 30/03/23</t>
        </r>
      </text>
    </comment>
    <comment ref="A37" authorId="0" shapeId="0" xr:uid="{78D34523-4898-45C7-B5B1-B0785206754E}">
      <text>
        <r>
          <rPr>
            <sz val="9"/>
            <color indexed="81"/>
            <rFont val="Tahoma"/>
            <family val="2"/>
          </rPr>
          <t>Kátia: Serviço de Limpeza1 1x/sem.
Valor: R$ 484,25
Início: 05/08/2023
DVP: 024/599/23
FN: 28/08/2023</t>
        </r>
      </text>
    </comment>
    <comment ref="A38" authorId="0" shapeId="0" xr:uid="{7B79216A-6158-45E1-8CFC-9CDC5FE59AEC}">
      <text>
        <r>
          <rPr>
            <sz val="9"/>
            <color indexed="81"/>
            <rFont val="Tahoma"/>
            <family val="2"/>
          </rPr>
          <t>Gabriela: A patir de Janeiro/21 redução do contrato, ficou só a sala 1116
Redução de área – 2x por semana.
Valor: R$ 350,04
DVP: 024/890/20
FN: 29.12.20
Carina:  Em 15/09/2017 cliente solicitou alteração do endereço para prestação do serviço.
Mudança para a sala 1114, 1115 e 1116 do Bloco C.
E-mail cliente: 15/09/2017.
financeiro:
Serviço de Limpeza 2xsemana nas salas 1010 e 1011.
DVP: 005/625/2013
Início: 17/10/2013
Valor: 450,00
FN: 17/10/2013</t>
        </r>
      </text>
    </comment>
    <comment ref="A39" authorId="0" shapeId="0" xr:uid="{510A22B2-9559-44DD-933C-56E1815E0D71}">
      <text>
        <r>
          <rPr>
            <sz val="9"/>
            <color indexed="81"/>
            <rFont val="Tahoma"/>
            <family val="2"/>
          </rPr>
          <t>Kátia: A partir de 01/11/2024 os serviços de Limpeza passam a ser prestado 2x semana.
Novo Valor: R$ 775,85
DVP: 024/898/24
FN: 31/10/24
Kátia: Serviço de Limpeza 1x/sem.
Valor: R$ 397,64
Início: 19/08/2024
DVP: 001/695/24
FN: 02/09/2024</t>
        </r>
      </text>
    </comment>
    <comment ref="A40" authorId="0" shapeId="0" xr:uid="{82BFAAC1-A469-47B7-8BFD-4270ABAA9539}">
      <text>
        <r>
          <rPr>
            <sz val="9"/>
            <color indexed="81"/>
            <rFont val="Tahoma"/>
            <family val="2"/>
          </rPr>
          <t xml:space="preserve">Kátia: Serviço de Limpeza 5x semana
Valor: R$ 682,55 
Inicio: 28/02/2025
DVP: 024/104/25
FN: 28/02/2025
</t>
        </r>
      </text>
    </comment>
    <comment ref="A41" authorId="0" shapeId="0" xr:uid="{DEBF4C73-FB5B-4B61-9891-1E220F7C541B}">
      <text>
        <r>
          <rPr>
            <sz val="9"/>
            <color indexed="81"/>
            <rFont val="Tahoma"/>
            <family val="2"/>
          </rPr>
          <t xml:space="preserve">Kátia: Serviço de Limpeza 1x semana
Valor: R$ 306,02
Inicio: 06/09/2021
DVP: 024/665/2021
FN: 06/09/2021
</t>
        </r>
      </text>
    </comment>
    <comment ref="A42" authorId="0" shapeId="0" xr:uid="{C5B8DBE3-7924-4AC5-8884-DB20099ADE5E}">
      <text>
        <r>
          <rPr>
            <sz val="9"/>
            <color indexed="81"/>
            <rFont val="Tahoma"/>
            <family val="2"/>
          </rPr>
          <t xml:space="preserve">Lorena: A partir de Jun/2019 aumento de contrato devido mudança de sala. Serviço de limpeza 3x/sem. 
Valor: R$ 1.116,97
Inicio: 10/06/2019
DVP: 024/365/2019
FN: 03/06/2019
Carina: A partir de Novembro/18 alteração do CNPJ e Razão Social.
Antiga Razão social: Ingram Micro Brasil Ltda
E-mail cliente: 05/11/2018
Carina: A partir de Outubro/18 alteração do CNPJ e Razão Social.
Antiga Razão social: Ingram Micro Informatica Ltda
FN: 24/08/2018
Lorena: A partir de Ago/17 alteração da razão social de Ação Informática Brasil Ltda para Ingram Micro Informatica Ltda. 
FN: 28/07/2017
Lorena: A partir de 28/04/2014 serviço passa a ser prestado 3x/sem. 
Valor: R$ 577,17
DVP: 005/192/2014
FN: 28/04/2014
- Andreza -
Serviço de limpeza 2x semana. R$ 266,95. DVP 005/249/2009: 2xsem
</t>
        </r>
      </text>
    </comment>
    <comment ref="M42" authorId="0" shapeId="0" xr:uid="{359A402F-7C7F-4FC7-8C21-F47594971DBD}">
      <text>
        <r>
          <rPr>
            <sz val="9"/>
            <color indexed="81"/>
            <rFont val="Tahoma"/>
            <family val="2"/>
          </rPr>
          <t xml:space="preserve">Kátia: Sistema da Sefaz DF, não permite retenção de ISS quando o cliente não tem inscrição no DF.
</t>
        </r>
      </text>
    </comment>
    <comment ref="A43" authorId="0" shapeId="0" xr:uid="{1594CA62-A01A-4857-B85B-FEA62E019E20}">
      <text>
        <r>
          <rPr>
            <sz val="9"/>
            <color indexed="81"/>
            <rFont val="Tahoma"/>
            <family val="2"/>
          </rPr>
          <t>Gabriela: Serviço de limpeza 1x/sem.
Valor: R$ 264,85
Inicio: 06/08/2021
DVP: 001/419/21
FN: 10.08.21</t>
        </r>
      </text>
    </comment>
    <comment ref="A44" authorId="0" shapeId="0" xr:uid="{54591E7F-7070-486D-A09D-604243DD2456}">
      <text>
        <r>
          <rPr>
            <sz val="9"/>
            <color indexed="81"/>
            <rFont val="Tahoma"/>
            <family val="2"/>
          </rPr>
          <t xml:space="preserve">Lorena: Serviço de limpeza 3x/sem. 
Valor: R$ 500,00
Inicio: 16/10/2019
DVP: 024/644/2019
FN: 18/10/2019
</t>
        </r>
      </text>
    </comment>
    <comment ref="A45" authorId="0" shapeId="0" xr:uid="{28028B2D-FFE3-4025-8887-2E7E2FD2A26A}">
      <text>
        <r>
          <rPr>
            <sz val="9"/>
            <color indexed="81"/>
            <rFont val="Tahoma"/>
            <family val="2"/>
          </rPr>
          <t xml:space="preserve">Kátia: Serviço de limpeza 1x/sem. 
Valor: R$ 457,94
Inicio: 12/07/2023
DVP: 024/650/23
FN: 21/07/2023
</t>
        </r>
      </text>
    </comment>
    <comment ref="A46" authorId="0" shapeId="0" xr:uid="{5CDF4C94-F876-4FC9-94F4-51AD88F69EC2}">
      <text>
        <r>
          <rPr>
            <sz val="9"/>
            <color indexed="81"/>
            <rFont val="Tahoma"/>
            <family val="2"/>
          </rPr>
          <t xml:space="preserve">Carina: Serviço de limpeza quinzenal.
Valor: R$ 170,00
Inicio: 03/07/2018
DVP: 023/429/2018
FN: 02/07/2018
</t>
        </r>
      </text>
    </comment>
    <comment ref="A47" authorId="0" shapeId="0" xr:uid="{DA317D49-9CB2-4B41-BE48-2155FA9030D0}">
      <text>
        <r>
          <rPr>
            <sz val="9"/>
            <color indexed="81"/>
            <rFont val="Tahoma"/>
            <family val="2"/>
          </rPr>
          <t>Kátia: Serviço de Limpeza 2x/sem.
Valor: R$ 677,22
Início: 07/08/2023
DVP: 024/459/23
FN: 30/08/2023</t>
        </r>
      </text>
    </comment>
    <comment ref="A48" authorId="0" shapeId="0" xr:uid="{D2F45691-072B-42EC-AD94-050AF97B134E}">
      <text>
        <r>
          <rPr>
            <sz val="9"/>
            <color indexed="81"/>
            <rFont val="Tahoma"/>
            <family val="2"/>
          </rPr>
          <t xml:space="preserve">Gabriela: Serviço de limpeza 6x/sem.
Valor: R$ 410,92
Inicio: 24/04/2023  
DVP: 024/381/23
FN: 27/04/23.
</t>
        </r>
      </text>
    </comment>
    <comment ref="K48" authorId="1" shapeId="0" xr:uid="{C98D0E2A-4421-435A-A046-8F83C2D1F953}">
      <text>
        <r>
          <rPr>
            <b/>
            <sz val="9"/>
            <color indexed="81"/>
            <rFont val="Tahoma"/>
            <family val="2"/>
          </rPr>
          <t xml:space="preserve">Kátia: </t>
        </r>
        <r>
          <rPr>
            <sz val="9"/>
            <color indexed="81"/>
            <rFont val="Tahoma"/>
            <family val="2"/>
          </rPr>
          <t xml:space="preserve">Cliente solicitou que não tenha retenção no contrato.
FN: 12/03/2024.
</t>
        </r>
      </text>
    </comment>
    <comment ref="M48" authorId="0" shapeId="0" xr:uid="{01BBDF72-B5BB-4358-B8E4-33A16454708A}">
      <text>
        <r>
          <rPr>
            <sz val="9"/>
            <color indexed="81"/>
            <rFont val="Tahoma"/>
            <family val="2"/>
          </rPr>
          <t xml:space="preserve">Kátia: Sistema da Sefaz DF, não permite retenção de ISS quando o cliente não tem inscrição no DF.
</t>
        </r>
      </text>
    </comment>
    <comment ref="A49" authorId="0" shapeId="0" xr:uid="{BE8943C8-7771-4322-AA4E-161D0D67D415}">
      <text>
        <r>
          <rPr>
            <sz val="9"/>
            <color indexed="81"/>
            <rFont val="Tahoma"/>
            <family val="2"/>
          </rPr>
          <t xml:space="preserve">Kátia: Serviço de limpeza quinzenal.
Valor: R$288,21
Inicio: 08/07/2025
DVP: 001/608 /25     (Opção: A - Valor R$ 288,21)
FN: 30/07/2025
</t>
        </r>
      </text>
    </comment>
    <comment ref="I49" authorId="1" shapeId="0" xr:uid="{76A76189-A7F4-4AEF-9E9A-BEC24BC27966}">
      <text>
        <r>
          <rPr>
            <sz val="9"/>
            <color indexed="81"/>
            <rFont val="Segoe UI"/>
            <charset val="1"/>
          </rPr>
          <t xml:space="preserve">Kátia: Acréscimo do Valor proporcional a Julho/2025.
FN: 30/07/2025
</t>
        </r>
      </text>
    </comment>
    <comment ref="A50" authorId="0" shapeId="0" xr:uid="{AE3CC285-8415-4C52-930D-830A1B0FB9A7}">
      <text>
        <r>
          <rPr>
            <sz val="9"/>
            <color indexed="81"/>
            <rFont val="Tahoma"/>
            <family val="2"/>
          </rPr>
          <t xml:space="preserve">Daniele:
A partir de 01/02/2013, os serviços passam de 2x para 3xsemana. 
Novo valor R$ 498,46
DVP 005/112/2013
</t>
        </r>
      </text>
    </comment>
    <comment ref="C50" authorId="2" shapeId="0" xr:uid="{C8F24513-B0A5-4331-94AA-E1DACFB3A804}">
      <text>
        <r>
          <rPr>
            <b/>
            <sz val="9"/>
            <color indexed="81"/>
            <rFont val="Segoe UI"/>
            <charset val="1"/>
          </rPr>
          <t>NF 2361
RPS 2360</t>
        </r>
        <r>
          <rPr>
            <sz val="9"/>
            <color indexed="81"/>
            <rFont val="Segoe UI"/>
            <charset val="1"/>
          </rPr>
          <t xml:space="preserve">
</t>
        </r>
      </text>
    </comment>
    <comment ref="A51" authorId="3" shapeId="0" xr:uid="{38A67435-EDA9-4FB2-8050-E2CDA8DAEEA2}">
      <text>
        <r>
          <rPr>
            <b/>
            <sz val="9"/>
            <color indexed="81"/>
            <rFont val="Segoe UI"/>
            <family val="2"/>
          </rPr>
          <t xml:space="preserve">Kátia: </t>
        </r>
        <r>
          <rPr>
            <sz val="9"/>
            <color indexed="81"/>
            <rFont val="Segoe UI"/>
            <family val="2"/>
          </rPr>
          <t>Serviço de limpeza avulsa na na modalidade Airbnb, nos dias 28/07/25 e 04/08/25.
Valor: R$ 303,90
(607,78 : 4 limpezas por mês = 151,95 x 2 = 303,90)
FN: 30/07/25</t>
        </r>
      </text>
    </comment>
    <comment ref="C51" authorId="2" shapeId="0" xr:uid="{D7E3AD86-9A83-413A-94A8-62385C502597}">
      <text>
        <r>
          <rPr>
            <b/>
            <sz val="9"/>
            <color indexed="81"/>
            <rFont val="Segoe UI"/>
            <charset val="1"/>
          </rPr>
          <t>NF 2360
RPS 2361</t>
        </r>
        <r>
          <rPr>
            <sz val="9"/>
            <color indexed="81"/>
            <rFont val="Segoe UI"/>
            <charset val="1"/>
          </rPr>
          <t xml:space="preserve">
</t>
        </r>
      </text>
    </comment>
    <comment ref="A52" authorId="0" shapeId="0" xr:uid="{EF0FC853-7A36-4111-A07D-0033CEE768F6}">
      <text>
        <r>
          <rPr>
            <sz val="9"/>
            <color indexed="81"/>
            <rFont val="Tahoma"/>
            <family val="2"/>
          </rPr>
          <t xml:space="preserve">Lorena: Serviço de limpeza 1x/sem.
Valor: R$ 269,40
Inicio: 06/03/2020
DVP: 024/148/2020
</t>
        </r>
      </text>
    </comment>
    <comment ref="A53" authorId="0" shapeId="0" xr:uid="{F566AAB5-F68D-4DF0-81CA-990A76B8EB8A}">
      <text>
        <r>
          <rPr>
            <sz val="9"/>
            <color indexed="81"/>
            <rFont val="Tahoma"/>
            <family val="2"/>
          </rPr>
          <t xml:space="preserve">Gabriela: Serviço de limpeza 1x/sem.
Valor: R$ 264,85 
Inicio: 16/08/2021 
DVP: 024/440/2021
FN: 25/08/21
</t>
        </r>
      </text>
    </comment>
    <comment ref="A54" authorId="0" shapeId="0" xr:uid="{817F5E84-A9DB-4029-A3D1-F166E6EE828E}">
      <text>
        <r>
          <rPr>
            <sz val="9"/>
            <color indexed="81"/>
            <rFont val="Tahoma"/>
            <family val="2"/>
          </rPr>
          <t>Gabriela: Mudança de razão social a partir de Setembro/2021, para Metafisicos Clinica De Estetica Eireli.
FN: Informação passada por Camila via wpp, em 04/06/2021
Gabriela: Redução de frequência de 2x p 1x sem
Valor: R$ 655,00
Início: 01/11/2020
FN: 28/10/2020
Carina: A partir de Janeiro/2019 alteração da limpeza para 2x semana.
Valor: R$ 897,19
Inicio: 01/01/2019
DVP: Não teve
FN: 08/01/2019
Lorena: Serviço de limpeza 3x/sem na sua unidade residencial. 
Valor: R$ 1.237,62
Inicio: 06/06/2017
DVP: 024/391/2017
FN: 03/07/2017
n</t>
        </r>
      </text>
    </comment>
    <comment ref="A55" authorId="0" shapeId="0" xr:uid="{3B1BCD03-3E5B-4743-98EA-24BA3638A28E}">
      <text>
        <r>
          <rPr>
            <sz val="9"/>
            <color indexed="81"/>
            <rFont val="Tahoma"/>
            <family val="2"/>
          </rPr>
          <t>Kátia: Serviço de Limpeza 1 x Semana.
Valor: R$ 486,39
Inicio: 14/08/2023
DVP: 024/548/23
FN: 07/08/2023</t>
        </r>
      </text>
    </comment>
    <comment ref="A56" authorId="0" shapeId="0" xr:uid="{508DB552-3E0A-44FE-973A-51DB5C1BD1B5}">
      <text>
        <r>
          <rPr>
            <sz val="9"/>
            <color indexed="81"/>
            <rFont val="Tahoma"/>
            <family val="2"/>
          </rPr>
          <t xml:space="preserve">Carina: Serviço de limpeza 1x/sem.
Valor: R$ 227,44
Inicio: 18/09/2017
DVP: 005/548/2017
FN: 18/09/2017
</t>
        </r>
      </text>
    </comment>
    <comment ref="M56" authorId="0" shapeId="0" xr:uid="{71989751-0C86-4C0F-80D0-BFEDE782B49F}">
      <text>
        <r>
          <rPr>
            <sz val="9"/>
            <color indexed="81"/>
            <rFont val="Tahoma"/>
            <family val="2"/>
          </rPr>
          <t xml:space="preserve">Kátia: Sistema da Sefaz DF, não permite retenção de ISS quando o cliente não tem inscrição no DF.
</t>
        </r>
      </text>
    </comment>
    <comment ref="A57" authorId="0" shapeId="0" xr:uid="{BEC67FE1-936B-42AD-BFE3-31DF7E7B0D72}">
      <text>
        <r>
          <rPr>
            <sz val="9"/>
            <color indexed="81"/>
            <rFont val="Tahoma"/>
            <family val="2"/>
          </rPr>
          <t>Kátia: Serviço de Limpeza 1 x Semana.
Valor: R$ 619,83
Inicio: 10/07/2023
DVP: 024/587/23 - (Mais Laser)
FN: 28/07/2023</t>
        </r>
      </text>
    </comment>
    <comment ref="A58" authorId="0" shapeId="0" xr:uid="{10A11059-5595-47DE-811A-D4177F40B1ED}">
      <text>
        <r>
          <rPr>
            <sz val="9"/>
            <color indexed="81"/>
            <rFont val="Tahoma"/>
            <family val="2"/>
          </rPr>
          <t>Kátia: Serviço de Limpeza 1 x Semana.
Valor: R$ 453,69
Inicio: 31/07/2023
DVP: 024/690/23
FN: 07/08/2023</t>
        </r>
      </text>
    </comment>
    <comment ref="A59" authorId="0" shapeId="0" xr:uid="{3F517C7B-01E0-47FC-A6B8-483F4FFBDB5C}">
      <text>
        <r>
          <rPr>
            <sz val="9"/>
            <color indexed="81"/>
            <rFont val="Tahoma"/>
            <family val="2"/>
          </rPr>
          <t>Kátia: Serviço de Limpeza 1 x Semana.
Valor: R$ 396,65
Inicio: 08/04/2025
DVP: 024/278/25
FN: 17/04/2025</t>
        </r>
      </text>
    </comment>
    <comment ref="A60" authorId="0" shapeId="0" xr:uid="{BFD202E1-A326-4B45-8375-619DBF468F46}">
      <text>
        <r>
          <rPr>
            <sz val="9"/>
            <color indexed="81"/>
            <rFont val="Tahoma"/>
            <family val="2"/>
          </rPr>
          <t xml:space="preserve">Kátia: A partir de 01/02/2024 altera-se a razão social e cnpj que passa a ser Mundial Investimentos Assessoria De Investimentos S/S Ltda  - CNPJ 58.278.727/0001-15 e deixa de ser Renova Invest Agentes Autonomos de Invenstimentos Ltda - CNPJ 19.419.958/0007-35 - cód. 353).
FN: 03/02/2025
Kátia: A partir de 01/06/2023 altera-se a razão social e cnpj que passa a ser Renova Invest Agentes Autonomos de Invenstimentos Ltda - CNPJ 19.419.958/0007-35
e deixa de ser: Mundial Agente Autonomo de Investimentos Ltda - Cód. 0033.
FN: 17/05/2023
Gabrielaa: A partir de Fev/2020 aumento na frequencia da limpeza para 1x/sem + 1 retorno. 
Valor: R$ 542,99
DVP: Não informado
FN: Planilha de Fev/21
Lorena: A partir de Jun/2020 redução na frequencia da limpeza para 1x/sem + 1 retorno. 
Valor: R$ 407,66
Inicio: 01/06/2020
DVP: 024/362/2020
Lorena: A partir de 05/02/15 redução na frequencia para retorno de manutenção: limpeza 1x/sem retorno 2x/sem.
Valor: R$ 395,90
DVP: 024/054/2015
FN: 04/03/15
FINANCEIRO: 
Serviço de Limpeza 1xsemana e retorno 4xsemana para manutenção dos banheiros e lixo.
Valor: R$ 384,73
Inicio: 01/10/2013 (Cliente havia cancelado mas retornou).
DVP: 005/682/2013
FN: 14/10/2013
_____________________
A partir do dia 22/11/2012 Serviço de limpeza 1x semana, com retorno 4x semana para manutenção dos banheiros, recolhimento do lixo e lavagem de louça. 
DVP 005/806/12. 
R$ 326,04. 
FN: 04.12.2012
Inicio do contrato: 07/01/10.
</t>
        </r>
      </text>
    </comment>
    <comment ref="A61" authorId="0" shapeId="0" xr:uid="{8BF8EBB8-6DAE-4E5F-B924-577A79FF63D2}">
      <text>
        <r>
          <rPr>
            <sz val="9"/>
            <color indexed="81"/>
            <rFont val="Tahoma"/>
            <family val="2"/>
          </rPr>
          <t xml:space="preserve">Kátia: A partir de 10/09/2024 o serviço passa a ser prestado 2x/sem em dois projetos, sendo uma nota no valor de R$ 1.011,12 e a outra nota de outro projeto no valor de R$ 1.011,12, totalizando o valor de R$ 2.022,24. 
Valor: R$ 2.022,24
DVP: 024/758/2024
FN: 05/09/2024
Lorena: A partir de Set/17 serviço passa a ser prestado 2x/sem na sala 612, com nova razão social. 
Valor: R$ 1.318,47
Inicio: 01/09/2017
DVP: 024/556/2017
FN: 22/08/2017
Kátia: Valor referente ao pagamento antecipado dos meses de 12/2014, 01/2015, 02/2015, 03/2015, 04/2015 e 05/2015.
Valor: 3.418,68.
Obs.: Em 02/2015 o FRQ emitirá uma NF com o valor complementando o reajuste do Díssidio Coletivo.
FN: 20/11/2014.
Lorena: A partir de 01/07/2014 serviço reduzido para 1x/sem. 
Valor: R$ 569,78
DVP: 005/278/2014
FN: 30/07/2014
ADM:
1) DVP 005/098/2012 - Serviço de limpeza 2xsemana - início 01/02/2012 - R$ 512,23
</t>
        </r>
      </text>
    </comment>
    <comment ref="A62" authorId="0" shapeId="0" xr:uid="{388E8E80-A93F-4C4C-9AEB-321BE14B44CC}">
      <text>
        <r>
          <rPr>
            <sz val="9"/>
            <color indexed="81"/>
            <rFont val="Tahoma"/>
            <family val="2"/>
          </rPr>
          <t xml:space="preserve">Kátia: A partir de 10/09/2024 o serviço passa a ser prestado 2x/sem em dois projetos, sendo uma nota no valor de R$ 1.011,12 e a outra nota de outro projeto no valor de R$ 1.011,12, totalizando o valor de R$ 2.022,24. 
Valor: R$ 2.022,24
DVP: 024/758/2024
FN: 05/09/2024
Lorena: A partir de Set/17 serviço passa a ser prestado 2x/sem na sala 612, com nova razão social. 
Valor: R$ 1.318,47
Inicio: 01/09/2017
DVP: 024/556/2017
FN: 22/08/2017
Kátia: Valor referente ao pagamento antecipado dos meses de 12/2014, 01/2015, 02/2015, 03/2015, 04/2015 e 05/2015.
Valor: 3.418,68.
Obs.: Em 02/2015 o FRQ emitirá uma NF com o valor complementando o reajuste do Díssidio Coletivo.
FN: 20/11/2014.
Lorena: A partir de 01/07/2014 serviço reduzido para 1x/sem. 
Valor: R$ 569,78
DVP: 005/278/2014
FN: 30/07/2014
ADM:
1) DVP 005/098/2012 - Serviço de limpeza 2xsemana - início 01/02/2012 - R$ 512,23
</t>
        </r>
      </text>
    </comment>
    <comment ref="A63" authorId="0" shapeId="0" xr:uid="{909E8C79-CB36-46B7-BAE2-CF3423EB153C}">
      <text>
        <r>
          <rPr>
            <sz val="9"/>
            <color indexed="81"/>
            <rFont val="Tahoma"/>
            <family val="2"/>
          </rPr>
          <t xml:space="preserve">Kátia: Serviço de limpeza 1xsemana + Materiais descartáveis.
Valor: R$392,40 + 75,00 de descartáveis = 467,40
Inicio: 21/07/2025
DVP: 001/666/25 
FN: 30/07/2025
</t>
        </r>
      </text>
    </comment>
    <comment ref="I63" authorId="1" shapeId="0" xr:uid="{1C3A0EA5-3B69-433B-A938-E28F79AD8F57}">
      <text>
        <r>
          <rPr>
            <sz val="9"/>
            <color indexed="81"/>
            <rFont val="Segoe UI"/>
            <charset val="1"/>
          </rPr>
          <t xml:space="preserve">Kátia: Acréscimo do Valor proporcional a Julho/2025.
FN: 30/07/2025
</t>
        </r>
      </text>
    </comment>
    <comment ref="A64" authorId="1" shapeId="0" xr:uid="{335676A9-3908-4365-8889-D955D762257C}">
      <text>
        <r>
          <rPr>
            <b/>
            <sz val="9"/>
            <color indexed="81"/>
            <rFont val="Segoe UI"/>
            <family val="2"/>
          </rPr>
          <t xml:space="preserve">Kátia: </t>
        </r>
        <r>
          <rPr>
            <sz val="9"/>
            <color indexed="81"/>
            <rFont val="Segoe UI"/>
            <family val="2"/>
          </rPr>
          <t>A partir de 01/08/2025 os serviços passam a ser presados</t>
        </r>
        <r>
          <rPr>
            <b/>
            <sz val="9"/>
            <color indexed="81"/>
            <rFont val="Segoe UI"/>
            <family val="2"/>
          </rPr>
          <t xml:space="preserve"> </t>
        </r>
        <r>
          <rPr>
            <sz val="9"/>
            <color indexed="81"/>
            <rFont val="Segoe UI"/>
            <family val="2"/>
          </rPr>
          <t xml:space="preserve">2x semana (2ª e 5ª 6:30h).
Novo Valor: R$ 1.186,93
DVP: 024/659/25 
FN: 30/07/2025
</t>
        </r>
        <r>
          <rPr>
            <b/>
            <sz val="9"/>
            <color indexed="81"/>
            <rFont val="Segoe UI"/>
            <family val="2"/>
          </rPr>
          <t xml:space="preserve">
Kátia: </t>
        </r>
        <r>
          <rPr>
            <sz val="9"/>
            <color indexed="81"/>
            <rFont val="Segoe UI"/>
            <family val="2"/>
          </rPr>
          <t xml:space="preserve">Serviço de Limpeza 1x semana.
Valor: R$ 677,23
Inicio: 28/03/2025
DVP: 024/196/25  
FN: 31/03/2025
</t>
        </r>
      </text>
    </comment>
    <comment ref="C64" authorId="2" shapeId="0" xr:uid="{FBE9A75E-5F17-451A-A55A-42C142267F0C}">
      <text>
        <r>
          <rPr>
            <sz val="9"/>
            <color indexed="81"/>
            <rFont val="Segoe UI"/>
            <charset val="1"/>
          </rPr>
          <t xml:space="preserve">NF 2375
RPS 2374
</t>
        </r>
      </text>
    </comment>
    <comment ref="A65" authorId="0" shapeId="0" xr:uid="{67F3A85E-D8E2-484A-9CC0-F576B420F950}">
      <text>
        <r>
          <rPr>
            <sz val="9"/>
            <color indexed="81"/>
            <rFont val="Tahoma"/>
            <family val="2"/>
          </rPr>
          <t xml:space="preserve">Kátia: Serviço de Jardinagem 1x sem – 5ª feira.
Valor: R$ 1.605,04
Inicio: 18/08/2022
DVP: 024/584/22 
FN: 25.10.22
</t>
        </r>
      </text>
    </comment>
    <comment ref="C65" authorId="2" shapeId="0" xr:uid="{3748D60E-B2F5-488E-BC84-3F5CC346D008}">
      <text>
        <r>
          <rPr>
            <b/>
            <sz val="9"/>
            <color indexed="81"/>
            <rFont val="Segoe UI"/>
            <charset val="1"/>
          </rPr>
          <t>NF 2374
RPS 2375</t>
        </r>
        <r>
          <rPr>
            <sz val="9"/>
            <color indexed="81"/>
            <rFont val="Segoe UI"/>
            <charset val="1"/>
          </rPr>
          <t xml:space="preserve">
</t>
        </r>
      </text>
    </comment>
    <comment ref="M65" authorId="2" shapeId="0" xr:uid="{A33E261E-B15E-461C-ADCD-81F2C10E6376}">
      <text>
        <r>
          <rPr>
            <b/>
            <sz val="9"/>
            <color indexed="81"/>
            <rFont val="Tahoma"/>
            <family val="2"/>
          </rPr>
          <t xml:space="preserve">Kátia: </t>
        </r>
        <r>
          <rPr>
            <sz val="9"/>
            <color indexed="81"/>
            <rFont val="Tahoma"/>
            <family val="2"/>
          </rPr>
          <t>Cliente passou a ser substituto tributário e o sistema obriga a retenção de ISS.
09/02/2024</t>
        </r>
        <r>
          <rPr>
            <sz val="9"/>
            <color indexed="81"/>
            <rFont val="Tahoma"/>
            <family val="2"/>
          </rPr>
          <t xml:space="preserve">
</t>
        </r>
      </text>
    </comment>
    <comment ref="A66" authorId="1" shapeId="0" xr:uid="{EA8B32B8-D349-4416-924D-7476A1147474}">
      <text>
        <r>
          <rPr>
            <b/>
            <sz val="9"/>
            <color indexed="81"/>
            <rFont val="Segoe UI"/>
            <family val="2"/>
          </rPr>
          <t xml:space="preserve">Kátia: </t>
        </r>
        <r>
          <rPr>
            <sz val="9"/>
            <color indexed="81"/>
            <rFont val="Segoe UI"/>
            <family val="2"/>
          </rPr>
          <t xml:space="preserve">Serviço de Limpeza 1x semana.
Valor: R$ 718,71
Inicio: 29/03/2025
DVP: 001/261/25  
FN: 31/03/2025
</t>
        </r>
      </text>
    </comment>
    <comment ref="A67" authorId="0" shapeId="0" xr:uid="{510A3D34-C52F-42D1-BBA8-B8AB740D4DA3}">
      <text>
        <r>
          <rPr>
            <sz val="9"/>
            <color indexed="81"/>
            <rFont val="Tahoma"/>
            <family val="2"/>
          </rPr>
          <t xml:space="preserve">Kátia: Redução do Contrato para Serviço de Limpeza 2x, a partir de 31/01/2022.
Novo Valor: R$ 498,74
DVP 024/016/22
FN: 31/01/2022  
</t>
        </r>
      </text>
    </comment>
    <comment ref="A68" authorId="0" shapeId="0" xr:uid="{2F29421C-4E61-47CC-8700-B6DBEAD839CF}">
      <text>
        <r>
          <rPr>
            <sz val="9"/>
            <color indexed="81"/>
            <rFont val="Tahoma"/>
            <family val="2"/>
          </rPr>
          <t>Kátia: A partir de 02/05/2024 houve uma redução e os serviços passam a serem: Serviço de limpeza 1x limp +2x manutenção.
Valor: R$ 498,69
DVP:  024/339/24
FN: 02/05/24
Gabriela: Serviço de limpeza 2x limp +3x manutenção.
Valor: R$ 700,00 
Início: 10/02/21
DVP:  023/066/21
FN: 10/02/21</t>
        </r>
      </text>
    </comment>
    <comment ref="A69" authorId="3" shapeId="0" xr:uid="{C25843A8-1925-483A-922C-0A4497A0065D}">
      <text>
        <r>
          <rPr>
            <b/>
            <sz val="9"/>
            <color indexed="81"/>
            <rFont val="Segoe UI"/>
            <family val="2"/>
          </rPr>
          <t xml:space="preserve">Kátia: </t>
        </r>
        <r>
          <rPr>
            <sz val="9"/>
            <color indexed="81"/>
            <rFont val="Segoe UI"/>
            <family val="2"/>
          </rPr>
          <t>Serviço de limpeza avulsa:
Serviço de limpeza avulsa St. de Clubes Esportivos Sul ,Tr 02, Conj 63, Lt 50, CICB, 17/07......R$ 257,96
Serviço de limpeza avulsa na Sala do Centro de Convenções Ulisses Guimarães, 15/07.............. R$ 298,53
Valor: R$ 556,49
DVP: Não teve
FN: 29/07/25.</t>
        </r>
      </text>
    </comment>
    <comment ref="A70" authorId="0" shapeId="0" xr:uid="{92434555-7416-42EF-9EE6-9CDCC14D38D1}">
      <text>
        <r>
          <rPr>
            <sz val="9"/>
            <color indexed="81"/>
            <rFont val="Tahoma"/>
            <family val="2"/>
          </rPr>
          <t xml:space="preserve">Kátia: A partir de 15/07/2024 o Serviço de limpeza passou a ser com 01 Copeira Limpadora de segunda a quinta-feira, das 8h às 18h, com 1h de intervalo e  
sexta-feira, das 8h às 17h, com 1h de intervalo.
*Haverá um pequeno incremento no valor atual de R$ 182,00, devido ao aumento de 16 horas (4h x 4 semanas) na prestação do serviço.
Valor: R$ 6.142,38
DVP: 024/346/24
FN: 30/07/2024
Kátia: A partir de 01/07/2024 o Serviço de limpeza passou a ser com 01 Copeira Limpadora 44H/sem, 5x sem.
Valor: R$ 5.960,38
DVP: 024/346/24
FN: 01/07/2024
Kátia: Serviço de limpeza passou a ser -3x Semana+2retornos manutenção
Valor: R$ 1.021,52
Inicio: 01/06/2022
DVP: 024/332/22
FN: 01/06/2022
Kátia: Serviço de limpeza passou a ser 3x/sem.
Valor: R$ 714,22
Inicio: 13/08/2021
DVP: 024/425/21
FN: 25/08/2021
Kátia: Serviço de limpeza 2x/sem.
Valor: R$ 605,00 (valor negociado)
Inicio: 27/07/2020
DVP: 024/550/20
FN: 27/07/2020
</t>
        </r>
      </text>
    </comment>
    <comment ref="D70" authorId="1" shapeId="0" xr:uid="{A585845B-324D-49BC-A407-05F4D1C0CFF8}">
      <text>
        <r>
          <rPr>
            <sz val="9"/>
            <color indexed="81"/>
            <rFont val="Segoe UI"/>
            <family val="2"/>
          </rPr>
          <t xml:space="preserve">Kátia: A cliente precisa no minimo 14 dias para pagamento após a emissão.
</t>
        </r>
      </text>
    </comment>
    <comment ref="A71" authorId="0" shapeId="0" xr:uid="{FEDB67BE-D291-49D4-8F38-8B8F8368BAA7}">
      <text>
        <r>
          <rPr>
            <sz val="9"/>
            <color indexed="81"/>
            <rFont val="Tahoma"/>
            <family val="2"/>
          </rPr>
          <t xml:space="preserve">Lorena: Serviço de limpeza 2x/sem.
Valor: R$ 481,64
Inicio: 10/10/14
DVP: 005/411/2014
FN: 24/10/14 
</t>
        </r>
      </text>
    </comment>
    <comment ref="A72" authorId="0" shapeId="0" xr:uid="{2E61116C-2A75-4D4A-997D-C73E1C6478EB}">
      <text>
        <r>
          <rPr>
            <sz val="9"/>
            <color indexed="81"/>
            <rFont val="Tahoma"/>
            <family val="2"/>
          </rPr>
          <t xml:space="preserve">Kátia: Serviço de limpeza 5x/sem. 
Valor: R$ 2.229,26
Inicio: 23/06/2025
DVP: 001/545/25
FN: 25/06/25
</t>
        </r>
      </text>
    </comment>
    <comment ref="C72" authorId="2" shapeId="0" xr:uid="{B379E9B7-A346-424D-94FE-8D5859D244B9}">
      <text>
        <r>
          <rPr>
            <sz val="9"/>
            <color indexed="81"/>
            <rFont val="Segoe UI"/>
            <charset val="1"/>
          </rPr>
          <t xml:space="preserve">NF 2383
RPS 2382
</t>
        </r>
      </text>
    </comment>
    <comment ref="A73" authorId="0" shapeId="0" xr:uid="{EB061800-8AED-4374-9884-340772B3A64B}">
      <text>
        <r>
          <rPr>
            <sz val="9"/>
            <color indexed="81"/>
            <rFont val="Tahoma"/>
            <family val="2"/>
          </rPr>
          <t>Kátia: A partir de FEV/22 alteração da razão de B. Wills - Sociedade Individual de Advocacia para Vasconcelos Cavalcanti e Wills Advogados Associados. 
FN: 01/02/2022
Lorena: A partir de Ago/18 alteração da razão social de IDE -  Inteligencia em Desenvolvimento Empresarial Ltda para B. Wills - Sociedade Individual de Advocacia. 
FN: 20/08/2018
Lorena: Serviço de limpeza 1x/mes. 
Valor : R$ 102,00
Inicio: 01/09/2015
DVP: 024/408/2015
FN: 28/08/2015</t>
        </r>
      </text>
    </comment>
    <comment ref="C73" authorId="2" shapeId="0" xr:uid="{CD9077BA-798A-49FF-8C3A-BC9980472DA8}">
      <text>
        <r>
          <rPr>
            <b/>
            <sz val="9"/>
            <color indexed="81"/>
            <rFont val="Segoe UI"/>
            <charset val="1"/>
          </rPr>
          <t>NF 2382
RPS 2383</t>
        </r>
        <r>
          <rPr>
            <sz val="9"/>
            <color indexed="81"/>
            <rFont val="Segoe UI"/>
            <charset val="1"/>
          </rPr>
          <t xml:space="preserve">
</t>
        </r>
      </text>
    </comment>
    <comment ref="A74" authorId="0" shapeId="0" xr:uid="{3986323B-F421-4CD6-8B3F-0B3FC2678DC8}">
      <text>
        <r>
          <rPr>
            <sz val="9"/>
            <color indexed="81"/>
            <rFont val="Tahoma"/>
            <family val="2"/>
          </rPr>
          <t xml:space="preserve">Kátia: A partir de 15/02/2023 os serviços passam a ser 03x semana.
Valor: R$ 1.659,28
Inicio: 15/02/2023
DVP 024/137/23
FN: 08/02/2023
Kátia: Serviço limpeza 02x semana.
Valor: R$ 1.225,99
Inicio: 17/05/2022
DVP 024/243/22
FN: 01/06/2022
</t>
        </r>
      </text>
    </comment>
    <comment ref="A75" authorId="0" shapeId="0" xr:uid="{7FA7A62F-9D92-49B3-BAE7-29CBEB5A5736}">
      <text>
        <r>
          <rPr>
            <sz val="9"/>
            <color indexed="81"/>
            <rFont val="Tahoma"/>
            <family val="2"/>
          </rPr>
          <t xml:space="preserve">Gabriela: Serviço de limpeza 3x/sem.
Valor: R$ 868,26
Inicio: 16/11/2020
DVP: 024/832/2020
FN: 17/08/2018
Lorena: Contrato reduzido para 1x/sem. 
Valor: R$ 362,83
Inicio: 01/05/2020
DVP: 024/320/20
Lorena: Serviço de limpeza 3x/sem.
Valor: R$ 777,80
Inicio: 20/08/2018
DVP: 024/559/2018
FN: 17/08/2018
</t>
        </r>
      </text>
    </comment>
    <comment ref="K75" authorId="0" shapeId="0" xr:uid="{DD0C0015-78B1-419F-99EF-48A2D60B2182}">
      <text>
        <r>
          <rPr>
            <sz val="9"/>
            <color indexed="81"/>
            <rFont val="Tahoma"/>
            <family val="2"/>
          </rPr>
          <t xml:space="preserve">Kátia: Cliente Solicitou que fosse incluida a retenção de INSS nas notas a partir de 07/2023.
E-mail: 03/07/2023.
</t>
        </r>
      </text>
    </comment>
    <comment ref="M75" authorId="0" shapeId="0" xr:uid="{B8AC803B-C409-44E9-BC4F-3862CE9C857C}">
      <text>
        <r>
          <rPr>
            <sz val="9"/>
            <color indexed="81"/>
            <rFont val="Tahoma"/>
            <family val="2"/>
          </rPr>
          <t>Kátia: Sistema da Sefaz DF, não permite retenção de ISS quando o cliente não tem inscrição no DF.
09.08.2023
Kátia: Cliente Solicitou que fosse incluida a retenção de ISS nas notas a partir de 07/2023.
E-mail: 20/06/2023.</t>
        </r>
      </text>
    </comment>
    <comment ref="A76" authorId="0" shapeId="0" xr:uid="{C933B54C-C137-4760-983A-53D5C7287EF5}">
      <text>
        <r>
          <rPr>
            <sz val="9"/>
            <color indexed="81"/>
            <rFont val="Tahoma"/>
            <family val="2"/>
          </rPr>
          <t xml:space="preserve">Gabriela: Serviço de limpeza 2x/sem. 
Valor: R$ 752,00
Inicio: 09/06/2025
DVP: 001/531/25
FN: 11/06/25
</t>
        </r>
      </text>
    </comment>
    <comment ref="A77" authorId="0" shapeId="0" xr:uid="{9DBF9AAB-DBFB-4F50-B2F3-B6FDA2434F7D}">
      <text>
        <r>
          <rPr>
            <sz val="9"/>
            <color indexed="81"/>
            <rFont val="Tahoma"/>
            <family val="2"/>
          </rPr>
          <t xml:space="preserve">Kátia: A partir de 02/06/2025 o contrato passou a ser prestado por 01 copeira limpadora 44h, 5x por semana c/intervalo.
Nova Valor: R$ 6.455,90
DVP: Não teve
FN: 02/06/2025
Kátia: A partir de 01/08/2024 houve uma redução de renoegociação do contrato pra renovação no valor e o valor passou a ser R$ 3.094,36.
Nova Valor: R$ 3.094,36
DVP: 024/327/24 
FN: 29/07/2024
Kátia: A partir de 01/03/2024 o cliente mudou de endereço, o serviço passa a ser prestado no SHS QUADRA 6 CONJUNTO A BLOCO C  SALA 313 EDIF BRASIL XXI  Brasília  DF.
DVP: Não tem
FN: 25/03/2024.
Kátia: A partir de 01/06/2023 redução do valor do contrato para R$ 3.027,69 (negociação de concorrencia).
Valor: R$ 3.038,69
Inicio: 01/06/2023
DVP: 024/415/23
FN: Informado pela Sonia.
Lorena: A partir de Ago/17 redução para meio expediente.
Valor: R$ 2.139,28
Inicio: 01/08/2017
DVP: 024/504/2016
FN: 28/07/2017
Lorena: Serviço de copeira/limpadora 5x/sem.
Valor: R$ 3.970,65
Inicio: 02/01/2017
DVP: 024/504/2016
FN: 24/11/2016
</t>
        </r>
      </text>
    </comment>
    <comment ref="B77" authorId="0" shapeId="0" xr:uid="{46EA27CF-FD16-42EF-B07B-28034126BDC6}">
      <text>
        <r>
          <rPr>
            <sz val="9"/>
            <color indexed="81"/>
            <rFont val="Tahoma"/>
            <family val="2"/>
          </rPr>
          <t xml:space="preserve">Gabriela: Novo número de pedido enviado pelo wpp dia 15/08/2025 pela Sra. Viviane.
</t>
        </r>
      </text>
    </comment>
    <comment ref="D77" authorId="0" shapeId="0" xr:uid="{3BEC045D-4249-454B-B917-10BDA8784F13}">
      <text>
        <r>
          <rPr>
            <sz val="9"/>
            <color indexed="81"/>
            <rFont val="Tahoma"/>
            <family val="2"/>
          </rPr>
          <t>Gabriela:  Notas emitidas entre os dias 01 ao dia 05, serão pagas no dia 05 do mês subsequente. Notas emitidas entre os dias 06 ao dia 18, serão pagas no dia 20.
FN: E-mail enviado dia 01/03/2021</t>
        </r>
      </text>
    </comment>
    <comment ref="M77" authorId="0" shapeId="0" xr:uid="{2EEE79C2-4BC3-42A4-A97A-47E0CDC2959D}">
      <text>
        <r>
          <rPr>
            <sz val="9"/>
            <color indexed="81"/>
            <rFont val="Tahoma"/>
            <family val="2"/>
          </rPr>
          <t>Kátia: Sistema da Sefaz DF, não permite retenção de ISS quando o cliente não tem inscrição no DF.
09.08.2023</t>
        </r>
      </text>
    </comment>
    <comment ref="A78" authorId="0" shapeId="0" xr:uid="{75389075-5ECB-4313-955A-ED8289525F90}">
      <text>
        <r>
          <rPr>
            <sz val="9"/>
            <color indexed="81"/>
            <rFont val="Tahoma"/>
            <family val="2"/>
          </rPr>
          <t xml:space="preserve">Kátia: A partir de 02/06/2025 o contrato passou a ser prestado por 01 copeira limpadora 44h, 5x por semana c/intervalo.
Nova Valor: R$ 6.455,90
DVP: Não teve
FN: 02/06/2025
Kátia: A partir de 01/08/2024 houve uma redução de renoegociação do contrato pra renovação no valor e o valor passou a ser R$ 3.094,36.
Nova Valor: R$ 3.094,36
DVP: 024/327/24 
FN: 29/07/2024
Kátia: A partir de 01/03/2024 o cliente mudou de endereço, o serviço passa a ser prestado no SHS QUADRA 6 CONJUNTO A BLOCO C  SALA 313 EDIF BRASIL XXI  Brasília  DF.
DVP: Não tem
FN: 25/03/2024.
Kátia: A partir de 01/06/2023 redução do valor do contrato para R$ 3.027,69 (negociação de concorrencia).
Valor: R$ 3.038,69
Inicio: 01/06/2023
DVP: 024/415/23
FN: Informado pela Sonia.
Lorena: A partir de Ago/17 redução para meio expediente.
Valor: R$ 2.139,28
Inicio: 01/08/2017
DVP: 024/504/2016
FN: 28/07/2017
Lorena: Serviço de copeira/limpadora 5x/sem.
Valor: R$ 3.970,65
Inicio: 02/01/2017
DVP: 024/504/2016
FN: 24/11/2016
</t>
        </r>
      </text>
    </comment>
    <comment ref="B78" authorId="0" shapeId="0" xr:uid="{A3810C37-092C-4528-94F8-D4A0C4146531}">
      <text>
        <r>
          <rPr>
            <sz val="9"/>
            <color indexed="81"/>
            <rFont val="Tahoma"/>
            <family val="2"/>
          </rPr>
          <t>Gabriela: Novo número de pedido enviado por e-mail no dia 15/08/2025 pela Sra. Viviane.</t>
        </r>
      </text>
    </comment>
    <comment ref="D78" authorId="0" shapeId="0" xr:uid="{BD1700B8-B5D2-464D-9537-6202A4245856}">
      <text>
        <r>
          <rPr>
            <sz val="9"/>
            <color indexed="81"/>
            <rFont val="Tahoma"/>
            <family val="2"/>
          </rPr>
          <t>Gabriela:  Notas emitidas entre os dias 01 ao dia 05, serão pagas no dia 05 do mês subsequente. Notas emitidas entre os dias 06 ao dia 18, serão pagas no dia 20.
FN: E-mail enviado dia 01/03/2021</t>
        </r>
      </text>
    </comment>
    <comment ref="M78" authorId="0" shapeId="0" xr:uid="{53FEA939-93B8-4C98-BC70-577FEAFF6BBD}">
      <text>
        <r>
          <rPr>
            <sz val="9"/>
            <color indexed="81"/>
            <rFont val="Tahoma"/>
            <family val="2"/>
          </rPr>
          <t>Kátia: Sistema da Sefaz DF, não permite retenção de ISS quando o cliente não tem inscrição no DF.
09.08.2023</t>
        </r>
      </text>
    </comment>
    <comment ref="A79" authorId="0" shapeId="0" xr:uid="{DF170A70-8F4D-4052-880F-02055ABF1DD3}">
      <text>
        <r>
          <rPr>
            <sz val="9"/>
            <color indexed="81"/>
            <rFont val="Tahoma"/>
            <family val="2"/>
          </rPr>
          <t xml:space="preserve">Kátia: A partir de 02/06/2025 o contrato passou a ser prestado por 01 copeira limpadora 44h, 5x por semana c/intervalo.
Nova Valor: R$ 6.455,90
DVP: Não teve
FN: 02/06/2025
Kátia: A partir de 01/08/2024 houve uma redução de renoegociação do contrato pra renovação no valor e o valor passou a ser R$ 3.094,36.
Nova Valor: R$ 3.094,36
DVP: 024/327/24 
FN: 29/07/2024
Kátia: A partir de 01/03/2024 o cliente mudou de endereço, o serviço passa a ser prestado no SHS QUADRA 6 CONJUNTO A BLOCO C  SALA 313 EDIF BRASIL XXI  Brasília  DF.
DVP: Não tem
FN: 25/03/2024.
Kátia: A partir de 01/06/2023 redução do valor do contrato para R$ 3.027,69 (negociação de concorrencia).
Valor: R$ 3.038,69
Inicio: 01/06/2023
DVP: 024/415/23
FN: Informado pela Sonia.
Lorena: A partir de Ago/17 redução para meio expediente.
Valor: R$ 2.139,28
Inicio: 01/08/2017
DVP: 024/504/2016
FN: 28/07/2017
Lorena: Serviço de copeira/limpadora 5x/sem.
Valor: R$ 3.970,65
Inicio: 02/01/2017
DVP: 024/504/2016
FN: 24/11/2016
</t>
        </r>
      </text>
    </comment>
    <comment ref="B79" authorId="0" shapeId="0" xr:uid="{5C11091D-45CA-4614-8C31-5FCF509FE5E2}">
      <text>
        <r>
          <rPr>
            <sz val="9"/>
            <color indexed="81"/>
            <rFont val="Tahoma"/>
            <family val="2"/>
          </rPr>
          <t>Gabriela: Novo número de pedido enviado por e-mail no dia 15/08/2025 pela Sra. Viviane.</t>
        </r>
      </text>
    </comment>
    <comment ref="D79" authorId="0" shapeId="0" xr:uid="{A2343A88-CE18-409A-A1D9-FB12F946B0C7}">
      <text>
        <r>
          <rPr>
            <sz val="9"/>
            <color indexed="81"/>
            <rFont val="Tahoma"/>
            <family val="2"/>
          </rPr>
          <t>Gabriela:  Notas emitidas entre os dias 01 ao dia 05, serão pagas no dia 05 do mês subsequente. Notas emitidas entre os dias 06 ao dia 18, serão pagas no dia 20.
FN: E-mail enviado dia 01/03/2021</t>
        </r>
      </text>
    </comment>
    <comment ref="M79" authorId="0" shapeId="0" xr:uid="{93B3E51E-3CC7-47B0-B148-A73BE144F2BE}">
      <text>
        <r>
          <rPr>
            <sz val="9"/>
            <color indexed="81"/>
            <rFont val="Tahoma"/>
            <family val="2"/>
          </rPr>
          <t>Kátia: Sistema da Sefaz DF, não permite retenção de ISS quando o cliente não tem inscrição no DF.
09.08.2023</t>
        </r>
      </text>
    </comment>
    <comment ref="A80" authorId="3" shapeId="0" xr:uid="{8A99CF6C-E252-4C3C-AC0A-EC915981C6DF}">
      <text>
        <r>
          <rPr>
            <b/>
            <sz val="9"/>
            <color indexed="81"/>
            <rFont val="Segoe UI"/>
            <family val="2"/>
          </rPr>
          <t xml:space="preserve">Gabriela: </t>
        </r>
        <r>
          <rPr>
            <sz val="9"/>
            <color indexed="81"/>
            <rFont val="Segoe UI"/>
            <family val="2"/>
          </rPr>
          <t>Serviço avulso, realizado nos dias 12 e 14/08/25.
Serviço de garçon............459,00
Serviço de limpeza..........343,00
Serviço limpeza vidros e varandas...........................687,00
Valor Total: R$ 1.489,00
DVP: 024/716/25
FN: 18/08/25</t>
        </r>
      </text>
    </comment>
    <comment ref="B85" authorId="0" shapeId="0" xr:uid="{9028FAC1-A228-4999-94E0-DC08F9425F43}">
      <text>
        <r>
          <rPr>
            <sz val="9"/>
            <color indexed="81"/>
            <rFont val="Tahoma"/>
            <family val="2"/>
          </rPr>
          <t>Kátia: Alíquota alterada conforme e-mail enviado por Luciana em 01/08/2025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Gabriela</author>
  </authors>
  <commentList>
    <comment ref="N1" authorId="0" shapeId="0" xr:uid="{49556E9E-7796-4DB1-98B6-D177A603F377}">
      <text>
        <r>
          <rPr>
            <sz val="9"/>
            <color indexed="81"/>
            <rFont val="Segoe UI"/>
            <family val="2"/>
          </rPr>
          <t>Fabrícia:
Não há valor mínimo para a guia deste imposto.</t>
        </r>
      </text>
    </comment>
    <comment ref="B2" authorId="0" shapeId="0" xr:uid="{5546B498-9239-4CB4-AC3F-21EA4B062D3B}">
      <text>
        <r>
          <rPr>
            <sz val="9"/>
            <color indexed="81"/>
            <rFont val="Segoe UI"/>
            <family val="2"/>
          </rPr>
          <t xml:space="preserve">Carina: Serviço de limpeza 2x semana.
Valor: 656,81
Inicio: 23/11/2018
DVP: 023/672/2018
FN: 23/11/2018
</t>
        </r>
      </text>
    </comment>
    <comment ref="N2" authorId="0" shapeId="0" xr:uid="{DA64C25A-3AB9-4D7D-B8D6-CD6C8F095715}">
      <text>
        <r>
          <rPr>
            <sz val="9"/>
            <color indexed="81"/>
            <rFont val="Segoe UI"/>
            <family val="2"/>
          </rPr>
          <t xml:space="preserve">Kátia: Sistema da Sefaz DF, não permite retenção de ISS quando o cliente não tem inscrição no DF.
</t>
        </r>
      </text>
    </comment>
    <comment ref="B3" authorId="1" shapeId="0" xr:uid="{455E6663-FD7C-4741-800F-4258C6ABBBFF}">
      <text>
        <r>
          <rPr>
            <b/>
            <sz val="9"/>
            <color indexed="81"/>
            <rFont val="Segoe UI"/>
            <family val="2"/>
          </rPr>
          <t xml:space="preserve">Gabriela: </t>
        </r>
        <r>
          <rPr>
            <sz val="9"/>
            <color indexed="81"/>
            <rFont val="Segoe UI"/>
            <family val="2"/>
          </rPr>
          <t>Serviço de limpeza, nos dias 31/07, 01, 02 e 03/08/25.
Valor: R$ 5.336,10
DVP: 023/568/25
*Pagou 50% do valor R$ 2.668,05 no dia 30/07/2025 (confirmado no banco LDF 023)
Fará o restante por PIX. 
FN: 30/07/25</t>
        </r>
      </text>
    </comment>
    <comment ref="B4" authorId="0" shapeId="0" xr:uid="{7A4D4BCE-A0D6-4841-A4DC-404E075DC5DA}">
      <text>
        <r>
          <rPr>
            <sz val="9"/>
            <color indexed="81"/>
            <rFont val="Segoe UI"/>
            <family val="2"/>
          </rPr>
          <t xml:space="preserve">Gabriela: A partide 01/09/2022 aumento na frequência para 2x/semana.
Valor: R$  694,68
DVP: 023/590/22
FN: 31/08/2022
Gabriela: Serviço de limpeza 1x/sem.
Valor: R$ 347,46
Início: 10/02/2021
DVP: 023/081/21
FN: 10.02.21.
</t>
        </r>
      </text>
    </comment>
    <comment ref="B5" authorId="0" shapeId="0" xr:uid="{BD873DD4-00F4-4936-B160-5C2D334034AD}">
      <text>
        <r>
          <rPr>
            <sz val="9"/>
            <color indexed="81"/>
            <rFont val="Segoe UI"/>
            <family val="2"/>
          </rPr>
          <t xml:space="preserve">FINANCEIRO:
 A partir de Outubro: 
Serviço de conservação e limpeza do abrigo de RSS. </t>
        </r>
      </text>
    </comment>
    <comment ref="B6" authorId="0" shapeId="0" xr:uid="{1FC3743A-8731-4907-987A-718B17FD97C9}">
      <text>
        <r>
          <rPr>
            <sz val="9"/>
            <color indexed="81"/>
            <rFont val="Segoe UI"/>
            <family val="2"/>
          </rPr>
          <t>Gabriela: A partir de 18/07/24 aumento de contrato devido a complemento de valor de 01 asg para função de zelador e 
gratificação no TA para o asg Pedro, devido mudança de horário.
Valor: R$ 32.536,56
DVP: não teve
FN: 25.07.24.
Gabriela: A partir de 01/02/2024 mudança de franquia para LDF 023.
4 asg 44h 6x e 1 zelador 44h 6x, com reposição de férias de todos os funcionários da equipe.
FN: 31.01.24
Gabriela: A partir de 01/10/2023 redução de 1asg 44h 6x, com reposição de férias de todos os funcionários da equipe.
Valor: R$ 31.247,52
DVP: não teve
FN: 30.09.22
Gabriela: A partir de 01/10/2022 redução de contrato, devido a desconto concedido de R$ 400,00.
Valor: R$ 32.182,79
DVP: não teve
FN: 30.09.22
Gabriela: A partir de Março/2021, redução de contrato.
Valor: R$ 29.682,78
FN:  01.03.21
Lorena: A partir de Jun/2017 acrescimo de R$ 263,56 referente a gratificação dada ao zelador. 
Valor: R$ 26.033,51
FN: 28/05/2017
Lorena: Concedido desconto no valor do contrato para cobrir oferta de outra empresa e evitar o cancelamento. 
Valor: R$ 23.936,98
Inicio: 01/05/2016
DVP: Não teve
FN: 28/04/2016
Lorena: Concedido desconto no valor do reajuste aplicado em 2016. 
Valor: R$ 24.803.44
A partir: Março/2016
DVP: Não teve 
FN: 26/02/2016
Lorena: Serviço de limpeza 7x/sem (incluso jardinagem e descartáveis)
Valor: R$ 22.366,13
Inicio: 01/06/15
DVP: 022/163/2015
FN: 28/05/15</t>
        </r>
      </text>
    </comment>
    <comment ref="N6" authorId="0" shapeId="0" xr:uid="{FA05AA83-9191-499A-B042-D9FA85FDA3B1}">
      <text>
        <r>
          <rPr>
            <sz val="9"/>
            <color indexed="81"/>
            <rFont val="Segoe UI"/>
            <family val="2"/>
          </rPr>
          <t>Gabriela:
Sistema obrigou incluir a retenção de ISS para cliente substituto tributário a partir de 15/02/2023</t>
        </r>
      </text>
    </comment>
    <comment ref="B7" authorId="0" shapeId="0" xr:uid="{23343E30-467C-4BFD-BFB1-03D1AC10459F}">
      <text>
        <r>
          <rPr>
            <sz val="9"/>
            <color indexed="81"/>
            <rFont val="Segoe UI"/>
            <family val="2"/>
          </rPr>
          <t xml:space="preserve">Izabelle: Serviço de limpeza com 5 auxiliares mais lider. 
Valor: R$ 28.000,00
Inicio: 01/11/2018
DVP: 005/474/2018
FN: 29/10/2018
</t>
        </r>
      </text>
    </comment>
    <comment ref="C7" authorId="0" shapeId="0" xr:uid="{3220820A-79BC-4FE0-9373-B0C3E3F6E35C}">
      <text>
        <r>
          <rPr>
            <sz val="9"/>
            <color indexed="81"/>
            <rFont val="Segoe UI"/>
            <family val="2"/>
          </rPr>
          <t>Gabriela: Cliente solicitou a partir de Outubro/2020 inclusão da competencia nas informações complementares da NF
FN: 30/09/2020</t>
        </r>
      </text>
    </comment>
    <comment ref="B8" authorId="0" shapeId="0" xr:uid="{067E721E-DA5A-444C-8482-098DA6327E3D}">
      <text>
        <r>
          <rPr>
            <sz val="9"/>
            <color indexed="81"/>
            <rFont val="Segoe UI"/>
            <family val="2"/>
          </rPr>
          <t>Gabriela: Serviço limpeza Salão Eventos e Espaço Gourmet, dia 26/07/25
Valor: R$ 255,00
DVP: Não tem
FN: 29/07/25</t>
        </r>
      </text>
    </comment>
    <comment ref="C8" authorId="0" shapeId="0" xr:uid="{D7752AA9-5B29-426F-B54B-231FA142C8D2}">
      <text>
        <r>
          <rPr>
            <sz val="9"/>
            <color indexed="81"/>
            <rFont val="Segoe UI"/>
            <family val="2"/>
          </rPr>
          <t>Gabriela: Cliente solicitou a partir de Outubro/2020 inclusão da competencia nas informações complementares da NF
FN: 30/09/2020</t>
        </r>
      </text>
    </comment>
    <comment ref="B9" authorId="0" shapeId="0" xr:uid="{59205F4B-0F67-48AF-91B7-3451574C8C30}">
      <text>
        <r>
          <rPr>
            <sz val="9"/>
            <color indexed="81"/>
            <rFont val="Segoe UI"/>
            <family val="2"/>
          </rPr>
          <t>Gabriela: Serviço limpeza Salão Eventos e Espaço Gourmet, dia 27/07/25
Valor: R$ 320,00
DVP: Não tem
FN: 09.06.25</t>
        </r>
      </text>
    </comment>
    <comment ref="C9" authorId="0" shapeId="0" xr:uid="{EEF86CB1-0299-415E-ACC8-DF37CB9C4987}">
      <text>
        <r>
          <rPr>
            <sz val="9"/>
            <color indexed="81"/>
            <rFont val="Segoe UI"/>
            <family val="2"/>
          </rPr>
          <t>Gabriela: Cliente solicitou a partir de Outubro/2020 inclusão da competencia nas informações complementares da NF
FN: 30/09/2020</t>
        </r>
      </text>
    </comment>
    <comment ref="B10" authorId="0" shapeId="0" xr:uid="{20B4D4FE-5B0E-44EB-99B8-906BBFD74FA0}">
      <text>
        <r>
          <rPr>
            <sz val="9"/>
            <color indexed="81"/>
            <rFont val="Segoe UI"/>
            <family val="2"/>
          </rPr>
          <t>Gabriela: Serviço limpeza Salão Eventos e Espaço Gourmet, dia 28/07/25
Valor: R$ 320,00
DVP: Não tem
FN: 09.06.25</t>
        </r>
      </text>
    </comment>
    <comment ref="C10" authorId="0" shapeId="0" xr:uid="{8284680E-8EBC-45F7-A1A3-5B6A4A3D2273}">
      <text>
        <r>
          <rPr>
            <sz val="9"/>
            <color indexed="81"/>
            <rFont val="Segoe UI"/>
            <family val="2"/>
          </rPr>
          <t>Gabriela: Cliente solicitou a partir de Outubro/2020 inclusão da competencia nas informações complementares da NF
FN: 30/09/2020</t>
        </r>
      </text>
    </comment>
    <comment ref="B11" authorId="0" shapeId="0" xr:uid="{E95CD21D-D52C-41F1-98BC-98BD99066705}">
      <text>
        <r>
          <rPr>
            <sz val="9"/>
            <color indexed="81"/>
            <rFont val="Segoe UI"/>
            <family val="2"/>
          </rPr>
          <t>Gabriela: Serviço limpeza Espaço Gourmet, dia 15/08/25
Valor: R$ 255,00
DVP: Não tem
FN: 18/08/25</t>
        </r>
      </text>
    </comment>
    <comment ref="C11" authorId="0" shapeId="0" xr:uid="{FABBF88B-5883-421B-8A98-A68835BA48EE}">
      <text>
        <r>
          <rPr>
            <sz val="9"/>
            <color indexed="81"/>
            <rFont val="Segoe UI"/>
            <family val="2"/>
          </rPr>
          <t>Gabriela: Cliente solicitou a partir de Outubro/2020 inclusão da competencia nas informações complementares da NF
FN: 30/09/2020</t>
        </r>
      </text>
    </comment>
    <comment ref="B12" authorId="0" shapeId="0" xr:uid="{F557D49F-DE1E-4660-B62E-5BF4AEA36347}">
      <text>
        <r>
          <rPr>
            <sz val="9"/>
            <color indexed="81"/>
            <rFont val="Segoe UI"/>
            <family val="2"/>
          </rPr>
          <t>Gabriela: Serviço limpeza Salão Eventos e Espaço Gourmet, dia 16/08/25.
Valor: R$ 320,00
DVP: Não tem
FN: 18.08.25</t>
        </r>
      </text>
    </comment>
    <comment ref="C12" authorId="0" shapeId="0" xr:uid="{FDE712E9-2BE6-4DF1-8834-E7A6E75E1331}">
      <text>
        <r>
          <rPr>
            <sz val="9"/>
            <color indexed="81"/>
            <rFont val="Segoe UI"/>
            <family val="2"/>
          </rPr>
          <t>Gabriela: Cliente solicitou a partir de Outubro/2020 inclusão da competencia nas informações complementares da NF
FN: 30/09/2020</t>
        </r>
      </text>
    </comment>
    <comment ref="B13" authorId="0" shapeId="0" xr:uid="{8504DEAA-3921-414E-B1C5-F21DF2C2C556}">
      <text>
        <r>
          <rPr>
            <sz val="9"/>
            <color indexed="81"/>
            <rFont val="Segoe UI"/>
            <family val="2"/>
          </rPr>
          <t>Gabriela: Serviço limpeza Salão Eventos e Espaço Gourmet, dia 24/08/25.
Valor: R$ 320,00
DVP: Não tem
FN: 09.06.25</t>
        </r>
      </text>
    </comment>
    <comment ref="C13" authorId="0" shapeId="0" xr:uid="{F801418A-78A5-4A33-91CB-68C31843666F}">
      <text>
        <r>
          <rPr>
            <sz val="9"/>
            <color indexed="81"/>
            <rFont val="Segoe UI"/>
            <family val="2"/>
          </rPr>
          <t>Gabriela: Cliente solicitou a partir de Outubro/2020 inclusão da competencia nas informações complementares da NF
FN: 30/09/2020</t>
        </r>
      </text>
    </comment>
    <comment ref="B14" authorId="1" shapeId="0" xr:uid="{7F884A2C-2D3D-4397-86F9-6C404D3335AF}">
      <text>
        <r>
          <rPr>
            <b/>
            <sz val="9"/>
            <color indexed="81"/>
            <rFont val="Segoe UI"/>
            <family val="2"/>
          </rPr>
          <t>Gabriela:</t>
        </r>
        <r>
          <rPr>
            <sz val="9"/>
            <color indexed="81"/>
            <rFont val="Segoe UI"/>
            <family val="2"/>
          </rPr>
          <t xml:space="preserve"> Serviço de limpeza geral avulsa, nos dias 28 e 29/07/25.
Valor: R$ 6.656,37
DVP: Não informado
FN: 29/07/25</t>
        </r>
      </text>
    </comment>
    <comment ref="B15" authorId="0" shapeId="0" xr:uid="{5712D4ED-3E9E-4C42-94B7-444D2AC72B04}">
      <text>
        <r>
          <rPr>
            <sz val="9"/>
            <color indexed="81"/>
            <rFont val="Segoe UI"/>
            <family val="2"/>
          </rPr>
          <t xml:space="preserve">Carina: Serviço de limpeza 1x semana.
Valor: R$ 344,23
Inicio: 09/04/2019
DVP: 024/218/2019
FN: 15/04/2019
</t>
        </r>
      </text>
    </comment>
    <comment ref="J15" authorId="1" shapeId="0" xr:uid="{0025B303-3A8E-4EE3-BC88-5BE91628CC96}">
      <text>
        <r>
          <rPr>
            <b/>
            <sz val="9"/>
            <color indexed="81"/>
            <rFont val="Segoe UI"/>
            <charset val="1"/>
          </rPr>
          <t xml:space="preserve">Gabriela: </t>
        </r>
        <r>
          <rPr>
            <sz val="9"/>
            <color indexed="81"/>
            <rFont val="Segoe UI"/>
            <charset val="1"/>
          </rPr>
          <t>Desconto ref. A limpezas não executadas no recesso de julho.
FN: 29.07/25.</t>
        </r>
      </text>
    </comment>
    <comment ref="N15" authorId="0" shapeId="0" xr:uid="{339FEA6C-1161-438C-A03E-D0AB916688E8}">
      <text>
        <r>
          <rPr>
            <sz val="9"/>
            <color indexed="81"/>
            <rFont val="Segoe UI"/>
            <family val="2"/>
          </rPr>
          <t>Gabriela:
Sistema não aceita emitir NF com retenção, pois o cliente não é substituto tributário. Retenção retirada em Ago/23</t>
        </r>
      </text>
    </comment>
    <comment ref="B16" authorId="0" shapeId="0" xr:uid="{FE90DC96-2FD9-40CB-B1D2-80BABF9435FD}">
      <text>
        <r>
          <rPr>
            <sz val="9"/>
            <color indexed="81"/>
            <rFont val="Segoe UI"/>
            <family val="2"/>
          </rPr>
          <t xml:space="preserve">Gabriela:
Serviço de limpeza avulso realizado no dia 30/07/2025.
Valor: R$ 180,00
*Pagamento realizado por pix na conta da LDF 023 em 30/07/2025. 
FN: 01/08/2025
</t>
        </r>
      </text>
    </comment>
    <comment ref="B17" authorId="0" shapeId="0" xr:uid="{08F6D030-10F3-4279-9C7E-FD09F9512996}">
      <text>
        <r>
          <rPr>
            <sz val="9"/>
            <color indexed="81"/>
            <rFont val="Segoe UI"/>
            <family val="2"/>
          </rPr>
          <t>Gabriela: Serviço avulso de jardinagem
no Stand Vista Park Sul para aparar a grama lateral do
stand, aparar mato frente do stand, limpeza das argilas, retirada das palhas secas das palmeiras e aplicação de defensivo nas plantas cicas, realizado no dia 13/08/25.
Valor: R$ 591,06
DVP 023/718/25
FN: 21/08/25</t>
        </r>
      </text>
    </comment>
    <comment ref="B18" authorId="0" shapeId="0" xr:uid="{5D3E7C7E-1AE6-45D9-A000-1ACF690C7C7D}">
      <text>
        <r>
          <rPr>
            <sz val="9"/>
            <color indexed="81"/>
            <rFont val="Segoe UI"/>
            <family val="2"/>
          </rPr>
          <t xml:space="preserve">Gabriela: A partir de Setembro/2021 mudança de razão social para Instituto Fale Centro De Terapias E Treinamentos Ltda.
FN: Informação passada via wpp por Camila
Gabriela: Aumento de contrato, pois mudaram para um sala maior. Serviço de limpeza + 4 manutenções na semana.
Valor: R$ 950,00
Início: 18/08/2020
DVP: 023/632/2020
FN: 19/08/2020
Carina: Serviço de limpeza 1x semana + 4 retornos.
Valor: 674,09
Inicio: 08/11/2018
DVP: 023/739/2018
FN: 12/11/2018
</t>
        </r>
      </text>
    </comment>
    <comment ref="J18" authorId="1" shapeId="0" xr:uid="{8C3EC843-CFA8-4D20-8F2A-5D4B834E5BF3}">
      <text>
        <r>
          <rPr>
            <b/>
            <sz val="9"/>
            <color indexed="81"/>
            <rFont val="Segoe UI"/>
            <family val="2"/>
          </rPr>
          <t>Gabriela:</t>
        </r>
        <r>
          <rPr>
            <sz val="9"/>
            <color indexed="81"/>
            <rFont val="Segoe UI"/>
            <family val="2"/>
          </rPr>
          <t xml:space="preserve">
desconto referente ao recesso.
FN: 29/07/25.</t>
        </r>
      </text>
    </comment>
    <comment ref="N18" authorId="0" shapeId="0" xr:uid="{10AE24BA-63AA-4016-AE16-380F70AD24B9}">
      <text>
        <r>
          <rPr>
            <sz val="9"/>
            <color indexed="81"/>
            <rFont val="Segoe UI"/>
            <family val="2"/>
          </rPr>
          <t>Gabriela:
Sistema não aceita emitir NF com retenção, pois o cliente não é substituto tributário. Retenção retirada em Ago/23</t>
        </r>
      </text>
    </comment>
    <comment ref="B19" authorId="0" shapeId="0" xr:uid="{A5A4FE08-1273-408E-867D-948158AB4CDC}">
      <text>
        <r>
          <rPr>
            <sz val="9"/>
            <color indexed="81"/>
            <rFont val="Segoe UI"/>
            <family val="2"/>
          </rPr>
          <t xml:space="preserve">Gabriela: A partir de 01/04/24 alterasse a razão social de Belatina Consultoria (CNPJ - Cod. 0891)  para Jorge Arruda.
FN: 26/04/2024
Izabelle: Alteração da razão social de pessoa fisica para juridica: Jorge Arruda Filho para: Belatina Consultoria Empresarial Eireli
Valor R$ 328,22
Inicio: 01/10/2019
Termo de adesão: Não
FN: 03/10/2019
Carina: Aumento de contrato para serviço de limpeza 1x/sem + 3 arrumações.
Valor: R$ 299,52
Inicio: 01/10/2017
Termo de adesão: 
FN: 29/09/2017
Lorena: Serviço de limpeza 1x/sem + 2 arrumações.
Valor: R$ 281,52
Inicio: 01/07/2017
Termo de adesão: 
FN: 05/07/2017
</t>
        </r>
      </text>
    </comment>
    <comment ref="B20" authorId="0" shapeId="0" xr:uid="{2E8983DE-159F-41C1-824D-A3F1AF4627C1}">
      <text>
        <r>
          <rPr>
            <sz val="9"/>
            <color indexed="81"/>
            <rFont val="Segoe UI"/>
            <family val="2"/>
          </rPr>
          <t xml:space="preserve">Gabriela: Aumento de contrato de 3x para 5x semana.
Valor: R$ 3.352,46
Inicio: 23/11/2020
DVP: por e-mail
FN: 25/11/2020
Lorena: A partir de Jul/2020 aumento do contrato para 3x/sem.
Valor: R$ 2.111,47
Inicio: 01/07/2020
DVP: Não teve
FN: 25/06/2020
Lorena: A partir de Abr/2020 redução do contrato para 2x/sem.
Valor: R$ 1.440,94
Inicio: 01/04/2020
DVP: Não teve
FN: 
Lorena: A partir de Jan/2020 aumento de cotrato para 5x/sem + 1x/mes limpeza geral. 
Valor: R$ 3.097,20 - 5x/sem
R$ 255,26 - 1x/mes
TOTAL: R$ 3.352,46
Inicio: 13/01/2020
DVP: 024/856/2019
FN: 13/01/2020 
Carina: Serviço de limpeza 5x semana com 5x retornos.
Valor: 1.342,15
Inicio: 01/03/2019
DVP: 024/059/2019
FN: 01/03/2019
</t>
        </r>
      </text>
    </comment>
    <comment ref="N20" authorId="0" shapeId="0" xr:uid="{11DE597E-7A56-4AC4-A1B4-4DEFD4F26173}">
      <text>
        <r>
          <rPr>
            <sz val="9"/>
            <color indexed="81"/>
            <rFont val="Segoe UI"/>
            <family val="2"/>
          </rPr>
          <t>Gabriela:
Sistema não aceita emitir NF com retenção, pois o cliente não é substituto tributário. Retenção retirada em Ago/23</t>
        </r>
      </text>
    </comment>
    <comment ref="B21" authorId="1" shapeId="0" xr:uid="{11EE696A-B96E-4478-84FD-E84860FD23AF}">
      <text>
        <r>
          <rPr>
            <b/>
            <sz val="9"/>
            <color indexed="81"/>
            <rFont val="Segoe UI"/>
            <family val="2"/>
          </rPr>
          <t xml:space="preserve">Gabriela: </t>
        </r>
        <r>
          <rPr>
            <sz val="9"/>
            <color indexed="81"/>
            <rFont val="Segoe UI"/>
            <family val="2"/>
          </rPr>
          <t>Serviço avulso no dia 09/06/2025 na sala 303 bloco A B21.
Valor: R$ 299,00 
DVP: 023/303/24
FN: 04/08/2025</t>
        </r>
      </text>
    </comment>
    <comment ref="B22" authorId="1" shapeId="0" xr:uid="{F9A450BA-89AB-4A9D-BF29-C085B7B2959B}">
      <text>
        <r>
          <rPr>
            <b/>
            <sz val="9"/>
            <color indexed="81"/>
            <rFont val="Segoe UI"/>
            <family val="2"/>
          </rPr>
          <t xml:space="preserve">Gabriela: </t>
        </r>
        <r>
          <rPr>
            <sz val="9"/>
            <color indexed="81"/>
            <rFont val="Segoe UI"/>
            <family val="2"/>
          </rPr>
          <t>Serviço avulso no dia 10/06/2025 na sala 303 bloco A B21.
Valor: R$ 299,00 
DVP: 023/303/24
FN: 06/08/2025</t>
        </r>
      </text>
    </comment>
    <comment ref="B23" authorId="1" shapeId="0" xr:uid="{948F71DF-2771-4384-84D1-734808ECC8B8}">
      <text>
        <r>
          <rPr>
            <b/>
            <sz val="9"/>
            <color indexed="81"/>
            <rFont val="Segoe UI"/>
            <family val="2"/>
          </rPr>
          <t xml:space="preserve">Gabriela: </t>
        </r>
        <r>
          <rPr>
            <sz val="9"/>
            <color indexed="81"/>
            <rFont val="Segoe UI"/>
            <family val="2"/>
          </rPr>
          <t>Serviço avulso no dia 08/07/2025 na sala 303 bloco A B21.
Valor: R$ 299,00 
DVP: 023/303/24
FN: 06/08/2025</t>
        </r>
      </text>
    </comment>
    <comment ref="B24" authorId="0" shapeId="0" xr:uid="{BCF58A68-5B32-417D-AFF8-9D43E59FC757}">
      <text>
        <r>
          <rPr>
            <sz val="9"/>
            <color indexed="81"/>
            <rFont val="Segoe UI"/>
            <family val="2"/>
          </rPr>
          <t xml:space="preserve">Kátia: Serviço de Limpeza 1xquinzena.
Valor: R$ 375,98
Inicio: 10/05/2023.
DVP: Não informado.
FN: 13/06/2023
</t>
        </r>
      </text>
    </comment>
    <comment ref="B25" authorId="0" shapeId="0" xr:uid="{437BD56C-3586-4FB0-90D0-C40034B356F9}">
      <text>
        <r>
          <rPr>
            <sz val="9"/>
            <color indexed="81"/>
            <rFont val="Segoe UI"/>
            <family val="2"/>
          </rPr>
          <t xml:space="preserve">Lorena: Redução da area a ser limpa. Sairam 03 salas.
Valor: R$ 127,97
Inicio: 01/06/2020
DVP: 023/319/2020
FN: 01/06/2020
Kátia: A partir de 01/03/2020 o serviço de limpeza passa a ser quinzenal 
Novo Valor: R$ 243,77
Início:01/03/2020
DVP: 023/080/2020
FN: 03/02/2020
Carina: Serviço de limpeza 1x/semana
Valor: R$ 499,82
Início:11/07/2019
DVP: 023/025/2019
FN: 11/07/2019
</t>
        </r>
      </text>
    </comment>
    <comment ref="C30" authorId="0" shapeId="0" xr:uid="{9AFE580D-9EE8-4339-A036-F2A1AC8DF3F6}">
      <text>
        <r>
          <rPr>
            <sz val="9"/>
            <color indexed="81"/>
            <rFont val="Segoe UI"/>
            <family val="2"/>
          </rPr>
          <t>Kátia: Alteração na aliquota conforme e-mail enviado em 02/07/2025</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Um usuário do Microsoft Office satisfeito</author>
    <author/>
    <author>Gabriela</author>
  </authors>
  <commentList>
    <comment ref="N1" authorId="0" shapeId="0" xr:uid="{672E80AB-C8D1-484C-B6AB-80150BA130DD}">
      <text>
        <r>
          <rPr>
            <sz val="9"/>
            <color indexed="81"/>
            <rFont val="Tahoma"/>
            <family val="2"/>
          </rPr>
          <t>Fabrícia:
Não há valor mínimo para a guia deste imposto.</t>
        </r>
      </text>
    </comment>
    <comment ref="B2" authorId="0" shapeId="0" xr:uid="{6C3BEEAC-430E-4D06-8EBF-3D0F351B64D6}">
      <text>
        <r>
          <rPr>
            <sz val="9"/>
            <color indexed="81"/>
            <rFont val="Tahoma"/>
            <family val="2"/>
          </rPr>
          <t xml:space="preserve">Gabriela: A partir de 21/10/23 aumento de contrato para 2 asg 44h.
02 ASG 44h: R$ 11.334,10
01 Copeira diurna: R$ 5.606,05
DVP: 024/950/23
FN: 30/10/23.
Carina: A partir de Dez/2019 redução do contrato.
01 ASG diurno 44h: R$ 4.4752,65
01 posto de portaria: R$ 13.614,07
01 Copeira diurna: R$ 4.313,07
VALOR TOTAL: R$ 22.608,04
FN: 27/11/2019
Carina: A partir de Outubro/2018 redução do contrato.
03 ASG diurno 44h: R$ 12.939,22
02 AGP Noturno 12x36: R$ 9.598,03
01 Copeira diurna: R$ 4.313,07
VALOR TOTAL: R$ 26.850,32
FN: 28/09/2018
Lorena: A partir de 01/11/2017, após redução, serviço passa a ser prestado por: 
Valor: Limp.: R$ 15.031,29
          Port.: R$ 9.017,06
TOTAL: R$ 24.048,35
FN: 04/10/2017
Lorena: A partir de 01/02/2017, após redução, serviço passa a ser prestado por: 
Valor: Limpeza R$ 20.398,35
         Portaria R$ 15.293,98
TOTAL: R$ 35.692,33
FN: 28/01/2017
Lorena: Serviço limpeza + 01 posto de portaria.
Valor: Limpeza R$ 21.781,98
         Portaria R$ 13.865,80
TOTAL: R$ 35.647,78
Inicio: 18/04/15
DVP: Baseada na 005/061/2015
FN: 28/04/2015
</t>
        </r>
      </text>
    </comment>
    <comment ref="C2" authorId="0" shapeId="0" xr:uid="{B464CF44-4808-456D-B8F3-6C5F41D14215}">
      <text>
        <r>
          <rPr>
            <sz val="9"/>
            <color indexed="81"/>
            <rFont val="Tahoma"/>
            <family val="2"/>
          </rPr>
          <t xml:space="preserve">Gabriela: Emissão de boleto a partir de Jan/22
</t>
        </r>
      </text>
    </comment>
    <comment ref="N2" authorId="0" shapeId="0" xr:uid="{B2107377-7B62-4681-86B3-DE6295529351}">
      <text>
        <r>
          <rPr>
            <sz val="9"/>
            <color indexed="81"/>
            <rFont val="Tahoma"/>
            <family val="2"/>
          </rPr>
          <t>Gabriela:
Cliente não é subtituto tributário, por esse motivo sistema não aceita NF ir com retenção de ISS. Retenção retirada a partir de Ago/23</t>
        </r>
      </text>
    </comment>
    <comment ref="B3" authorId="0" shapeId="0" xr:uid="{38992F7E-38EC-4AA5-8FBE-9E9A7B92BE2A}">
      <text>
        <r>
          <rPr>
            <sz val="9"/>
            <color indexed="81"/>
            <rFont val="Tahoma"/>
            <family val="2"/>
          </rPr>
          <t xml:space="preserve">Gabriela: A partir de 21/10/23 aumento de contrato para 2 asg 44h.
02 ASG 44h: R$ 11.334,10
01 Copeira diurna: R$ 5.606,05
DVP: 024/950/23
FN: 30/10/23.
Carina: A partir de Dez/2019 redução do contrato.
01 ASG diurno 44h: R$ 4.4752,65
01 posto de portaria: R$ 13.614,07
01 Copeira diurna: R$ 4.313,07
VALOR TOTAL: R$ 22.608,04
FN: 27/11/2019
Carina: A partir de Outubro/2018 redução do contrato.
03 ASG diurno 44h: R$ 12.939,22
02 AGP Noturno 12x36: R$ 9.598,03
01 Copeira diurna: R$ 4.313,07
VALOR TOTAL: R$ 26.850,32
FN: 28/09/2018
Lorena: A partir de 01/11/2017, após redução, serviço passa a ser prestado por: 
Valor: Limp.: R$ 15.031,29
          Port.: R$ 9.017,06
TOTAL: R$ 24.048,35
FN: 04/10/2017
Lorena: A partir de 01/02/2017, após redução, serviço passa a ser prestado por: 
Valor: Limpeza R$ 20.398,35
         Portaria R$ 15.293,98
TOTAL: R$ 35.692,33
FN: 28/01/2017
Lorena: Serviço limpeza + 01 posto de portaria.
Valor: Limpeza R$ 21.781,98
         Portaria R$ 13.865,80
TOTAL: R$ 35.647,78
Inicio: 18/04/15
DVP: Baseada na 005/061/2015
FN: 28/04/2015
</t>
        </r>
      </text>
    </comment>
    <comment ref="C3" authorId="0" shapeId="0" xr:uid="{7A15EA92-61FE-4EF1-9DFC-55CD47088662}">
      <text>
        <r>
          <rPr>
            <sz val="9"/>
            <color indexed="81"/>
            <rFont val="Tahoma"/>
            <family val="2"/>
          </rPr>
          <t xml:space="preserve">Gabriela: Emissão de boleto a partir de Jan/22
</t>
        </r>
      </text>
    </comment>
    <comment ref="N3" authorId="0" shapeId="0" xr:uid="{C5C6FD07-6938-4BF0-8462-661EEA820353}">
      <text>
        <r>
          <rPr>
            <sz val="9"/>
            <color indexed="81"/>
            <rFont val="Tahoma"/>
            <family val="2"/>
          </rPr>
          <t>Gabriela:
Cliente não é subtituto tributário, por esse motivo sistema não aceita NF ir com retenção de ISS. Retenção retirada a partir de Ago/23</t>
        </r>
      </text>
    </comment>
    <comment ref="B4" authorId="0" shapeId="0" xr:uid="{2EBE99F3-579D-4CFD-9EAC-D87EE250EF84}">
      <text>
        <r>
          <rPr>
            <sz val="9"/>
            <color indexed="81"/>
            <rFont val="Tahoma"/>
            <family val="2"/>
          </rPr>
          <t>Gabriela: A partir de 01/08/24 aumento de 4 para 6 asg 44h.
Valor: R$ 27.564,67
DVP: Não informado
FN: 30/07/24.
Gabriela: A partir de 05/02/24 aumento de 3 para 4 asg 44h.
Valor: R$ 16.909,29
DVP: 005/103/24 
FN: 01/02/24.
Kátia: Serviço de Limpeza com 03 ASG.
Inicio: 23/12/2019
Valor: R$ 9.246,93
DVP: 005/828/2019
FN: 26/12/2019</t>
        </r>
      </text>
    </comment>
    <comment ref="C4" authorId="0" shapeId="0" xr:uid="{0A2D4558-8AC1-4A48-BFE9-815328390896}">
      <text>
        <r>
          <rPr>
            <sz val="9"/>
            <color indexed="81"/>
            <rFont val="Tahoma"/>
            <family val="2"/>
          </rPr>
          <t xml:space="preserve">Gabriela: Emissão de boleto a partir de Jan/22
</t>
        </r>
      </text>
    </comment>
    <comment ref="N4" authorId="0" shapeId="0" xr:uid="{AE9994BB-3BDD-4255-B69A-456CBB2F9437}">
      <text>
        <r>
          <rPr>
            <sz val="9"/>
            <color indexed="81"/>
            <rFont val="Tahoma"/>
            <family val="2"/>
          </rPr>
          <t xml:space="preserve">Gabriela: Retenção de ISS retirada, pois o cliente não possuei inscrição estadual/municipal e o sistema da Sefaz não aceita. 19.01.2023
</t>
        </r>
      </text>
    </comment>
    <comment ref="B5" authorId="0" shapeId="0" xr:uid="{8D538DA5-1E1E-4803-9BE3-878CCA406402}">
      <text>
        <r>
          <rPr>
            <sz val="9"/>
            <color indexed="81"/>
            <rFont val="Tahoma"/>
            <family val="2"/>
          </rPr>
          <t>Gabriela: Aumento de contrato a partir de 01/03/2025 devido a inclusão do plano ambulatorial.
Valor: R$ 24.941,88
DVP: Não teve
FN: 28/02/25
Gabriela: A partir de 01/12/2024 mudança de franquia da L/DF 024 para L/DF 005.
FN: 29.11.2024
Kátia: Serviço de Limpeza com 03 asg e 01 copeira Limpadora ( 44h 6x sem).
Inicio: 02/09/2024.
VALOR MENSAL: R$ 22.770,77
03 asg – 17.078,08
01 copeira limp – 5.692,69
DVP: 024/836/24 - 024/483/24 - 024/742/24
FN: 02/09/2024</t>
        </r>
      </text>
    </comment>
    <comment ref="B6" authorId="0" shapeId="0" xr:uid="{B228C2E1-90CB-492E-ADEA-D0F23ACAABC7}">
      <text>
        <r>
          <rPr>
            <sz val="9"/>
            <color indexed="81"/>
            <rFont val="Tahoma"/>
            <family val="2"/>
          </rPr>
          <t>Gabriela: Prestação de serviço de limpeza avulso nos dias 02, 09, 16, 23 e 30/08/2025.
Valor: R$ 1.424,60
FN: 25/06/25</t>
        </r>
      </text>
    </comment>
    <comment ref="B7" authorId="0" shapeId="0" xr:uid="{EA1F5709-9567-4281-B4BA-07CB1D750C9C}">
      <text>
        <r>
          <rPr>
            <sz val="9"/>
            <color indexed="81"/>
            <rFont val="Tahoma"/>
            <family val="2"/>
          </rPr>
          <t xml:space="preserve">Gabriela: A partir de 12/05/21, aumento no contrato para mais uma sala, com limpeza 3x + 2manut.
Valor: R$ 533,43 (Sala térreo)
DVP: 005/246/21
FN: 18/05/2021
Gabriela: Serviço de 1 coperia/limpadora 5x/sem. + 2 auxiliar de serviços gerais para carga/descarga 6x/sem. 
Em Fev/21 foi calculado o díssidio sem a cobertura de ferias para diminuir o valor.
Valor: R$ 12.230,42 (Arca)
FN: Informação passa por Dona Sonia via ligação.
</t>
        </r>
      </text>
    </comment>
    <comment ref="E7" authorId="0" shapeId="0" xr:uid="{2BE34C4B-92AC-43AD-9698-36A5C61E38BF}">
      <text>
        <r>
          <rPr>
            <sz val="9"/>
            <color indexed="81"/>
            <rFont val="Tahoma"/>
            <family val="2"/>
          </rPr>
          <t xml:space="preserve">Lorena: Vencimento real dia 30 de cada mês. 
</t>
        </r>
      </text>
    </comment>
    <comment ref="N7" authorId="0" shapeId="0" xr:uid="{DA0E661D-97FB-45E3-BC09-5FC9702D1AB3}">
      <text>
        <r>
          <rPr>
            <sz val="9"/>
            <color indexed="81"/>
            <rFont val="Tahoma"/>
            <family val="2"/>
          </rPr>
          <t>Gabriela:
Sistema obrigou incluir a retenção de ISS para cliente substituto tributário a partir de 15/02/2023</t>
        </r>
      </text>
    </comment>
    <comment ref="B8" authorId="0" shapeId="0" xr:uid="{59BBFB7B-353D-48B4-8BB2-51D982D900BD}">
      <text>
        <r>
          <rPr>
            <sz val="9"/>
            <color indexed="81"/>
            <rFont val="Tahoma"/>
            <family val="2"/>
          </rPr>
          <t>Gabriela: A partir de 12/05/21, aumento no contrato para mais uma sala, com limpeza 3x + 2manut.
Valor: R$ 533,43 (Sala térreo)
DVP: 005/246/21
FN: 18/05/2021
Gabriela: Serviço de 1 coperia/limpadora 5x/sem. + 2 auxiliar de serviços gerais para carga/descarga. 
Em Fev/21 foi calculado o díssidio sem a cobertura de ferias para diminuir o valor.
Valor: R$ 12.230,42 (Arca)
FN: Informação passa por Dona Sonia via ligação.</t>
        </r>
      </text>
    </comment>
    <comment ref="E8" authorId="0" shapeId="0" xr:uid="{5C187178-271A-4645-8EDF-CD48617163D3}">
      <text>
        <r>
          <rPr>
            <sz val="9"/>
            <color indexed="81"/>
            <rFont val="Tahoma"/>
            <family val="2"/>
          </rPr>
          <t xml:space="preserve">Lorena: Vencimento real dia 30 de cada mês. 
</t>
        </r>
      </text>
    </comment>
    <comment ref="N8" authorId="0" shapeId="0" xr:uid="{1900DDE2-894F-45CA-9F0B-D0FA4D9AD5EE}">
      <text>
        <r>
          <rPr>
            <sz val="9"/>
            <color indexed="81"/>
            <rFont val="Tahoma"/>
            <family val="2"/>
          </rPr>
          <t>Gabriela:
Sistema obrigou incluir a retenção de ISS para cliente substituto tributário a partir de 15/02/2023</t>
        </r>
      </text>
    </comment>
    <comment ref="B9" authorId="0" shapeId="0" xr:uid="{0192EE25-9BD8-4A05-BED2-D12827888BF2}">
      <text>
        <r>
          <rPr>
            <sz val="9"/>
            <color indexed="81"/>
            <rFont val="Tahoma"/>
            <family val="2"/>
          </rPr>
          <t>Gabriela: A partir de 01/06/2022 mudança de franquia da LDF 023 para LDF 005.
Valor: R$ 31.548,88  
DVP: não tem
FN: 01/06/22
Gabriela: A partir de Junho/2021 aumento de contrato.
Valor: R$ 29.041,35
DVP: Não informado
FN: 30/05/2021
Gabriela: A partir de Fev/21 redução de contrato.
Valor:R$  27.708,59
DVP: Não teve
FN: 01/02/21
Lorena: A partir de Jul/16, redução de 02 ASG. 
Valor total: R$ 70.968,57
Valor por Bloco: R$ 23.656,19
Inicio: 07/07/2016
DVP: Não teve
FN: 20/06/2016
Lorena: A partir de 01/06/2014 retira-se o valor do tratamento de piso (R$ 653,09)
Novo valor: R$ 22.524,93
FN: 27/05/2014
- Andreza -
1) A partir de 12/01/11 redução de 01 Aux. Serv. Gerais, sendo agora 04 aux. Serviços gerais 
44hr/sem, diurnos, 6xsemana,e  01 Supervisor.
R$ 13.196,87
- Dani -
2) Inclusão de 1 auxiliar de serviços gerais, 44h/semanais. 
Início: 12/03/12
Valor: R$ 2.254,18
3) Inclusão de 01 auxiliar de serviços gerais,
44h/semanais.
Inicio: 01/04/2012
Valor dividido para os blocos A, C e E
R$ 805,07
Total do contrato: R$ 18.003,39</t>
        </r>
      </text>
    </comment>
    <comment ref="N9" authorId="0" shapeId="0" xr:uid="{A22DC9AF-4959-4C74-AD3D-85BEBED7EF68}">
      <text>
        <r>
          <rPr>
            <sz val="9"/>
            <color indexed="81"/>
            <rFont val="Tahoma"/>
            <family val="2"/>
          </rPr>
          <t>Gabriela:
Sistema obrigou incluir a retenção de ISS para cliente substituto tributário a partir de 15/02/2023</t>
        </r>
      </text>
    </comment>
    <comment ref="B10" authorId="1" shapeId="0" xr:uid="{2634E8B2-C2B6-45E9-B698-74F36E382811}">
      <text>
        <r>
          <rPr>
            <sz val="9"/>
            <color indexed="81"/>
            <rFont val="Segoe UI"/>
            <family val="2"/>
          </rPr>
          <t>Gabriela: Serviço de Limpeza com 7 asg (sendo 3,5 faturado pelo Cond. Do Bloco B e 3,5 faturado pelo Cond. Do Bloco F)
Valor: R$ 21.157,81 (6.045,09 x 3,5)
Início: 01/03/2025
DVP: Não informado
FN: 28.02.25.</t>
        </r>
      </text>
    </comment>
    <comment ref="B11" authorId="1" shapeId="0" xr:uid="{424FC342-7983-4BE6-A560-51E96B75803A}">
      <text>
        <r>
          <rPr>
            <sz val="9"/>
            <color indexed="81"/>
            <rFont val="Segoe UI"/>
            <family val="2"/>
          </rPr>
          <t>Gabriela: Serviço de Limpeza avulso para limpeza de apartamentos, nos dias 05, 06, 12 e 13/07/2025.
Valor: R$ 2.115,00
DVP: Não informado
FN: 25/07/25</t>
        </r>
      </text>
    </comment>
    <comment ref="B12" authorId="0" shapeId="0" xr:uid="{D825FFC9-0BAB-4B39-BEA4-B6E5225EB4DA}">
      <text>
        <r>
          <rPr>
            <sz val="9"/>
            <color indexed="81"/>
            <rFont val="Tahoma"/>
            <family val="2"/>
          </rPr>
          <t>Gabriela: A partir de 01/06/2022 mudança de franquia da LDF 023 para LDF 005.
Valor: R$ 31.548,88  
DVP: não tem
FN: 01/06/22
Gabriela: A partir de Junho/2021 aumento de contrato.
Valor: R$ 29.041,35
DVP: Não informado
FN: 30/05/2021
Gabriela: A partir de Fev/21 redução de contrato.
Valor:R$  27.708,59
DVP: Não teve
FN: 01/02/21
Lorena: A partir de Jul/16, redução de 02 ASG. 
Valor total: R$ 70.968,57
Valor por Bloco: R$ 23.656,19
Inicio: 07/07/2016
DVP: Não teve
FN: 20/06/2016
Lorena: A partir de 01/06/2014 retira-se o valor do tratamento de piso (R$ 653,09)
Novo valor: R$ 22.524,93
FN: 27/05/2014
Daniele:
Inclusão de 01 auxiliar de serviços gerais,
44h/semanais.
Inicio: 01/04/2012
DVP 005/246/2012
Valor dividido para os blocos A, C e E
R$ 805,07
Total do contrato: R$ 18.279,82
Após reajuste em Janeiro/2013 - Sr. Aryon solicitou o rateio do contrato para os blocos A, C e E. Portanto a partir de Fevereiro/2013 os valores serão iguais. (Antonio informou alteração em 19/02/13)</t>
        </r>
      </text>
    </comment>
    <comment ref="N12" authorId="0" shapeId="0" xr:uid="{C03AC0A5-FC64-4625-BDFB-092458C63F18}">
      <text>
        <r>
          <rPr>
            <sz val="9"/>
            <color indexed="81"/>
            <rFont val="Tahoma"/>
            <family val="2"/>
          </rPr>
          <t>Gabriela:
Sistema obrigou incluir a retenção de ISS para cliente substituto tributário a partir de 15/02/2023</t>
        </r>
      </text>
    </comment>
    <comment ref="B13" authorId="2" shapeId="0" xr:uid="{CF1A661F-4F3B-4B44-83F9-119BA2CD817D}">
      <text>
        <r>
          <rPr>
            <b/>
            <sz val="9"/>
            <color indexed="81"/>
            <rFont val="Segoe UI"/>
            <family val="2"/>
          </rPr>
          <t xml:space="preserve">Gabriela: </t>
        </r>
        <r>
          <rPr>
            <sz val="9"/>
            <color indexed="81"/>
            <rFont val="Segoe UI"/>
            <family val="2"/>
          </rPr>
          <t>Serviço  de Limpeza com 02 ASG 44h e  4 AGP 12x36.
Valor: R$ 34.161,36 
Início: 04/04/2024
DVP: 005/150/24
FN: 09.04.24</t>
        </r>
      </text>
    </comment>
    <comment ref="N13" authorId="0" shapeId="0" xr:uid="{6375967C-BCDE-4DA4-B6D3-E24349947314}">
      <text>
        <r>
          <rPr>
            <sz val="9"/>
            <color indexed="81"/>
            <rFont val="Tahoma"/>
            <family val="2"/>
          </rPr>
          <t>Gabriela:
Sistema obrigou incluir a retenção de ISS para cliente substituto tributário a partir de 15/02/2023</t>
        </r>
      </text>
    </comment>
    <comment ref="B14" authorId="2" shapeId="0" xr:uid="{9B58C4BB-0CAF-4114-A5A9-A2486DDBF89D}">
      <text>
        <r>
          <rPr>
            <b/>
            <sz val="9"/>
            <color indexed="81"/>
            <rFont val="Segoe UI"/>
            <family val="2"/>
          </rPr>
          <t xml:space="preserve">Gabriela: </t>
        </r>
        <r>
          <rPr>
            <sz val="9"/>
            <color indexed="81"/>
            <rFont val="Segoe UI"/>
            <family val="2"/>
          </rPr>
          <t>Serviço  de Limpeza com 02 ASG 44h e  4 AGP 12x36.
Valor: R$ 34.161,36 
Início: 04/04/2024
DVP: 005/150/24
FN: 09.04.24</t>
        </r>
      </text>
    </comment>
    <comment ref="N14" authorId="0" shapeId="0" xr:uid="{85AE76C9-5446-4A49-9028-7AC7A6345EA4}">
      <text>
        <r>
          <rPr>
            <sz val="9"/>
            <color indexed="81"/>
            <rFont val="Tahoma"/>
            <family val="2"/>
          </rPr>
          <t>Gabriela:
Sistema obrigou incluir a retenção de ISS para cliente substituto tributário a partir de 15/02/2023</t>
        </r>
      </text>
    </comment>
    <comment ref="B15" authorId="1" shapeId="0" xr:uid="{40831640-E339-42A6-9D40-EC19165EE51C}">
      <text>
        <r>
          <rPr>
            <sz val="9"/>
            <color indexed="81"/>
            <rFont val="Segoe UI"/>
            <family val="2"/>
          </rPr>
          <t xml:space="preserve">Gabriela: Serviço de limpeza com 2 asg, sendo 01 asg not: R$ 6.523,99 + 01 asg GO: R$ 6.387,29.
Valor: R$ 12.911,28
Início: 01/03/2025
DVP: Não informado
FN: 18.02.25
</t>
        </r>
      </text>
    </comment>
    <comment ref="B16" authorId="1" shapeId="0" xr:uid="{343BBEAA-9D22-4E50-B59C-41C7909862DB}">
      <text>
        <r>
          <rPr>
            <sz val="9"/>
            <color indexed="81"/>
            <rFont val="Segoe UI"/>
            <family val="2"/>
          </rPr>
          <t xml:space="preserve">Gabriela: Serviço de Limpeza Avulsa, nos dias 22/07/25 a 20/08/2025.
*01 asg diu 44h, 6x1 sem produto – por 6 meses
Valor: R$ 6.045,09
DVP: proposta enviada por zap, aprovada por zap
FN: 28.07.25
</t>
        </r>
      </text>
    </comment>
    <comment ref="B17" authorId="1" shapeId="0" xr:uid="{83927CB5-D417-4696-93AD-7D53024D3C47}">
      <text>
        <r>
          <rPr>
            <sz val="9"/>
            <color indexed="81"/>
            <rFont val="Segoe UI"/>
            <family val="2"/>
          </rPr>
          <t xml:space="preserve">Gabriela: Serviço de Limpeza Avulsa, nos dias 25 a 30/06, 01 a 21/07, 22 a 28/07/2025.
Valor: R$ 21.267,50
DVP: solicitação por zap ou telefone direto com o encarregado.
FN: 30.07.25
</t>
        </r>
      </text>
    </comment>
    <comment ref="B18" authorId="0" shapeId="0" xr:uid="{89050EEF-15E3-44EC-8288-4E898F56E9B1}">
      <text>
        <r>
          <rPr>
            <sz val="9"/>
            <color indexed="81"/>
            <rFont val="Tahoma"/>
            <family val="2"/>
          </rPr>
          <t>Gabriela: A partir de 01/06/2022 mudança de franquia da LDF 023 para LDF 005.
Valor: R$ 31.548,88  
DVP: não tem
FN: 01/06/22
Gabriela: A partir de Junho/2021 aumento de contrato.
Valor: R$ 29.041,35
DVP: Não informado
FN: 30/05/2021
Gabriela: A partir de Fev/21 redução de contrato.
Valor:R$  27.708,59
DVP: Não teve
FN: 01/02/21
Lorena: A partir de Jul/16, redução de 02 ASG. 
Valor total: R$ 70.968,57
Valor por Bloco: R$ 23.656,19
Inicio: 07/07/2016
DVP: Não teve
FN: 20/06/2016
Lorena: A partir de 01/06/2014 retira-se o valor do tratamento de piso (R$ 653,09)
Novo valor: R$ 22.524,93
FN: 27/05/2014
Daniele:
Inclusão de 01 auxiliar de serviços gerais,
44h/semanais.
Inicio: 01/04/2012
DVP 005/246/2012
Valor dividido para os blocos A, C e E
R$ 805,07
Total do contrato: R$ 18.279,82</t>
        </r>
      </text>
    </comment>
    <comment ref="N18" authorId="0" shapeId="0" xr:uid="{F1505A66-B658-41EA-8376-AA2A0992F31C}">
      <text>
        <r>
          <rPr>
            <sz val="9"/>
            <color indexed="81"/>
            <rFont val="Tahoma"/>
            <family val="2"/>
          </rPr>
          <t>Gabriela:
Sistema obrigou incluir a retenção de ISS para cliente substituto tributário a partir de 15/02/2023</t>
        </r>
      </text>
    </comment>
    <comment ref="B19" authorId="1" shapeId="0" xr:uid="{E8208CB3-78FD-4F74-98D6-E9EEBBB1E097}">
      <text>
        <r>
          <rPr>
            <sz val="9"/>
            <color indexed="81"/>
            <rFont val="Segoe UI"/>
            <family val="2"/>
          </rPr>
          <t>Gabriela: Prestação de serviço de portaria com 4 agp diurno e noturno – 12x36 + limpeza a partir de 08/06/24 (faturado pela LDF 023).
Valor: R$ 21.434,80  
Início:18/07/2024
DVP: 001/258/2024
FN: 24.07.24.</t>
        </r>
      </text>
    </comment>
    <comment ref="B20" authorId="1" shapeId="0" xr:uid="{D88F885E-A9AD-4B79-AB20-578A975DA02D}">
      <text>
        <r>
          <rPr>
            <sz val="9"/>
            <color indexed="81"/>
            <rFont val="Segoe UI"/>
            <family val="2"/>
          </rPr>
          <t>Gabriela: A partir de nov/24 mudança de franquia da LDF 023 para LDF 005.
FN: Email enviado dia 11/11/2024
Gabriela: Prestação de serviço de limpeza com 2 asg.
Valor: R$ 12.026,84 
Início: 08/06/2024
DVP: 001/258/2024
FN: 13.06.24.nov</t>
        </r>
      </text>
    </comment>
    <comment ref="B21" authorId="1" shapeId="0" xr:uid="{8026DD4D-38C6-4A2B-B9C6-949611CC4BD4}">
      <text>
        <r>
          <rPr>
            <sz val="9"/>
            <color indexed="81"/>
            <rFont val="Segoe UI"/>
            <family val="2"/>
          </rPr>
          <t>Gabriela: Serviço de Limpeza com 7 asg (sendo 3,5 faturado pelo Cond. Do Bloco B e 3,5 faturado pelo Cond. Do Bloco F)
Valor: R$ 21.157,81 (6.045,09 x 3,5)
Início: 01/03/2025
DVP: Não informado
FN: 28.02.25.</t>
        </r>
      </text>
    </comment>
    <comment ref="B22" authorId="1" shapeId="0" xr:uid="{E22A181C-94DA-466A-A63F-F82E57041B00}">
      <text>
        <r>
          <rPr>
            <sz val="9"/>
            <color indexed="81"/>
            <rFont val="Segoe UI"/>
            <family val="2"/>
          </rPr>
          <t>Gabriela: Serviço de Limpeza avulsa, nos dias 28/06 e 13/07/2025.
Valor: R$ 1410,00 
DVP: Não informado
FN: 25/07/25</t>
        </r>
      </text>
    </comment>
    <comment ref="B23" authorId="0" shapeId="0" xr:uid="{D049F449-AB4E-44A9-AD46-803F586FBF53}">
      <text>
        <r>
          <rPr>
            <sz val="9"/>
            <color indexed="81"/>
            <rFont val="Tahoma"/>
            <family val="2"/>
          </rPr>
          <t xml:space="preserve">Lorena: A partir de Ago/2017, concedido desconto de R$ 100,00 no contrato do cliene. 
Valor: 
R$ 8.103,68 Limpeza
R$ 11.426,14
TOTAL: R$ 19.529,82
FN: 28/07/2017 
Lorena: A partir de Jan/16 acrescimo de 01 AGP. 
Valor: R$ 3.866,98
TOTAL DO CONTRATO: R$ 16.366,01
Limpeza: R$ 6.839,67
Portaria: R$ 9.526,34
Inicio: 01/01/2016
DVP: 005/633/2015
FN: 30/12/2015
FINANCEIRO: 01 posto de portaria diurna, 12x36. DVP 05/540/10. R$ 3299,89.
</t>
        </r>
      </text>
    </comment>
    <comment ref="N23" authorId="0" shapeId="0" xr:uid="{D3B423A1-13B3-440E-891E-93BDED7667D8}">
      <text>
        <r>
          <rPr>
            <sz val="9"/>
            <color indexed="81"/>
            <rFont val="Tahoma"/>
            <family val="2"/>
          </rPr>
          <t>Gabriela:
Sistema obrigou incluir a retenção de ISS para cliente substituto tributário a partir de 15/02/2023</t>
        </r>
      </text>
    </comment>
    <comment ref="B24" authorId="0" shapeId="0" xr:uid="{472F8DED-6579-49C6-A94F-6B3FE2DB8722}">
      <text>
        <r>
          <rPr>
            <sz val="9"/>
            <color indexed="81"/>
            <rFont val="Tahoma"/>
            <family val="2"/>
          </rPr>
          <t xml:space="preserve">Lorena: A partir de Ago/2017, concedido desconto de R$ 100,00 no contrato do cliene. 
Valor: 
R$ 8.103,68 Limpeza
R$ 11.426,14
TOTAL: R$ 19.529,82
FN: 28/07/2017 
Lorena: A partir de Jan/16 acrescimo de 01 AGP. 
Valor: R$ 3.866,98
TOTAL DO CONTRATO: R$ 16.366,01
Limpeza: R$ 6.839,67
Portaria: R$ 9.526,34
Inicio: 01/01/2016
DVP: 005/633/2015
FN: 30/12/2015
FINANCEIRO: 01 posto de portaria diurna, 12x36. DVP 05/540/10. R$ 3299,89.
</t>
        </r>
      </text>
    </comment>
    <comment ref="N24" authorId="0" shapeId="0" xr:uid="{A2B85488-CC77-496A-8923-210CE9D7E467}">
      <text>
        <r>
          <rPr>
            <sz val="9"/>
            <color indexed="81"/>
            <rFont val="Tahoma"/>
            <family val="2"/>
          </rPr>
          <t>Gabriela:
Sistema obrigou incluir a retenção de ISS para cliente substituto tributário a partir de 15/02/2023</t>
        </r>
      </text>
    </comment>
    <comment ref="B25" authorId="0" shapeId="0" xr:uid="{E108499B-49B2-4E44-945B-1122AF038924}">
      <text>
        <r>
          <rPr>
            <sz val="9"/>
            <color indexed="81"/>
            <rFont val="Tahoma"/>
            <family val="2"/>
          </rPr>
          <t xml:space="preserve">Izabelle: Serviço de recepção com 4 recepcionista.
Valor R$ 19.829,91
Inicio: 13/05/2019
DVP: 001/276/2019
FN: 13/05/2019
</t>
        </r>
      </text>
    </comment>
    <comment ref="N25" authorId="0" shapeId="0" xr:uid="{267F1EDA-B0C0-4A4D-B965-221434B02D0E}">
      <text>
        <r>
          <rPr>
            <sz val="9"/>
            <color indexed="81"/>
            <rFont val="Tahoma"/>
            <family val="2"/>
          </rPr>
          <t>Gabriela:
Sistema obrigou incluir a retenção de ISS para cliente substituto tributário a partir de 15/02/2023</t>
        </r>
      </text>
    </comment>
    <comment ref="N26" authorId="0" shapeId="0" xr:uid="{580468DB-8A37-4496-ACE5-47C2FB32EAEF}">
      <text>
        <r>
          <rPr>
            <sz val="9"/>
            <color indexed="81"/>
            <rFont val="Tahoma"/>
            <family val="2"/>
          </rPr>
          <t>Gabriela:
Sistema obrigou incluir a retenção de ISS para cliente substituto tributário a partir de 15/02/2023</t>
        </r>
      </text>
    </comment>
    <comment ref="N27" authorId="0" shapeId="0" xr:uid="{F7587A19-1041-483F-9A6C-CA12B2686984}">
      <text>
        <r>
          <rPr>
            <sz val="9"/>
            <color indexed="81"/>
            <rFont val="Tahoma"/>
            <family val="2"/>
          </rPr>
          <t>Gabriela:
Sistema obrigou incluir a retenção de ISS para cliente substituto tributário a partir de 15/02/2023</t>
        </r>
      </text>
    </comment>
    <comment ref="B28" authorId="0" shapeId="0" xr:uid="{5698675D-80AA-404C-9F8C-E7A2D0BBCD05}">
      <text>
        <r>
          <rPr>
            <sz val="9"/>
            <color indexed="81"/>
            <rFont val="Tahoma"/>
            <family val="2"/>
          </rPr>
          <t>Gabriela: A partir de 01/09/23 aumento de contrato com inclusão da manutenção de jardim pelo zelador.
Valor: R$ 38.788,04 (16.270,00 - limpeza; 625,00 manutenção do jardim; 21.893,03 - portaria)
DVP: não tem
FN: 25/09/21
Novo valor em abril/2013: 
Limpeza: 7.943,64
Portaria: 10.689,01
TOTAL: R$ 18.632,65
FN: 13/03/13
ALO:
Portaria - R$ 6.085,44
Limpeza - R$ 3.386,23
Gratificação Porteiros - R$ 361,87
Zeladoria - R$ 1.549,52
Jardim - R$ 711,27</t>
        </r>
      </text>
    </comment>
    <comment ref="M28" authorId="0" shapeId="0" xr:uid="{38BE54E2-E3E1-485B-A6A5-D81655CB552E}">
      <text>
        <r>
          <rPr>
            <sz val="9"/>
            <color indexed="81"/>
            <rFont val="Tahoma"/>
            <family val="2"/>
          </rPr>
          <t>Gabriela: A partir de Março/2021 retornar com a retenção na fonte   a pedido do cliente.
FN: 11/03/21</t>
        </r>
      </text>
    </comment>
    <comment ref="N28" authorId="0" shapeId="0" xr:uid="{74D4C817-B526-4909-843D-082EB68FFE10}">
      <text>
        <r>
          <rPr>
            <sz val="9"/>
            <color indexed="81"/>
            <rFont val="Tahoma"/>
            <family val="2"/>
          </rPr>
          <t>Gabriela:
Retenção na fonte de ISS a partir de Jan/2023, pois o cliente é substituto tributário e possui Inscrição estadual no DF e o sistema não aceitou a transmissão da NF sem retenção.</t>
        </r>
      </text>
    </comment>
    <comment ref="B29" authorId="0" shapeId="0" xr:uid="{3E716C27-5649-41B5-90AB-C97C9315F452}">
      <text>
        <r>
          <rPr>
            <sz val="9"/>
            <color indexed="81"/>
            <rFont val="Tahoma"/>
            <family val="2"/>
          </rPr>
          <t>Gabriela: A partir de 01/09/23 aumento de contrato com inclusão da manutenção de jardim pelo zelador.
Valor: R$ 38.788,04 (16.270,00 - limpeza; 625,00 manutenção do jardim; 21.893,03 - portaria)
DVP: não tem
FN: 25/09/21
Novo valor em abril/2013: 
Limpeza: 7.943,64
Portaria: 10.689,01
TOTAL: R$ 18.632,65
FN: 13/03/13
ALO:
Portaria - R$ 6.085,44
Limpeza - R$ 3.386,23
Gratificação Porteiros - R$ 361,87
Zeladoria - R$ 1.549,52
Jardim - R$ 711,27</t>
        </r>
      </text>
    </comment>
    <comment ref="M29" authorId="0" shapeId="0" xr:uid="{073EC5BF-61C3-4556-94A0-C0AF5B535B08}">
      <text>
        <r>
          <rPr>
            <sz val="9"/>
            <color indexed="81"/>
            <rFont val="Tahoma"/>
            <family val="2"/>
          </rPr>
          <t>Gabriela: A partir de Março/2021 retornar com a retenção na fonte   a pedido do cliente.
FN: 11/03/21</t>
        </r>
      </text>
    </comment>
    <comment ref="N29" authorId="0" shapeId="0" xr:uid="{744D6C74-B080-4988-B8BA-47CE1AB249B5}">
      <text>
        <r>
          <rPr>
            <sz val="9"/>
            <color indexed="81"/>
            <rFont val="Tahoma"/>
            <family val="2"/>
          </rPr>
          <t>Gabriela:
Retenção na fonte de ISS a partir de Jan/2023, pois o cliente é substituto tributário e possui Inscrição estadual no DF e o sistema não aceitou a transmissão da NF sem retenção.</t>
        </r>
      </text>
    </comment>
    <comment ref="B30" authorId="0" shapeId="0" xr:uid="{60C25DD1-99C3-44CC-B3E0-B76DDF60AFAA}">
      <text>
        <r>
          <rPr>
            <sz val="9"/>
            <color indexed="81"/>
            <rFont val="Tahoma"/>
            <family val="2"/>
          </rPr>
          <t>Gabriela: A partir de 01/09/23 aumento de contrato com inclusão da manutenção de jardim pelo zelador.
Valor: R$ 38.788,04 (16.270,00 - limpeza; 625,00 manutenção do jardim; 21.893,03 - portaria)
DVP: não tem
FN: 25/09/21
Novo valor em abril/2013: 
Limpeza: 7.943,64
Portaria: 10.689,01
TOTAL: R$ 18.632,65
FN: 13/03/13
ALO:
Portaria - R$ 6.085,44
Limpeza - R$ 3.386,23
Gratificação Porteiros - R$ 361,87
Zeladoria - R$ 1.549,52
Jardim - R$ 711,27</t>
        </r>
      </text>
    </comment>
    <comment ref="M30" authorId="0" shapeId="0" xr:uid="{C94FB5A3-279C-402D-A3FC-7675E3FC1848}">
      <text>
        <r>
          <rPr>
            <sz val="9"/>
            <color indexed="81"/>
            <rFont val="Tahoma"/>
            <family val="2"/>
          </rPr>
          <t>Gabriela: A partir de Março/2021 retornar com a retenção na fonte   a pedido do cliente.
FN: 11/03/21</t>
        </r>
      </text>
    </comment>
    <comment ref="N30" authorId="0" shapeId="0" xr:uid="{AB127FFC-7FDC-470C-98F3-D2BE14F19716}">
      <text>
        <r>
          <rPr>
            <sz val="9"/>
            <color indexed="81"/>
            <rFont val="Tahoma"/>
            <family val="2"/>
          </rPr>
          <t>Gabriela:
Retenção na fonte de ISS a partir de Jan/2023, pois o cliente é substituto tributário e possui Inscrição estadual no DF e o sistema não aceitou a transmissão da NF sem retenção.</t>
        </r>
      </text>
    </comment>
    <comment ref="B31" authorId="0" shapeId="0" xr:uid="{EACE327B-0ED7-4CFF-8A9D-1DFD453D64EE}">
      <text>
        <r>
          <rPr>
            <sz val="9"/>
            <color indexed="81"/>
            <rFont val="Tahoma"/>
            <family val="2"/>
          </rPr>
          <t>Kátia: A partir de 01/02/2024 os serviços de limpeza passam a ser faturado na franquia da LDF 023 e os serviços de portaria serão faturados na LDF 005.
Limpeza: R$ 18.087,29
Portaria:R$ 22.463,51
FN: 19/02/2024
Kátia: Autorizado o aumento de mais R$ 50,00 na gratificação do TA do Zelador a Partir de 01.12.22. 
Limpeza: R$ 15.950,40
Portaria: R$ 19.809,60
TOTAL: R$ 35.760,00
FN: 01/12/2022
Lorena: Concedido aumento no T.A do zelador (R$ 150,00) a pedido do sindico. 
Limpeza: R$ 13.559,98
Portaria: R$ 16.920,98
TOTAL: R$ 30.480,74
FN: 01/08/2019
Daniele:
Portaria diurna/noturna escala 12x36 + Zelador 44h/semanais + 2 ASG 44h/semanais, 6xsemana. 
Novo valor apartir de Abril/13: R$ 18.800,62
FN: 27/03/13</t>
        </r>
      </text>
    </comment>
    <comment ref="N31" authorId="0" shapeId="0" xr:uid="{3BC29704-62C6-4AF6-96EE-1DB94F8956F0}">
      <text>
        <r>
          <rPr>
            <sz val="9"/>
            <color indexed="81"/>
            <rFont val="Tahoma"/>
            <family val="2"/>
          </rPr>
          <t>Gabriela:
Retenção na fonte de ISS a partir de Jan/2023, pois o cliente é substituto tributário e possui Inscrição estadual no DF e o sistema não aceitou a transmissão da NF sem retenção.</t>
        </r>
      </text>
    </comment>
    <comment ref="B32" authorId="1" shapeId="0" xr:uid="{29A58994-530A-4840-8652-52EE7E950642}">
      <text>
        <r>
          <rPr>
            <sz val="9"/>
            <color indexed="81"/>
            <rFont val="Segoe UI"/>
            <family val="2"/>
          </rPr>
          <t>Gabriela: A partir de 01/11/24 mudança de franquia da LDF 023 para LDF 005.
FN: Email enviado dia 11/11/2024
Kátia: A partir de 01/02/2024 os serviços de limpeza passam a ser faturado na franquia da LDF 023 e os serviços de portaria serão faturados na LDF 005.
Limpeza: R$ 18.087,29
Portaria:R$ 22.463,51
FN: 19/02/2024
Kátia: Autorizado o aumento de mais R$ 50,00 na gratificação do TA do Zelador a Partir de 01.12.22. 
Limpeza: R$ 15.950,40
Portaria: R$ 19.809,60
TOTAL: R$ 35.760,00
FN: 01/12/2022
Lorena: Concedido aumento no T.A do zelador (R$ 150,00) a pedido do sindico. 
Limpeza: R$ 13.559,98
Portaria: R$ 16.920,98
TOTAL: R$ 30.480,74
FN: 01/08/2019
Daniele:
Portaria diurna/noturna escala 12x36 + Zelador 44h/semanais + 2 ASG 44h/semanais, 6xsemana. 
Novo valor apartir de Abril/13: R$ 18.800,62
FN: 27/03/13</t>
        </r>
      </text>
    </comment>
    <comment ref="N32" authorId="1" shapeId="0" xr:uid="{033C04D1-318B-41C0-AF4F-7AA26EB3B2A1}">
      <text>
        <r>
          <rPr>
            <sz val="9"/>
            <color indexed="81"/>
            <rFont val="Segoe UI"/>
            <family val="2"/>
          </rPr>
          <t>Gabriela:
Retenção na fonte de ISS a partir de Jan/2023, pois o cliente é substituto tributário e possui Inscrição estadual no DF e o sistema não aceitou a transmissão da NF sem retenção.</t>
        </r>
      </text>
    </comment>
    <comment ref="B33" authorId="0" shapeId="0" xr:uid="{DA2B7DE6-0EEB-444D-85BA-0DF88B193AE9}">
      <text>
        <r>
          <rPr>
            <sz val="9"/>
            <color indexed="81"/>
            <rFont val="Tahoma"/>
            <family val="2"/>
          </rPr>
          <t xml:space="preserve">Kátia: A partir de 01/11/2024 os serviços de limpeza passam a ser faturado na franquia da LDF 005.
FN: E-mail do dia 11/11/2024.
Kátia: A partir de 01/09/2023 foi incluído a gratificação do auxiliar de Encarregado a pedido do cliente.
VALOR C/INCLUÇÃO DE 01 ASG: R$ 27.237,10 (3asg+1 aux enc)+ 5.184,34(1asg44h)= 32.421,44
Gratif. 150,00 + impostos da nota = 232,31
Valor: R$ 32.653,75
DVP  - Não teve.
FN: 30.08.23
Gabriela: A partir de 17/04/2023 cliente solicitou o retonro de 01 asg 44h 6x por semana.
Valor: R$ 32.421,44.
DVP  - reajuste renegociado 7,16 % de jan/23
FN: 27.04.23
Carina: A partir de Dez/2017 acréscimo de 01 ASG.
Valor: R$ 4.316,27
Inicio: 01/12/2017
DVP: 024/719/2017
TOTAL: R$ 23.722,68
FN: 05/12/2017
Carina: Alteração da razão social e CNPJ.
FN: 27/11/2017.
Lorena: Serviço de limpeza 7x/sem. 
Valor:
Servente 44h: R$ 11.695,71
Aux.Enc.: R$ 5.043,82
Jardineiro: R$ 507,47
Piscineiro: R$ 582,66
Mat/Equip.: R$ 1.576,75
TOTAL: R$ 19.406,41
Inicio: 01/06/2017
DVP: 001/304/2017
FN: 29/05/2017
</t>
        </r>
      </text>
    </comment>
    <comment ref="B34" authorId="0" shapeId="0" xr:uid="{8C5934A9-5F49-4552-8B22-1812DD6CADE2}">
      <text>
        <r>
          <rPr>
            <sz val="9"/>
            <color indexed="81"/>
            <rFont val="Tahoma"/>
            <family val="2"/>
          </rPr>
          <t xml:space="preserve">Carina: Alteração da razão social e CNPJ.
FN: 27/11/2017.
Lorena: Serviço de portaria Diurna e Noturna. 
Valor: R$ 14.593,59
Inicio: 01/06/2017
DVP: 001/304/2017
FN: 29/05/2017
</t>
        </r>
      </text>
    </comment>
    <comment ref="K34" authorId="0" shapeId="0" xr:uid="{7EAD94E2-9EF4-4C13-86E0-3073CB962956}">
      <text>
        <r>
          <rPr>
            <sz val="9"/>
            <color indexed="81"/>
            <rFont val="Tahoma"/>
            <family val="2"/>
          </rPr>
          <t xml:space="preserve">Carina: A partir de Janeiro/2018 retirada a retenção na fonte tendo em vista que o cliente não comprovou os recolhimentos dos anos anteriores.
Retirada conforme do Sr. Antonio.
E devidamente informado ao FRQ.
16/01/2018.
</t>
        </r>
      </text>
    </comment>
    <comment ref="M34" authorId="0" shapeId="0" xr:uid="{5AC1E839-800C-480A-ADAC-FFD69C5665E5}">
      <text>
        <r>
          <rPr>
            <sz val="9"/>
            <color indexed="81"/>
            <rFont val="Tahoma"/>
            <family val="2"/>
          </rPr>
          <t xml:space="preserve">Carina: A partir de Janeiro/2018 retirada a retenção na fonte tendo em vista que o cliente não comprovou os recolhimentos dos anos anteriores.
Retirada conforme do Sr. Antonio.
E devidamente informado ao FRQ.
16/01/2018.
</t>
        </r>
      </text>
    </comment>
    <comment ref="B35" authorId="0" shapeId="0" xr:uid="{5BAE9006-3C72-4E25-B89F-BF8ED5B1B637}">
      <text>
        <r>
          <rPr>
            <sz val="9"/>
            <color indexed="81"/>
            <rFont val="Tahoma"/>
            <family val="2"/>
          </rPr>
          <t xml:space="preserve">Gabriela: a partir de 01/09/2022, redução de 01 asg 44h e dado um desconto de R$ 2.200,00 devido a cotação/concorrência. 
Valor: R$ 44.220,88
DVP: não tem
FN: 01/09/22
Gabriela: A partir de 01/01/2022 aumento de contrato, com a inclusão de jardineiro, 2x/sem.
Valor: R$  17.788,03 + 1.945,63 = 19.733,66
DVP: 023/224/21
FN: 07/01/22
Carina: A partir de Janeiro/2018 serviço passa a ser prestado pela L/DF 005.
Portaria 24 horas: R$ 15.246,62
19/01/2018.
Lorena:
Limpeza 7x/sem - R$ 11.802,86
Encarregado 44h/sem - R$ 5.140,22
Portaria 12x36 - R$ 14.516,08
TOTAL: R$ 31.459,16
Inicio: 20/11/2016
DVP: 027/710/2016
FN: 23/11/2016
</t>
        </r>
      </text>
    </comment>
    <comment ref="B36" authorId="0" shapeId="0" xr:uid="{499A7033-910B-458E-B9D7-AB5A6A21341E}">
      <text>
        <r>
          <rPr>
            <sz val="9"/>
            <color indexed="81"/>
            <rFont val="Tahoma"/>
            <family val="2"/>
          </rPr>
          <t xml:space="preserve">Gabriela: a partir de 01/09/2022, redução de 01 asg 44h e dado um desconto de R$ 2.200,00 devido a cotação/concorrência. 
Valor: R$ 44.220,88
DVP: não tem
FN: 01/09/22
Kátia: A partir de 01/08/2022 os serviços de Limpeza da LDF 023 passa para faturar na LDF 005, devido a questões contábeis.
Valor: R$ 29.636,29
FN: 01/08/22
Gabriela: A partir de 01/01/2022 redução de contrato com exclusão do serviço de jardinagem da LDF 023, passado para faturar na LDF 005, devido a questões contábeis.
Valor: R$ 27.065,10
FN: 07/01/22
Gabriela: A partir de 01/07/2021 aumento de contrato, com a inclusão de jardineiro, 2x/sem.
Valor: R$  27.065,10 + 1.945,63 = 29.010,73
DVP: 023/224/21
FN: 28/06/21
Gabriela: 01 auxiliar de serviços gerais diurno 44h 6x sem.
Valor: R$ 4.536,09
Início: 15/09/2020
DVP: 024/501/2020
FN: 01/09/2020
Lorena: A partir de Jan/2020 acrescimo de gratificação do aux. de encarregado. 
Valor: R$ 446,31 
TOTAL: R$ 20.848,32
FN: 14/01/2020
Carina: A partir de Janeiro/2018 serviço de limpeza passa a ser prestado pela L/DF 023.
Limpeza (03 ASG): R$ 11.993,52
Material: R$ 480,41
Equipamento: R$ 1.208,33
Valor: R$ 13.682,26
19/01/2018.
Lorena:
Limpeza 7x/sem - R$ 11.802,86
Encarregado 44h/sem - R$ 5.140,22
Portaria 12x36 - R$ 14.516,08
TOTAL: R$ 31.459,16
Inicio: 20/11/2016
DVP: 027/710/2016
FN: 23/11/2016
</t>
        </r>
      </text>
    </comment>
    <comment ref="B37" authorId="0" shapeId="0" xr:uid="{3939849F-984A-4C98-87BE-BF623C957A4A}">
      <text>
        <r>
          <rPr>
            <sz val="9"/>
            <color indexed="81"/>
            <rFont val="Tahoma"/>
            <family val="2"/>
          </rPr>
          <t xml:space="preserve">Gabriela: a partir de 01/09/2022, redução de 01 asg 44h e dado um desconto de R$ 2.200,00 devido a cotação/concorrência. 
Valor: R$ 44.220,88
DVP: não tem
FN: 01/09/22
Gabriela: A partir de 01/01/2022 aumento de contrato, com a inclusão de jardineiro, 2x/sem.
Valor: R$  17.788,03 + 1.945,63 = 19.733,66
DVP: 023/224/21
FN: 07/01/22
Carina: A partir de Janeiro/2018 serviço passa a ser prestado pela L/DF 005.
Portaria 24 horas: R$ 15.246,62
19/01/2018.
Lorena:
Limpeza 7x/sem - R$ 11.802,86
Encarregado 44h/sem - R$ 5.140,22
Portaria 12x36 - R$ 14.516,08
TOTAL: R$ 31.459,16
Inicio: 20/11/2016
DVP: 027/710/2016
FN: 23/11/2016
</t>
        </r>
      </text>
    </comment>
    <comment ref="B38" authorId="0" shapeId="0" xr:uid="{807EB449-09D1-43E9-9870-659D85BF525C}">
      <text>
        <r>
          <rPr>
            <sz val="9"/>
            <color indexed="81"/>
            <rFont val="Tahoma"/>
            <family val="2"/>
          </rPr>
          <t xml:space="preserve">Gabriela: A partir de 01/12/2024 mudança de franquia da L/DF 024 para L/DF 005.
FN: 02.12.2024
Lorena: 
01 ASG diaria 44h/sem - R$ 4.106,73
01 ASG noturno 44h/sem - R$ 4.339,98
Equip./Mat - R$ 1.515,08
Manutenção da Lavadora - R$ 1.430,00
TOTAL: R$ 11.391,79
Inicio: 01/12/2018
DVP: 023/538/18
FN: 11/12/18
</t>
        </r>
      </text>
    </comment>
    <comment ref="B39" authorId="0" shapeId="0" xr:uid="{FE1272DE-A809-4B88-8AD4-4894E22F536D}">
      <text>
        <r>
          <rPr>
            <sz val="9"/>
            <color indexed="81"/>
            <rFont val="Tahoma"/>
            <family val="2"/>
          </rPr>
          <t xml:space="preserve">Gabriela: A partir de 01/12/2024 mudança de franquia da L/DF 024 para L/DF 005.
FN: 02.12.2024
Lorena: 
01 ASG diaria 44h/sem - R$ 4.106,73
01 ASG noturno 44h/sem - R$ 4.339,98
Equip./Mat - R$ 1.515,08
Manutenção da Lavadora - R$ 1.430,00
TOTAL: R$ 11.391,79
Inicio: 01/12/2018
DVP: 023/538/18
FN: 11/12/18
</t>
        </r>
      </text>
    </comment>
    <comment ref="B40" authorId="0" shapeId="0" xr:uid="{1B4B2D33-CB43-46DE-8F3B-ED2E18A272E7}">
      <text>
        <r>
          <rPr>
            <sz val="9"/>
            <color indexed="81"/>
            <rFont val="Tahoma"/>
            <family val="2"/>
          </rPr>
          <t xml:space="preserve">Gabriela: A partir de 01/12/2024 mudança de franquia da L/DF 024 para L/DF 005.
FN: 02.12.2024
Lorena: 
01 ASG diaria 44h/sem - R$ 4.106,73
01 ASG noturno 44h/sem - R$ 4.339,98
Equip./Mat - R$ 1.515,08
Manutenção da Lavadora - R$ 1.430,00
TOTAL: R$ 11.391,79
Inicio: 01/12/2018
DVP: 023/538/18
FN: 11/12/18
</t>
        </r>
      </text>
    </comment>
    <comment ref="B41" authorId="0" shapeId="0" xr:uid="{A965BF1C-1EFA-4976-85B0-94E35E09BA27}">
      <text>
        <r>
          <rPr>
            <sz val="9"/>
            <color indexed="81"/>
            <rFont val="Tahoma"/>
            <family val="2"/>
          </rPr>
          <t xml:space="preserve">Kátia: Prestação serviço limpeza e portaria.
02 postos de portaria diurna 12x36  -  19.457,76........................4.864,44x4
02 postos de portaria noturna 12x36-  22.110,00........................5.527,50x4
01 agp diu 44h 6x sem –                       5.528,11.........................5.528,11
01 Encarregado diurno 44h, 6x sem –  8.536,46.........................8.536,46
03 asg diurnos 44h, 6x sem –             15.671,72.........................5.223,91x3
02 asg diurnos escala 12x36 –              9.120,46........................4.560.23x2
Produtos e equipamentos –                   2.491,67
Total...................................................82.916,19
Valor: R$ 82.916,19
Inicio: 01/06/2023
DVP: 005/109/23
FN: 24/05/2023
</t>
        </r>
      </text>
    </comment>
    <comment ref="B42" authorId="0" shapeId="0" xr:uid="{0E69BFB8-4A98-4B82-AFCA-9D51474CD8F2}">
      <text>
        <r>
          <rPr>
            <sz val="9"/>
            <color indexed="81"/>
            <rFont val="Tahoma"/>
            <family val="2"/>
          </rPr>
          <t xml:space="preserve">Kátia: Prestação serviço limpeza e portaria.
02 postos de portaria diurna 12x36  -  19.457,76........................4.864,44x4
02 postos de portaria noturna 12x36-  22.110,00........................5.527,50x4
01 agp diu 44h 6x sem –                       5.528,11.........................5.528,11
01 Encarregado diurno 44h, 6x sem –  8.536,46.........................8.536,46
03 asg diurnos 44h, 6x sem –             15.671,72.........................5.223,91x3
02 asg diurnos escala 12x36 –              9.120,46........................4.560.23x2
Produtos e equipamentos –                   2.491,67
Total...................................................82.916,19
Valor: R$ 82.916,19
Inicio: 01/06/2023
DVP: 005/109/23
FN: 24/05/2023
</t>
        </r>
      </text>
    </comment>
    <comment ref="B43" authorId="0" shapeId="0" xr:uid="{6A241D05-5D63-499E-B26B-56D79BC51EF4}">
      <text>
        <r>
          <rPr>
            <sz val="9"/>
            <color indexed="81"/>
            <rFont val="Tahoma"/>
            <family val="2"/>
          </rPr>
          <t xml:space="preserve">Gabriela: A partir de 01/08/2024 aumento de contrato para 2x/sem.
Valor: R$ 645,36
DVP: 024/047/2024
FN: 30.07.24. 
Gabriela: Houve redução na frequência devido a pandemia e estão mantendo 1x por semana.
Valor: R$ 300,09
FN: 13/01/2023
Gabriela: A partir de Ago/21 mudança de razão social para Loeser, Blanchet E Hadad Advogados.
FN: Devido a envio de e-mail do cliente, observei a assinatura do e-mail e vi que o nome estava diferente e ao consultar o CNPJ na receita vi que a razão social tinha mudado.
- Kessy -
Contrato Mensal
R$ 373,30
</t>
        </r>
      </text>
    </comment>
    <comment ref="K43" authorId="0" shapeId="0" xr:uid="{841A7E14-7564-4213-97FE-069CDFC23E4B}">
      <text>
        <r>
          <rPr>
            <sz val="9"/>
            <color indexed="81"/>
            <rFont val="Tahoma"/>
            <family val="2"/>
          </rPr>
          <t xml:space="preserve">Gabriela: Valor da retenção menor que R$ 10,00.
</t>
        </r>
      </text>
    </comment>
    <comment ref="N43" authorId="0" shapeId="0" xr:uid="{1BB180CB-7466-47C7-9559-E53797B7FEFB}">
      <text>
        <r>
          <rPr>
            <sz val="9"/>
            <color indexed="81"/>
            <rFont val="Tahoma"/>
            <family val="2"/>
          </rPr>
          <t>Gabriela:
Cliente não é subtituto tributário, por esse motivo sistema não aceita NF ir com retenção de ISS. Retenção retirada a partir de Ago/23</t>
        </r>
      </text>
    </comment>
    <comment ref="B44" authorId="0" shapeId="0" xr:uid="{0E95434A-88A0-4B78-A89A-BAFC5D5579E6}">
      <text>
        <r>
          <rPr>
            <sz val="9"/>
            <color indexed="81"/>
            <rFont val="Tahoma"/>
            <family val="2"/>
          </rPr>
          <t xml:space="preserve">Gabriela: A partir de 01/12/2024 mudança de franquia da L/DF 024 para L/DF 005.
FN: 02.12.2024
Kátia: Serviço de Limpeza com 2 asg 6x 44h.
Valor: R$ 9.195,80
Data de Inicio: 22/07/2020
DVP: 024.473.20
FN: 22/07/2020
</t>
        </r>
      </text>
    </comment>
    <comment ref="E44" authorId="0" shapeId="0" xr:uid="{55BD3EF0-5535-4FA3-A4B4-45AEFC808AB5}">
      <text>
        <r>
          <rPr>
            <sz val="9"/>
            <color indexed="81"/>
            <rFont val="Tahoma"/>
            <family val="2"/>
          </rPr>
          <t>Kátia: Cliente informou que os pagamentos serão sempre na sexta-feira.
E-mail da Sra. Maria Zenaide em 12/09/2023.</t>
        </r>
      </text>
    </comment>
    <comment ref="B45" authorId="0" shapeId="0" xr:uid="{63DD9F2F-776C-4D46-8F69-32CD00C50E07}">
      <text>
        <r>
          <rPr>
            <sz val="9"/>
            <color indexed="81"/>
            <rFont val="Tahoma"/>
            <family val="2"/>
          </rPr>
          <t>Kátia: A partir de 01/08/2022 acrescentou ao presente contrato 01 Copeira Limpadora.
Valor: R$ 7.054,81
Inicio da Alteração: 01/08/2022
DVP: Não teve
FN: 25/07/2022
Lorena: A partir de Ago/16, acrescimo do serviço de Cop/Limp. 
Valor: Cop/Limp.: R$ 3.981,92 
          Mot.: R$ 5.174,94
TOTAL: R$ 9.156,86
Inicio: 01/08/2016
DVP: 005/457/2016
FN: 02/08/2016
Lorena: A partir de Abr/16 cliente passa a ser atendido pela L/DF 005. 
FN: 28/03/2016
Lorena: Motorista 44h/semanal.
Valor: R$ 3.703,15
Inicio: 01/10/2013
DVP: 005/576/2013
FN: 27/09/2013</t>
        </r>
      </text>
    </comment>
    <comment ref="B46" authorId="0" shapeId="0" xr:uid="{671E2BAD-659F-4E33-AD74-8ADD98DA6EF5}">
      <text>
        <r>
          <rPr>
            <sz val="9"/>
            <color indexed="81"/>
            <rFont val="Tahoma"/>
            <family val="2"/>
          </rPr>
          <t>Gabriela: Redução de contrato a partir de 11/09/2024, devido a troca da funcionária Alexsandra e o retorno do salário ao valor base da categoria Sindiserviço e retirada do plano de ambulatorial, por motivo de contenção de despesas. 
Valor: R$ 6.543,74
DVP: 005/835/24
FN: 30.09.23
Kátia: A partir de 01/08/2022 acrescentou ao presente contrato 01 Copeira Limpadora.
Valor: R$ 7.054,81
Inicio da Alteração: 01/08/2022
DVP: Não teve
FN: 25/07/2022
Lorena: A partir de Ago/16, acrescimo do serviço de Cop/Limp. 
Valor: Cop/Limp.: R$ 3.981,92 
          Mot.: R$ 5.174,94
TOTAL: R$ 9.156,86
Inicio: 01/08/2016
DVP: 005/457/2016
FN: 02/08/2016
Lorena: A partir de Abr/16 cliente passa a ser atendido pela L/DF 005. 
FN: 28/03/2016
Lorena: Motorista 44h/semanal.
Valor: R$ 3.703,15
Inicio: 01/10/2013
DVP: 005/576/2013
FN: 27/09/2013</t>
        </r>
      </text>
    </comment>
    <comment ref="B47" authorId="2" shapeId="0" xr:uid="{DE71CF4F-270F-4464-A92A-51FDF3A0C6BD}">
      <text>
        <r>
          <rPr>
            <b/>
            <sz val="9"/>
            <color indexed="81"/>
            <rFont val="Segoe UI"/>
            <family val="2"/>
          </rPr>
          <t xml:space="preserve">Gabriela: </t>
        </r>
        <r>
          <rPr>
            <sz val="9"/>
            <color indexed="81"/>
            <rFont val="Segoe UI"/>
            <family val="2"/>
          </rPr>
          <t>Serviço avulso de copeira limpadora, por por 6 meses, com início em 30/06/25.
Valor: R$ 7.208,82 (6.976,28+232,54) 
DVP: 005/612/25
FN: 29/07/25</t>
        </r>
      </text>
    </comment>
    <comment ref="C47" authorId="2" shapeId="0" xr:uid="{D3A45AD5-75AC-4DB7-9A1C-3D6AFDFB8751}">
      <text>
        <r>
          <rPr>
            <b/>
            <sz val="9"/>
            <color indexed="81"/>
            <rFont val="Segoe UI"/>
            <family val="2"/>
          </rPr>
          <t xml:space="preserve">Gabriela: </t>
        </r>
        <r>
          <rPr>
            <sz val="9"/>
            <color indexed="81"/>
            <rFont val="Segoe UI"/>
            <family val="2"/>
          </rPr>
          <t>Esse avulso de 6 meses será emitido por mês vencido. Em Agosto foi emitido o serviço prestado em julho.
FN: Confirmado pelo wpp dia 08/07/25</t>
        </r>
      </text>
    </comment>
    <comment ref="B48" authorId="0" shapeId="0" xr:uid="{2DC7124F-E027-4738-9A0F-534187DF5975}">
      <text>
        <r>
          <rPr>
            <sz val="9"/>
            <color indexed="81"/>
            <rFont val="Tahoma"/>
            <family val="2"/>
          </rPr>
          <t xml:space="preserve">Kátia: A partir de 01/11/2024 os serviços de limpeza passam a ser faturado na franquia da LDF 005.
FN: E-mail do dia 11/11/2024.
Kátia: Serviço de Limpeza e Conservação 5x semana.
Valor: R$ 10.108,42
Inicio: 16/05/2022
DVP: 024/322/22
FN: 16/05/2022
</t>
        </r>
      </text>
    </comment>
    <comment ref="N48" authorId="0" shapeId="0" xr:uid="{271244AE-FACC-411B-B7D8-656FF82A8D84}">
      <text>
        <r>
          <rPr>
            <sz val="9"/>
            <color indexed="81"/>
            <rFont val="Tahoma"/>
            <family val="2"/>
          </rPr>
          <t xml:space="preserve">Kátia: Sistema da Sefaz DF, não permite retenção de ISS quando o cliente não tem inscrição no DF.
</t>
        </r>
      </text>
    </comment>
    <comment ref="B49" authorId="1" shapeId="0" xr:uid="{C0D626E8-A6DD-43DA-95DA-3EC375CC6C6D}">
      <text>
        <r>
          <rPr>
            <sz val="9"/>
            <color indexed="81"/>
            <rFont val="Segoe UI"/>
            <family val="2"/>
          </rPr>
          <t>Gabriela: Serviço de limpeza avulsa evento ENCONTRO REGIONAL ABRAHY 2025 - 04 e 05/08/25.
Valor: R$ 470,00
DVP: reajustado em 6,85 % - jan/25
FN: 05/08/25.</t>
        </r>
      </text>
    </comment>
    <comment ref="E49" authorId="1" shapeId="0" xr:uid="{1C1BC81F-1F82-4C49-8B46-545CC5DB667B}">
      <text>
        <r>
          <rPr>
            <sz val="9"/>
            <color indexed="81"/>
            <rFont val="Segoe UI"/>
            <family val="2"/>
          </rPr>
          <t>Gabriela:
cliente solicitou através do e-mial dia 29/09/23 vencimento de 5 dias úteis após a emissão da NF</t>
        </r>
      </text>
    </comment>
    <comment ref="N49" authorId="0" shapeId="0" xr:uid="{83EE60FA-D648-45FC-ACFE-A5962988A016}">
      <text>
        <r>
          <rPr>
            <sz val="9"/>
            <color indexed="81"/>
            <rFont val="Tahoma"/>
            <family val="2"/>
          </rPr>
          <t xml:space="preserve">Kátia: Sistema da Sefaz DF, não permite retenção de ISS quando o cliente não tem inscrição no DF.
</t>
        </r>
      </text>
    </comment>
    <comment ref="B50" authorId="1" shapeId="0" xr:uid="{200B9B45-9C99-4372-B4D4-AD8F4DB81145}">
      <text>
        <r>
          <rPr>
            <sz val="9"/>
            <color indexed="81"/>
            <rFont val="Segoe UI"/>
            <family val="2"/>
          </rPr>
          <t>Gabriela: Serviço de limpeza avulsa evento WORKSHOP TRIUNFO - 30/07/25  
Valor: R$ 235,00
DVP: reajustado em 6,85 % - jan/25
FN: 30/07/25</t>
        </r>
      </text>
    </comment>
    <comment ref="E50" authorId="1" shapeId="0" xr:uid="{79762F57-1D13-4B51-B3C3-4ADB776CB234}">
      <text>
        <r>
          <rPr>
            <sz val="9"/>
            <color indexed="81"/>
            <rFont val="Segoe UI"/>
            <family val="2"/>
          </rPr>
          <t>Gabriela:
cliente solicitou através do e-mial dia 29/09/23 vencimento de 5 dias úteis após a emissão da NF</t>
        </r>
      </text>
    </comment>
    <comment ref="N50" authorId="0" shapeId="0" xr:uid="{F7A4FF4B-79B6-4AD5-9D1A-5DD01ED49333}">
      <text>
        <r>
          <rPr>
            <sz val="9"/>
            <color indexed="81"/>
            <rFont val="Tahoma"/>
            <family val="2"/>
          </rPr>
          <t xml:space="preserve">Kátia: Sistema da Sefaz DF, não permite retenção de ISS quando o cliente não tem inscrição no DF.
</t>
        </r>
      </text>
    </comment>
    <comment ref="B51" authorId="0" shapeId="0" xr:uid="{18EA1683-CA4A-48A4-A2FC-6FB308B62DB3}">
      <text>
        <r>
          <rPr>
            <sz val="9"/>
            <color indexed="81"/>
            <rFont val="Tahoma"/>
            <family val="2"/>
          </rPr>
          <t>Gabriela: A partir de 01/04/2022 aumento de contrato devido a inclusão do plano ambulatorial.
Valor: R$  3.458,08
FN: 31/03/22
Carina:  A partir de 07/03/2018 serviço passa a ser 5x semana com novo escopo.
Valor: R$ 2.724,25
Inicio: 07/03/2018
DVP: 005/048/2018
FN: 28/02/2018.
Lorena: A partir de Fev/17 redução da sala 602. 
Valor: R$ 1.271,99
Inicio: 01/02/2017
DVP: Não teve
FN: 17/01/2017
Lorena: A partir de Mai/16 redução das salas 820 e 823. 
Valor: R$ 2.923,20
Inicio: 02/05/2016
DVP: 005/296/16
FN: 28/04/2016
Lorena: A partir de Abril/2014 incluir o valor da sala 602 Bloco A
Valor: R$ 2.772,37
Inicio: 01/04/2014
DVP: Não teve. Valor que era cobrado na sala em 2014.
FN: 28/03/2014
DANI
Alteração no Contrato Mensal, a partir de 01/02/2012.
DVP 005/063/2012
Limpeza 5x semana.
R$ 1.097,41</t>
        </r>
      </text>
    </comment>
    <comment ref="N51" authorId="0" shapeId="0" xr:uid="{7F2F64A9-D182-4A50-8857-A283211E54B7}">
      <text>
        <r>
          <rPr>
            <sz val="9"/>
            <color indexed="81"/>
            <rFont val="Tahoma"/>
            <family val="2"/>
          </rPr>
          <t>Gabriela:
Cliente não é subtituto tributário, por esse motivo sistema não aceita NF ir com retenção de ISS. Retenção retirada a partir de Ago/23</t>
        </r>
      </text>
    </comment>
    <comment ref="B52" authorId="0" shapeId="0" xr:uid="{BA765417-AEA5-401D-8E60-E552791F7942}">
      <text>
        <r>
          <rPr>
            <sz val="9"/>
            <color indexed="81"/>
            <rFont val="Tahoma"/>
            <family val="2"/>
          </rPr>
          <t>Lorena: A partir de Abril/14 serviço passa a ser prestado por uma copeira/limpadora, 5x/sem (44h)
Valor: R$ 3.184,74
Inicio: 01/04/2014
DVP: 005/029/2014
FN: 28/03/2014
Lorena:
A partir de 18/03/13 o serviço passara a 3x semana com retorno 2x semana para manutenção.
Valor: 1.104,64
DVP: 005/179/2013
FN: 13/03/2013
FINANCEIRO: 
A partir de Novembro de 2011o serviço de limpeza passará para 3x semana nas salas 1102 a 1105.
DVP:005/493/2011
R$ 559,06
Daniele:
Limpeza 2xsemana
Início: 10/10/12
DVP 005/718/2012
R$ 265,96
valor do contrato reajustado 01/2013 - R$ 973,52</t>
        </r>
      </text>
    </comment>
    <comment ref="B53" authorId="0" shapeId="0" xr:uid="{DD8946C0-A1ED-4225-AAAA-A09ADD82F28D}">
      <text>
        <r>
          <rPr>
            <sz val="9"/>
            <color indexed="81"/>
            <rFont val="Tahoma"/>
            <family val="2"/>
          </rPr>
          <t xml:space="preserve">Kátia: Cliente Solicitou a inclusão do plano ambulatoria a partir de 01/03/2024.
Novo valor da Limpeza: R$ 18.277,47
Novo valor da Portaria Diurna: R$ 13.361,14
Novo valor da Portaria Noturna: R$ 15.400,76
FN: Planilha de 03/2024.
Lorena: A partir de Mai/16 serviço de portaria passa a ser faturado pela L/DF 005. 
02/05/2016
Lorena: Serviço de limpeza e portaria
Valor:
Serviço de Limpeza/Copa 44h/sem. - R$ 3.694,03
01 Servente de limpeza 44h/sem. - R$ 3.694,03
Portaria Diurna - R$ 7.829,85
Portaria Noturna - R$ 9.099,98
TOTAL: R$ 24.317,89
Inicio: 01/04/2016
DVP: 001/082/16
FN: 04/04/2016
</t>
        </r>
      </text>
    </comment>
    <comment ref="N53" authorId="0" shapeId="0" xr:uid="{8D9D2B2F-8046-49B2-BF0A-AE4F6BCBFBC2}">
      <text>
        <r>
          <rPr>
            <sz val="9"/>
            <color indexed="81"/>
            <rFont val="Tahoma"/>
            <family val="2"/>
          </rPr>
          <t>Gabriela:
Cliente não é subtituto tributário, por esse motivo sistema não aceita NF ir com retenção de ISS. Retenção retirada a partir de Ago/23</t>
        </r>
      </text>
    </comment>
    <comment ref="B54" authorId="0" shapeId="0" xr:uid="{CB507521-BC00-4F9C-88BB-ACDD31E3E82F}">
      <text>
        <r>
          <rPr>
            <sz val="9"/>
            <color indexed="81"/>
            <rFont val="Tahoma"/>
            <family val="2"/>
          </rPr>
          <t xml:space="preserve">Kátia: Cliente Solicitou a inclusão do plano ambulatoria a partir de 01/03/2024.
Novo valor da Limpeza: R$ 18.277,47
Novo valor da Portaria Diurna: R$ 13.361,14
Novo valor da Portaria Noturna: R$ 15.400,76
FN: Planilha de 03/2024.
Lorena: A partir de Mai/16 serviço de portaria passa a ser faturado pela L/DF 005. 
02/05/2016
Lorena: Serviço de limpeza e portaria
Valor:
Serviço de Limpeza/Copa 44h/sem. - R$ 3.694,03
01 Servente de limpeza 44h/sem. - R$ 3.694,03
Portaria Diurna - R$ 7.829,85
Portaria Noturna - R$ 9.099,98
TOTAL: R$ 24.317,89
Inicio: 01/04/2016
DVP: 001/082/16
FN: 04/04/2016
</t>
        </r>
      </text>
    </comment>
    <comment ref="N54" authorId="0" shapeId="0" xr:uid="{9F722A89-740C-4E54-B445-912B5DD3FCAA}">
      <text>
        <r>
          <rPr>
            <sz val="9"/>
            <color indexed="81"/>
            <rFont val="Tahoma"/>
            <family val="2"/>
          </rPr>
          <t>Gabriela:
Cliente não é subtituto tributário, por esse motivo sistema não aceita NF ir com retenção de ISS. Retenção retirada a partir de Ago/23</t>
        </r>
      </text>
    </comment>
    <comment ref="B55" authorId="0" shapeId="0" xr:uid="{20C89D4A-2436-49C3-8839-1FA33C7EB267}">
      <text>
        <r>
          <rPr>
            <sz val="9"/>
            <color indexed="81"/>
            <rFont val="Tahoma"/>
            <family val="2"/>
          </rPr>
          <t xml:space="preserve">Gabriela: A partir de 01/03/2024 aumento de contrato devido a inclusão de gratificação de encarregado.
Valor: R$ 86.381,46
DVP: não tem
FN: 06.03.24.
Gabriela: A partir de 18/07/2023 aumento de contrato com inclusão de 1 asg 12x36 e 2 agp noturno.
Valor total: R$ 79.299,97
Portaria R$ 46.061,10
Limpeza R$ 33.238,87
FN: 27.07.23 e conversa com a Mohana pelo wpp do ER em 08/08/2023
Kátia: A partir de 23/05/23, aumento de contrato com a inclusão de 01 POSTO ASG DIURNO 12X36. E a partir de 18/07/23, aumento de contrato com a inclusão de 01 POSTO AGP NOTURNO.
CONTRATO JAN/23: 
48.446,99(7,31%)+5.187,71(1ASG 07/02)+5.489,81(1AGP 06/03 )+9.120,46(2 ASG 12x36 23/05)+11.055,00(2AGP NOT 18/07 )=79.299,97
Valor: R$ 79.299,97
DVP: Não Informado
FN: 27.07.23
Gabriela: A partir de 01/05/23, aumento de contrato devido a inclusão de 1 asg 44h 6x sem
Valor: R$ 64.312,22
DVP: 005/111/23 
FN: 06.03.23
Gabriela: A partir de 06/03/23, aumento de contrato devido a inclusão de 1 agp 44h.
Valor: R$ 59.124,51
DVP: 005/111/23 
FN: 06.03.23
Gabriela: A partir de 07/02/23, aumento de contrato devido a inclusão de 1 asg.
Valor: R$ 53.634,70
FN: 08.02.23
Kátia:  Prestação de Serviço de Limpeza e Portaria.
Limpeza (7x semana -2 Profissionais) : R$ 9.387,18
Lider de Equipe (6x semana - 01 Profissional): R$ 6.126,16
Materias e Equipamentos de Limpeza: R$ 2.172,92
Portaria Diurna (7x semana - 1 Posto - Entrada Principal e Garagem): R$ 17.577,42
Portaria Noturna (7x semana - 1 Posto - Entrada Principal): R$ 9.883,08
Valor: R$ 45.176,76
Inicio: 21/11/2022
DVP: 005/705/22 - (Condomínio Signature Park Sul)
FN: 27/11/2022
</t>
        </r>
      </text>
    </comment>
    <comment ref="B56" authorId="0" shapeId="0" xr:uid="{674D84BE-AAA5-4AF3-B2E1-D615C0A980E5}">
      <text>
        <r>
          <rPr>
            <sz val="9"/>
            <color indexed="81"/>
            <rFont val="Tahoma"/>
            <family val="2"/>
          </rPr>
          <t xml:space="preserve">Gabriela: A partir de 18/07/2023 aumento de contrato com inclusão de 1 asg 12x36 e 2 agp noturno.
Valor total: R$ 79.299,97
Portaria R$ 46.061,10
Limpeza R$ 33.238,87
FN: 27.07.23 e conversa com a Mohana pelo wpp do ER em 08/08/2023
Kátia: A partir de 23/05/23, aumento de contrato com a inclusão de 01 POSTO ASG DIURNO 12X36. E a partir de 18/07/23, aumento de contrato com a inclusão de 01 POSTO AGP NOTURNO.
CONTRATO JAN/23: 
48.446,99(7,31%)+5.187,71(1ASG 07/02)+5.489,81(1AGP 06/03 )+9.120,46(2 ASG 12x36 23/05)+11.055,00(2AGP NOT 18/07 )=79.299,97
Valor: R$ 79.299,97
DVP: Não Informado
FN: 27.07.23
Gabriela: A partir de 01/05/23, aumento de contrato devido a inclusão de 1 asg 44h 6x sem
Valor: R$ 64.312,22
DVP: 005/111/23 
FN: 06.03.23
Gabriela: A partir de 06/03/23, aumento de contrato devido a inclusão de 1 agp 44h.
Valor: R$ 59.124,51
DVP: 005/111/23 
FN: 06.03.23
Gabriela: A partir de 07/02/23, aumento de contrato devido a inclusão de 1 asg.
Valor: R$ 53.634,70
FN: 08.02.23
Kátia:  Prestação de Serviço de Limpeza e Portaria.
Limpeza (7x semana -2 Profissionais) : R$ 9.387,18
Lider de Equipe (6x semana - 01 Profissional): R$ 6.126,16
Materias e Equipamentos de Limpeza: R$ 2.172,92
Portaria Diurna (7x semana - 1 Posto - Entrada Principal e Garagem): R$ 17.577,42
Portaria Noturna (7x semana - 1 Posto - Entrada Principal): R$ 9.883,08
Valor: R$ 45.176,76
Inicio: 21/11/2022
DVP: 005/705/22 - (Condomínio Signature Park Sul)
FN: 27/11/2022
</t>
        </r>
      </text>
    </comment>
    <comment ref="B57" authorId="0" shapeId="0" xr:uid="{610268BC-6A24-4AF9-8DFA-D87002ACE1A0}">
      <text>
        <r>
          <rPr>
            <sz val="9"/>
            <color indexed="81"/>
            <rFont val="Tahoma"/>
            <family val="2"/>
          </rPr>
          <t>Carina: Conforme FN retornar com as retenções na fonte.
FN: 02/02/2018
Lorena: A partir de Jul/15 retira-se o serviço de lavagem de carpete (R$ 235,22).
Valor: R$ 3.593,62
Inicio: 01/07/2015
DVP: Não teve
FN: 29/06/15
FINANCEIRO: A partir de junho/2010:
01 aux. De serviços gerais 44h/semanais+lavagem de carpete. DVP 05/534/03. R$ 2314,81.</t>
        </r>
      </text>
    </comment>
    <comment ref="C57" authorId="0" shapeId="0" xr:uid="{0E49ADC8-7B07-4CE6-8A15-161F86203AD0}">
      <text>
        <r>
          <rPr>
            <sz val="9"/>
            <color indexed="81"/>
            <rFont val="Tahoma"/>
            <family val="2"/>
          </rPr>
          <t>Gabriela: A partir de Set/21 o pagamento passa a ser direto, pois houve mudanças internas no contas a pagar do cliente.
FN: 18/08/21 e e-mail enviado dia 19/08</t>
        </r>
      </text>
    </comment>
    <comment ref="N57" authorId="0" shapeId="0" xr:uid="{6607D469-1F34-4804-97D5-6C25603F0469}">
      <text>
        <r>
          <rPr>
            <sz val="9"/>
            <color indexed="81"/>
            <rFont val="Tahoma"/>
            <family val="2"/>
          </rPr>
          <t>Gabriela:
Cliente não é subtituto tributário, por esse motivo sistema não aceita NF ir com retenção de ISS. Retenção retirada a partir de Ago/23</t>
        </r>
      </text>
    </comment>
    <comment ref="B58" authorId="1" shapeId="0" xr:uid="{22965AD6-F50D-43B0-98B6-FB48296C5EF7}">
      <text>
        <r>
          <rPr>
            <sz val="9"/>
            <color indexed="81"/>
            <rFont val="Segoe UI"/>
            <family val="2"/>
          </rPr>
          <t>Gabriela: Serviço de limpeza avulsa evento ABRASEL – 11 a 15/08/25
Valor: R$ 4.465,00 
DVP: reajustado em 6,85 % - jan/25
FN: 18/08/25</t>
        </r>
      </text>
    </comment>
    <comment ref="E58" authorId="1" shapeId="0" xr:uid="{A8EA2619-2D37-46D7-8588-F1DBAD7E4563}">
      <text>
        <r>
          <rPr>
            <sz val="9"/>
            <color indexed="81"/>
            <rFont val="Segoe UI"/>
            <family val="2"/>
          </rPr>
          <t>Gabriela:
cliente solicitou através do e-mial dia 29/09/23 vencimento de 5 dias úteis após a emissão da NF</t>
        </r>
      </text>
    </comment>
    <comment ref="N58" authorId="0" shapeId="0" xr:uid="{37A396AD-384E-48A5-B379-778892AD10D6}">
      <text>
        <r>
          <rPr>
            <sz val="9"/>
            <color indexed="81"/>
            <rFont val="Tahoma"/>
            <family val="2"/>
          </rPr>
          <t xml:space="preserve">Kátia: Sistema da Sefaz DF, não permite retenção de ISS quando o cliente não tem inscrição no DF.
</t>
        </r>
      </text>
    </comment>
    <comment ref="B59" authorId="1" shapeId="0" xr:uid="{BEB9646B-1068-48B5-8DC4-0C72F698DC09}">
      <text>
        <r>
          <rPr>
            <sz val="9"/>
            <color indexed="81"/>
            <rFont val="Segoe UI"/>
            <family val="2"/>
          </rPr>
          <t>Gabriela: Serviço de limpeza avulsa evento CONGRESSO DIREITO EMPRESARIAL - 14 e 15/08/25
Valor: R$ 940,00
DVP: reajustado em 6,85 % - jan/25
FN: 18/08/25</t>
        </r>
      </text>
    </comment>
    <comment ref="E59" authorId="1" shapeId="0" xr:uid="{F7F02161-F5A4-4805-BE62-A4870957375C}">
      <text>
        <r>
          <rPr>
            <sz val="9"/>
            <color indexed="81"/>
            <rFont val="Segoe UI"/>
            <family val="2"/>
          </rPr>
          <t>Gabriela:
cliente solicitou através do e-mial dia 29/09/23 vencimento de 5 dias úteis após a emissão da NF</t>
        </r>
      </text>
    </comment>
    <comment ref="N59" authorId="0" shapeId="0" xr:uid="{E35013EB-D6FD-47D5-87ED-8B4FF33F94B8}">
      <text>
        <r>
          <rPr>
            <sz val="9"/>
            <color indexed="81"/>
            <rFont val="Tahoma"/>
            <family val="2"/>
          </rPr>
          <t xml:space="preserve">Kátia: Sistema da Sefaz DF, não permite retenção de ISS quando o cliente não tem inscrição no DF.
</t>
        </r>
      </text>
    </comment>
    <comment ref="B60" authorId="1" shapeId="0" xr:uid="{7F43F268-9F13-49D7-946D-56A5B038DE38}">
      <text>
        <r>
          <rPr>
            <sz val="9"/>
            <color indexed="81"/>
            <rFont val="Segoe UI"/>
            <family val="2"/>
          </rPr>
          <t>Gabriela: Serviço de limpeza avulsa evento ENC. NAC. DO PT 2025 - 31/07/25  
Valor: R$ 235,00
DVP: reajustado em 6,85 % - jan/25
FN: 06/08/25</t>
        </r>
      </text>
    </comment>
    <comment ref="E60" authorId="1" shapeId="0" xr:uid="{4687C8C7-4E8F-4B40-81FC-D583C5CE1314}">
      <text>
        <r>
          <rPr>
            <sz val="9"/>
            <color indexed="81"/>
            <rFont val="Segoe UI"/>
            <family val="2"/>
          </rPr>
          <t>Gabriela:
cliente solicitou através do e-mial dia 29/09/23 vencimento de 5 dias úteis após a emissão da NF</t>
        </r>
      </text>
    </comment>
    <comment ref="N60" authorId="0" shapeId="0" xr:uid="{08FD6ED1-2356-48F4-AE67-0740797228BE}">
      <text>
        <r>
          <rPr>
            <sz val="9"/>
            <color indexed="81"/>
            <rFont val="Tahoma"/>
            <family val="2"/>
          </rPr>
          <t xml:space="preserve">Kátia: Sistema da Sefaz DF, não permite retenção de ISS quando o cliente não tem inscrição no DF.
</t>
        </r>
      </text>
    </comment>
    <comment ref="B61" authorId="0" shapeId="0" xr:uid="{A97EA9B9-C52A-4421-9E59-ED0AFCEB2253}">
      <text>
        <r>
          <rPr>
            <sz val="9"/>
            <color indexed="81"/>
            <rFont val="Tahoma"/>
            <family val="2"/>
          </rPr>
          <t>Gabriela: Serviço de Limpeza com 01 asg 5x/sem + limpeza geral com uma equipe 1x no mês.
Valor: R$ 10.799,95 (limpeza geral: R$ 4.706,47 + 1 asg: R$ 6.093,48)
Inicio: 11/08/2025
DVP: 001/730/25
FN: 21/08/2025</t>
        </r>
      </text>
    </comment>
    <comment ref="B62" authorId="0" shapeId="0" xr:uid="{F40A8CD4-258E-4B69-B375-FF3E6442FEBD}">
      <text>
        <r>
          <rPr>
            <sz val="9"/>
            <color indexed="81"/>
            <rFont val="Tahoma"/>
            <family val="2"/>
          </rPr>
          <t>Gabriela: Serviço de Limpeza com 01 asg 5x/sem + limpeza geral com uma equipe 1x no mês.
Valor: R$ 10.799,95 (limpeza geral: R$ 4.706,47 + 1 asg: R$ 6.093,48)
Inicio: 11/08/2025
DVP: 001/730/25
FN: 21/08/2025</t>
        </r>
      </text>
    </comment>
    <comment ref="B63" authorId="1" shapeId="0" xr:uid="{CF0398B7-7492-41B8-AC45-E994600A3A8A}">
      <text>
        <r>
          <rPr>
            <sz val="9"/>
            <color indexed="81"/>
            <rFont val="Segoe UI"/>
            <family val="2"/>
          </rPr>
          <t>Kátia: Serviço de limpeza avulsa evento V SIMPÓSIO TELCOMP - DIA 20/08/25.
Valor: R$ 470,00
R$ 235,00 x 02 diárias = 470,00
DVP: reajustado em 6,85 % - jan/25
FN: 27/08/25</t>
        </r>
      </text>
    </comment>
    <comment ref="E63" authorId="1" shapeId="0" xr:uid="{33708B33-0C77-45CC-90E1-645C17995EB5}">
      <text>
        <r>
          <rPr>
            <sz val="9"/>
            <color indexed="81"/>
            <rFont val="Segoe UI"/>
            <family val="2"/>
          </rPr>
          <t>Gabriela:
cliente solicitou através do e-mial dia 29/09/23 vencimento de 5 dias úteis após a emissão da NF</t>
        </r>
      </text>
    </comment>
    <comment ref="N63" authorId="0" shapeId="0" xr:uid="{17B8A680-95DA-4425-AB71-751CC8149E8D}">
      <text>
        <r>
          <rPr>
            <sz val="9"/>
            <color indexed="81"/>
            <rFont val="Tahoma"/>
            <family val="2"/>
          </rPr>
          <t xml:space="preserve">Kátia: Sistema da Sefaz DF, não permite retenção de ISS quando o cliente não tem inscrição no DF.
</t>
        </r>
      </text>
    </comment>
    <comment ref="B64" authorId="1" shapeId="0" xr:uid="{7E9E597C-E8A1-43C1-B913-470028103CDB}">
      <text>
        <r>
          <rPr>
            <sz val="9"/>
            <color indexed="81"/>
            <rFont val="Segoe UI"/>
            <family val="2"/>
          </rPr>
          <t>Kátia: Serviço de limpeza avulsa evento EDITORA FÓRUM
DIAS 18 a 22/08/25.
Valor: R$ 4.465,00 
R$ 235,00 x 19 diárias = 4.465,00
DVP: reajustado em 6,85 % - jan/25
FN: 27/08/25</t>
        </r>
      </text>
    </comment>
    <comment ref="E64" authorId="1" shapeId="0" xr:uid="{501EFA16-8A6A-491A-92F7-B0E8DADE3749}">
      <text>
        <r>
          <rPr>
            <sz val="9"/>
            <color indexed="81"/>
            <rFont val="Segoe UI"/>
            <family val="2"/>
          </rPr>
          <t>Gabriela:
cliente solicitou através do e-mial dia 29/09/23 vencimento de 5 dias úteis após a emissão da NF</t>
        </r>
      </text>
    </comment>
    <comment ref="N64" authorId="0" shapeId="0" xr:uid="{2BEC68AE-B369-4A56-AAFC-40FCCCB1A462}">
      <text>
        <r>
          <rPr>
            <sz val="9"/>
            <color indexed="81"/>
            <rFont val="Tahoma"/>
            <family val="2"/>
          </rPr>
          <t xml:space="preserve">Kátia: Sistema da Sefaz DF, não permite retenção de ISS quando o cliente não tem inscrição no DF.
</t>
        </r>
      </text>
    </comment>
    <comment ref="B65" authorId="1" shapeId="0" xr:uid="{78382472-8F4A-4628-BAA1-EF56ECEDC2E4}">
      <text>
        <r>
          <rPr>
            <sz val="9"/>
            <color indexed="81"/>
            <rFont val="Segoe UI"/>
            <family val="2"/>
          </rPr>
          <t>Kátia: Serviço de limpeza avulsa evento ALANAC – DIAS 25 e  26/08/25.
Valor: R$ 705,00
R$ 235,00 x 03 diárias = 705,00
DVP: reajustado em 6,85 % - jan/25
FN: 27/08/25</t>
        </r>
      </text>
    </comment>
    <comment ref="E65" authorId="1" shapeId="0" xr:uid="{DE7896E6-17C9-4598-AC69-BCD9C47D547A}">
      <text>
        <r>
          <rPr>
            <sz val="9"/>
            <color indexed="81"/>
            <rFont val="Segoe UI"/>
            <family val="2"/>
          </rPr>
          <t>Gabriela:
cliente solicitou através do e-mial dia 29/09/23 vencimento de 5 dias úteis após a emissão da NF</t>
        </r>
      </text>
    </comment>
    <comment ref="N65" authorId="0" shapeId="0" xr:uid="{A2B12307-6BB4-4DF8-80AB-CB714BE90E53}">
      <text>
        <r>
          <rPr>
            <sz val="9"/>
            <color indexed="81"/>
            <rFont val="Tahoma"/>
            <family val="2"/>
          </rPr>
          <t xml:space="preserve">Kátia: Sistema da Sefaz DF, não permite retenção de ISS quando o cliente não tem inscrição no DF.
</t>
        </r>
      </text>
    </comment>
  </commentList>
</comments>
</file>

<file path=xl/sharedStrings.xml><?xml version="1.0" encoding="utf-8"?>
<sst xmlns="http://schemas.openxmlformats.org/spreadsheetml/2006/main" count="425" uniqueCount="262">
  <si>
    <t>Denominação Social</t>
  </si>
  <si>
    <t>OBSERVAÇÕES</t>
  </si>
  <si>
    <t>RPS / NF</t>
  </si>
  <si>
    <t>Vcto.</t>
  </si>
  <si>
    <t>Valor Bruto anterior 2025</t>
  </si>
  <si>
    <t>Índice de reajuste aplicado - jan/2025</t>
  </si>
  <si>
    <t>Novo valor do contrato - 2025</t>
  </si>
  <si>
    <t>Valor cobrado a menor em Jan/25</t>
  </si>
  <si>
    <t>Valor bruto de Ago/25</t>
  </si>
  <si>
    <t>Retenção IR (para NFs maiores que R$ 1000 - valor da guia deve ser &gt; que R$ 10,00)</t>
  </si>
  <si>
    <t xml:space="preserve">Retenção Seg. Social (11% s/80% do valor bruto da NF que for &gt; que R$ 300,00) </t>
  </si>
  <si>
    <r>
      <t xml:space="preserve">Retenção da Cofins, Pis e CSLL - 4,65% s/valor da NF de Pessoa Jurídica - </t>
    </r>
    <r>
      <rPr>
        <b/>
        <sz val="8"/>
        <color indexed="10"/>
        <rFont val="Arial"/>
        <family val="2"/>
      </rPr>
      <t>valor da guia deve ser &gt; que R$ 10,00</t>
    </r>
  </si>
  <si>
    <t>ISS</t>
  </si>
  <si>
    <t>Valor Líquido Faturado</t>
  </si>
  <si>
    <t>CALL</t>
  </si>
  <si>
    <t>BR BPO Tecnologia e Serviços S.A (Call Florida Mall)</t>
  </si>
  <si>
    <t>Limpeza - GUARA</t>
  </si>
  <si>
    <t>Copa - GUARA</t>
  </si>
  <si>
    <t>BR BPO Tecnologia e Serviços S.A (Call Parque Esplanada II Valparaízo/GO)</t>
  </si>
  <si>
    <t>Limpeza - VALPARAISO</t>
  </si>
  <si>
    <t>Asa Sul</t>
  </si>
  <si>
    <t>Calia/ Y2 Propaganda e Marketing Ltda</t>
  </si>
  <si>
    <t>Arca</t>
  </si>
  <si>
    <t>Condomínio Brasil 21</t>
  </si>
  <si>
    <t>Sl Térreo Bl. C</t>
  </si>
  <si>
    <t>BL A B21</t>
  </si>
  <si>
    <t>Condomínio do Bloco A do Brasil 21 - Torre Comercial</t>
  </si>
  <si>
    <t>Limpeza</t>
  </si>
  <si>
    <t>Bloco B</t>
  </si>
  <si>
    <t>Condominio Do Bloco B Do Brasil 21</t>
  </si>
  <si>
    <t>BL C B21</t>
  </si>
  <si>
    <t xml:space="preserve">Condomínio do Bloco C do Brasil 21 - Torre Comercial </t>
  </si>
  <si>
    <t>BL D</t>
  </si>
  <si>
    <t>Condomínio do Bloco D da SQS 108</t>
  </si>
  <si>
    <t>Portaria</t>
  </si>
  <si>
    <t>Bloco D</t>
  </si>
  <si>
    <t>Condominio Do Bloco D Do Brasil 21</t>
  </si>
  <si>
    <t>BL E B21</t>
  </si>
  <si>
    <t>Condomínio do Bloco E do Brasil 21 - Torre Comercial</t>
  </si>
  <si>
    <t xml:space="preserve">SQN 316 </t>
  </si>
  <si>
    <t>Condominio Do Bloco F Da SQN 316</t>
  </si>
  <si>
    <t xml:space="preserve">Condominio Do Bloco F Da SQN 316                                     </t>
  </si>
  <si>
    <t>Bloco F</t>
  </si>
  <si>
    <t>Condominio Do Bloco F Do Brasil 21</t>
  </si>
  <si>
    <t>SQS</t>
  </si>
  <si>
    <t>Condomínio do Bloco G da SQS 108</t>
  </si>
  <si>
    <t>CEN</t>
  </si>
  <si>
    <t>Condomínio do Edificio Centro Empresarial Norte</t>
  </si>
  <si>
    <t xml:space="preserve">Recepção </t>
  </si>
  <si>
    <t xml:space="preserve">Condomínio do Edificio Centro Empresarial Norte </t>
  </si>
  <si>
    <t>Jardinagem</t>
  </si>
  <si>
    <t>LC</t>
  </si>
  <si>
    <t>Condomínio do Ed Luiz Cruls</t>
  </si>
  <si>
    <t>Manutenção de jardim pelo zelador</t>
  </si>
  <si>
    <t>Ed. Via Lisboa</t>
  </si>
  <si>
    <t>Condomínio do Ed Via Lisboa</t>
  </si>
  <si>
    <t xml:space="preserve">Portaria </t>
  </si>
  <si>
    <t xml:space="preserve">Limpeza </t>
  </si>
  <si>
    <t>VILLA</t>
  </si>
  <si>
    <t>Condomínio do Edificio Villa-Lobos</t>
  </si>
  <si>
    <t>Asa Norte</t>
  </si>
  <si>
    <t>Confederacao Nacional de Dirigentes Lojistas – CNDL</t>
  </si>
  <si>
    <t>DUE</t>
  </si>
  <si>
    <t>Edificio Due Murano</t>
  </si>
  <si>
    <t>Empresa Brasiliense de Estacionamento Ltda (Multipark)</t>
  </si>
  <si>
    <t xml:space="preserve">ASG noturno </t>
  </si>
  <si>
    <t>Materias+lavadora</t>
  </si>
  <si>
    <t>ASG diurno</t>
  </si>
  <si>
    <t>Excellence</t>
  </si>
  <si>
    <t>Excellence Park Sul</t>
  </si>
  <si>
    <t>B 21</t>
  </si>
  <si>
    <t>Loeser e Hadad Advogados (Antigo Loeser e Portela Advogados e Loeser, Blanchet E Hadad Advogado)</t>
  </si>
  <si>
    <t>Newco Programadora e Produtora de Comunicação LTDA</t>
  </si>
  <si>
    <t>CNPJ SP</t>
  </si>
  <si>
    <t>Organização dos Estados Ibero - Americanos - OEI</t>
  </si>
  <si>
    <t>Motorista</t>
  </si>
  <si>
    <t>Copeira/Limpadora</t>
  </si>
  <si>
    <t>Copeira/Limpadora - MÊS DE REFERÊNCIA: 07/2025</t>
  </si>
  <si>
    <t xml:space="preserve">Patrimonial Adminitração de Empreendimentos Ltda (Centro de Eventos e Convenções Brasil 21) </t>
  </si>
  <si>
    <t xml:space="preserve">Evento ENCONTRO REGIONAL ABRAHY 2025 - 04 e 05/08/25 </t>
  </si>
  <si>
    <t xml:space="preserve">Evento WORKSHOP TRIUNFO - 30/07/25 </t>
  </si>
  <si>
    <t>Evento ABRASEL – 11 a 15/08/25</t>
  </si>
  <si>
    <t>Evento CONGRESSO DIREITO EMPRESARIAL - 14 e 15/08/25</t>
  </si>
  <si>
    <t xml:space="preserve">Evento ENC. NAC. DO PT 2025 - 31/07/25 </t>
  </si>
  <si>
    <t>Evento V SIMPÓSIO TELCOMP - DIA 20/08/25</t>
  </si>
  <si>
    <t>Evento EDITORA FÓRUM
DIAS 18 a 22/08/25</t>
  </si>
  <si>
    <t>Evento ALANAC – DIAS 25 e  26/08/25</t>
  </si>
  <si>
    <t xml:space="preserve">Pricewaterhousecoopers Auditores Independentes </t>
  </si>
  <si>
    <r>
      <t>PGTO DIRETO -</t>
    </r>
    <r>
      <rPr>
        <sz val="9"/>
        <color indexed="8"/>
        <rFont val="Arial"/>
        <family val="2"/>
      </rPr>
      <t xml:space="preserve"> #BASEINSSRET R$ 4.315,95 - VENCIMENTO</t>
    </r>
  </si>
  <si>
    <t xml:space="preserve">Programa Mundial de Alimentos das Nações Unidas </t>
  </si>
  <si>
    <t>Copeira/Limpadora - MÊS DE REFERÊNCIA</t>
  </si>
  <si>
    <t>L/DF 033</t>
  </si>
  <si>
    <t>Sergio Bermudes Advogados Associados</t>
  </si>
  <si>
    <t>Portaria Diurna</t>
  </si>
  <si>
    <t>Portaria Noturna</t>
  </si>
  <si>
    <t>Signature</t>
  </si>
  <si>
    <t>Signature Park Sul</t>
  </si>
  <si>
    <t>Visa do Brasil Empreendimentos Ltda</t>
  </si>
  <si>
    <t>PGTO DIRETO</t>
  </si>
  <si>
    <t>Seguro</t>
  </si>
  <si>
    <t>Soma</t>
  </si>
  <si>
    <t>LEGENDA</t>
  </si>
  <si>
    <t>Clientes em vermelho: Clientes cancelados (última fatura) ou serviços avulsos</t>
  </si>
  <si>
    <t>Clientes em negrito: Clientes com data de vencimento diferente do último dia útil do mês</t>
  </si>
  <si>
    <t>Retenções em Negrito: Emitir GPS</t>
  </si>
  <si>
    <t>DC - Dissídio Coletivo</t>
  </si>
  <si>
    <t>NF-e CANCELADAS</t>
  </si>
  <si>
    <t>Franquia emitida por: Gabriela Plácido</t>
  </si>
  <si>
    <t>NF</t>
  </si>
  <si>
    <t>Valor Bruto 2024</t>
  </si>
  <si>
    <t>Índice de reajuste aplicado - jan/2024</t>
  </si>
  <si>
    <t>Novo valor do contrato - 2024</t>
  </si>
  <si>
    <t>Valor cobrado a menor em jan/24</t>
  </si>
  <si>
    <r>
      <rPr>
        <b/>
        <sz val="8"/>
        <color indexed="8"/>
        <rFont val="Arial"/>
        <family val="2"/>
      </rPr>
      <t xml:space="preserve">Retenção da Cofins, Pis e CSLL - 4,65% s/valor da NF de Pessoa Jurídica - </t>
    </r>
    <r>
      <rPr>
        <b/>
        <sz val="8"/>
        <color indexed="10"/>
        <rFont val="Arial"/>
        <family val="2"/>
      </rPr>
      <t>valor da guia deve ser &gt; que R$ 10,00</t>
    </r>
  </si>
  <si>
    <t>Valor Líquido (- impostos)</t>
  </si>
  <si>
    <t>Ed. Brisas</t>
  </si>
  <si>
    <t>ANATRIP</t>
  </si>
  <si>
    <t>Associação Nacional das Empresas de Transporte Rodoviario de Passageiros - ANATRIP</t>
  </si>
  <si>
    <t xml:space="preserve">Asa Norte </t>
  </si>
  <si>
    <t>Baru Arte E Producoes Ltda</t>
  </si>
  <si>
    <t>Checkmedia</t>
  </si>
  <si>
    <t>Check Media Compliance Assessoria Ltda</t>
  </si>
  <si>
    <t>Condomínio do Ed Centro Empresarial Norte</t>
  </si>
  <si>
    <t>SAN RAF</t>
  </si>
  <si>
    <t>Condominio Do Edificio San Raphael Residencial Lago Norte</t>
  </si>
  <si>
    <t>PERIODO</t>
  </si>
  <si>
    <t>Elegance</t>
  </si>
  <si>
    <t>Condominio Elegance Park Sul</t>
  </si>
  <si>
    <r>
      <rPr>
        <sz val="8"/>
        <color indexed="8"/>
        <rFont val="Arial"/>
        <family val="2"/>
      </rPr>
      <t xml:space="preserve">Limpeza - </t>
    </r>
    <r>
      <rPr>
        <b/>
        <sz val="8"/>
        <color indexed="8"/>
        <rFont val="Arial"/>
        <family val="2"/>
      </rPr>
      <t>COMPETÊNCIA</t>
    </r>
  </si>
  <si>
    <r>
      <t xml:space="preserve">Limpeza - </t>
    </r>
    <r>
      <rPr>
        <b/>
        <sz val="8"/>
        <color indexed="10"/>
        <rFont val="Arial"/>
        <family val="2"/>
      </rPr>
      <t>COMPETÊNCIA - Espaço Gourmet realizado dia 26/07/25</t>
    </r>
  </si>
  <si>
    <r>
      <t xml:space="preserve">Limpeza - </t>
    </r>
    <r>
      <rPr>
        <b/>
        <sz val="8"/>
        <color indexed="10"/>
        <rFont val="Arial"/>
        <family val="2"/>
      </rPr>
      <t>COMPETÊNCIA - Salão Eventos e Espaço Gourmet realizado dia 27/07/25</t>
    </r>
  </si>
  <si>
    <r>
      <t xml:space="preserve">Limpeza - </t>
    </r>
    <r>
      <rPr>
        <b/>
        <sz val="8"/>
        <color indexed="10"/>
        <rFont val="Arial"/>
        <family val="2"/>
      </rPr>
      <t>COMPETÊNCIA - Salão Eventos e Espaço Gourmet realizado dia 28/07/25</t>
    </r>
  </si>
  <si>
    <r>
      <t xml:space="preserve">Limpeza - </t>
    </r>
    <r>
      <rPr>
        <b/>
        <sz val="8"/>
        <color indexed="10"/>
        <rFont val="Arial"/>
        <family val="2"/>
      </rPr>
      <t>COMPETÊNCIA - Espaço Gourmet realizado dia 15/08/25</t>
    </r>
  </si>
  <si>
    <r>
      <t xml:space="preserve">Limpeza - </t>
    </r>
    <r>
      <rPr>
        <b/>
        <sz val="8"/>
        <color indexed="10"/>
        <rFont val="Arial"/>
        <family val="2"/>
      </rPr>
      <t>COMPETÊNCIA - Salão Eventos e Espaço Gourmet realizado dia 16/08/25</t>
    </r>
  </si>
  <si>
    <r>
      <t xml:space="preserve">Limpeza - </t>
    </r>
    <r>
      <rPr>
        <b/>
        <sz val="8"/>
        <color indexed="10"/>
        <rFont val="Arial"/>
        <family val="2"/>
      </rPr>
      <t>COMPETÊNCIA - Salão Eventos e Espaço Gourmet realizado dia 24/08/25</t>
    </r>
  </si>
  <si>
    <t>Confederacao Nacional De Dirigentes Lojistas - CNDL</t>
  </si>
  <si>
    <t>Crescendo</t>
  </si>
  <si>
    <t>Crescendo Endocrinologia Pediatrica Ltda</t>
  </si>
  <si>
    <t>Fabio Martins Nardo Botelho</t>
  </si>
  <si>
    <t xml:space="preserve">Lago Sul </t>
  </si>
  <si>
    <t>Firenze Empreendimentos Imobiliarios S.A.</t>
  </si>
  <si>
    <t>CDI</t>
  </si>
  <si>
    <t>Instituto Fale Centro De Terapias E Treinamentos Ltda (Antiga CDI - Centro de Terapias para o Desenvolvimento Infanto Juvenil - Eireli)</t>
  </si>
  <si>
    <t>Jorge Arruda Filho (Antiga Belatina Consultoria Empresarial Eireli - Cod 0891)</t>
  </si>
  <si>
    <t>NA</t>
  </si>
  <si>
    <t>NA - Neurociencia Consultoria e Assessoria Ltda</t>
  </si>
  <si>
    <t>Brasil 21</t>
  </si>
  <si>
    <t>Para Ministerio Publico</t>
  </si>
  <si>
    <t>CNPJ PA - 1 DIÁRIA DE COPEIRAGEM NO MPPA-BRASÍLIA EM 21/07/2025</t>
  </si>
  <si>
    <t>CNPJ PA - 1 DIÁRIA DE COPEIRAGEM NO MPPA-BRASÍLIA EM 28/07/2025</t>
  </si>
  <si>
    <t>CNPJ PA - 1 DIÁRIA DE COPEIRAGEM NO MPPA-BRASÍLIA EM 04/08/2025</t>
  </si>
  <si>
    <t>SQN 206</t>
  </si>
  <si>
    <t>Vanessa Ribeiro Pacheco</t>
  </si>
  <si>
    <t>WHD</t>
  </si>
  <si>
    <t>WHD Pesquisa e Estrategia Ltda</t>
  </si>
  <si>
    <t>Retenção de ISS - Art. 21  § 4* I da Lei Complementar 123/2006*</t>
  </si>
  <si>
    <t xml:space="preserve">Legenda: </t>
  </si>
  <si>
    <t xml:space="preserve">                                                                                                    </t>
  </si>
  <si>
    <t xml:space="preserve">Clientes em vermelho: Clientes cancelados (última fatura) ou serviços avulsos; </t>
  </si>
  <si>
    <t xml:space="preserve">Clientes em negrito: Clientes com data de vencimento diferente do último dia útil do mês; </t>
  </si>
  <si>
    <t>Valor Bruto 2025</t>
  </si>
  <si>
    <t>Valor cobrado a menor em jan/25</t>
  </si>
  <si>
    <t>Valor Líquido</t>
  </si>
  <si>
    <t>Abaco Tecnologia de Informação Ltda</t>
  </si>
  <si>
    <t>CNPJ MT</t>
  </si>
  <si>
    <t>Acj Construções E Incorporações S/A</t>
  </si>
  <si>
    <t>Advocacia Frederico Donati Barbosa S/S.</t>
  </si>
  <si>
    <t>Aegea Saneamento e Participações S.A.</t>
  </si>
  <si>
    <t>PGTO DIRETO - CNPJ SP</t>
  </si>
  <si>
    <t>Ael Sistemas S.A. (Antigo Código 0367)</t>
  </si>
  <si>
    <t>Agresource Brasil Consultoria em Comércio Exterior Ltda</t>
  </si>
  <si>
    <t>Akhos Medicina Especializada Ltda</t>
  </si>
  <si>
    <t>Andrade Gutierrez Engenharia S/A</t>
  </si>
  <si>
    <t>Arruda &amp; Alarcão - Advogados Associados (Antigo Arruda e Simões Advogados Associados)</t>
  </si>
  <si>
    <t>Arteris S.A</t>
  </si>
  <si>
    <t>PGTO DIRETO - CNPJ SP / Pedido nº.  SAP 4500898798 e dados bancários</t>
  </si>
  <si>
    <t>PGTO DIRETO - CNPJ SP / Pedido nº.  SAP 4500898798 e dados bancários - ref. 06/2025</t>
  </si>
  <si>
    <t>PGTO DIRETO - CNPJ SP / Pedido nº.  SAP 4500898798 e dados bancários - ref. 07/2025</t>
  </si>
  <si>
    <t>Assoc Bras das  Empresas de Transporte Terrestre de  Passageiros - ABRATI</t>
  </si>
  <si>
    <t>Associação Brasileira da Indústria do Fumo</t>
  </si>
  <si>
    <t>Associação Brasileira de Incorporadoras Imobiliarias - ABRAINC</t>
  </si>
  <si>
    <t>Associação Brasileira de Laticinios - Viva Lacteos</t>
  </si>
  <si>
    <t>Associação Brasileira dos Produtores Independentes de Energia Elétrica - APINE</t>
  </si>
  <si>
    <t>Associação Brasileira Gestora da Logística Reversa de Embalagens de Vidro - Circula Vidro</t>
  </si>
  <si>
    <t>Associação dos Juizes Federais do Brasil</t>
  </si>
  <si>
    <t>Associação dos Laboratórios Farmacêuticos Nacionais - ALANAC (Antigo Cód. 000289)</t>
  </si>
  <si>
    <r>
      <t xml:space="preserve">Associação Nacional dos Hospitais Privados - </t>
    </r>
    <r>
      <rPr>
        <b/>
        <sz val="8"/>
        <color indexed="8"/>
        <rFont val="Arial"/>
        <family val="2"/>
      </rPr>
      <t>ANAHP</t>
    </r>
  </si>
  <si>
    <t>Associacao Nacional dos Membros do Ministerio Publico - Conamp</t>
  </si>
  <si>
    <t>Barbosa, Mussnich e Aragao Advogados</t>
  </si>
  <si>
    <t>Benedetto Digital Ltda</t>
  </si>
  <si>
    <t>BRNXQ Telecomunicações S.A</t>
  </si>
  <si>
    <t>Camara de Comércio Arabe Brasileira</t>
  </si>
  <si>
    <t>Colortel S/A Sistemas Eletrônicos</t>
  </si>
  <si>
    <t>Concremat Engenharia e Tecnologia S/A</t>
  </si>
  <si>
    <t>REF. Outubro/2025</t>
  </si>
  <si>
    <t>Connectoway Solucoes Inteligentes Em Tecnologia S.A</t>
  </si>
  <si>
    <t>Dalazen, Pessoa e Bresciani Sociedade de Advogados</t>
  </si>
  <si>
    <t>Damas &amp; Lima Sociedade de Advogados</t>
  </si>
  <si>
    <t>DW Serviços de Informatica e Consultoria em Gestão Empresarial Ltda</t>
  </si>
  <si>
    <t>Edelman do Brasil Consultoria e Comunicação Ltda (Gennari e Madruga Relações Governamentais Ltda Epp - Cód. 166)</t>
  </si>
  <si>
    <t>PGTO DIRETO - PO 0000017550 - VENC. - DADOS BANCÀRIOS 024 SANTANDER</t>
  </si>
  <si>
    <t>PGTO DIRETO - PO 0000017682 - Sala 527 - VENC. - DADOS BANCÀRIOS 024 SANTANDER</t>
  </si>
  <si>
    <t>Editora e Livraria Conhecimento Liberta Ltda</t>
  </si>
  <si>
    <t>Eduardo Dantas Ramos Junior</t>
  </si>
  <si>
    <t>Eleve Fisioterapia Pelvica Ltda</t>
  </si>
  <si>
    <t>Fabrux Participações Ltda</t>
  </si>
  <si>
    <t>Felipe Alexandre Advogados Associados</t>
  </si>
  <si>
    <t>FSB Comunicação e Planejamento Estrategico Ltda</t>
  </si>
  <si>
    <t>PGTO DIRETO - Periodo - Pedido de Compra  X24258 + Dados Bancários</t>
  </si>
  <si>
    <t>Global X Conectividade Ltda</t>
  </si>
  <si>
    <t>Hersen Mendes Arquitetura e Planejamento Ltda</t>
  </si>
  <si>
    <t>Ingram Micro Brasil Ltda</t>
  </si>
  <si>
    <t>INPA - Intituto de Psicologia Aplicada Eireli</t>
  </si>
  <si>
    <t>Instituto Neurologico do Distrito Federal Ltda</t>
  </si>
  <si>
    <t>Instituto Sociocultural Brasil-China - Ibrachina</t>
  </si>
  <si>
    <t>Korper Studio de Pilates Ltda</t>
  </si>
  <si>
    <t>Krakowiak Advogados</t>
  </si>
  <si>
    <t xml:space="preserve">Lavanderia Self Service Fast Time Ltda </t>
  </si>
  <si>
    <t>Ldl Engenharia Civil Ltda</t>
  </si>
  <si>
    <t>Leograf Gráfica e Editora Ltda</t>
  </si>
  <si>
    <t>Leonardo Évora Cambuy</t>
  </si>
  <si>
    <t>Mara Rubia Rodrigues Martins 34339710130</t>
  </si>
  <si>
    <t>Master Franchising Participações Ltda</t>
  </si>
  <si>
    <t>Metafisicos Clinica De Estetica Eireli (Antigo Clayton Neves Camargo ME)</t>
  </si>
  <si>
    <t>Unidade Residencial</t>
  </si>
  <si>
    <t>Minefer Development Ltda em Recuperação Judicial</t>
  </si>
  <si>
    <t>Mirza e Malan Sociedade de Advogados</t>
  </si>
  <si>
    <t xml:space="preserve">CNPJ RJ </t>
  </si>
  <si>
    <t>ML Sudoeste Servicos Esteticos Ltda (Antiga MA2 Clinica de Estetica Ltda)</t>
  </si>
  <si>
    <t xml:space="preserve">Mohamad Dib Ismail Mojzoub </t>
  </si>
  <si>
    <t>Movere Psicologia Ltda</t>
  </si>
  <si>
    <t>Mundial Investimentos Assessoria De Investimentos S/S Ltda (antiga Renova Invest Agentes Autonomos de Invenstimentos Ltda - Cód. 0353)</t>
  </si>
  <si>
    <t>Organização das Nações Unidas para o Desenvolvimento Industrial (UNIDO)</t>
  </si>
  <si>
    <t>Nota 1</t>
  </si>
  <si>
    <t>Nota 2</t>
  </si>
  <si>
    <t>Orla Investimentos - Ai Ltda</t>
  </si>
  <si>
    <t>Parente Comercio e Servicos Ltda</t>
  </si>
  <si>
    <t>Parque Esplanada Empreendimentos Imobiliarios S.A.</t>
  </si>
  <si>
    <t>Jardinagem - SERVIÇO REF. AGOSTO/25</t>
  </si>
  <si>
    <t>Patricia Moura Estetica Facial e Corporal Ltda</t>
  </si>
  <si>
    <t>Paulo Cezar Pinheiro Carneiro Advogados Associados</t>
  </si>
  <si>
    <t>Placides Serviços Estéticos E Formação Profissional Eireli</t>
  </si>
  <si>
    <t>Ptx Solucoes de Conectividade Ltda</t>
  </si>
  <si>
    <r>
      <t>Sind Nac da Ind de Compon para Veíc Autom -</t>
    </r>
    <r>
      <rPr>
        <b/>
        <sz val="8"/>
        <rFont val="Arial"/>
        <family val="2"/>
      </rPr>
      <t xml:space="preserve"> SINDIPEÇAS </t>
    </r>
  </si>
  <si>
    <t>CNPJ SP - INF RETENÇÃO DE ISS 2% + VALOR DA RET.</t>
  </si>
  <si>
    <t>Terral Incorporações e Participações Ltda</t>
  </si>
  <si>
    <t>CNPJ GO</t>
  </si>
  <si>
    <t>UNIFITO - União dos Produtores/Fabricantes Nacionais de Fitossanitarios</t>
  </si>
  <si>
    <t>Valorize Corretora, Assessoria, Consultoria e Administradora de Seguros Ltda</t>
  </si>
  <si>
    <t>Vasconcelos Cavalcanti e Wills Advogados Associados (Antiga B. Wills - Sociedade Ind. De Advocacia)</t>
  </si>
  <si>
    <t>Vector Assessoria E Consultoria Em Relações Governamentais E Institucionais Ltda</t>
  </si>
  <si>
    <t>Velloza Advogados Associados</t>
  </si>
  <si>
    <t xml:space="preserve">Yamin, Scavuzzi E Narcizo Sociedade De Advogados </t>
  </si>
  <si>
    <t>Retenção de ISS - Art. 21 § 4* I da Lei Complementar 123/2006*</t>
  </si>
  <si>
    <t>NF 2387 - Arteris S.A. - Troca de CNPJ</t>
  </si>
  <si>
    <t>NF 2388 - Arteris S.A. - Troca de CNPJ</t>
  </si>
  <si>
    <t>NF 2389 - Arteris S.A. - Troca de CNPJ</t>
  </si>
  <si>
    <t>NF 2390 - Arteris S.A. - Troca de CNPJ</t>
  </si>
  <si>
    <t>NF 2391 - Arteris S.A. - Troca de CNPJ</t>
  </si>
  <si>
    <t>NF 2392 - Arteris S.A. - Troca de CNPJ</t>
  </si>
  <si>
    <t>Franquia emitida por: Kátia Andrade</t>
  </si>
  <si>
    <r>
      <rPr>
        <b/>
        <sz val="10"/>
        <color rgb="FFFF0000"/>
        <rFont val="Arial"/>
        <family val="2"/>
      </rPr>
      <t>NF 2321</t>
    </r>
    <r>
      <rPr>
        <b/>
        <sz val="10"/>
        <rFont val="Arial"/>
        <family val="2"/>
      </rPr>
      <t xml:space="preserve"> - Aria Inteligencia em Viagens e Logistica Ltda - Cliente suspenso por motivo de troca de endereço e obra.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</si>
</sst>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dd/mm/yy"/>
    <numFmt numFmtId="166" formatCode="_(* #,##0.00_);_(* \(#,##0.00\);_(* &quot;-&quot;??_);_(@_)"/>
    <numFmt numFmtId="167" formatCode="#,##0.0000"/>
  </numFmts>
  <fonts count="35" x14ac:knownFonts="1">
    <font>
      <sz val="10"/>
      <name val="Arial"/>
    </font>
    <font>
      <sz val="8"/>
      <name val="Arial"/>
      <family val="2"/>
    </font>
    <font>
      <b/>
      <sz val="8"/>
      <name val="Arial"/>
      <family val="2"/>
    </font>
    <font>
      <sz val="10"/>
      <name val="Arial"/>
      <family val="2"/>
    </font>
    <font>
      <b/>
      <sz val="8"/>
      <color indexed="8"/>
      <name val="Arial"/>
      <family val="2"/>
    </font>
    <font>
      <b/>
      <sz val="8"/>
      <color indexed="10"/>
      <name val="Arial"/>
      <family val="2"/>
    </font>
    <font>
      <sz val="8"/>
      <color indexed="8"/>
      <name val="Arial"/>
      <family val="2"/>
    </font>
    <font>
      <sz val="8"/>
      <color rgb="FFFF0000"/>
      <name val="Arial"/>
      <family val="2"/>
    </font>
    <font>
      <b/>
      <sz val="8"/>
      <color rgb="FFFF0000"/>
      <name val="Arial"/>
      <family val="2"/>
    </font>
    <font>
      <sz val="10"/>
      <color rgb="FFFF0000"/>
      <name val="Arial"/>
      <family val="2"/>
    </font>
    <font>
      <sz val="8"/>
      <color indexed="10"/>
      <name val="Arial"/>
      <family val="2"/>
    </font>
    <font>
      <b/>
      <sz val="8"/>
      <color indexed="53"/>
      <name val="Arial"/>
      <family val="2"/>
    </font>
    <font>
      <sz val="9"/>
      <color indexed="8"/>
      <name val="Arial"/>
      <family val="2"/>
    </font>
    <font>
      <b/>
      <sz val="10"/>
      <name val="Arial"/>
      <family val="2"/>
    </font>
    <font>
      <b/>
      <sz val="8"/>
      <color indexed="12"/>
      <name val="Arial"/>
      <family val="2"/>
    </font>
    <font>
      <sz val="9"/>
      <color indexed="81"/>
      <name val="Tahoma"/>
      <family val="2"/>
    </font>
    <font>
      <sz val="9"/>
      <color indexed="81"/>
      <name val="Segoe UI"/>
      <family val="2"/>
    </font>
    <font>
      <b/>
      <sz val="9"/>
      <color indexed="81"/>
      <name val="Segoe UI"/>
      <family val="2"/>
    </font>
    <font>
      <sz val="10"/>
      <color rgb="FF000000"/>
      <name val="Arial"/>
      <family val="2"/>
    </font>
    <font>
      <b/>
      <sz val="10"/>
      <color indexed="8"/>
      <name val="Arial"/>
      <family val="2"/>
    </font>
    <font>
      <sz val="10"/>
      <color indexed="10"/>
      <name val="Arial"/>
      <family val="2"/>
    </font>
    <font>
      <sz val="10"/>
      <color indexed="8"/>
      <name val="Arial"/>
      <family val="2"/>
    </font>
    <font>
      <sz val="11"/>
      <color indexed="8"/>
      <name val="Arial"/>
      <family val="2"/>
    </font>
    <font>
      <b/>
      <sz val="11"/>
      <color indexed="8"/>
      <name val="Arial"/>
      <family val="2"/>
    </font>
    <font>
      <b/>
      <sz val="10"/>
      <color indexed="10"/>
      <name val="Arial"/>
      <family val="2"/>
    </font>
    <font>
      <b/>
      <sz val="9"/>
      <color indexed="81"/>
      <name val="Tahoma"/>
      <family val="2"/>
    </font>
    <font>
      <b/>
      <sz val="9"/>
      <color indexed="81"/>
      <name val="Segoe UI"/>
      <charset val="1"/>
    </font>
    <font>
      <sz val="9"/>
      <color indexed="81"/>
      <name val="Segoe UI"/>
      <charset val="1"/>
    </font>
    <font>
      <b/>
      <sz val="8"/>
      <color theme="1"/>
      <name val="Arial"/>
      <family val="2"/>
    </font>
    <font>
      <sz val="11"/>
      <name val="Arial"/>
      <family val="2"/>
    </font>
    <font>
      <b/>
      <sz val="11"/>
      <color indexed="10"/>
      <name val="Arial"/>
      <family val="2"/>
    </font>
    <font>
      <sz val="9"/>
      <name val="Arial"/>
      <family val="2"/>
    </font>
    <font>
      <sz val="12"/>
      <name val="Arial"/>
      <family val="2"/>
    </font>
    <font>
      <b/>
      <sz val="10"/>
      <color indexed="53"/>
      <name val="Arial"/>
      <family val="2"/>
    </font>
    <font>
      <b/>
      <sz val="10"/>
      <color rgb="FFFF0000"/>
      <name val="Arial"/>
      <family val="2"/>
    </font>
  </fonts>
  <fills count="19">
    <fill>
      <patternFill patternType="none"/>
    </fill>
    <fill>
      <patternFill patternType="gray125"/>
    </fill>
    <fill>
      <patternFill patternType="solid">
        <fgColor indexed="55"/>
        <bgColor indexed="64"/>
      </patternFill>
    </fill>
    <fill>
      <patternFill patternType="solid">
        <fgColor indexed="13"/>
        <bgColor indexed="64"/>
      </patternFill>
    </fill>
    <fill>
      <patternFill patternType="solid">
        <fgColor indexed="43"/>
        <bgColor indexed="64"/>
      </patternFill>
    </fill>
    <fill>
      <patternFill patternType="solid">
        <fgColor indexed="9"/>
        <bgColor indexed="64"/>
      </patternFill>
    </fill>
    <fill>
      <patternFill patternType="solid">
        <fgColor rgb="FFFFFFCC"/>
        <bgColor indexed="64"/>
      </patternFill>
    </fill>
    <fill>
      <patternFill patternType="solid">
        <fgColor theme="0"/>
        <bgColor indexed="9"/>
      </patternFill>
    </fill>
    <fill>
      <patternFill patternType="solid">
        <fgColor indexed="9"/>
        <bgColor indexed="9"/>
      </patternFill>
    </fill>
    <fill>
      <patternFill patternType="solid">
        <fgColor indexed="13"/>
        <bgColor indexed="13"/>
      </patternFill>
    </fill>
    <fill>
      <patternFill patternType="solid">
        <fgColor rgb="FFFFFFCC"/>
        <bgColor indexed="9"/>
      </patternFill>
    </fill>
    <fill>
      <patternFill patternType="solid">
        <fgColor indexed="26"/>
        <bgColor indexed="64"/>
      </patternFill>
    </fill>
    <fill>
      <patternFill patternType="solid">
        <fgColor rgb="FFFFFF99"/>
        <bgColor indexed="64"/>
      </patternFill>
    </fill>
    <fill>
      <patternFill patternType="solid">
        <fgColor indexed="22"/>
        <bgColor indexed="64"/>
      </patternFill>
    </fill>
    <fill>
      <patternFill patternType="solid">
        <fgColor indexed="55"/>
        <bgColor indexed="55"/>
      </patternFill>
    </fill>
    <fill>
      <patternFill patternType="solid">
        <fgColor theme="0"/>
        <bgColor indexed="64"/>
      </patternFill>
    </fill>
    <fill>
      <patternFill patternType="solid">
        <fgColor indexed="22"/>
        <bgColor indexed="22"/>
      </patternFill>
    </fill>
    <fill>
      <patternFill patternType="solid">
        <fgColor theme="0" tint="-0.249977111117893"/>
        <bgColor indexed="64"/>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18" fillId="0" borderId="0"/>
    <xf numFmtId="9" fontId="3" fillId="0" borderId="0" applyFont="0" applyFill="0" applyBorder="0" applyAlignment="0" applyProtection="0"/>
  </cellStyleXfs>
  <cellXfs count="426">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3" borderId="1" xfId="1" applyFont="1" applyFill="1" applyBorder="1" applyAlignment="1">
      <alignment horizontal="center" vertical="center" wrapText="1"/>
    </xf>
    <xf numFmtId="166" fontId="2" fillId="2" borderId="1" xfId="2" applyFont="1" applyFill="1" applyBorder="1" applyAlignment="1">
      <alignment horizontal="center" vertical="center" wrapText="1"/>
    </xf>
    <xf numFmtId="166" fontId="4" fillId="2" borderId="1" xfId="2" applyFont="1" applyFill="1" applyBorder="1" applyAlignment="1">
      <alignment horizontal="center" vertical="center" wrapText="1"/>
    </xf>
    <xf numFmtId="0" fontId="0" fillId="0" borderId="0" xfId="0" applyAlignment="1">
      <alignment horizontal="center" vertical="center" wrapText="1"/>
    </xf>
    <xf numFmtId="0" fontId="1" fillId="0" borderId="1" xfId="0" applyFont="1" applyBorder="1" applyAlignment="1">
      <alignment horizontal="center"/>
    </xf>
    <xf numFmtId="0" fontId="2" fillId="0" borderId="1" xfId="0" applyFont="1" applyBorder="1"/>
    <xf numFmtId="164" fontId="1" fillId="4" borderId="1" xfId="0" applyNumberFormat="1" applyFont="1" applyFill="1" applyBorder="1" applyAlignment="1" applyProtection="1">
      <alignment horizontal="center" vertical="center"/>
      <protection locked="0"/>
    </xf>
    <xf numFmtId="165" fontId="2" fillId="0" borderId="1" xfId="0" applyNumberFormat="1" applyFont="1" applyBorder="1" applyAlignment="1">
      <alignment horizontal="center" vertical="center" wrapText="1"/>
    </xf>
    <xf numFmtId="166" fontId="1" fillId="0" borderId="1" xfId="2" applyFont="1" applyFill="1" applyBorder="1" applyAlignment="1">
      <alignment horizontal="center" vertical="center" wrapText="1"/>
    </xf>
    <xf numFmtId="167" fontId="1" fillId="5" borderId="1" xfId="3" applyNumberFormat="1" applyFont="1" applyFill="1" applyBorder="1" applyAlignment="1">
      <alignment horizontal="right" vertical="center" wrapText="1"/>
    </xf>
    <xf numFmtId="4" fontId="1" fillId="5" borderId="1" xfId="3" applyNumberFormat="1" applyFont="1" applyFill="1" applyBorder="1" applyAlignment="1">
      <alignment horizontal="right" vertical="center" wrapText="1"/>
    </xf>
    <xf numFmtId="4" fontId="1" fillId="3" borderId="1" xfId="3" applyNumberFormat="1" applyFont="1" applyFill="1" applyBorder="1" applyAlignment="1">
      <alignment horizontal="right" vertical="center" wrapText="1"/>
    </xf>
    <xf numFmtId="166" fontId="1" fillId="0" borderId="1" xfId="2" applyFont="1" applyFill="1" applyBorder="1" applyAlignment="1">
      <alignment horizontal="center"/>
    </xf>
    <xf numFmtId="166" fontId="6" fillId="0" borderId="1" xfId="2" applyFont="1" applyFill="1" applyBorder="1" applyAlignment="1">
      <alignment horizontal="center"/>
    </xf>
    <xf numFmtId="164" fontId="1" fillId="0" borderId="1" xfId="0" applyNumberFormat="1" applyFont="1" applyBorder="1" applyAlignment="1" applyProtection="1">
      <alignment horizontal="center" vertical="center"/>
      <protection locked="0"/>
    </xf>
    <xf numFmtId="166" fontId="1" fillId="0" borderId="1" xfId="3" applyFont="1" applyFill="1" applyBorder="1" applyAlignment="1">
      <alignment horizontal="center"/>
    </xf>
    <xf numFmtId="0" fontId="2" fillId="0" borderId="2" xfId="1" applyFont="1" applyBorder="1" applyAlignment="1">
      <alignment horizontal="left"/>
    </xf>
    <xf numFmtId="0" fontId="2" fillId="0" borderId="2" xfId="1" applyFont="1" applyBorder="1" applyAlignment="1">
      <alignment horizontal="center"/>
    </xf>
    <xf numFmtId="164" fontId="1" fillId="6" borderId="1" xfId="0" applyNumberFormat="1" applyFont="1" applyFill="1" applyBorder="1" applyAlignment="1" applyProtection="1">
      <alignment horizontal="center" vertical="center"/>
      <protection locked="0"/>
    </xf>
    <xf numFmtId="165" fontId="2" fillId="0" borderId="1" xfId="1" applyNumberFormat="1" applyFont="1" applyBorder="1" applyAlignment="1">
      <alignment horizontal="center" vertical="center" wrapText="1"/>
    </xf>
    <xf numFmtId="166" fontId="1" fillId="0" borderId="1" xfId="3" applyFont="1" applyFill="1" applyBorder="1" applyAlignment="1">
      <alignment horizontal="center" vertical="center" wrapText="1"/>
    </xf>
    <xf numFmtId="4" fontId="1" fillId="0" borderId="1" xfId="3" applyNumberFormat="1" applyFont="1" applyFill="1" applyBorder="1" applyAlignment="1">
      <alignment horizontal="right" vertical="center" wrapText="1"/>
    </xf>
    <xf numFmtId="0" fontId="3" fillId="0" borderId="1" xfId="0" applyFont="1" applyBorder="1"/>
    <xf numFmtId="0" fontId="1" fillId="0" borderId="1" xfId="1" applyFont="1" applyBorder="1" applyAlignment="1">
      <alignment horizontal="center"/>
    </xf>
    <xf numFmtId="0" fontId="7" fillId="0" borderId="1" xfId="0" applyFont="1" applyBorder="1" applyAlignment="1">
      <alignment horizontal="center"/>
    </xf>
    <xf numFmtId="0" fontId="8" fillId="0" borderId="2" xfId="1" applyFont="1" applyBorder="1" applyAlignment="1">
      <alignment horizontal="left"/>
    </xf>
    <xf numFmtId="0" fontId="8" fillId="0" borderId="2" xfId="1" applyFont="1" applyBorder="1" applyAlignment="1">
      <alignment horizontal="center"/>
    </xf>
    <xf numFmtId="164" fontId="7" fillId="6" borderId="1" xfId="0" applyNumberFormat="1" applyFont="1" applyFill="1" applyBorder="1" applyAlignment="1" applyProtection="1">
      <alignment horizontal="center" vertical="center"/>
      <protection locked="0"/>
    </xf>
    <xf numFmtId="165" fontId="8" fillId="0" borderId="1" xfId="1" applyNumberFormat="1" applyFont="1" applyBorder="1" applyAlignment="1">
      <alignment horizontal="center" vertical="center" wrapText="1"/>
    </xf>
    <xf numFmtId="166" fontId="7" fillId="0" borderId="1" xfId="3" applyFont="1" applyFill="1" applyBorder="1" applyAlignment="1">
      <alignment horizontal="center" vertical="center" wrapText="1"/>
    </xf>
    <xf numFmtId="167" fontId="7" fillId="0" borderId="1" xfId="3" applyNumberFormat="1" applyFont="1" applyFill="1" applyBorder="1" applyAlignment="1">
      <alignment horizontal="right" vertical="center" wrapText="1"/>
    </xf>
    <xf numFmtId="4" fontId="7" fillId="0" borderId="1" xfId="3" applyNumberFormat="1" applyFont="1" applyFill="1" applyBorder="1" applyAlignment="1">
      <alignment horizontal="right" vertical="center" wrapText="1"/>
    </xf>
    <xf numFmtId="4" fontId="7" fillId="3" borderId="1" xfId="3" applyNumberFormat="1" applyFont="1" applyFill="1" applyBorder="1" applyAlignment="1">
      <alignment horizontal="right" vertical="center" wrapText="1"/>
    </xf>
    <xf numFmtId="0" fontId="9" fillId="0" borderId="1" xfId="0" applyFont="1" applyBorder="1"/>
    <xf numFmtId="166" fontId="7" fillId="0" borderId="1" xfId="3" applyFont="1" applyFill="1" applyBorder="1" applyAlignment="1">
      <alignment horizontal="center"/>
    </xf>
    <xf numFmtId="0" fontId="9" fillId="0" borderId="0" xfId="0" applyFont="1"/>
    <xf numFmtId="165" fontId="2" fillId="0" borderId="1" xfId="0" applyNumberFormat="1" applyFont="1" applyBorder="1" applyAlignment="1" applyProtection="1">
      <alignment horizontal="center"/>
      <protection locked="0"/>
    </xf>
    <xf numFmtId="166" fontId="2" fillId="0" borderId="1" xfId="2" applyFont="1" applyFill="1" applyBorder="1" applyAlignment="1">
      <alignment horizontal="center"/>
    </xf>
    <xf numFmtId="166" fontId="1" fillId="5" borderId="1" xfId="2" applyFont="1" applyFill="1" applyBorder="1" applyAlignment="1">
      <alignment horizontal="center"/>
    </xf>
    <xf numFmtId="0" fontId="1" fillId="5" borderId="1" xfId="1" applyFont="1" applyFill="1" applyBorder="1" applyAlignment="1">
      <alignment horizontal="center"/>
    </xf>
    <xf numFmtId="0" fontId="2" fillId="5" borderId="1" xfId="1" applyFont="1" applyFill="1" applyBorder="1" applyAlignment="1">
      <alignment horizontal="left"/>
    </xf>
    <xf numFmtId="165" fontId="2" fillId="5" borderId="1" xfId="1" applyNumberFormat="1" applyFont="1" applyFill="1" applyBorder="1" applyAlignment="1">
      <alignment horizontal="center" vertical="center" wrapText="1"/>
    </xf>
    <xf numFmtId="166" fontId="1" fillId="5" borderId="1" xfId="4" applyFont="1" applyFill="1" applyBorder="1" applyAlignment="1">
      <alignment horizontal="center" vertical="center" wrapText="1"/>
    </xf>
    <xf numFmtId="166" fontId="2" fillId="5" borderId="1" xfId="4" applyFont="1" applyFill="1" applyBorder="1" applyAlignment="1">
      <alignment horizontal="center"/>
    </xf>
    <xf numFmtId="166" fontId="1" fillId="5" borderId="1" xfId="4" applyFont="1" applyFill="1" applyBorder="1" applyAlignment="1">
      <alignment horizontal="center"/>
    </xf>
    <xf numFmtId="0" fontId="1" fillId="0" borderId="3" xfId="0" applyFont="1" applyBorder="1" applyAlignment="1">
      <alignment horizontal="center" vertical="center"/>
    </xf>
    <xf numFmtId="0" fontId="2" fillId="7" borderId="1" xfId="0" applyFont="1" applyFill="1" applyBorder="1"/>
    <xf numFmtId="0" fontId="2" fillId="0" borderId="1" xfId="0" applyFont="1" applyBorder="1" applyAlignment="1">
      <alignment horizontal="center"/>
    </xf>
    <xf numFmtId="165" fontId="2" fillId="8" borderId="4" xfId="0" applyNumberFormat="1" applyFont="1" applyFill="1" applyBorder="1" applyAlignment="1">
      <alignment horizontal="center" vertical="center" wrapText="1"/>
    </xf>
    <xf numFmtId="166" fontId="1" fillId="0" borderId="4" xfId="0" applyNumberFormat="1" applyFont="1" applyBorder="1" applyAlignment="1">
      <alignment horizontal="right" vertical="center" wrapText="1"/>
    </xf>
    <xf numFmtId="167" fontId="1" fillId="8" borderId="4" xfId="0" applyNumberFormat="1" applyFont="1" applyFill="1" applyBorder="1" applyAlignment="1">
      <alignment horizontal="right" vertical="center" wrapText="1"/>
    </xf>
    <xf numFmtId="4" fontId="1" fillId="8" borderId="4" xfId="0" applyNumberFormat="1" applyFont="1" applyFill="1" applyBorder="1" applyAlignment="1">
      <alignment horizontal="right" vertical="center" wrapText="1"/>
    </xf>
    <xf numFmtId="4" fontId="1" fillId="9" borderId="4" xfId="0" applyNumberFormat="1" applyFont="1" applyFill="1" applyBorder="1" applyAlignment="1">
      <alignment horizontal="right" vertical="center" wrapText="1"/>
    </xf>
    <xf numFmtId="0" fontId="1" fillId="0" borderId="4" xfId="0" applyFont="1" applyBorder="1"/>
    <xf numFmtId="166" fontId="2" fillId="0" borderId="4" xfId="0" applyNumberFormat="1" applyFont="1" applyBorder="1" applyAlignment="1">
      <alignment horizontal="center"/>
    </xf>
    <xf numFmtId="166" fontId="1" fillId="8" borderId="4" xfId="0" applyNumberFormat="1" applyFont="1" applyFill="1" applyBorder="1" applyAlignment="1">
      <alignment horizontal="center"/>
    </xf>
    <xf numFmtId="166" fontId="1" fillId="0" borderId="4" xfId="0" applyNumberFormat="1" applyFont="1" applyBorder="1" applyAlignment="1">
      <alignment horizontal="center"/>
    </xf>
    <xf numFmtId="165" fontId="2" fillId="0" borderId="4" xfId="0" applyNumberFormat="1" applyFont="1" applyBorder="1" applyAlignment="1">
      <alignment horizontal="center" vertical="center" wrapText="1"/>
    </xf>
    <xf numFmtId="0" fontId="1" fillId="0" borderId="4" xfId="0" applyFont="1" applyBorder="1" applyAlignment="1">
      <alignment horizontal="center"/>
    </xf>
    <xf numFmtId="0" fontId="3" fillId="0" borderId="0" xfId="0" applyFont="1"/>
    <xf numFmtId="0" fontId="7" fillId="0" borderId="3" xfId="0" applyFont="1" applyBorder="1" applyAlignment="1">
      <alignment horizontal="center" vertical="center"/>
    </xf>
    <xf numFmtId="0" fontId="8" fillId="7" borderId="1" xfId="0" applyFont="1" applyFill="1" applyBorder="1"/>
    <xf numFmtId="0" fontId="8" fillId="0" borderId="1" xfId="0" applyFont="1" applyBorder="1" applyAlignment="1">
      <alignment horizontal="center"/>
    </xf>
    <xf numFmtId="164" fontId="7" fillId="0" borderId="1" xfId="0" applyNumberFormat="1" applyFont="1" applyBorder="1" applyAlignment="1" applyProtection="1">
      <alignment horizontal="center" vertical="center"/>
      <protection locked="0"/>
    </xf>
    <xf numFmtId="165" fontId="8" fillId="8" borderId="4" xfId="0" applyNumberFormat="1" applyFont="1" applyFill="1" applyBorder="1" applyAlignment="1">
      <alignment horizontal="center" vertical="center" wrapText="1"/>
    </xf>
    <xf numFmtId="166" fontId="7" fillId="0" borderId="4" xfId="0" applyNumberFormat="1" applyFont="1" applyBorder="1" applyAlignment="1">
      <alignment horizontal="right" vertical="center" wrapText="1"/>
    </xf>
    <xf numFmtId="167" fontId="7" fillId="8" borderId="4" xfId="0" applyNumberFormat="1" applyFont="1" applyFill="1" applyBorder="1" applyAlignment="1">
      <alignment horizontal="right" vertical="center" wrapText="1"/>
    </xf>
    <xf numFmtId="4" fontId="7" fillId="8" borderId="4" xfId="0" applyNumberFormat="1" applyFont="1" applyFill="1" applyBorder="1" applyAlignment="1">
      <alignment horizontal="right" vertical="center" wrapText="1"/>
    </xf>
    <xf numFmtId="4" fontId="7" fillId="5" borderId="1" xfId="3" applyNumberFormat="1" applyFont="1" applyFill="1" applyBorder="1" applyAlignment="1">
      <alignment horizontal="right" vertical="center" wrapText="1"/>
    </xf>
    <xf numFmtId="4" fontId="7" fillId="9" borderId="4" xfId="0" applyNumberFormat="1" applyFont="1" applyFill="1" applyBorder="1" applyAlignment="1">
      <alignment horizontal="right" vertical="center" wrapText="1"/>
    </xf>
    <xf numFmtId="0" fontId="7" fillId="0" borderId="4" xfId="0" applyFont="1" applyBorder="1"/>
    <xf numFmtId="166" fontId="8" fillId="0" borderId="4" xfId="0" applyNumberFormat="1" applyFont="1" applyBorder="1" applyAlignment="1">
      <alignment horizontal="center"/>
    </xf>
    <xf numFmtId="166" fontId="7" fillId="0" borderId="1" xfId="2" applyFont="1" applyFill="1" applyBorder="1" applyAlignment="1">
      <alignment horizontal="center" vertical="center" wrapText="1"/>
    </xf>
    <xf numFmtId="166" fontId="7" fillId="8" borderId="4" xfId="0" applyNumberFormat="1" applyFont="1" applyFill="1" applyBorder="1" applyAlignment="1">
      <alignment horizontal="center"/>
    </xf>
    <xf numFmtId="0" fontId="1" fillId="0" borderId="4" xfId="0" applyFont="1" applyBorder="1" applyAlignment="1">
      <alignment horizontal="center" vertical="center"/>
    </xf>
    <xf numFmtId="0" fontId="2" fillId="7" borderId="4" xfId="0" applyFont="1" applyFill="1" applyBorder="1"/>
    <xf numFmtId="0" fontId="2" fillId="0" borderId="4" xfId="0" applyFont="1" applyBorder="1" applyAlignment="1">
      <alignment horizontal="center"/>
    </xf>
    <xf numFmtId="164" fontId="1" fillId="0" borderId="4" xfId="0" applyNumberFormat="1" applyFont="1" applyBorder="1" applyAlignment="1">
      <alignment horizontal="center"/>
    </xf>
    <xf numFmtId="166" fontId="1" fillId="0" borderId="4" xfId="0" applyNumberFormat="1" applyFont="1" applyBorder="1" applyAlignment="1">
      <alignment horizontal="center" vertical="center" wrapText="1"/>
    </xf>
    <xf numFmtId="0" fontId="10" fillId="0" borderId="4" xfId="0" applyFont="1" applyBorder="1" applyAlignment="1">
      <alignment horizontal="center"/>
    </xf>
    <xf numFmtId="0" fontId="5" fillId="7" borderId="4" xfId="0" applyFont="1" applyFill="1" applyBorder="1"/>
    <xf numFmtId="0" fontId="5" fillId="0" borderId="4" xfId="0" applyFont="1" applyBorder="1" applyAlignment="1">
      <alignment horizontal="center"/>
    </xf>
    <xf numFmtId="164" fontId="7" fillId="0" borderId="4" xfId="0" applyNumberFormat="1" applyFont="1" applyBorder="1" applyAlignment="1">
      <alignment horizontal="center"/>
    </xf>
    <xf numFmtId="166" fontId="10" fillId="0" borderId="4" xfId="0" applyNumberFormat="1" applyFont="1" applyBorder="1" applyAlignment="1">
      <alignment horizontal="center" vertical="center" wrapText="1"/>
    </xf>
    <xf numFmtId="167" fontId="10" fillId="8" borderId="4" xfId="0" applyNumberFormat="1" applyFont="1" applyFill="1" applyBorder="1" applyAlignment="1">
      <alignment horizontal="right" vertical="center" wrapText="1"/>
    </xf>
    <xf numFmtId="4" fontId="10" fillId="8" borderId="4" xfId="0" applyNumberFormat="1" applyFont="1" applyFill="1" applyBorder="1" applyAlignment="1">
      <alignment horizontal="right" vertical="center" wrapText="1"/>
    </xf>
    <xf numFmtId="4" fontId="10" fillId="9" borderId="4" xfId="0" applyNumberFormat="1" applyFont="1" applyFill="1" applyBorder="1" applyAlignment="1">
      <alignment horizontal="right" vertical="center" wrapText="1"/>
    </xf>
    <xf numFmtId="0" fontId="10" fillId="0" borderId="4" xfId="0" applyFont="1" applyBorder="1"/>
    <xf numFmtId="166" fontId="5" fillId="0" borderId="4" xfId="0" applyNumberFormat="1" applyFont="1" applyBorder="1" applyAlignment="1">
      <alignment horizontal="center"/>
    </xf>
    <xf numFmtId="166" fontId="10" fillId="0" borderId="4" xfId="0" applyNumberFormat="1" applyFont="1" applyBorder="1" applyAlignment="1">
      <alignment horizontal="center"/>
    </xf>
    <xf numFmtId="166" fontId="10" fillId="8" borderId="4" xfId="0" applyNumberFormat="1" applyFont="1" applyFill="1" applyBorder="1" applyAlignment="1">
      <alignment horizontal="center"/>
    </xf>
    <xf numFmtId="165" fontId="5" fillId="0" borderId="4" xfId="0" applyNumberFormat="1" applyFont="1" applyBorder="1" applyAlignment="1">
      <alignment horizontal="center" vertical="center" wrapText="1"/>
    </xf>
    <xf numFmtId="0" fontId="2" fillId="5" borderId="1" xfId="1" applyFont="1" applyFill="1" applyBorder="1"/>
    <xf numFmtId="0" fontId="1" fillId="0" borderId="0" xfId="0" applyFont="1"/>
    <xf numFmtId="0" fontId="1" fillId="0" borderId="3" xfId="0" applyFont="1" applyBorder="1"/>
    <xf numFmtId="0" fontId="2" fillId="8" borderId="1" xfId="0" applyFont="1" applyFill="1" applyBorder="1"/>
    <xf numFmtId="164" fontId="1" fillId="10" borderId="3" xfId="0" applyNumberFormat="1" applyFont="1" applyFill="1" applyBorder="1" applyAlignment="1">
      <alignment horizontal="center"/>
    </xf>
    <xf numFmtId="0" fontId="1" fillId="5" borderId="1" xfId="0" applyFont="1" applyFill="1" applyBorder="1" applyAlignment="1">
      <alignment horizontal="center"/>
    </xf>
    <xf numFmtId="166" fontId="2" fillId="5" borderId="1" xfId="2" applyFont="1" applyFill="1" applyBorder="1" applyAlignment="1">
      <alignment horizontal="center"/>
    </xf>
    <xf numFmtId="0" fontId="1" fillId="0" borderId="1" xfId="0" applyFont="1" applyBorder="1" applyAlignment="1">
      <alignment horizontal="left"/>
    </xf>
    <xf numFmtId="164" fontId="1" fillId="0" borderId="1" xfId="0" applyNumberFormat="1" applyFont="1" applyBorder="1" applyAlignment="1">
      <alignment horizontal="center" vertical="center" wrapText="1"/>
    </xf>
    <xf numFmtId="165" fontId="1" fillId="0" borderId="1" xfId="0" applyNumberFormat="1" applyFont="1" applyBorder="1" applyAlignment="1">
      <alignment horizontal="center" vertical="center" wrapText="1"/>
    </xf>
    <xf numFmtId="0" fontId="6" fillId="0" borderId="1" xfId="0" applyFont="1" applyBorder="1" applyAlignment="1">
      <alignment horizontal="center"/>
    </xf>
    <xf numFmtId="0" fontId="6" fillId="0" borderId="1" xfId="0" applyFont="1" applyBorder="1" applyAlignment="1">
      <alignment horizontal="left"/>
    </xf>
    <xf numFmtId="0" fontId="2" fillId="0" borderId="1" xfId="0" applyFont="1" applyBorder="1" applyAlignment="1">
      <alignment horizontal="left"/>
    </xf>
    <xf numFmtId="164" fontId="1" fillId="11" borderId="1" xfId="0" applyNumberFormat="1" applyFont="1" applyFill="1" applyBorder="1" applyAlignment="1">
      <alignment horizontal="center" vertical="center" wrapText="1"/>
    </xf>
    <xf numFmtId="166" fontId="1" fillId="0" borderId="1" xfId="2" applyFont="1" applyBorder="1" applyAlignment="1">
      <alignment horizontal="center"/>
    </xf>
    <xf numFmtId="164" fontId="1" fillId="12" borderId="1" xfId="0" applyNumberFormat="1" applyFont="1" applyFill="1" applyBorder="1" applyAlignment="1">
      <alignment horizontal="center" vertical="center" wrapText="1"/>
    </xf>
    <xf numFmtId="0" fontId="6" fillId="0" borderId="4" xfId="0" applyFont="1" applyBorder="1" applyAlignment="1">
      <alignment horizontal="center"/>
    </xf>
    <xf numFmtId="0" fontId="4" fillId="7" borderId="4" xfId="0" applyFont="1" applyFill="1" applyBorder="1"/>
    <xf numFmtId="166" fontId="6" fillId="0" borderId="4" xfId="0" applyNumberFormat="1" applyFont="1" applyBorder="1" applyAlignment="1">
      <alignment horizontal="center" vertical="center" wrapText="1"/>
    </xf>
    <xf numFmtId="4" fontId="6" fillId="0" borderId="4" xfId="0" applyNumberFormat="1" applyFont="1" applyBorder="1" applyAlignment="1">
      <alignment horizontal="right" vertical="center" wrapText="1"/>
    </xf>
    <xf numFmtId="4" fontId="6" fillId="9" borderId="4" xfId="0" applyNumberFormat="1" applyFont="1" applyFill="1" applyBorder="1" applyAlignment="1">
      <alignment horizontal="right" vertical="center" wrapText="1"/>
    </xf>
    <xf numFmtId="166" fontId="6" fillId="0" borderId="4" xfId="0" applyNumberFormat="1" applyFont="1" applyBorder="1" applyAlignment="1">
      <alignment horizontal="center"/>
    </xf>
    <xf numFmtId="166" fontId="4" fillId="0" borderId="4" xfId="0" applyNumberFormat="1" applyFont="1" applyBorder="1" applyAlignment="1">
      <alignment horizontal="center"/>
    </xf>
    <xf numFmtId="0" fontId="2" fillId="0" borderId="1" xfId="1" applyFont="1" applyBorder="1"/>
    <xf numFmtId="0" fontId="6" fillId="0" borderId="1" xfId="1" applyFont="1" applyBorder="1" applyAlignment="1">
      <alignment horizontal="center"/>
    </xf>
    <xf numFmtId="164" fontId="1" fillId="5" borderId="1" xfId="1" applyNumberFormat="1" applyFont="1" applyFill="1" applyBorder="1" applyAlignment="1" applyProtection="1">
      <alignment horizontal="center"/>
      <protection locked="0"/>
    </xf>
    <xf numFmtId="0" fontId="10" fillId="0" borderId="1" xfId="1" applyFont="1" applyBorder="1"/>
    <xf numFmtId="166" fontId="1" fillId="5" borderId="1" xfId="3" applyFont="1" applyFill="1" applyBorder="1" applyAlignment="1">
      <alignment horizontal="center"/>
    </xf>
    <xf numFmtId="166" fontId="6" fillId="0" borderId="1" xfId="3" applyFont="1" applyFill="1" applyBorder="1" applyAlignment="1">
      <alignment horizontal="center"/>
    </xf>
    <xf numFmtId="0" fontId="1" fillId="0" borderId="1" xfId="0" applyFont="1" applyBorder="1"/>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5" borderId="1" xfId="1" applyFont="1" applyFill="1" applyBorder="1" applyAlignment="1">
      <alignment horizontal="left" vertical="center"/>
    </xf>
    <xf numFmtId="0" fontId="1" fillId="5" borderId="1" xfId="1" applyFont="1" applyFill="1" applyBorder="1" applyAlignment="1">
      <alignment horizontal="center" vertical="center" wrapText="1"/>
    </xf>
    <xf numFmtId="166" fontId="1" fillId="5" borderId="1" xfId="3" applyFont="1" applyFill="1" applyBorder="1" applyAlignment="1">
      <alignment horizontal="center" vertical="center" wrapText="1"/>
    </xf>
    <xf numFmtId="164" fontId="1" fillId="6" borderId="1" xfId="1" applyNumberFormat="1" applyFont="1" applyFill="1" applyBorder="1" applyAlignment="1" applyProtection="1">
      <alignment horizontal="center"/>
      <protection locked="0"/>
    </xf>
    <xf numFmtId="0" fontId="4" fillId="0" borderId="1" xfId="0" applyFont="1" applyBorder="1" applyAlignment="1">
      <alignment horizontal="left"/>
    </xf>
    <xf numFmtId="0" fontId="2" fillId="0" borderId="1" xfId="1" applyFont="1" applyBorder="1" applyAlignment="1">
      <alignment horizontal="left"/>
    </xf>
    <xf numFmtId="0" fontId="2" fillId="0" borderId="1" xfId="1" applyFont="1" applyBorder="1" applyAlignment="1">
      <alignment horizontal="center"/>
    </xf>
    <xf numFmtId="0" fontId="1" fillId="5" borderId="1" xfId="1" applyFont="1" applyFill="1" applyBorder="1"/>
    <xf numFmtId="166" fontId="6" fillId="0" borderId="1" xfId="2" applyFont="1" applyFill="1" applyBorder="1" applyAlignment="1">
      <alignment horizontal="center" vertical="center" wrapText="1"/>
    </xf>
    <xf numFmtId="0" fontId="7" fillId="0" borderId="1" xfId="0" applyFont="1" applyBorder="1" applyAlignment="1">
      <alignment horizontal="left"/>
    </xf>
    <xf numFmtId="164" fontId="7" fillId="0" borderId="1" xfId="0" applyNumberFormat="1" applyFont="1" applyBorder="1" applyAlignment="1">
      <alignment horizontal="center" vertical="center" wrapText="1"/>
    </xf>
    <xf numFmtId="165" fontId="7" fillId="0" borderId="1" xfId="0" applyNumberFormat="1" applyFont="1" applyBorder="1" applyAlignment="1">
      <alignment horizontal="center" vertical="center" wrapText="1"/>
    </xf>
    <xf numFmtId="167" fontId="7" fillId="5" borderId="1" xfId="3" applyNumberFormat="1" applyFont="1" applyFill="1" applyBorder="1" applyAlignment="1">
      <alignment horizontal="right" vertical="center" wrapText="1"/>
    </xf>
    <xf numFmtId="166" fontId="7" fillId="0" borderId="1" xfId="2" applyFont="1" applyFill="1" applyBorder="1" applyAlignment="1">
      <alignment horizontal="center"/>
    </xf>
    <xf numFmtId="0" fontId="1" fillId="0" borderId="1" xfId="1" applyFont="1" applyBorder="1" applyAlignment="1">
      <alignment horizontal="left"/>
    </xf>
    <xf numFmtId="0" fontId="5" fillId="7" borderId="4" xfId="0" applyFont="1" applyFill="1" applyBorder="1" applyAlignment="1">
      <alignment horizontal="left"/>
    </xf>
    <xf numFmtId="0" fontId="6" fillId="5" borderId="1" xfId="0" applyFont="1" applyFill="1" applyBorder="1" applyAlignment="1">
      <alignment horizontal="center"/>
    </xf>
    <xf numFmtId="166" fontId="1" fillId="0" borderId="1" xfId="5" applyFont="1" applyFill="1" applyBorder="1" applyAlignment="1">
      <alignment horizontal="center" vertical="center" wrapText="1"/>
    </xf>
    <xf numFmtId="0" fontId="5" fillId="0" borderId="1" xfId="0" applyFont="1" applyBorder="1"/>
    <xf numFmtId="166" fontId="6" fillId="3" borderId="1" xfId="2" applyFont="1" applyFill="1" applyBorder="1" applyAlignment="1">
      <alignment horizontal="center" vertical="center" wrapText="1"/>
    </xf>
    <xf numFmtId="0" fontId="5" fillId="2" borderId="1" xfId="0" applyFont="1" applyFill="1" applyBorder="1"/>
    <xf numFmtId="0" fontId="2" fillId="2" borderId="1" xfId="0" applyFont="1" applyFill="1" applyBorder="1"/>
    <xf numFmtId="164" fontId="2" fillId="2" borderId="1" xfId="0" applyNumberFormat="1" applyFont="1" applyFill="1" applyBorder="1" applyAlignment="1">
      <alignment horizontal="center" vertical="center"/>
    </xf>
    <xf numFmtId="165" fontId="2" fillId="2" borderId="1" xfId="0" applyNumberFormat="1" applyFont="1" applyFill="1" applyBorder="1" applyAlignment="1">
      <alignment horizontal="center"/>
    </xf>
    <xf numFmtId="166" fontId="4" fillId="2" borderId="1" xfId="2" applyFont="1" applyFill="1" applyBorder="1" applyAlignment="1">
      <alignment horizontal="center"/>
    </xf>
    <xf numFmtId="0" fontId="13" fillId="0" borderId="0" xfId="0" applyFont="1"/>
    <xf numFmtId="0" fontId="1" fillId="0" borderId="0" xfId="0" applyFont="1" applyAlignment="1">
      <alignment horizontal="left"/>
    </xf>
    <xf numFmtId="164" fontId="2" fillId="0" borderId="0" xfId="0" applyNumberFormat="1" applyFont="1" applyAlignment="1">
      <alignment horizontal="center" vertical="center"/>
    </xf>
    <xf numFmtId="165" fontId="2" fillId="0" borderId="0" xfId="0" applyNumberFormat="1" applyFont="1" applyAlignment="1">
      <alignment horizontal="center"/>
    </xf>
    <xf numFmtId="166" fontId="4" fillId="0" borderId="0" xfId="2" applyFont="1" applyBorder="1" applyAlignment="1">
      <alignment horizontal="center"/>
    </xf>
    <xf numFmtId="0" fontId="2" fillId="13" borderId="5" xfId="0" applyFont="1" applyFill="1" applyBorder="1" applyAlignment="1">
      <alignment horizontal="centerContinuous"/>
    </xf>
    <xf numFmtId="0" fontId="2" fillId="13" borderId="6" xfId="0" applyFont="1" applyFill="1" applyBorder="1" applyAlignment="1">
      <alignment horizontal="centerContinuous"/>
    </xf>
    <xf numFmtId="0" fontId="2" fillId="0" borderId="7" xfId="0" applyFont="1" applyBorder="1"/>
    <xf numFmtId="0" fontId="2" fillId="0" borderId="8" xfId="0" applyFont="1" applyBorder="1"/>
    <xf numFmtId="166" fontId="6" fillId="0" borderId="0" xfId="2" applyFont="1" applyBorder="1" applyAlignment="1">
      <alignment horizontal="center"/>
    </xf>
    <xf numFmtId="0" fontId="2" fillId="0" borderId="9" xfId="0" applyFont="1" applyBorder="1"/>
    <xf numFmtId="0" fontId="2" fillId="0" borderId="10" xfId="0" applyFont="1" applyBorder="1"/>
    <xf numFmtId="0" fontId="14" fillId="0" borderId="0" xfId="0" applyFont="1"/>
    <xf numFmtId="0" fontId="4" fillId="13" borderId="5" xfId="0" applyFont="1" applyFill="1" applyBorder="1" applyAlignment="1">
      <alignment horizontal="centerContinuous"/>
    </xf>
    <xf numFmtId="0" fontId="4" fillId="13" borderId="6" xfId="0" applyFont="1" applyFill="1" applyBorder="1" applyAlignment="1">
      <alignment horizontal="centerContinuous"/>
    </xf>
    <xf numFmtId="0" fontId="2" fillId="3" borderId="0" xfId="0" applyFont="1" applyFill="1"/>
    <xf numFmtId="0" fontId="6" fillId="14" borderId="4" xfId="6" applyFont="1" applyFill="1" applyBorder="1" applyAlignment="1">
      <alignment horizontal="center" vertical="center" wrapText="1"/>
    </xf>
    <xf numFmtId="0" fontId="4" fillId="14" borderId="4" xfId="6" applyFont="1" applyFill="1" applyBorder="1" applyAlignment="1">
      <alignment horizontal="center" vertical="center" wrapText="1"/>
    </xf>
    <xf numFmtId="164" fontId="4" fillId="14" borderId="4" xfId="6" applyNumberFormat="1" applyFont="1" applyFill="1" applyBorder="1" applyAlignment="1">
      <alignment horizontal="center" vertical="center" wrapText="1"/>
    </xf>
    <xf numFmtId="165" fontId="4" fillId="14" borderId="4" xfId="6" applyNumberFormat="1" applyFont="1" applyFill="1" applyBorder="1" applyAlignment="1">
      <alignment horizontal="center" vertical="center" wrapText="1"/>
    </xf>
    <xf numFmtId="0" fontId="4" fillId="9" borderId="4" xfId="6" applyFont="1" applyFill="1" applyBorder="1" applyAlignment="1">
      <alignment horizontal="center" vertical="center" wrapText="1"/>
    </xf>
    <xf numFmtId="166" fontId="4" fillId="14" borderId="4" xfId="6" applyNumberFormat="1" applyFont="1" applyFill="1" applyBorder="1" applyAlignment="1">
      <alignment horizontal="center" vertical="center" wrapText="1"/>
    </xf>
    <xf numFmtId="0" fontId="19" fillId="0" borderId="0" xfId="6" applyFont="1" applyAlignment="1">
      <alignment horizontal="center" vertical="center" wrapText="1"/>
    </xf>
    <xf numFmtId="0" fontId="18" fillId="0" borderId="0" xfId="6"/>
    <xf numFmtId="0" fontId="6" fillId="8" borderId="4" xfId="6" applyFont="1" applyFill="1" applyBorder="1"/>
    <xf numFmtId="0" fontId="4" fillId="15" borderId="4" xfId="6" applyFont="1" applyFill="1" applyBorder="1"/>
    <xf numFmtId="0" fontId="10" fillId="8" borderId="3" xfId="6" applyFont="1" applyFill="1" applyBorder="1" applyAlignment="1">
      <alignment horizontal="center"/>
    </xf>
    <xf numFmtId="0" fontId="6" fillId="8" borderId="4" xfId="6" applyFont="1" applyFill="1" applyBorder="1" applyAlignment="1">
      <alignment horizontal="center"/>
    </xf>
    <xf numFmtId="164" fontId="6" fillId="8" borderId="3" xfId="6" applyNumberFormat="1" applyFont="1" applyFill="1" applyBorder="1" applyAlignment="1">
      <alignment horizontal="center"/>
    </xf>
    <xf numFmtId="0" fontId="6" fillId="8" borderId="3" xfId="6" applyFont="1" applyFill="1" applyBorder="1" applyAlignment="1">
      <alignment horizontal="center"/>
    </xf>
    <xf numFmtId="165" fontId="4" fillId="8" borderId="4" xfId="6" applyNumberFormat="1" applyFont="1" applyFill="1" applyBorder="1" applyAlignment="1">
      <alignment horizontal="center" vertical="center" wrapText="1"/>
    </xf>
    <xf numFmtId="166" fontId="6" fillId="8" borderId="4" xfId="6" applyNumberFormat="1" applyFont="1" applyFill="1" applyBorder="1" applyAlignment="1">
      <alignment horizontal="right" vertical="center" wrapText="1"/>
    </xf>
    <xf numFmtId="167" fontId="6" fillId="8" borderId="4" xfId="6" applyNumberFormat="1" applyFont="1" applyFill="1" applyBorder="1" applyAlignment="1">
      <alignment horizontal="right" vertical="center" wrapText="1"/>
    </xf>
    <xf numFmtId="4" fontId="6" fillId="8" borderId="4" xfId="6" applyNumberFormat="1" applyFont="1" applyFill="1" applyBorder="1" applyAlignment="1">
      <alignment horizontal="right" vertical="center" wrapText="1"/>
    </xf>
    <xf numFmtId="4" fontId="6" fillId="9" borderId="4" xfId="6" applyNumberFormat="1" applyFont="1" applyFill="1" applyBorder="1" applyAlignment="1">
      <alignment horizontal="right" vertical="center" wrapText="1"/>
    </xf>
    <xf numFmtId="166" fontId="6" fillId="8" borderId="4" xfId="6" applyNumberFormat="1" applyFont="1" applyFill="1" applyBorder="1" applyAlignment="1">
      <alignment horizontal="center" vertical="center" wrapText="1"/>
    </xf>
    <xf numFmtId="166" fontId="6" fillId="8" borderId="4" xfId="6" applyNumberFormat="1" applyFont="1" applyFill="1" applyBorder="1" applyAlignment="1">
      <alignment horizontal="center"/>
    </xf>
    <xf numFmtId="0" fontId="20" fillId="8" borderId="0" xfId="6" applyFont="1" applyFill="1"/>
    <xf numFmtId="0" fontId="4" fillId="15" borderId="3" xfId="6" applyFont="1" applyFill="1" applyBorder="1"/>
    <xf numFmtId="0" fontId="7" fillId="8" borderId="3" xfId="6" applyFont="1" applyFill="1" applyBorder="1" applyAlignment="1">
      <alignment horizontal="center"/>
    </xf>
    <xf numFmtId="0" fontId="10" fillId="8" borderId="4" xfId="6" applyFont="1" applyFill="1" applyBorder="1" applyAlignment="1">
      <alignment horizontal="center"/>
    </xf>
    <xf numFmtId="0" fontId="6" fillId="15" borderId="4" xfId="6" applyFont="1" applyFill="1" applyBorder="1"/>
    <xf numFmtId="0" fontId="6" fillId="0" borderId="3" xfId="6" applyFont="1" applyBorder="1" applyAlignment="1">
      <alignment horizontal="center"/>
    </xf>
    <xf numFmtId="165" fontId="6" fillId="8" borderId="4" xfId="6" applyNumberFormat="1" applyFont="1" applyFill="1" applyBorder="1" applyAlignment="1">
      <alignment horizontal="center" vertical="center" wrapText="1"/>
    </xf>
    <xf numFmtId="166" fontId="6" fillId="0" borderId="11" xfId="6" applyNumberFormat="1" applyFont="1" applyBorder="1" applyAlignment="1">
      <alignment horizontal="center"/>
    </xf>
    <xf numFmtId="0" fontId="7" fillId="0" borderId="4" xfId="6" applyFont="1" applyBorder="1"/>
    <xf numFmtId="0" fontId="8" fillId="15" borderId="3" xfId="6" applyFont="1" applyFill="1" applyBorder="1"/>
    <xf numFmtId="0" fontId="7" fillId="0" borderId="3" xfId="6" applyFont="1" applyBorder="1" applyAlignment="1">
      <alignment horizontal="center"/>
    </xf>
    <xf numFmtId="164" fontId="7" fillId="0" borderId="3" xfId="6" applyNumberFormat="1" applyFont="1" applyBorder="1" applyAlignment="1">
      <alignment horizontal="center"/>
    </xf>
    <xf numFmtId="165" fontId="8" fillId="8" borderId="4" xfId="6" applyNumberFormat="1" applyFont="1" applyFill="1" applyBorder="1" applyAlignment="1">
      <alignment horizontal="center" vertical="center" wrapText="1"/>
    </xf>
    <xf numFmtId="166" fontId="7" fillId="0" borderId="4" xfId="6" applyNumberFormat="1" applyFont="1" applyBorder="1" applyAlignment="1">
      <alignment horizontal="right" vertical="center" wrapText="1"/>
    </xf>
    <xf numFmtId="167" fontId="7" fillId="0" borderId="4" xfId="6" applyNumberFormat="1" applyFont="1" applyBorder="1" applyAlignment="1">
      <alignment horizontal="right" vertical="center" wrapText="1"/>
    </xf>
    <xf numFmtId="4" fontId="7" fillId="8" borderId="4" xfId="6" applyNumberFormat="1" applyFont="1" applyFill="1" applyBorder="1" applyAlignment="1">
      <alignment horizontal="right" vertical="center" wrapText="1"/>
    </xf>
    <xf numFmtId="4" fontId="7" fillId="0" borderId="4" xfId="6" applyNumberFormat="1" applyFont="1" applyBorder="1" applyAlignment="1">
      <alignment horizontal="right" vertical="center" wrapText="1"/>
    </xf>
    <xf numFmtId="4" fontId="7" fillId="9" borderId="4" xfId="6" applyNumberFormat="1" applyFont="1" applyFill="1" applyBorder="1" applyAlignment="1">
      <alignment horizontal="right" vertical="center" wrapText="1"/>
    </xf>
    <xf numFmtId="166" fontId="7" fillId="0" borderId="4" xfId="6" applyNumberFormat="1" applyFont="1" applyBorder="1" applyAlignment="1">
      <alignment horizontal="center" vertical="center" wrapText="1"/>
    </xf>
    <xf numFmtId="166" fontId="7" fillId="0" borderId="4" xfId="6" applyNumberFormat="1" applyFont="1" applyBorder="1" applyAlignment="1">
      <alignment horizontal="center"/>
    </xf>
    <xf numFmtId="166" fontId="7" fillId="8" borderId="4" xfId="6" applyNumberFormat="1" applyFont="1" applyFill="1" applyBorder="1" applyAlignment="1">
      <alignment horizontal="center"/>
    </xf>
    <xf numFmtId="0" fontId="9" fillId="0" borderId="0" xfId="6" applyFont="1"/>
    <xf numFmtId="0" fontId="6" fillId="15" borderId="3" xfId="6" applyFont="1" applyFill="1" applyBorder="1"/>
    <xf numFmtId="0" fontId="6" fillId="15" borderId="12" xfId="6" applyFont="1" applyFill="1" applyBorder="1" applyAlignment="1">
      <alignment horizontal="left"/>
    </xf>
    <xf numFmtId="0" fontId="4" fillId="8" borderId="11" xfId="6" applyFont="1" applyFill="1" applyBorder="1" applyAlignment="1">
      <alignment horizontal="center"/>
    </xf>
    <xf numFmtId="164" fontId="6" fillId="8" borderId="3" xfId="6" applyNumberFormat="1" applyFont="1" applyFill="1" applyBorder="1" applyAlignment="1">
      <alignment horizontal="center" vertical="center" wrapText="1"/>
    </xf>
    <xf numFmtId="0" fontId="6" fillId="0" borderId="4" xfId="6" applyFont="1" applyBorder="1" applyAlignment="1">
      <alignment horizontal="left"/>
    </xf>
    <xf numFmtId="0" fontId="4" fillId="15" borderId="4" xfId="6" applyFont="1" applyFill="1" applyBorder="1" applyAlignment="1">
      <alignment horizontal="left" vertical="center"/>
    </xf>
    <xf numFmtId="0" fontId="4" fillId="0" borderId="4" xfId="6" applyFont="1" applyBorder="1" applyAlignment="1">
      <alignment horizontal="center" vertical="center"/>
    </xf>
    <xf numFmtId="166" fontId="6" fillId="0" borderId="4" xfId="6" applyNumberFormat="1" applyFont="1" applyBorder="1" applyAlignment="1">
      <alignment horizontal="center" vertical="center" wrapText="1"/>
    </xf>
    <xf numFmtId="166" fontId="6" fillId="0" borderId="4" xfId="6" applyNumberFormat="1" applyFont="1" applyBorder="1" applyAlignment="1">
      <alignment horizontal="center"/>
    </xf>
    <xf numFmtId="0" fontId="6" fillId="0" borderId="4" xfId="6" applyFont="1" applyBorder="1" applyAlignment="1">
      <alignment horizontal="center"/>
    </xf>
    <xf numFmtId="0" fontId="21" fillId="0" borderId="0" xfId="6" applyFont="1"/>
    <xf numFmtId="0" fontId="10" fillId="8" borderId="4" xfId="6" applyFont="1" applyFill="1" applyBorder="1"/>
    <xf numFmtId="0" fontId="5" fillId="7" borderId="4" xfId="6" applyFont="1" applyFill="1" applyBorder="1"/>
    <xf numFmtId="164" fontId="10" fillId="0" borderId="4" xfId="6" applyNumberFormat="1" applyFont="1" applyBorder="1" applyAlignment="1">
      <alignment horizontal="center"/>
    </xf>
    <xf numFmtId="164" fontId="7" fillId="8" borderId="3" xfId="6" applyNumberFormat="1" applyFont="1" applyFill="1" applyBorder="1" applyAlignment="1">
      <alignment horizontal="center"/>
    </xf>
    <xf numFmtId="166" fontId="10" fillId="8" borderId="4" xfId="6" applyNumberFormat="1" applyFont="1" applyFill="1" applyBorder="1" applyAlignment="1">
      <alignment horizontal="center" vertical="center" wrapText="1"/>
    </xf>
    <xf numFmtId="167" fontId="7" fillId="8" borderId="4" xfId="6" applyNumberFormat="1" applyFont="1" applyFill="1" applyBorder="1" applyAlignment="1">
      <alignment horizontal="right" vertical="center" wrapText="1"/>
    </xf>
    <xf numFmtId="4" fontId="10" fillId="8" borderId="4" xfId="6" applyNumberFormat="1" applyFont="1" applyFill="1" applyBorder="1" applyAlignment="1">
      <alignment horizontal="right" vertical="center" wrapText="1"/>
    </xf>
    <xf numFmtId="4" fontId="10" fillId="9" borderId="4" xfId="6" applyNumberFormat="1" applyFont="1" applyFill="1" applyBorder="1" applyAlignment="1">
      <alignment horizontal="right" vertical="center" wrapText="1"/>
    </xf>
    <xf numFmtId="166" fontId="10" fillId="8" borderId="4" xfId="6" applyNumberFormat="1" applyFont="1" applyFill="1" applyBorder="1" applyAlignment="1">
      <alignment horizontal="center"/>
    </xf>
    <xf numFmtId="165" fontId="5" fillId="8" borderId="4" xfId="6" applyNumberFormat="1" applyFont="1" applyFill="1" applyBorder="1" applyAlignment="1">
      <alignment horizontal="center" vertical="center" wrapText="1"/>
    </xf>
    <xf numFmtId="0" fontId="5" fillId="0" borderId="4" xfId="6" applyFont="1" applyBorder="1" applyAlignment="1">
      <alignment horizontal="left"/>
    </xf>
    <xf numFmtId="0" fontId="10" fillId="0" borderId="4" xfId="6" applyFont="1" applyBorder="1" applyAlignment="1">
      <alignment horizontal="center"/>
    </xf>
    <xf numFmtId="165" fontId="5" fillId="0" borderId="4" xfId="6" applyNumberFormat="1" applyFont="1" applyBorder="1" applyAlignment="1">
      <alignment horizontal="center" vertical="center" wrapText="1"/>
    </xf>
    <xf numFmtId="166" fontId="10" fillId="0" borderId="4" xfId="6" applyNumberFormat="1" applyFont="1" applyBorder="1" applyAlignment="1">
      <alignment horizontal="right" vertical="center" wrapText="1"/>
    </xf>
    <xf numFmtId="167" fontId="10" fillId="8" borderId="4" xfId="6" applyNumberFormat="1" applyFont="1" applyFill="1" applyBorder="1" applyAlignment="1">
      <alignment horizontal="right" vertical="center" wrapText="1"/>
    </xf>
    <xf numFmtId="4" fontId="10" fillId="0" borderId="4" xfId="6" applyNumberFormat="1" applyFont="1" applyBorder="1" applyAlignment="1">
      <alignment horizontal="right" vertical="center" wrapText="1"/>
    </xf>
    <xf numFmtId="0" fontId="20" fillId="0" borderId="4" xfId="6" applyFont="1" applyBorder="1"/>
    <xf numFmtId="166" fontId="10" fillId="0" borderId="4" xfId="6" applyNumberFormat="1" applyFont="1" applyBorder="1" applyAlignment="1">
      <alignment horizontal="center"/>
    </xf>
    <xf numFmtId="0" fontId="7" fillId="8" borderId="4" xfId="6" applyFont="1" applyFill="1" applyBorder="1"/>
    <xf numFmtId="166" fontId="7" fillId="8" borderId="4" xfId="6" applyNumberFormat="1" applyFont="1" applyFill="1" applyBorder="1" applyAlignment="1">
      <alignment horizontal="right" vertical="center" wrapText="1"/>
    </xf>
    <xf numFmtId="166" fontId="7" fillId="8" borderId="4" xfId="6" applyNumberFormat="1" applyFont="1" applyFill="1" applyBorder="1" applyAlignment="1">
      <alignment horizontal="center" vertical="center" wrapText="1"/>
    </xf>
    <xf numFmtId="0" fontId="9" fillId="8" borderId="0" xfId="6" applyFont="1" applyFill="1"/>
    <xf numFmtId="0" fontId="10" fillId="7" borderId="3" xfId="6" applyFont="1" applyFill="1" applyBorder="1"/>
    <xf numFmtId="165" fontId="10" fillId="8" borderId="4" xfId="6" applyNumberFormat="1" applyFont="1" applyFill="1" applyBorder="1" applyAlignment="1">
      <alignment horizontal="center" vertical="center" wrapText="1"/>
    </xf>
    <xf numFmtId="166" fontId="10" fillId="8" borderId="4" xfId="6" applyNumberFormat="1" applyFont="1" applyFill="1" applyBorder="1" applyAlignment="1">
      <alignment horizontal="right" vertical="center" wrapText="1"/>
    </xf>
    <xf numFmtId="164" fontId="6" fillId="0" borderId="3" xfId="6" applyNumberFormat="1" applyFont="1" applyBorder="1" applyAlignment="1">
      <alignment horizontal="center" vertical="center" wrapText="1"/>
    </xf>
    <xf numFmtId="0" fontId="20" fillId="0" borderId="0" xfId="6" applyFont="1"/>
    <xf numFmtId="0" fontId="4" fillId="14" borderId="3" xfId="6" applyFont="1" applyFill="1" applyBorder="1"/>
    <xf numFmtId="0" fontId="5" fillId="0" borderId="4" xfId="6" applyFont="1" applyBorder="1"/>
    <xf numFmtId="165" fontId="5" fillId="0" borderId="4" xfId="6" applyNumberFormat="1" applyFont="1" applyBorder="1" applyAlignment="1">
      <alignment horizontal="center"/>
    </xf>
    <xf numFmtId="166" fontId="5" fillId="0" borderId="4" xfId="6" applyNumberFormat="1" applyFont="1" applyBorder="1" applyAlignment="1">
      <alignment horizontal="right"/>
    </xf>
    <xf numFmtId="4" fontId="6" fillId="0" borderId="4" xfId="6" applyNumberFormat="1" applyFont="1" applyBorder="1" applyAlignment="1">
      <alignment horizontal="right" vertical="center" wrapText="1"/>
    </xf>
    <xf numFmtId="166" fontId="5" fillId="0" borderId="4" xfId="6" applyNumberFormat="1" applyFont="1" applyBorder="1" applyAlignment="1">
      <alignment horizontal="center"/>
    </xf>
    <xf numFmtId="164" fontId="4" fillId="14" borderId="3" xfId="6" applyNumberFormat="1" applyFont="1" applyFill="1" applyBorder="1" applyAlignment="1">
      <alignment horizontal="center"/>
    </xf>
    <xf numFmtId="165" fontId="4" fillId="14" borderId="4" xfId="6" applyNumberFormat="1" applyFont="1" applyFill="1" applyBorder="1" applyAlignment="1">
      <alignment horizontal="center"/>
    </xf>
    <xf numFmtId="166" fontId="4" fillId="14" borderId="4" xfId="6" applyNumberFormat="1" applyFont="1" applyFill="1" applyBorder="1" applyAlignment="1">
      <alignment horizontal="right"/>
    </xf>
    <xf numFmtId="166" fontId="4" fillId="14" borderId="4" xfId="6" applyNumberFormat="1" applyFont="1" applyFill="1" applyBorder="1" applyAlignment="1">
      <alignment horizontal="center"/>
    </xf>
    <xf numFmtId="0" fontId="19" fillId="0" borderId="0" xfId="6" applyFont="1"/>
    <xf numFmtId="0" fontId="4" fillId="0" borderId="0" xfId="6" applyFont="1"/>
    <xf numFmtId="164" fontId="4" fillId="0" borderId="0" xfId="6" applyNumberFormat="1" applyFont="1" applyAlignment="1">
      <alignment horizontal="center"/>
    </xf>
    <xf numFmtId="165" fontId="4" fillId="0" borderId="0" xfId="6" applyNumberFormat="1" applyFont="1" applyAlignment="1">
      <alignment horizontal="center"/>
    </xf>
    <xf numFmtId="166" fontId="4" fillId="0" borderId="0" xfId="6" applyNumberFormat="1" applyFont="1" applyAlignment="1">
      <alignment horizontal="right"/>
    </xf>
    <xf numFmtId="166" fontId="4" fillId="0" borderId="0" xfId="6" applyNumberFormat="1" applyFont="1" applyAlignment="1">
      <alignment horizontal="center"/>
    </xf>
    <xf numFmtId="166" fontId="4" fillId="8" borderId="0" xfId="6" applyNumberFormat="1" applyFont="1" applyFill="1" applyAlignment="1">
      <alignment horizontal="center"/>
    </xf>
    <xf numFmtId="0" fontId="4" fillId="9" borderId="4" xfId="6" applyFont="1" applyFill="1" applyBorder="1"/>
    <xf numFmtId="10" fontId="4" fillId="9" borderId="4" xfId="6" applyNumberFormat="1" applyFont="1" applyFill="1" applyBorder="1" applyAlignment="1">
      <alignment horizontal="right"/>
    </xf>
    <xf numFmtId="0" fontId="4" fillId="16" borderId="13" xfId="6" applyFont="1" applyFill="1" applyBorder="1" applyAlignment="1">
      <alignment horizontal="centerContinuous"/>
    </xf>
    <xf numFmtId="0" fontId="3" fillId="17" borderId="14" xfId="6" applyFont="1" applyFill="1" applyBorder="1"/>
    <xf numFmtId="0" fontId="6" fillId="0" borderId="0" xfId="6" applyFont="1" applyAlignment="1">
      <alignment horizontal="center"/>
    </xf>
    <xf numFmtId="0" fontId="4" fillId="0" borderId="15" xfId="6" applyFont="1" applyBorder="1"/>
    <xf numFmtId="0" fontId="4" fillId="0" borderId="16" xfId="6" applyFont="1" applyBorder="1"/>
    <xf numFmtId="0" fontId="4" fillId="0" borderId="17" xfId="6" applyFont="1" applyBorder="1"/>
    <xf numFmtId="0" fontId="4" fillId="0" borderId="18" xfId="6" applyFont="1" applyBorder="1"/>
    <xf numFmtId="0" fontId="6" fillId="0" borderId="0" xfId="6" applyFont="1"/>
    <xf numFmtId="0" fontId="14" fillId="0" borderId="0" xfId="6" applyFont="1"/>
    <xf numFmtId="0" fontId="6" fillId="0" borderId="0" xfId="6" applyFont="1" applyAlignment="1">
      <alignment horizontal="left"/>
    </xf>
    <xf numFmtId="0" fontId="22" fillId="0" borderId="0" xfId="6" applyFont="1"/>
    <xf numFmtId="0" fontId="6" fillId="0" borderId="0" xfId="6" applyFont="1" applyAlignment="1">
      <alignment horizontal="center" wrapText="1"/>
    </xf>
    <xf numFmtId="0" fontId="23" fillId="0" borderId="0" xfId="6" applyFont="1"/>
    <xf numFmtId="0" fontId="5" fillId="0" borderId="0" xfId="6" applyFont="1"/>
    <xf numFmtId="164" fontId="6" fillId="0" borderId="0" xfId="6" applyNumberFormat="1" applyFont="1" applyAlignment="1">
      <alignment horizontal="center"/>
    </xf>
    <xf numFmtId="165" fontId="6" fillId="0" borderId="0" xfId="6" applyNumberFormat="1" applyFont="1" applyAlignment="1">
      <alignment horizontal="center"/>
    </xf>
    <xf numFmtId="166" fontId="24" fillId="0" borderId="0" xfId="6" applyNumberFormat="1" applyFont="1" applyAlignment="1">
      <alignment horizontal="right"/>
    </xf>
    <xf numFmtId="166" fontId="24" fillId="0" borderId="0" xfId="6" applyNumberFormat="1" applyFont="1"/>
    <xf numFmtId="166" fontId="24" fillId="8" borderId="0" xfId="6" applyNumberFormat="1" applyFont="1" applyFill="1"/>
    <xf numFmtId="166" fontId="21" fillId="0" borderId="0" xfId="6" applyNumberFormat="1" applyFont="1"/>
    <xf numFmtId="0" fontId="2" fillId="2" borderId="1" xfId="1" applyFont="1" applyFill="1" applyBorder="1" applyAlignment="1">
      <alignment horizontal="center" vertical="center" wrapText="1"/>
    </xf>
    <xf numFmtId="164" fontId="2" fillId="2" borderId="1" xfId="1" applyNumberFormat="1" applyFont="1" applyFill="1" applyBorder="1" applyAlignment="1">
      <alignment horizontal="center" vertical="center" wrapText="1"/>
    </xf>
    <xf numFmtId="165" fontId="2" fillId="2" borderId="1" xfId="1" applyNumberFormat="1" applyFont="1" applyFill="1" applyBorder="1" applyAlignment="1">
      <alignment horizontal="center" vertical="center" wrapText="1"/>
    </xf>
    <xf numFmtId="166" fontId="2" fillId="2" borderId="1" xfId="3" applyFont="1" applyFill="1" applyBorder="1" applyAlignment="1">
      <alignment horizontal="center" vertical="center" wrapText="1"/>
    </xf>
    <xf numFmtId="0" fontId="13" fillId="0" borderId="0" xfId="1" applyFont="1" applyAlignment="1">
      <alignment horizontal="center" vertical="center" wrapText="1"/>
    </xf>
    <xf numFmtId="0" fontId="13" fillId="0" borderId="19" xfId="1" applyFont="1" applyBorder="1" applyAlignment="1">
      <alignment horizontal="center" vertical="center" wrapText="1"/>
    </xf>
    <xf numFmtId="0" fontId="13" fillId="0" borderId="1" xfId="1" applyFont="1" applyBorder="1" applyAlignment="1">
      <alignment horizontal="center" vertical="center" wrapText="1"/>
    </xf>
    <xf numFmtId="165" fontId="1" fillId="0" borderId="1" xfId="1" applyNumberFormat="1" applyFont="1" applyBorder="1" applyAlignment="1">
      <alignment horizontal="center" vertical="center" wrapText="1"/>
    </xf>
    <xf numFmtId="0" fontId="1" fillId="0" borderId="1" xfId="1" applyFont="1" applyBorder="1"/>
    <xf numFmtId="0" fontId="1" fillId="0" borderId="0" xfId="1" applyFont="1"/>
    <xf numFmtId="0" fontId="6" fillId="0" borderId="1" xfId="1" applyFont="1" applyBorder="1" applyAlignment="1">
      <alignment horizontal="left"/>
    </xf>
    <xf numFmtId="0" fontId="20" fillId="0" borderId="1" xfId="1" applyFont="1" applyBorder="1"/>
    <xf numFmtId="166" fontId="6" fillId="5" borderId="1" xfId="3" applyFont="1" applyFill="1" applyBorder="1" applyAlignment="1">
      <alignment horizontal="center"/>
    </xf>
    <xf numFmtId="0" fontId="3" fillId="0" borderId="1" xfId="1" applyBorder="1"/>
    <xf numFmtId="0" fontId="3" fillId="0" borderId="0" xfId="1"/>
    <xf numFmtId="0" fontId="7" fillId="0" borderId="1" xfId="0" applyFont="1" applyBorder="1"/>
    <xf numFmtId="0" fontId="8" fillId="0" borderId="1" xfId="1" applyFont="1" applyBorder="1" applyAlignment="1">
      <alignment horizontal="center"/>
    </xf>
    <xf numFmtId="164" fontId="7" fillId="5" borderId="1" xfId="1" applyNumberFormat="1" applyFont="1" applyFill="1" applyBorder="1" applyAlignment="1" applyProtection="1">
      <alignment horizontal="center"/>
      <protection locked="0"/>
    </xf>
    <xf numFmtId="165" fontId="7" fillId="0" borderId="1" xfId="1" applyNumberFormat="1" applyFont="1" applyBorder="1" applyAlignment="1">
      <alignment horizontal="center" vertical="center" wrapText="1"/>
    </xf>
    <xf numFmtId="0" fontId="7" fillId="0" borderId="1" xfId="1" applyFont="1" applyBorder="1"/>
    <xf numFmtId="164" fontId="1" fillId="0" borderId="1" xfId="1" applyNumberFormat="1" applyFont="1" applyBorder="1" applyAlignment="1" applyProtection="1">
      <alignment horizontal="center"/>
      <protection locked="0"/>
    </xf>
    <xf numFmtId="0" fontId="6" fillId="0" borderId="2" xfId="1" applyFont="1" applyBorder="1" applyAlignment="1">
      <alignment horizontal="center"/>
    </xf>
    <xf numFmtId="166" fontId="6" fillId="0" borderId="1" xfId="3" applyFont="1" applyFill="1" applyBorder="1" applyAlignment="1">
      <alignment horizontal="center" vertical="center" wrapText="1"/>
    </xf>
    <xf numFmtId="166" fontId="1" fillId="0" borderId="1" xfId="3" applyFont="1" applyBorder="1" applyAlignment="1">
      <alignment horizontal="center"/>
    </xf>
    <xf numFmtId="0" fontId="8" fillId="0" borderId="1" xfId="1" applyFont="1" applyBorder="1" applyAlignment="1">
      <alignment horizontal="left"/>
    </xf>
    <xf numFmtId="164" fontId="7" fillId="0" borderId="1" xfId="1" applyNumberFormat="1" applyFont="1" applyBorder="1" applyAlignment="1" applyProtection="1">
      <alignment horizontal="center"/>
      <protection locked="0"/>
    </xf>
    <xf numFmtId="166" fontId="7" fillId="5" borderId="1" xfId="3" applyFont="1" applyFill="1" applyBorder="1" applyAlignment="1">
      <alignment horizontal="center"/>
    </xf>
    <xf numFmtId="0" fontId="10" fillId="0" borderId="0" xfId="1" applyFont="1"/>
    <xf numFmtId="0" fontId="6" fillId="0" borderId="1" xfId="1" applyFont="1" applyBorder="1"/>
    <xf numFmtId="0" fontId="10" fillId="5" borderId="1" xfId="1" applyFont="1" applyFill="1" applyBorder="1"/>
    <xf numFmtId="0" fontId="20" fillId="0" borderId="0" xfId="1" applyFont="1"/>
    <xf numFmtId="0" fontId="4" fillId="0" borderId="1" xfId="1" applyFont="1" applyBorder="1"/>
    <xf numFmtId="0" fontId="10" fillId="5" borderId="0" xfId="1" applyFont="1" applyFill="1"/>
    <xf numFmtId="0" fontId="7" fillId="5" borderId="0" xfId="1" applyFont="1" applyFill="1"/>
    <xf numFmtId="4" fontId="1" fillId="0" borderId="1" xfId="3" applyNumberFormat="1" applyFont="1" applyBorder="1" applyAlignment="1">
      <alignment horizontal="right" vertical="center" wrapText="1"/>
    </xf>
    <xf numFmtId="0" fontId="10" fillId="0" borderId="1" xfId="0" applyFont="1" applyBorder="1"/>
    <xf numFmtId="0" fontId="28" fillId="0" borderId="1" xfId="1" applyFont="1" applyBorder="1" applyAlignment="1">
      <alignment horizontal="center"/>
    </xf>
    <xf numFmtId="0" fontId="1" fillId="5" borderId="0" xfId="1" applyFont="1" applyFill="1"/>
    <xf numFmtId="0" fontId="20" fillId="0" borderId="0" xfId="0" applyFont="1"/>
    <xf numFmtId="4" fontId="1" fillId="18" borderId="1" xfId="3" applyNumberFormat="1" applyFont="1" applyFill="1" applyBorder="1" applyAlignment="1">
      <alignment horizontal="right" vertical="center" wrapText="1"/>
    </xf>
    <xf numFmtId="0" fontId="1" fillId="5" borderId="1" xfId="0" applyFont="1" applyFill="1" applyBorder="1"/>
    <xf numFmtId="0" fontId="4" fillId="0" borderId="1" xfId="1" applyFont="1" applyBorder="1" applyAlignment="1">
      <alignment horizontal="left"/>
    </xf>
    <xf numFmtId="0" fontId="4" fillId="0" borderId="1" xfId="1" applyFont="1" applyBorder="1" applyAlignment="1">
      <alignment horizontal="center"/>
    </xf>
    <xf numFmtId="4" fontId="6" fillId="0" borderId="1" xfId="3" applyNumberFormat="1" applyFont="1" applyFill="1" applyBorder="1" applyAlignment="1">
      <alignment horizontal="right" vertical="center" wrapText="1"/>
    </xf>
    <xf numFmtId="4" fontId="6" fillId="3" borderId="1" xfId="3" applyNumberFormat="1" applyFont="1" applyFill="1" applyBorder="1" applyAlignment="1">
      <alignment horizontal="right" vertical="center" wrapText="1"/>
    </xf>
    <xf numFmtId="0" fontId="21" fillId="0" borderId="1" xfId="0" applyFont="1" applyBorder="1"/>
    <xf numFmtId="166" fontId="10" fillId="0" borderId="1" xfId="3" applyFont="1" applyFill="1" applyBorder="1" applyAlignment="1">
      <alignment horizontal="center"/>
    </xf>
    <xf numFmtId="0" fontId="10" fillId="0" borderId="0" xfId="0" applyFont="1"/>
    <xf numFmtId="0" fontId="10" fillId="5" borderId="0" xfId="0" applyFont="1" applyFill="1"/>
    <xf numFmtId="0" fontId="7" fillId="0" borderId="1" xfId="1" applyFont="1" applyBorder="1" applyAlignment="1">
      <alignment horizontal="left"/>
    </xf>
    <xf numFmtId="0" fontId="3" fillId="5" borderId="0" xfId="1" applyFill="1"/>
    <xf numFmtId="0" fontId="1" fillId="5" borderId="0" xfId="0" applyFont="1" applyFill="1"/>
    <xf numFmtId="0" fontId="20" fillId="0" borderId="1" xfId="0" applyFont="1" applyBorder="1"/>
    <xf numFmtId="166" fontId="2" fillId="0" borderId="1" xfId="3" applyFont="1" applyBorder="1" applyAlignment="1">
      <alignment horizontal="center"/>
    </xf>
    <xf numFmtId="166" fontId="2" fillId="0" borderId="1" xfId="3" applyFont="1" applyFill="1" applyBorder="1" applyAlignment="1">
      <alignment horizontal="center"/>
    </xf>
    <xf numFmtId="0" fontId="20" fillId="5" borderId="0" xfId="1" applyFont="1" applyFill="1"/>
    <xf numFmtId="0" fontId="5" fillId="0" borderId="1" xfId="1" applyFont="1" applyBorder="1"/>
    <xf numFmtId="0" fontId="5" fillId="0" borderId="1" xfId="1" applyFont="1" applyBorder="1" applyAlignment="1">
      <alignment horizontal="center"/>
    </xf>
    <xf numFmtId="164" fontId="5" fillId="0" borderId="1" xfId="1" applyNumberFormat="1" applyFont="1" applyBorder="1" applyAlignment="1" applyProtection="1">
      <alignment horizontal="center"/>
      <protection locked="0"/>
    </xf>
    <xf numFmtId="165" fontId="5" fillId="0" borderId="1" xfId="1" applyNumberFormat="1" applyFont="1" applyBorder="1" applyAlignment="1" applyProtection="1">
      <alignment horizontal="center"/>
      <protection locked="0"/>
    </xf>
    <xf numFmtId="166" fontId="5" fillId="0" borderId="1" xfId="3" applyFont="1" applyBorder="1" applyAlignment="1" applyProtection="1">
      <alignment horizontal="center"/>
      <protection locked="0"/>
    </xf>
    <xf numFmtId="0" fontId="13" fillId="0" borderId="1" xfId="1" applyFont="1" applyBorder="1"/>
    <xf numFmtId="166" fontId="5" fillId="0" borderId="1" xfId="3" applyFont="1" applyBorder="1" applyAlignment="1">
      <alignment horizontal="center"/>
    </xf>
    <xf numFmtId="0" fontId="29" fillId="0" borderId="0" xfId="1" applyFont="1"/>
    <xf numFmtId="0" fontId="2" fillId="2" borderId="1" xfId="1" applyFont="1" applyFill="1" applyBorder="1"/>
    <xf numFmtId="164" fontId="2" fillId="2" borderId="1" xfId="1" applyNumberFormat="1" applyFont="1" applyFill="1" applyBorder="1" applyAlignment="1">
      <alignment horizontal="center"/>
    </xf>
    <xf numFmtId="165" fontId="2" fillId="2" borderId="1" xfId="1" applyNumberFormat="1" applyFont="1" applyFill="1" applyBorder="1" applyAlignment="1">
      <alignment horizontal="center"/>
    </xf>
    <xf numFmtId="166" fontId="4" fillId="2" borderId="1" xfId="3" applyFont="1" applyFill="1" applyBorder="1" applyAlignment="1">
      <alignment horizontal="center"/>
    </xf>
    <xf numFmtId="0" fontId="2" fillId="0" borderId="0" xfId="1" applyFont="1"/>
    <xf numFmtId="164" fontId="2" fillId="0" borderId="0" xfId="1" applyNumberFormat="1" applyFont="1" applyAlignment="1">
      <alignment horizontal="center"/>
    </xf>
    <xf numFmtId="165" fontId="2" fillId="0" borderId="0" xfId="1" applyNumberFormat="1" applyFont="1" applyAlignment="1">
      <alignment horizontal="center"/>
    </xf>
    <xf numFmtId="166" fontId="4" fillId="0" borderId="0" xfId="3" applyFont="1" applyBorder="1" applyAlignment="1">
      <alignment horizontal="center"/>
    </xf>
    <xf numFmtId="166" fontId="4" fillId="0" borderId="0" xfId="3" applyFont="1" applyFill="1" applyBorder="1" applyAlignment="1">
      <alignment horizontal="center"/>
    </xf>
    <xf numFmtId="0" fontId="1" fillId="0" borderId="0" xfId="1" applyFont="1" applyAlignment="1">
      <alignment horizontal="center"/>
    </xf>
    <xf numFmtId="0" fontId="2" fillId="3" borderId="1" xfId="1" applyFont="1" applyFill="1" applyBorder="1"/>
    <xf numFmtId="10" fontId="2" fillId="3" borderId="1" xfId="7" applyNumberFormat="1" applyFont="1" applyFill="1" applyBorder="1" applyAlignment="1">
      <alignment horizontal="right"/>
    </xf>
    <xf numFmtId="164" fontId="1" fillId="0" borderId="0" xfId="1" applyNumberFormat="1" applyFont="1" applyAlignment="1">
      <alignment horizontal="center"/>
    </xf>
    <xf numFmtId="165" fontId="1" fillId="0" borderId="0" xfId="1" quotePrefix="1" applyNumberFormat="1" applyFont="1" applyAlignment="1">
      <alignment horizontal="center"/>
    </xf>
    <xf numFmtId="166" fontId="24" fillId="0" borderId="0" xfId="3" applyFont="1"/>
    <xf numFmtId="166" fontId="24" fillId="0" borderId="0" xfId="3" applyFont="1" applyFill="1"/>
    <xf numFmtId="166" fontId="3" fillId="0" borderId="0" xfId="3"/>
    <xf numFmtId="166" fontId="3" fillId="0" borderId="0" xfId="3" applyAlignment="1">
      <alignment horizontal="center"/>
    </xf>
    <xf numFmtId="166" fontId="3" fillId="0" borderId="0" xfId="3" applyFill="1"/>
    <xf numFmtId="0" fontId="2" fillId="13" borderId="5" xfId="1" applyFont="1" applyFill="1" applyBorder="1" applyAlignment="1">
      <alignment horizontal="centerContinuous"/>
    </xf>
    <xf numFmtId="0" fontId="2" fillId="13" borderId="6" xfId="1" applyFont="1" applyFill="1" applyBorder="1" applyAlignment="1">
      <alignment horizontal="centerContinuous"/>
    </xf>
    <xf numFmtId="164" fontId="29" fillId="0" borderId="0" xfId="1" applyNumberFormat="1" applyFont="1" applyAlignment="1">
      <alignment horizontal="center"/>
    </xf>
    <xf numFmtId="165" fontId="3" fillId="0" borderId="0" xfId="1" applyNumberFormat="1" applyAlignment="1">
      <alignment horizontal="center"/>
    </xf>
    <xf numFmtId="166" fontId="30" fillId="0" borderId="0" xfId="3" applyFont="1"/>
    <xf numFmtId="166" fontId="30" fillId="0" borderId="0" xfId="3" applyFont="1" applyFill="1"/>
    <xf numFmtId="166" fontId="31" fillId="0" borderId="0" xfId="3" applyFont="1" applyBorder="1"/>
    <xf numFmtId="166" fontId="29" fillId="0" borderId="0" xfId="3" applyFont="1"/>
    <xf numFmtId="0" fontId="2" fillId="0" borderId="7" xfId="1" applyFont="1" applyBorder="1"/>
    <xf numFmtId="0" fontId="2" fillId="0" borderId="8" xfId="1" applyFont="1" applyBorder="1"/>
    <xf numFmtId="0" fontId="2" fillId="0" borderId="9" xfId="1" applyFont="1" applyBorder="1"/>
    <xf numFmtId="0" fontId="2" fillId="0" borderId="10" xfId="1" applyFont="1" applyBorder="1"/>
    <xf numFmtId="0" fontId="14" fillId="0" borderId="0" xfId="1" applyFont="1"/>
    <xf numFmtId="0" fontId="4" fillId="13" borderId="5" xfId="1" applyFont="1" applyFill="1" applyBorder="1" applyAlignment="1">
      <alignment horizontal="centerContinuous"/>
    </xf>
    <xf numFmtId="0" fontId="4" fillId="13" borderId="6" xfId="1" applyFont="1" applyFill="1" applyBorder="1" applyAlignment="1">
      <alignment horizontal="centerContinuous"/>
    </xf>
    <xf numFmtId="0" fontId="32" fillId="0" borderId="0" xfId="1" applyFont="1"/>
    <xf numFmtId="165" fontId="29" fillId="0" borderId="0" xfId="1" applyNumberFormat="1" applyFont="1" applyAlignment="1">
      <alignment horizontal="center"/>
    </xf>
    <xf numFmtId="165" fontId="32" fillId="0" borderId="0" xfId="1" applyNumberFormat="1" applyFont="1" applyAlignment="1">
      <alignment horizontal="center"/>
    </xf>
    <xf numFmtId="0" fontId="3" fillId="0" borderId="0" xfId="1" applyAlignment="1">
      <alignment horizontal="center"/>
    </xf>
    <xf numFmtId="164" fontId="3" fillId="0" borderId="0" xfId="1" applyNumberFormat="1" applyAlignment="1">
      <alignment horizontal="center"/>
    </xf>
    <xf numFmtId="166" fontId="3" fillId="0" borderId="0" xfId="3" applyFont="1"/>
    <xf numFmtId="166" fontId="3" fillId="0" borderId="0" xfId="3" applyFont="1" applyAlignment="1">
      <alignment horizontal="center"/>
    </xf>
    <xf numFmtId="166" fontId="3" fillId="0" borderId="0" xfId="3" applyFont="1" applyFill="1"/>
    <xf numFmtId="166" fontId="31" fillId="0" borderId="0" xfId="3" applyFont="1" applyFill="1" applyBorder="1"/>
    <xf numFmtId="166" fontId="3" fillId="0" borderId="0" xfId="3" applyFont="1" applyBorder="1"/>
    <xf numFmtId="165" fontId="11" fillId="0" borderId="0" xfId="1" applyNumberFormat="1" applyFont="1" applyAlignment="1">
      <alignment horizontal="center"/>
    </xf>
    <xf numFmtId="166" fontId="13" fillId="0" borderId="0" xfId="3" applyFont="1" applyBorder="1"/>
    <xf numFmtId="0" fontId="33" fillId="0" borderId="0" xfId="1" applyFont="1"/>
    <xf numFmtId="0" fontId="21" fillId="0" borderId="0" xfId="1" applyFont="1"/>
    <xf numFmtId="165" fontId="1" fillId="0" borderId="0" xfId="1" applyNumberFormat="1" applyFont="1" applyAlignment="1">
      <alignment horizontal="center"/>
    </xf>
    <xf numFmtId="0" fontId="6" fillId="0" borderId="0" xfId="1" applyFont="1"/>
    <xf numFmtId="0" fontId="11" fillId="0" borderId="0" xfId="1" applyFont="1" applyAlignment="1">
      <alignment horizontal="center"/>
    </xf>
    <xf numFmtId="166" fontId="33" fillId="0" borderId="0" xfId="3" applyFont="1"/>
    <xf numFmtId="166" fontId="33" fillId="0" borderId="0" xfId="3" applyFont="1" applyFill="1"/>
    <xf numFmtId="166" fontId="24" fillId="0" borderId="0" xfId="3" applyFont="1" applyBorder="1"/>
    <xf numFmtId="166" fontId="33" fillId="0" borderId="0" xfId="3" applyFont="1" applyAlignment="1">
      <alignment horizontal="center"/>
    </xf>
    <xf numFmtId="0" fontId="1" fillId="0" borderId="0" xfId="1" applyFont="1" applyAlignment="1">
      <alignment horizontal="left"/>
    </xf>
    <xf numFmtId="0" fontId="24" fillId="0" borderId="0" xfId="1" applyFont="1" applyAlignment="1">
      <alignment horizontal="center"/>
    </xf>
    <xf numFmtId="0" fontId="5" fillId="0" borderId="0" xfId="1" applyFont="1"/>
    <xf numFmtId="0" fontId="7" fillId="18" borderId="1" xfId="1" applyFont="1" applyFill="1" applyBorder="1" applyAlignment="1">
      <alignment horizontal="center"/>
    </xf>
    <xf numFmtId="0" fontId="1" fillId="18" borderId="1" xfId="1" applyFont="1" applyFill="1" applyBorder="1" applyAlignment="1">
      <alignment horizontal="center"/>
    </xf>
    <xf numFmtId="0" fontId="2" fillId="18" borderId="0" xfId="1" applyFont="1" applyFill="1"/>
    <xf numFmtId="0" fontId="5" fillId="7" borderId="1" xfId="0" applyFont="1" applyFill="1" applyBorder="1" applyAlignment="1">
      <alignment horizontal="left"/>
    </xf>
    <xf numFmtId="0" fontId="4" fillId="5" borderId="4" xfId="0" applyFont="1" applyFill="1" applyBorder="1" applyAlignment="1">
      <alignment horizontal="left"/>
    </xf>
    <xf numFmtId="0" fontId="1" fillId="0" borderId="4" xfId="0" applyFont="1" applyBorder="1" applyAlignment="1">
      <alignment horizontal="left" vertical="center"/>
    </xf>
    <xf numFmtId="0" fontId="4" fillId="0" borderId="4" xfId="0" applyFont="1" applyBorder="1" applyAlignment="1">
      <alignment horizontal="left"/>
    </xf>
    <xf numFmtId="0" fontId="2" fillId="0" borderId="4" xfId="0" applyFont="1" applyBorder="1"/>
    <xf numFmtId="0" fontId="5" fillId="0" borderId="1" xfId="0" applyFont="1" applyBorder="1" applyAlignment="1">
      <alignment horizontal="center"/>
    </xf>
    <xf numFmtId="0" fontId="5" fillId="0" borderId="1" xfId="0" applyFont="1" applyBorder="1" applyAlignment="1">
      <alignment horizontal="center" wrapText="1"/>
    </xf>
    <xf numFmtId="165" fontId="5" fillId="0" borderId="1" xfId="0" applyNumberFormat="1" applyFont="1" applyBorder="1" applyAlignment="1">
      <alignment horizontal="center" vertical="center" wrapText="1"/>
    </xf>
    <xf numFmtId="165" fontId="1" fillId="0" borderId="4" xfId="0" applyNumberFormat="1" applyFont="1" applyBorder="1" applyAlignment="1">
      <alignment horizontal="center" vertical="center" wrapText="1"/>
    </xf>
    <xf numFmtId="0" fontId="13" fillId="18" borderId="0" xfId="1" applyFont="1" applyFill="1" applyAlignment="1">
      <alignment wrapText="1"/>
    </xf>
  </cellXfs>
  <cellStyles count="8">
    <cellStyle name="Normal" xfId="0" builtinId="0"/>
    <cellStyle name="Normal 2" xfId="1" xr:uid="{431B22C4-E0E9-4BB3-AD02-5169DEE11F08}"/>
    <cellStyle name="Normal 3" xfId="6" xr:uid="{E02C5A50-F116-413C-93BA-5EE4FE7C0106}"/>
    <cellStyle name="Porcentagem 2 2" xfId="7" xr:uid="{AA3A2C24-434F-43D7-A0B5-73D5B50C824B}"/>
    <cellStyle name="Vírgula 2 2" xfId="3" xr:uid="{EC8EAB63-A971-40C8-880C-C8C5EBEBF46C}"/>
    <cellStyle name="Vírgula 3" xfId="5" xr:uid="{7B1B023D-3FF5-410C-A8C6-05E47A2B6311}"/>
    <cellStyle name="Vírgula 4" xfId="2" xr:uid="{080A73B4-D8A1-42DD-8B21-490212BAB594}"/>
    <cellStyle name="Vírgula 4 2" xfId="4" xr:uid="{485F91EB-639F-44AC-B7BC-39965C31C7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9</xdr:col>
      <xdr:colOff>-9525</xdr:colOff>
      <xdr:row>1</xdr:row>
      <xdr:rowOff>0</xdr:rowOff>
    </xdr:from>
    <xdr:to>
      <xdr:col>9</xdr:col>
      <xdr:colOff>28575</xdr:colOff>
      <xdr:row>1</xdr:row>
      <xdr:rowOff>0</xdr:rowOff>
    </xdr:to>
    <xdr:sp macro="" textlink="">
      <xdr:nvSpPr>
        <xdr:cNvPr id="2" name="Shape 4">
          <a:extLst>
            <a:ext uri="{FF2B5EF4-FFF2-40B4-BE49-F238E27FC236}">
              <a16:creationId xmlns:a16="http://schemas.microsoft.com/office/drawing/2014/main" id="{EF019D49-043A-4520-A3AD-D3F8CC7F8E92}"/>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3" name="Shape 5">
          <a:extLst>
            <a:ext uri="{FF2B5EF4-FFF2-40B4-BE49-F238E27FC236}">
              <a16:creationId xmlns:a16="http://schemas.microsoft.com/office/drawing/2014/main" id="{B5A2857D-B012-484D-B520-83D689B59584}"/>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4" name="Shape 5">
          <a:extLst>
            <a:ext uri="{FF2B5EF4-FFF2-40B4-BE49-F238E27FC236}">
              <a16:creationId xmlns:a16="http://schemas.microsoft.com/office/drawing/2014/main" id="{1A1B82DD-22E8-43D1-906D-A2758DD24FE1}"/>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5" name="Shape 5">
          <a:extLst>
            <a:ext uri="{FF2B5EF4-FFF2-40B4-BE49-F238E27FC236}">
              <a16:creationId xmlns:a16="http://schemas.microsoft.com/office/drawing/2014/main" id="{A93AB25A-742B-47B7-A4B2-1A9767EECB6D}"/>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6" name="Shape 6">
          <a:extLst>
            <a:ext uri="{FF2B5EF4-FFF2-40B4-BE49-F238E27FC236}">
              <a16:creationId xmlns:a16="http://schemas.microsoft.com/office/drawing/2014/main" id="{F4D64F16-A855-4787-A42E-FE92AB90088A}"/>
            </a:ext>
          </a:extLst>
        </xdr:cNvPr>
        <xdr:cNvSpPr>
          <a:spLocks noChangeArrowheads="1"/>
        </xdr:cNvSpPr>
      </xdr:nvSpPr>
      <xdr:spPr bwMode="auto">
        <a:xfrm>
          <a:off x="10172700" y="1818322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7" name="Shape 7">
          <a:extLst>
            <a:ext uri="{FF2B5EF4-FFF2-40B4-BE49-F238E27FC236}">
              <a16:creationId xmlns:a16="http://schemas.microsoft.com/office/drawing/2014/main" id="{3B125B7E-BB15-4395-99E0-FA46D315B6CE}"/>
            </a:ext>
          </a:extLst>
        </xdr:cNvPr>
        <xdr:cNvSpPr>
          <a:spLocks noChangeArrowheads="1"/>
        </xdr:cNvSpPr>
      </xdr:nvSpPr>
      <xdr:spPr bwMode="auto">
        <a:xfrm>
          <a:off x="11210925"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8" name="Shape 8">
          <a:extLst>
            <a:ext uri="{FF2B5EF4-FFF2-40B4-BE49-F238E27FC236}">
              <a16:creationId xmlns:a16="http://schemas.microsoft.com/office/drawing/2014/main" id="{FF2CDAA2-7A98-458C-95B5-8F04AC802863}"/>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9" name="Shape 9">
          <a:extLst>
            <a:ext uri="{FF2B5EF4-FFF2-40B4-BE49-F238E27FC236}">
              <a16:creationId xmlns:a16="http://schemas.microsoft.com/office/drawing/2014/main" id="{8F1E71E4-7C96-49B8-BE68-87E3ADE38650}"/>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0" name="Shape 9">
          <a:extLst>
            <a:ext uri="{FF2B5EF4-FFF2-40B4-BE49-F238E27FC236}">
              <a16:creationId xmlns:a16="http://schemas.microsoft.com/office/drawing/2014/main" id="{7C59B3EB-06AA-49BA-98F7-89AF22849204}"/>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1" name="Shape 9">
          <a:extLst>
            <a:ext uri="{FF2B5EF4-FFF2-40B4-BE49-F238E27FC236}">
              <a16:creationId xmlns:a16="http://schemas.microsoft.com/office/drawing/2014/main" id="{AC3FEC93-0E5B-469B-8AFA-460ECB56F247}"/>
            </a:ext>
          </a:extLst>
        </xdr:cNvPr>
        <xdr:cNvSpPr>
          <a:spLocks noChangeArrowheads="1"/>
        </xdr:cNvSpPr>
      </xdr:nvSpPr>
      <xdr:spPr bwMode="auto">
        <a:xfrm>
          <a:off x="137160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2" name="Shape 5">
          <a:extLst>
            <a:ext uri="{FF2B5EF4-FFF2-40B4-BE49-F238E27FC236}">
              <a16:creationId xmlns:a16="http://schemas.microsoft.com/office/drawing/2014/main" id="{CD122A0C-8A82-49C3-96E2-C7B60ADBDC4E}"/>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3" name="Shape 5">
          <a:extLst>
            <a:ext uri="{FF2B5EF4-FFF2-40B4-BE49-F238E27FC236}">
              <a16:creationId xmlns:a16="http://schemas.microsoft.com/office/drawing/2014/main" id="{38227EA6-0475-4DF5-8490-7CCB64D312C0}"/>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4" name="Shape 5">
          <a:extLst>
            <a:ext uri="{FF2B5EF4-FFF2-40B4-BE49-F238E27FC236}">
              <a16:creationId xmlns:a16="http://schemas.microsoft.com/office/drawing/2014/main" id="{20D77052-6CAC-45C6-BEBA-E72852CDCC72}"/>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5" name="Shape 9">
          <a:extLst>
            <a:ext uri="{FF2B5EF4-FFF2-40B4-BE49-F238E27FC236}">
              <a16:creationId xmlns:a16="http://schemas.microsoft.com/office/drawing/2014/main" id="{60A20E47-4936-4A22-926B-35779A2B4B82}"/>
            </a:ext>
          </a:extLst>
        </xdr:cNvPr>
        <xdr:cNvSpPr>
          <a:spLocks noChangeArrowheads="1"/>
        </xdr:cNvSpPr>
      </xdr:nvSpPr>
      <xdr:spPr bwMode="auto">
        <a:xfrm>
          <a:off x="14620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6" name="Shape 4">
          <a:extLst>
            <a:ext uri="{FF2B5EF4-FFF2-40B4-BE49-F238E27FC236}">
              <a16:creationId xmlns:a16="http://schemas.microsoft.com/office/drawing/2014/main" id="{48D678EE-988A-4B28-854A-084F7344FB8E}"/>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17" name="Shape 6">
          <a:extLst>
            <a:ext uri="{FF2B5EF4-FFF2-40B4-BE49-F238E27FC236}">
              <a16:creationId xmlns:a16="http://schemas.microsoft.com/office/drawing/2014/main" id="{43FA1B97-8B0C-43E4-B8A2-69495C5211AC}"/>
            </a:ext>
          </a:extLst>
        </xdr:cNvPr>
        <xdr:cNvSpPr>
          <a:spLocks noChangeArrowheads="1"/>
        </xdr:cNvSpPr>
      </xdr:nvSpPr>
      <xdr:spPr bwMode="auto">
        <a:xfrm>
          <a:off x="10172700" y="1818322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18" name="Shape 7">
          <a:extLst>
            <a:ext uri="{FF2B5EF4-FFF2-40B4-BE49-F238E27FC236}">
              <a16:creationId xmlns:a16="http://schemas.microsoft.com/office/drawing/2014/main" id="{8E7CCCC1-CD34-4A4E-8C78-457B0C9E491B}"/>
            </a:ext>
          </a:extLst>
        </xdr:cNvPr>
        <xdr:cNvSpPr>
          <a:spLocks noChangeArrowheads="1"/>
        </xdr:cNvSpPr>
      </xdr:nvSpPr>
      <xdr:spPr bwMode="auto">
        <a:xfrm>
          <a:off x="11210925"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19" name="Shape 8">
          <a:extLst>
            <a:ext uri="{FF2B5EF4-FFF2-40B4-BE49-F238E27FC236}">
              <a16:creationId xmlns:a16="http://schemas.microsoft.com/office/drawing/2014/main" id="{0C5CE404-7D58-4C40-93F0-FA0E32CE6E94}"/>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0" name="Shape 9">
          <a:extLst>
            <a:ext uri="{FF2B5EF4-FFF2-40B4-BE49-F238E27FC236}">
              <a16:creationId xmlns:a16="http://schemas.microsoft.com/office/drawing/2014/main" id="{92A996DA-9043-47C6-B57B-2D7DB20C37F6}"/>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1" name="Shape 9">
          <a:extLst>
            <a:ext uri="{FF2B5EF4-FFF2-40B4-BE49-F238E27FC236}">
              <a16:creationId xmlns:a16="http://schemas.microsoft.com/office/drawing/2014/main" id="{6425D0BB-709F-4181-A31B-98BB8D27789E}"/>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2" name="Shape 9">
          <a:extLst>
            <a:ext uri="{FF2B5EF4-FFF2-40B4-BE49-F238E27FC236}">
              <a16:creationId xmlns:a16="http://schemas.microsoft.com/office/drawing/2014/main" id="{4A2D06F9-2E1F-4438-81C3-82E036AC6E72}"/>
            </a:ext>
          </a:extLst>
        </xdr:cNvPr>
        <xdr:cNvSpPr>
          <a:spLocks noChangeArrowheads="1"/>
        </xdr:cNvSpPr>
      </xdr:nvSpPr>
      <xdr:spPr bwMode="auto">
        <a:xfrm>
          <a:off x="137160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3" name="Shape 5">
          <a:extLst>
            <a:ext uri="{FF2B5EF4-FFF2-40B4-BE49-F238E27FC236}">
              <a16:creationId xmlns:a16="http://schemas.microsoft.com/office/drawing/2014/main" id="{62AFB17A-B629-4463-AF4E-063CB17096B6}"/>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4" name="Shape 5">
          <a:extLst>
            <a:ext uri="{FF2B5EF4-FFF2-40B4-BE49-F238E27FC236}">
              <a16:creationId xmlns:a16="http://schemas.microsoft.com/office/drawing/2014/main" id="{B05EFA62-2AAD-4842-A030-BC2AD49F9B3F}"/>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5" name="Shape 5">
          <a:extLst>
            <a:ext uri="{FF2B5EF4-FFF2-40B4-BE49-F238E27FC236}">
              <a16:creationId xmlns:a16="http://schemas.microsoft.com/office/drawing/2014/main" id="{E37EB20C-0CD0-49F4-8B0C-48C54F2D33E2}"/>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6" name="Shape 9">
          <a:extLst>
            <a:ext uri="{FF2B5EF4-FFF2-40B4-BE49-F238E27FC236}">
              <a16:creationId xmlns:a16="http://schemas.microsoft.com/office/drawing/2014/main" id="{43FB3DE6-93F0-42CA-A587-6E411E958C2C}"/>
            </a:ext>
          </a:extLst>
        </xdr:cNvPr>
        <xdr:cNvSpPr>
          <a:spLocks noChangeArrowheads="1"/>
        </xdr:cNvSpPr>
      </xdr:nvSpPr>
      <xdr:spPr bwMode="auto">
        <a:xfrm>
          <a:off x="14620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7" name="Shape 4">
          <a:extLst>
            <a:ext uri="{FF2B5EF4-FFF2-40B4-BE49-F238E27FC236}">
              <a16:creationId xmlns:a16="http://schemas.microsoft.com/office/drawing/2014/main" id="{D4172769-E29E-4C67-9656-B55ABAC49E3B}"/>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28" name="Shape 6">
          <a:extLst>
            <a:ext uri="{FF2B5EF4-FFF2-40B4-BE49-F238E27FC236}">
              <a16:creationId xmlns:a16="http://schemas.microsoft.com/office/drawing/2014/main" id="{90D4A313-ADE5-4B4F-90E3-74024C11C848}"/>
            </a:ext>
          </a:extLst>
        </xdr:cNvPr>
        <xdr:cNvSpPr>
          <a:spLocks noChangeArrowheads="1"/>
        </xdr:cNvSpPr>
      </xdr:nvSpPr>
      <xdr:spPr bwMode="auto">
        <a:xfrm>
          <a:off x="10172700" y="1818322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29" name="Shape 7">
          <a:extLst>
            <a:ext uri="{FF2B5EF4-FFF2-40B4-BE49-F238E27FC236}">
              <a16:creationId xmlns:a16="http://schemas.microsoft.com/office/drawing/2014/main" id="{D67B0B2E-8062-4A92-BC14-7220C7BBADC0}"/>
            </a:ext>
          </a:extLst>
        </xdr:cNvPr>
        <xdr:cNvSpPr>
          <a:spLocks noChangeArrowheads="1"/>
        </xdr:cNvSpPr>
      </xdr:nvSpPr>
      <xdr:spPr bwMode="auto">
        <a:xfrm>
          <a:off x="11210925"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30" name="Shape 8">
          <a:extLst>
            <a:ext uri="{FF2B5EF4-FFF2-40B4-BE49-F238E27FC236}">
              <a16:creationId xmlns:a16="http://schemas.microsoft.com/office/drawing/2014/main" id="{F2656585-021D-46BB-8F35-6A8879C93B7C}"/>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31" name="Shape 8">
          <a:extLst>
            <a:ext uri="{FF2B5EF4-FFF2-40B4-BE49-F238E27FC236}">
              <a16:creationId xmlns:a16="http://schemas.microsoft.com/office/drawing/2014/main" id="{388816B6-557C-4676-9BC3-4B21A65F021B}"/>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2" name="Shape 5">
          <a:extLst>
            <a:ext uri="{FF2B5EF4-FFF2-40B4-BE49-F238E27FC236}">
              <a16:creationId xmlns:a16="http://schemas.microsoft.com/office/drawing/2014/main" id="{0BEFF989-F5A8-41D4-AD47-E7C64FAA4B5C}"/>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3" name="Shape 5">
          <a:extLst>
            <a:ext uri="{FF2B5EF4-FFF2-40B4-BE49-F238E27FC236}">
              <a16:creationId xmlns:a16="http://schemas.microsoft.com/office/drawing/2014/main" id="{391E8C3A-CF89-4483-B58C-F1C83A824CCC}"/>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4" name="Shape 5">
          <a:extLst>
            <a:ext uri="{FF2B5EF4-FFF2-40B4-BE49-F238E27FC236}">
              <a16:creationId xmlns:a16="http://schemas.microsoft.com/office/drawing/2014/main" id="{2147D549-F50C-4936-95BE-3EB443B8A731}"/>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5" name="Shape 5">
          <a:extLst>
            <a:ext uri="{FF2B5EF4-FFF2-40B4-BE49-F238E27FC236}">
              <a16:creationId xmlns:a16="http://schemas.microsoft.com/office/drawing/2014/main" id="{E8817AA6-476B-409D-9551-CF6F542E1F29}"/>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6" name="Shape 5">
          <a:extLst>
            <a:ext uri="{FF2B5EF4-FFF2-40B4-BE49-F238E27FC236}">
              <a16:creationId xmlns:a16="http://schemas.microsoft.com/office/drawing/2014/main" id="{D7DF476E-E435-4F16-A58F-F8BA522D73BA}"/>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7" name="Shape 5">
          <a:extLst>
            <a:ext uri="{FF2B5EF4-FFF2-40B4-BE49-F238E27FC236}">
              <a16:creationId xmlns:a16="http://schemas.microsoft.com/office/drawing/2014/main" id="{ACA7D602-1459-4F60-BC47-9A942BDAB119}"/>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8" name="Shape 4">
          <a:extLst>
            <a:ext uri="{FF2B5EF4-FFF2-40B4-BE49-F238E27FC236}">
              <a16:creationId xmlns:a16="http://schemas.microsoft.com/office/drawing/2014/main" id="{01AF5ECC-4ADB-437D-B548-DB0A2E17EB37}"/>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39" name="Shape 6">
          <a:extLst>
            <a:ext uri="{FF2B5EF4-FFF2-40B4-BE49-F238E27FC236}">
              <a16:creationId xmlns:a16="http://schemas.microsoft.com/office/drawing/2014/main" id="{7B4BC014-CB5B-4F34-99E3-CF5AB8C5CFAF}"/>
            </a:ext>
          </a:extLst>
        </xdr:cNvPr>
        <xdr:cNvSpPr>
          <a:spLocks noChangeArrowheads="1"/>
        </xdr:cNvSpPr>
      </xdr:nvSpPr>
      <xdr:spPr bwMode="auto">
        <a:xfrm>
          <a:off x="10172700" y="1818322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40" name="Shape 7">
          <a:extLst>
            <a:ext uri="{FF2B5EF4-FFF2-40B4-BE49-F238E27FC236}">
              <a16:creationId xmlns:a16="http://schemas.microsoft.com/office/drawing/2014/main" id="{ED891D18-3942-440C-A0CE-C3AC959C0BD9}"/>
            </a:ext>
          </a:extLst>
        </xdr:cNvPr>
        <xdr:cNvSpPr>
          <a:spLocks noChangeArrowheads="1"/>
        </xdr:cNvSpPr>
      </xdr:nvSpPr>
      <xdr:spPr bwMode="auto">
        <a:xfrm>
          <a:off x="11210925"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41" name="Shape 8">
          <a:extLst>
            <a:ext uri="{FF2B5EF4-FFF2-40B4-BE49-F238E27FC236}">
              <a16:creationId xmlns:a16="http://schemas.microsoft.com/office/drawing/2014/main" id="{2F98A4C3-70F3-471B-8345-4D0C25305A35}"/>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42" name="Shape 8">
          <a:extLst>
            <a:ext uri="{FF2B5EF4-FFF2-40B4-BE49-F238E27FC236}">
              <a16:creationId xmlns:a16="http://schemas.microsoft.com/office/drawing/2014/main" id="{1DE4CCBE-44A8-43D9-9CAC-BBE85A1F5C63}"/>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3" name="Shape 5">
          <a:extLst>
            <a:ext uri="{FF2B5EF4-FFF2-40B4-BE49-F238E27FC236}">
              <a16:creationId xmlns:a16="http://schemas.microsoft.com/office/drawing/2014/main" id="{317A77C5-E8C8-4F0E-B2C1-4119062FDDF2}"/>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4" name="Shape 5">
          <a:extLst>
            <a:ext uri="{FF2B5EF4-FFF2-40B4-BE49-F238E27FC236}">
              <a16:creationId xmlns:a16="http://schemas.microsoft.com/office/drawing/2014/main" id="{09C9DED9-6966-451B-8D89-0E5485097120}"/>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5" name="Shape 5">
          <a:extLst>
            <a:ext uri="{FF2B5EF4-FFF2-40B4-BE49-F238E27FC236}">
              <a16:creationId xmlns:a16="http://schemas.microsoft.com/office/drawing/2014/main" id="{2563010F-0687-40D1-A55E-023DBDBCC41D}"/>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6" name="Shape 5">
          <a:extLst>
            <a:ext uri="{FF2B5EF4-FFF2-40B4-BE49-F238E27FC236}">
              <a16:creationId xmlns:a16="http://schemas.microsoft.com/office/drawing/2014/main" id="{00EA1CFC-B172-43E8-8FF2-153956F745A3}"/>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7" name="Shape 5">
          <a:extLst>
            <a:ext uri="{FF2B5EF4-FFF2-40B4-BE49-F238E27FC236}">
              <a16:creationId xmlns:a16="http://schemas.microsoft.com/office/drawing/2014/main" id="{C171014A-7189-4666-95C6-10D8435F1E6A}"/>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8" name="Shape 5">
          <a:extLst>
            <a:ext uri="{FF2B5EF4-FFF2-40B4-BE49-F238E27FC236}">
              <a16:creationId xmlns:a16="http://schemas.microsoft.com/office/drawing/2014/main" id="{5FF66910-206A-45A0-A16E-D7A9C57CE8AE}"/>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9" name="Shape 4">
          <a:extLst>
            <a:ext uri="{FF2B5EF4-FFF2-40B4-BE49-F238E27FC236}">
              <a16:creationId xmlns:a16="http://schemas.microsoft.com/office/drawing/2014/main" id="{356514D4-32EB-4314-879D-91EE52E06F25}"/>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50" name="Shape 6">
          <a:extLst>
            <a:ext uri="{FF2B5EF4-FFF2-40B4-BE49-F238E27FC236}">
              <a16:creationId xmlns:a16="http://schemas.microsoft.com/office/drawing/2014/main" id="{C281F837-98E9-4690-84EA-26529060E9AB}"/>
            </a:ext>
          </a:extLst>
        </xdr:cNvPr>
        <xdr:cNvSpPr>
          <a:spLocks noChangeArrowheads="1"/>
        </xdr:cNvSpPr>
      </xdr:nvSpPr>
      <xdr:spPr bwMode="auto">
        <a:xfrm>
          <a:off x="10172700" y="1818322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51" name="Shape 7">
          <a:extLst>
            <a:ext uri="{FF2B5EF4-FFF2-40B4-BE49-F238E27FC236}">
              <a16:creationId xmlns:a16="http://schemas.microsoft.com/office/drawing/2014/main" id="{DD31349D-3384-4D7F-88F2-9DFE286807AF}"/>
            </a:ext>
          </a:extLst>
        </xdr:cNvPr>
        <xdr:cNvSpPr>
          <a:spLocks noChangeArrowheads="1"/>
        </xdr:cNvSpPr>
      </xdr:nvSpPr>
      <xdr:spPr bwMode="auto">
        <a:xfrm>
          <a:off x="11210925"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52" name="Shape 8">
          <a:extLst>
            <a:ext uri="{FF2B5EF4-FFF2-40B4-BE49-F238E27FC236}">
              <a16:creationId xmlns:a16="http://schemas.microsoft.com/office/drawing/2014/main" id="{27692D6F-5B7E-4777-AE2B-49A37597DA91}"/>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53" name="Shape 8">
          <a:extLst>
            <a:ext uri="{FF2B5EF4-FFF2-40B4-BE49-F238E27FC236}">
              <a16:creationId xmlns:a16="http://schemas.microsoft.com/office/drawing/2014/main" id="{976FBB76-25C7-4F67-8DC6-FBEBB9DC67DF}"/>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54" name="Shape 5">
          <a:extLst>
            <a:ext uri="{FF2B5EF4-FFF2-40B4-BE49-F238E27FC236}">
              <a16:creationId xmlns:a16="http://schemas.microsoft.com/office/drawing/2014/main" id="{1126733E-C816-4546-9672-D93DAFBEF48E}"/>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55" name="Shape 5">
          <a:extLst>
            <a:ext uri="{FF2B5EF4-FFF2-40B4-BE49-F238E27FC236}">
              <a16:creationId xmlns:a16="http://schemas.microsoft.com/office/drawing/2014/main" id="{14F9AEAA-EE37-4888-B350-3E20869CAD37}"/>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56" name="Shape 5">
          <a:extLst>
            <a:ext uri="{FF2B5EF4-FFF2-40B4-BE49-F238E27FC236}">
              <a16:creationId xmlns:a16="http://schemas.microsoft.com/office/drawing/2014/main" id="{F01CCC2C-D660-4D8F-A52B-D16B6EC4E7CF}"/>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57" name="Shape 5">
          <a:extLst>
            <a:ext uri="{FF2B5EF4-FFF2-40B4-BE49-F238E27FC236}">
              <a16:creationId xmlns:a16="http://schemas.microsoft.com/office/drawing/2014/main" id="{CCC59932-59AC-42A3-82CD-E8D8B714EA5C}"/>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58" name="Shape 5">
          <a:extLst>
            <a:ext uri="{FF2B5EF4-FFF2-40B4-BE49-F238E27FC236}">
              <a16:creationId xmlns:a16="http://schemas.microsoft.com/office/drawing/2014/main" id="{E135D118-9AE1-4267-B055-033BF27DE111}"/>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59" name="Shape 5">
          <a:extLst>
            <a:ext uri="{FF2B5EF4-FFF2-40B4-BE49-F238E27FC236}">
              <a16:creationId xmlns:a16="http://schemas.microsoft.com/office/drawing/2014/main" id="{8FED0C9D-7CF1-48A4-B377-C72BBE5B4974}"/>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60" name="Shape 4">
          <a:extLst>
            <a:ext uri="{FF2B5EF4-FFF2-40B4-BE49-F238E27FC236}">
              <a16:creationId xmlns:a16="http://schemas.microsoft.com/office/drawing/2014/main" id="{B715FBBF-7074-4AAB-85D5-E79E5E220F81}"/>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61" name="Shape 6">
          <a:extLst>
            <a:ext uri="{FF2B5EF4-FFF2-40B4-BE49-F238E27FC236}">
              <a16:creationId xmlns:a16="http://schemas.microsoft.com/office/drawing/2014/main" id="{E0DB8593-898E-45A2-8823-4F3CC8A3C051}"/>
            </a:ext>
          </a:extLst>
        </xdr:cNvPr>
        <xdr:cNvSpPr>
          <a:spLocks noChangeArrowheads="1"/>
        </xdr:cNvSpPr>
      </xdr:nvSpPr>
      <xdr:spPr bwMode="auto">
        <a:xfrm>
          <a:off x="10172700" y="1818322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62" name="Shape 7">
          <a:extLst>
            <a:ext uri="{FF2B5EF4-FFF2-40B4-BE49-F238E27FC236}">
              <a16:creationId xmlns:a16="http://schemas.microsoft.com/office/drawing/2014/main" id="{24A056B9-59E0-4466-9E5F-D41E2BD1F05E}"/>
            </a:ext>
          </a:extLst>
        </xdr:cNvPr>
        <xdr:cNvSpPr>
          <a:spLocks noChangeArrowheads="1"/>
        </xdr:cNvSpPr>
      </xdr:nvSpPr>
      <xdr:spPr bwMode="auto">
        <a:xfrm>
          <a:off x="11210925"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63" name="Shape 8">
          <a:extLst>
            <a:ext uri="{FF2B5EF4-FFF2-40B4-BE49-F238E27FC236}">
              <a16:creationId xmlns:a16="http://schemas.microsoft.com/office/drawing/2014/main" id="{C73F5819-E8DC-4DD6-A89B-C335ABC211E7}"/>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64" name="Shape 8">
          <a:extLst>
            <a:ext uri="{FF2B5EF4-FFF2-40B4-BE49-F238E27FC236}">
              <a16:creationId xmlns:a16="http://schemas.microsoft.com/office/drawing/2014/main" id="{E17378A7-A33B-47D3-BC1A-14F12B45CD32}"/>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65" name="Shape 5">
          <a:extLst>
            <a:ext uri="{FF2B5EF4-FFF2-40B4-BE49-F238E27FC236}">
              <a16:creationId xmlns:a16="http://schemas.microsoft.com/office/drawing/2014/main" id="{3F84BA2F-B702-4397-8D63-1FCFA7536F5A}"/>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66" name="Shape 5">
          <a:extLst>
            <a:ext uri="{FF2B5EF4-FFF2-40B4-BE49-F238E27FC236}">
              <a16:creationId xmlns:a16="http://schemas.microsoft.com/office/drawing/2014/main" id="{C35FCCCB-E294-4399-92A6-12B7455380A6}"/>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67" name="Shape 5">
          <a:extLst>
            <a:ext uri="{FF2B5EF4-FFF2-40B4-BE49-F238E27FC236}">
              <a16:creationId xmlns:a16="http://schemas.microsoft.com/office/drawing/2014/main" id="{FC3551F8-23F4-4CBE-8E7E-D8D420A66E6E}"/>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68" name="Shape 5">
          <a:extLst>
            <a:ext uri="{FF2B5EF4-FFF2-40B4-BE49-F238E27FC236}">
              <a16:creationId xmlns:a16="http://schemas.microsoft.com/office/drawing/2014/main" id="{13451118-A3B4-490A-BF47-B955007B4D49}"/>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69" name="Shape 5">
          <a:extLst>
            <a:ext uri="{FF2B5EF4-FFF2-40B4-BE49-F238E27FC236}">
              <a16:creationId xmlns:a16="http://schemas.microsoft.com/office/drawing/2014/main" id="{92D11F26-570D-46D6-AE92-2B9AAA03B57A}"/>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70" name="Shape 5">
          <a:extLst>
            <a:ext uri="{FF2B5EF4-FFF2-40B4-BE49-F238E27FC236}">
              <a16:creationId xmlns:a16="http://schemas.microsoft.com/office/drawing/2014/main" id="{AB06AEAD-645B-492C-8E31-BE2FA54D9B5C}"/>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71" name="Shape 4">
          <a:extLst>
            <a:ext uri="{FF2B5EF4-FFF2-40B4-BE49-F238E27FC236}">
              <a16:creationId xmlns:a16="http://schemas.microsoft.com/office/drawing/2014/main" id="{0D053936-CD6D-4208-9B6B-82EB16207387}"/>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72" name="Shape 6">
          <a:extLst>
            <a:ext uri="{FF2B5EF4-FFF2-40B4-BE49-F238E27FC236}">
              <a16:creationId xmlns:a16="http://schemas.microsoft.com/office/drawing/2014/main" id="{6058D6B8-A6A9-430D-8A80-64AF872B51ED}"/>
            </a:ext>
          </a:extLst>
        </xdr:cNvPr>
        <xdr:cNvSpPr>
          <a:spLocks noChangeArrowheads="1"/>
        </xdr:cNvSpPr>
      </xdr:nvSpPr>
      <xdr:spPr bwMode="auto">
        <a:xfrm>
          <a:off x="10172700" y="1818322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73" name="Shape 7">
          <a:extLst>
            <a:ext uri="{FF2B5EF4-FFF2-40B4-BE49-F238E27FC236}">
              <a16:creationId xmlns:a16="http://schemas.microsoft.com/office/drawing/2014/main" id="{E2A5BD38-594C-4DF4-9908-5BA5B3852F40}"/>
            </a:ext>
          </a:extLst>
        </xdr:cNvPr>
        <xdr:cNvSpPr>
          <a:spLocks noChangeArrowheads="1"/>
        </xdr:cNvSpPr>
      </xdr:nvSpPr>
      <xdr:spPr bwMode="auto">
        <a:xfrm>
          <a:off x="11210925"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74" name="Shape 8">
          <a:extLst>
            <a:ext uri="{FF2B5EF4-FFF2-40B4-BE49-F238E27FC236}">
              <a16:creationId xmlns:a16="http://schemas.microsoft.com/office/drawing/2014/main" id="{3EE0D098-A48C-42FD-8CF3-51C0E2461A0D}"/>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75" name="Shape 8">
          <a:extLst>
            <a:ext uri="{FF2B5EF4-FFF2-40B4-BE49-F238E27FC236}">
              <a16:creationId xmlns:a16="http://schemas.microsoft.com/office/drawing/2014/main" id="{230CC76E-0806-4641-BBE1-CD29F9AD4CDE}"/>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76" name="Shape 5">
          <a:extLst>
            <a:ext uri="{FF2B5EF4-FFF2-40B4-BE49-F238E27FC236}">
              <a16:creationId xmlns:a16="http://schemas.microsoft.com/office/drawing/2014/main" id="{04FCE8A4-E341-4C1B-BA9E-BA5A322FB684}"/>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77" name="Shape 5">
          <a:extLst>
            <a:ext uri="{FF2B5EF4-FFF2-40B4-BE49-F238E27FC236}">
              <a16:creationId xmlns:a16="http://schemas.microsoft.com/office/drawing/2014/main" id="{87C5E0E7-AD63-4C10-B30B-AF1D68E3FF91}"/>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78" name="Shape 5">
          <a:extLst>
            <a:ext uri="{FF2B5EF4-FFF2-40B4-BE49-F238E27FC236}">
              <a16:creationId xmlns:a16="http://schemas.microsoft.com/office/drawing/2014/main" id="{8E081AFF-2FA7-4E80-9E24-49514F1EECC3}"/>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79" name="Shape 5">
          <a:extLst>
            <a:ext uri="{FF2B5EF4-FFF2-40B4-BE49-F238E27FC236}">
              <a16:creationId xmlns:a16="http://schemas.microsoft.com/office/drawing/2014/main" id="{88B8648F-3BBB-4E5B-AADB-F8C7E11D388E}"/>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80" name="Shape 5">
          <a:extLst>
            <a:ext uri="{FF2B5EF4-FFF2-40B4-BE49-F238E27FC236}">
              <a16:creationId xmlns:a16="http://schemas.microsoft.com/office/drawing/2014/main" id="{EEE74BAC-1940-4030-8613-41B86B268C31}"/>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81" name="Shape 5">
          <a:extLst>
            <a:ext uri="{FF2B5EF4-FFF2-40B4-BE49-F238E27FC236}">
              <a16:creationId xmlns:a16="http://schemas.microsoft.com/office/drawing/2014/main" id="{8F9B0409-47C4-4823-9162-FC3D60ED66F5}"/>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82" name="Shape 4">
          <a:extLst>
            <a:ext uri="{FF2B5EF4-FFF2-40B4-BE49-F238E27FC236}">
              <a16:creationId xmlns:a16="http://schemas.microsoft.com/office/drawing/2014/main" id="{09B6B74F-9C22-47B6-A499-73BC17897845}"/>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83" name="Shape 5">
          <a:extLst>
            <a:ext uri="{FF2B5EF4-FFF2-40B4-BE49-F238E27FC236}">
              <a16:creationId xmlns:a16="http://schemas.microsoft.com/office/drawing/2014/main" id="{E59409F9-63D1-447B-809B-1FB706C69C46}"/>
            </a:ext>
          </a:extLst>
        </xdr:cNvPr>
        <xdr:cNvSpPr>
          <a:spLocks noChangeArrowheads="1"/>
        </xdr:cNvSpPr>
      </xdr:nvSpPr>
      <xdr:spPr bwMode="auto">
        <a:xfrm>
          <a:off x="158972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84" name="Shape 5">
          <a:extLst>
            <a:ext uri="{FF2B5EF4-FFF2-40B4-BE49-F238E27FC236}">
              <a16:creationId xmlns:a16="http://schemas.microsoft.com/office/drawing/2014/main" id="{03E020A8-0820-4319-8AD0-0DA90BDBDCDB}"/>
            </a:ext>
          </a:extLst>
        </xdr:cNvPr>
        <xdr:cNvSpPr>
          <a:spLocks noChangeArrowheads="1"/>
        </xdr:cNvSpPr>
      </xdr:nvSpPr>
      <xdr:spPr bwMode="auto">
        <a:xfrm>
          <a:off x="165068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-9525</xdr:colOff>
      <xdr:row>1</xdr:row>
      <xdr:rowOff>0</xdr:rowOff>
    </xdr:from>
    <xdr:to>
      <xdr:col>15</xdr:col>
      <xdr:colOff>28575</xdr:colOff>
      <xdr:row>1</xdr:row>
      <xdr:rowOff>0</xdr:rowOff>
    </xdr:to>
    <xdr:sp macro="" textlink="">
      <xdr:nvSpPr>
        <xdr:cNvPr id="85" name="Shape 5">
          <a:extLst>
            <a:ext uri="{FF2B5EF4-FFF2-40B4-BE49-F238E27FC236}">
              <a16:creationId xmlns:a16="http://schemas.microsoft.com/office/drawing/2014/main" id="{DF18C5E2-6D1B-42CA-820E-13CD30E828FA}"/>
            </a:ext>
          </a:extLst>
        </xdr:cNvPr>
        <xdr:cNvSpPr>
          <a:spLocks noChangeArrowheads="1"/>
        </xdr:cNvSpPr>
      </xdr:nvSpPr>
      <xdr:spPr bwMode="auto">
        <a:xfrm>
          <a:off x="171164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1</xdr:row>
      <xdr:rowOff>0</xdr:rowOff>
    </xdr:from>
    <xdr:to>
      <xdr:col>9</xdr:col>
      <xdr:colOff>28575</xdr:colOff>
      <xdr:row>1</xdr:row>
      <xdr:rowOff>0</xdr:rowOff>
    </xdr:to>
    <xdr:sp macro="" textlink="">
      <xdr:nvSpPr>
        <xdr:cNvPr id="86" name="Shape 4">
          <a:extLst>
            <a:ext uri="{FF2B5EF4-FFF2-40B4-BE49-F238E27FC236}">
              <a16:creationId xmlns:a16="http://schemas.microsoft.com/office/drawing/2014/main" id="{848B040F-7F07-4EE0-A2F9-8E50523B1704}"/>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1</xdr:row>
      <xdr:rowOff>0</xdr:rowOff>
    </xdr:from>
    <xdr:to>
      <xdr:col>9</xdr:col>
      <xdr:colOff>28575</xdr:colOff>
      <xdr:row>1</xdr:row>
      <xdr:rowOff>0</xdr:rowOff>
    </xdr:to>
    <xdr:sp macro="" textlink="">
      <xdr:nvSpPr>
        <xdr:cNvPr id="87" name="Shape 4">
          <a:extLst>
            <a:ext uri="{FF2B5EF4-FFF2-40B4-BE49-F238E27FC236}">
              <a16:creationId xmlns:a16="http://schemas.microsoft.com/office/drawing/2014/main" id="{E0CE1858-1157-4791-9755-B5376A175D53}"/>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1</xdr:row>
      <xdr:rowOff>0</xdr:rowOff>
    </xdr:from>
    <xdr:to>
      <xdr:col>9</xdr:col>
      <xdr:colOff>28575</xdr:colOff>
      <xdr:row>1</xdr:row>
      <xdr:rowOff>0</xdr:rowOff>
    </xdr:to>
    <xdr:sp macro="" textlink="">
      <xdr:nvSpPr>
        <xdr:cNvPr id="88" name="Shape 4">
          <a:extLst>
            <a:ext uri="{FF2B5EF4-FFF2-40B4-BE49-F238E27FC236}">
              <a16:creationId xmlns:a16="http://schemas.microsoft.com/office/drawing/2014/main" id="{1E2667D5-7C75-4494-B010-51290E9E8E75}"/>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1</xdr:row>
      <xdr:rowOff>0</xdr:rowOff>
    </xdr:from>
    <xdr:to>
      <xdr:col>9</xdr:col>
      <xdr:colOff>38100</xdr:colOff>
      <xdr:row>1</xdr:row>
      <xdr:rowOff>0</xdr:rowOff>
    </xdr:to>
    <xdr:sp macro="" textlink="">
      <xdr:nvSpPr>
        <xdr:cNvPr id="89" name="Shape 10">
          <a:extLst>
            <a:ext uri="{FF2B5EF4-FFF2-40B4-BE49-F238E27FC236}">
              <a16:creationId xmlns:a16="http://schemas.microsoft.com/office/drawing/2014/main" id="{83D8EC45-77F0-4B1A-BF90-1E3FE2600560}"/>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1</xdr:row>
      <xdr:rowOff>0</xdr:rowOff>
    </xdr:from>
    <xdr:to>
      <xdr:col>9</xdr:col>
      <xdr:colOff>38100</xdr:colOff>
      <xdr:row>1</xdr:row>
      <xdr:rowOff>0</xdr:rowOff>
    </xdr:to>
    <xdr:sp macro="" textlink="">
      <xdr:nvSpPr>
        <xdr:cNvPr id="90" name="Shape 10">
          <a:extLst>
            <a:ext uri="{FF2B5EF4-FFF2-40B4-BE49-F238E27FC236}">
              <a16:creationId xmlns:a16="http://schemas.microsoft.com/office/drawing/2014/main" id="{51D24D44-28A6-4BEF-8110-C66787893645}"/>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1</xdr:row>
      <xdr:rowOff>0</xdr:rowOff>
    </xdr:from>
    <xdr:to>
      <xdr:col>9</xdr:col>
      <xdr:colOff>38100</xdr:colOff>
      <xdr:row>1</xdr:row>
      <xdr:rowOff>0</xdr:rowOff>
    </xdr:to>
    <xdr:sp macro="" textlink="">
      <xdr:nvSpPr>
        <xdr:cNvPr id="91" name="Shape 10">
          <a:extLst>
            <a:ext uri="{FF2B5EF4-FFF2-40B4-BE49-F238E27FC236}">
              <a16:creationId xmlns:a16="http://schemas.microsoft.com/office/drawing/2014/main" id="{92EAD1C6-F1E7-44E6-814F-E57896E2C28E}"/>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1</xdr:row>
      <xdr:rowOff>0</xdr:rowOff>
    </xdr:from>
    <xdr:to>
      <xdr:col>9</xdr:col>
      <xdr:colOff>38100</xdr:colOff>
      <xdr:row>1</xdr:row>
      <xdr:rowOff>0</xdr:rowOff>
    </xdr:to>
    <xdr:sp macro="" textlink="">
      <xdr:nvSpPr>
        <xdr:cNvPr id="92" name="Shape 10">
          <a:extLst>
            <a:ext uri="{FF2B5EF4-FFF2-40B4-BE49-F238E27FC236}">
              <a16:creationId xmlns:a16="http://schemas.microsoft.com/office/drawing/2014/main" id="{A05F9F33-B0F5-4E79-AD79-68D362BFF9CA}"/>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93" name="Shape 10">
          <a:extLst>
            <a:ext uri="{FF2B5EF4-FFF2-40B4-BE49-F238E27FC236}">
              <a16:creationId xmlns:a16="http://schemas.microsoft.com/office/drawing/2014/main" id="{EE062A10-A338-4A02-8673-7B7DB6EEC643}"/>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94" name="Shape 10">
          <a:extLst>
            <a:ext uri="{FF2B5EF4-FFF2-40B4-BE49-F238E27FC236}">
              <a16:creationId xmlns:a16="http://schemas.microsoft.com/office/drawing/2014/main" id="{2AF44E71-A8E1-4AAC-BC7E-9FCC1AF3CAB6}"/>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95" name="Shape 5">
          <a:extLst>
            <a:ext uri="{FF2B5EF4-FFF2-40B4-BE49-F238E27FC236}">
              <a16:creationId xmlns:a16="http://schemas.microsoft.com/office/drawing/2014/main" id="{ED121149-3F73-4923-A74B-1E1A542B1288}"/>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96" name="Shape 5">
          <a:extLst>
            <a:ext uri="{FF2B5EF4-FFF2-40B4-BE49-F238E27FC236}">
              <a16:creationId xmlns:a16="http://schemas.microsoft.com/office/drawing/2014/main" id="{7544FC62-2449-4CA0-A30E-8AA7EDCC809C}"/>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97" name="Shape 6">
          <a:extLst>
            <a:ext uri="{FF2B5EF4-FFF2-40B4-BE49-F238E27FC236}">
              <a16:creationId xmlns:a16="http://schemas.microsoft.com/office/drawing/2014/main" id="{5AAADE03-ABFB-4D4C-8B9B-4D8475B22699}"/>
            </a:ext>
          </a:extLst>
        </xdr:cNvPr>
        <xdr:cNvSpPr>
          <a:spLocks noChangeArrowheads="1"/>
        </xdr:cNvSpPr>
      </xdr:nvSpPr>
      <xdr:spPr bwMode="auto">
        <a:xfrm>
          <a:off x="10172700" y="1818322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98" name="Shape 6">
          <a:extLst>
            <a:ext uri="{FF2B5EF4-FFF2-40B4-BE49-F238E27FC236}">
              <a16:creationId xmlns:a16="http://schemas.microsoft.com/office/drawing/2014/main" id="{8F74472C-386B-416B-91EB-469831A8EA35}"/>
            </a:ext>
          </a:extLst>
        </xdr:cNvPr>
        <xdr:cNvSpPr>
          <a:spLocks noChangeArrowheads="1"/>
        </xdr:cNvSpPr>
      </xdr:nvSpPr>
      <xdr:spPr bwMode="auto">
        <a:xfrm>
          <a:off x="10172700" y="1818322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99" name="Shape 7">
          <a:extLst>
            <a:ext uri="{FF2B5EF4-FFF2-40B4-BE49-F238E27FC236}">
              <a16:creationId xmlns:a16="http://schemas.microsoft.com/office/drawing/2014/main" id="{ED36B160-1CC1-41A8-AABB-450838C27D4A}"/>
            </a:ext>
          </a:extLst>
        </xdr:cNvPr>
        <xdr:cNvSpPr>
          <a:spLocks noChangeArrowheads="1"/>
        </xdr:cNvSpPr>
      </xdr:nvSpPr>
      <xdr:spPr bwMode="auto">
        <a:xfrm>
          <a:off x="11210925"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100" name="Shape 7">
          <a:extLst>
            <a:ext uri="{FF2B5EF4-FFF2-40B4-BE49-F238E27FC236}">
              <a16:creationId xmlns:a16="http://schemas.microsoft.com/office/drawing/2014/main" id="{8CD3C10F-9E7E-4F18-B3D7-D0DEA163D4FA}"/>
            </a:ext>
          </a:extLst>
        </xdr:cNvPr>
        <xdr:cNvSpPr>
          <a:spLocks noChangeArrowheads="1"/>
        </xdr:cNvSpPr>
      </xdr:nvSpPr>
      <xdr:spPr bwMode="auto">
        <a:xfrm>
          <a:off x="11210925"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101" name="Shape 8">
          <a:extLst>
            <a:ext uri="{FF2B5EF4-FFF2-40B4-BE49-F238E27FC236}">
              <a16:creationId xmlns:a16="http://schemas.microsoft.com/office/drawing/2014/main" id="{185B3BD5-8711-4825-BEBA-27E806E9417C}"/>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102" name="Shape 8">
          <a:extLst>
            <a:ext uri="{FF2B5EF4-FFF2-40B4-BE49-F238E27FC236}">
              <a16:creationId xmlns:a16="http://schemas.microsoft.com/office/drawing/2014/main" id="{DA8E6E31-77F8-4C81-8CCC-AB4187852129}"/>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03" name="Shape 9">
          <a:extLst>
            <a:ext uri="{FF2B5EF4-FFF2-40B4-BE49-F238E27FC236}">
              <a16:creationId xmlns:a16="http://schemas.microsoft.com/office/drawing/2014/main" id="{9D96E88B-F197-44D8-936D-D7CE8F1B8A61}"/>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04" name="Shape 9">
          <a:extLst>
            <a:ext uri="{FF2B5EF4-FFF2-40B4-BE49-F238E27FC236}">
              <a16:creationId xmlns:a16="http://schemas.microsoft.com/office/drawing/2014/main" id="{6934305E-8C52-4394-9966-A83D58EA5F9D}"/>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05" name="Shape 9">
          <a:extLst>
            <a:ext uri="{FF2B5EF4-FFF2-40B4-BE49-F238E27FC236}">
              <a16:creationId xmlns:a16="http://schemas.microsoft.com/office/drawing/2014/main" id="{A5A927C3-FF39-4AA7-AAF8-2E214D18B9B7}"/>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06" name="Shape 9">
          <a:extLst>
            <a:ext uri="{FF2B5EF4-FFF2-40B4-BE49-F238E27FC236}">
              <a16:creationId xmlns:a16="http://schemas.microsoft.com/office/drawing/2014/main" id="{72AC327D-86D7-4715-91DE-BE88FC46D2C7}"/>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07" name="Shape 9">
          <a:extLst>
            <a:ext uri="{FF2B5EF4-FFF2-40B4-BE49-F238E27FC236}">
              <a16:creationId xmlns:a16="http://schemas.microsoft.com/office/drawing/2014/main" id="{E533328C-A90B-4A1F-922F-D8BD116CF35C}"/>
            </a:ext>
          </a:extLst>
        </xdr:cNvPr>
        <xdr:cNvSpPr>
          <a:spLocks noChangeArrowheads="1"/>
        </xdr:cNvSpPr>
      </xdr:nvSpPr>
      <xdr:spPr bwMode="auto">
        <a:xfrm>
          <a:off x="137160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08" name="Shape 9">
          <a:extLst>
            <a:ext uri="{FF2B5EF4-FFF2-40B4-BE49-F238E27FC236}">
              <a16:creationId xmlns:a16="http://schemas.microsoft.com/office/drawing/2014/main" id="{51B54716-F3A2-42BA-ABF9-D353D907173E}"/>
            </a:ext>
          </a:extLst>
        </xdr:cNvPr>
        <xdr:cNvSpPr>
          <a:spLocks noChangeArrowheads="1"/>
        </xdr:cNvSpPr>
      </xdr:nvSpPr>
      <xdr:spPr bwMode="auto">
        <a:xfrm>
          <a:off x="137160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09" name="Shape 5">
          <a:extLst>
            <a:ext uri="{FF2B5EF4-FFF2-40B4-BE49-F238E27FC236}">
              <a16:creationId xmlns:a16="http://schemas.microsoft.com/office/drawing/2014/main" id="{C7CF7850-938E-41D0-82C8-E6C36384F4A8}"/>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10" name="Shape 5">
          <a:extLst>
            <a:ext uri="{FF2B5EF4-FFF2-40B4-BE49-F238E27FC236}">
              <a16:creationId xmlns:a16="http://schemas.microsoft.com/office/drawing/2014/main" id="{90D86A7C-1179-4B29-94AC-FD7450E6D53A}"/>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11" name="Shape 9">
          <a:extLst>
            <a:ext uri="{FF2B5EF4-FFF2-40B4-BE49-F238E27FC236}">
              <a16:creationId xmlns:a16="http://schemas.microsoft.com/office/drawing/2014/main" id="{4528E1A2-C138-4384-97DB-249B2ADAD1BC}"/>
            </a:ext>
          </a:extLst>
        </xdr:cNvPr>
        <xdr:cNvSpPr>
          <a:spLocks noChangeArrowheads="1"/>
        </xdr:cNvSpPr>
      </xdr:nvSpPr>
      <xdr:spPr bwMode="auto">
        <a:xfrm>
          <a:off x="14154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12" name="Shape 9">
          <a:extLst>
            <a:ext uri="{FF2B5EF4-FFF2-40B4-BE49-F238E27FC236}">
              <a16:creationId xmlns:a16="http://schemas.microsoft.com/office/drawing/2014/main" id="{F137D079-C1C8-4ADC-AF24-B56EBEE0C20E}"/>
            </a:ext>
          </a:extLst>
        </xdr:cNvPr>
        <xdr:cNvSpPr>
          <a:spLocks noChangeArrowheads="1"/>
        </xdr:cNvSpPr>
      </xdr:nvSpPr>
      <xdr:spPr bwMode="auto">
        <a:xfrm>
          <a:off x="14154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13" name="Shape 5">
          <a:extLst>
            <a:ext uri="{FF2B5EF4-FFF2-40B4-BE49-F238E27FC236}">
              <a16:creationId xmlns:a16="http://schemas.microsoft.com/office/drawing/2014/main" id="{8C02A114-1DC2-4945-BA42-1496ED3002D1}"/>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14" name="Shape 5">
          <a:extLst>
            <a:ext uri="{FF2B5EF4-FFF2-40B4-BE49-F238E27FC236}">
              <a16:creationId xmlns:a16="http://schemas.microsoft.com/office/drawing/2014/main" id="{2F24DA99-3547-4EF1-9BB6-3E4A1B9BF297}"/>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15" name="Shape 9">
          <a:extLst>
            <a:ext uri="{FF2B5EF4-FFF2-40B4-BE49-F238E27FC236}">
              <a16:creationId xmlns:a16="http://schemas.microsoft.com/office/drawing/2014/main" id="{FC8F35C4-8B16-4867-B02A-FA97DE479769}"/>
            </a:ext>
          </a:extLst>
        </xdr:cNvPr>
        <xdr:cNvSpPr>
          <a:spLocks noChangeArrowheads="1"/>
        </xdr:cNvSpPr>
      </xdr:nvSpPr>
      <xdr:spPr bwMode="auto">
        <a:xfrm>
          <a:off x="14620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16" name="Shape 9">
          <a:extLst>
            <a:ext uri="{FF2B5EF4-FFF2-40B4-BE49-F238E27FC236}">
              <a16:creationId xmlns:a16="http://schemas.microsoft.com/office/drawing/2014/main" id="{BBE8265E-7CD3-4097-B2EF-4EB4C5592DCC}"/>
            </a:ext>
          </a:extLst>
        </xdr:cNvPr>
        <xdr:cNvSpPr>
          <a:spLocks noChangeArrowheads="1"/>
        </xdr:cNvSpPr>
      </xdr:nvSpPr>
      <xdr:spPr bwMode="auto">
        <a:xfrm>
          <a:off x="14620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17" name="Shape 4">
          <a:extLst>
            <a:ext uri="{FF2B5EF4-FFF2-40B4-BE49-F238E27FC236}">
              <a16:creationId xmlns:a16="http://schemas.microsoft.com/office/drawing/2014/main" id="{586EB0E7-26BD-48AD-9FF7-07C5ECE4E589}"/>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18" name="Shape 4">
          <a:extLst>
            <a:ext uri="{FF2B5EF4-FFF2-40B4-BE49-F238E27FC236}">
              <a16:creationId xmlns:a16="http://schemas.microsoft.com/office/drawing/2014/main" id="{74F771AE-E547-4529-AD70-0A02EBFED8EF}"/>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1</xdr:row>
      <xdr:rowOff>0</xdr:rowOff>
    </xdr:from>
    <xdr:to>
      <xdr:col>9</xdr:col>
      <xdr:colOff>28575</xdr:colOff>
      <xdr:row>1</xdr:row>
      <xdr:rowOff>0</xdr:rowOff>
    </xdr:to>
    <xdr:sp macro="" textlink="">
      <xdr:nvSpPr>
        <xdr:cNvPr id="119" name="Shape 4">
          <a:extLst>
            <a:ext uri="{FF2B5EF4-FFF2-40B4-BE49-F238E27FC236}">
              <a16:creationId xmlns:a16="http://schemas.microsoft.com/office/drawing/2014/main" id="{CE889C7C-0B57-47AC-8C88-0BFDA5E057B5}"/>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1</xdr:row>
      <xdr:rowOff>0</xdr:rowOff>
    </xdr:from>
    <xdr:to>
      <xdr:col>9</xdr:col>
      <xdr:colOff>28575</xdr:colOff>
      <xdr:row>1</xdr:row>
      <xdr:rowOff>0</xdr:rowOff>
    </xdr:to>
    <xdr:sp macro="" textlink="">
      <xdr:nvSpPr>
        <xdr:cNvPr id="120" name="Shape 4">
          <a:extLst>
            <a:ext uri="{FF2B5EF4-FFF2-40B4-BE49-F238E27FC236}">
              <a16:creationId xmlns:a16="http://schemas.microsoft.com/office/drawing/2014/main" id="{49AC1D8C-CD97-48A7-9937-1C91F1A9AE5D}"/>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1</xdr:row>
      <xdr:rowOff>0</xdr:rowOff>
    </xdr:from>
    <xdr:to>
      <xdr:col>9</xdr:col>
      <xdr:colOff>38100</xdr:colOff>
      <xdr:row>1</xdr:row>
      <xdr:rowOff>0</xdr:rowOff>
    </xdr:to>
    <xdr:sp macro="" textlink="">
      <xdr:nvSpPr>
        <xdr:cNvPr id="121" name="Shape 10">
          <a:extLst>
            <a:ext uri="{FF2B5EF4-FFF2-40B4-BE49-F238E27FC236}">
              <a16:creationId xmlns:a16="http://schemas.microsoft.com/office/drawing/2014/main" id="{18BB6F18-74C6-4314-AA9A-04D29C97FBAA}"/>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1</xdr:row>
      <xdr:rowOff>0</xdr:rowOff>
    </xdr:from>
    <xdr:to>
      <xdr:col>9</xdr:col>
      <xdr:colOff>38100</xdr:colOff>
      <xdr:row>1</xdr:row>
      <xdr:rowOff>0</xdr:rowOff>
    </xdr:to>
    <xdr:sp macro="" textlink="">
      <xdr:nvSpPr>
        <xdr:cNvPr id="122" name="Shape 10">
          <a:extLst>
            <a:ext uri="{FF2B5EF4-FFF2-40B4-BE49-F238E27FC236}">
              <a16:creationId xmlns:a16="http://schemas.microsoft.com/office/drawing/2014/main" id="{848B6CCE-3FFB-4E07-87A7-6AF7BF9F6C60}"/>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1</xdr:row>
      <xdr:rowOff>0</xdr:rowOff>
    </xdr:from>
    <xdr:to>
      <xdr:col>9</xdr:col>
      <xdr:colOff>38100</xdr:colOff>
      <xdr:row>1</xdr:row>
      <xdr:rowOff>0</xdr:rowOff>
    </xdr:to>
    <xdr:sp macro="" textlink="">
      <xdr:nvSpPr>
        <xdr:cNvPr id="123" name="Shape 10">
          <a:extLst>
            <a:ext uri="{FF2B5EF4-FFF2-40B4-BE49-F238E27FC236}">
              <a16:creationId xmlns:a16="http://schemas.microsoft.com/office/drawing/2014/main" id="{C557A1F2-9E8A-49D5-ACB4-47A3E459E493}"/>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1</xdr:row>
      <xdr:rowOff>0</xdr:rowOff>
    </xdr:from>
    <xdr:to>
      <xdr:col>9</xdr:col>
      <xdr:colOff>38100</xdr:colOff>
      <xdr:row>1</xdr:row>
      <xdr:rowOff>0</xdr:rowOff>
    </xdr:to>
    <xdr:sp macro="" textlink="">
      <xdr:nvSpPr>
        <xdr:cNvPr id="124" name="Shape 10">
          <a:extLst>
            <a:ext uri="{FF2B5EF4-FFF2-40B4-BE49-F238E27FC236}">
              <a16:creationId xmlns:a16="http://schemas.microsoft.com/office/drawing/2014/main" id="{E7CBF683-D3FD-4C40-BEC1-AF0D4CB3C96F}"/>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125" name="Shape 10">
          <a:extLst>
            <a:ext uri="{FF2B5EF4-FFF2-40B4-BE49-F238E27FC236}">
              <a16:creationId xmlns:a16="http://schemas.microsoft.com/office/drawing/2014/main" id="{65A7FF59-FDD7-4901-B414-4A489B808C88}"/>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3</xdr:col>
      <xdr:colOff>171450</xdr:colOff>
      <xdr:row>1</xdr:row>
      <xdr:rowOff>0</xdr:rowOff>
    </xdr:from>
    <xdr:to>
      <xdr:col>3</xdr:col>
      <xdr:colOff>209550</xdr:colOff>
      <xdr:row>1</xdr:row>
      <xdr:rowOff>0</xdr:rowOff>
    </xdr:to>
    <xdr:sp macro="" textlink="">
      <xdr:nvSpPr>
        <xdr:cNvPr id="126" name="Shape 10">
          <a:extLst>
            <a:ext uri="{FF2B5EF4-FFF2-40B4-BE49-F238E27FC236}">
              <a16:creationId xmlns:a16="http://schemas.microsoft.com/office/drawing/2014/main" id="{66B01F14-E780-47DD-9B99-19A79C1D8EA5}"/>
            </a:ext>
          </a:extLst>
        </xdr:cNvPr>
        <xdr:cNvSpPr>
          <a:spLocks noChangeArrowheads="1"/>
        </xdr:cNvSpPr>
      </xdr:nvSpPr>
      <xdr:spPr bwMode="auto">
        <a:xfrm>
          <a:off x="69532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127" name="Shape 5">
          <a:extLst>
            <a:ext uri="{FF2B5EF4-FFF2-40B4-BE49-F238E27FC236}">
              <a16:creationId xmlns:a16="http://schemas.microsoft.com/office/drawing/2014/main" id="{F31251A0-4E2E-435A-8324-577BCE01CD5F}"/>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128" name="Shape 5">
          <a:extLst>
            <a:ext uri="{FF2B5EF4-FFF2-40B4-BE49-F238E27FC236}">
              <a16:creationId xmlns:a16="http://schemas.microsoft.com/office/drawing/2014/main" id="{7291CF9C-04F6-4F35-B9A1-8A3DE740EFEF}"/>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129" name="Shape 6">
          <a:extLst>
            <a:ext uri="{FF2B5EF4-FFF2-40B4-BE49-F238E27FC236}">
              <a16:creationId xmlns:a16="http://schemas.microsoft.com/office/drawing/2014/main" id="{D8BD2A94-508B-4CD3-9B6B-9E77C430536A}"/>
            </a:ext>
          </a:extLst>
        </xdr:cNvPr>
        <xdr:cNvSpPr>
          <a:spLocks noChangeArrowheads="1"/>
        </xdr:cNvSpPr>
      </xdr:nvSpPr>
      <xdr:spPr bwMode="auto">
        <a:xfrm>
          <a:off x="10172700" y="1818322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130" name="Shape 6">
          <a:extLst>
            <a:ext uri="{FF2B5EF4-FFF2-40B4-BE49-F238E27FC236}">
              <a16:creationId xmlns:a16="http://schemas.microsoft.com/office/drawing/2014/main" id="{E88EA749-7FF6-485E-8BBD-EFE22520BB7C}"/>
            </a:ext>
          </a:extLst>
        </xdr:cNvPr>
        <xdr:cNvSpPr>
          <a:spLocks noChangeArrowheads="1"/>
        </xdr:cNvSpPr>
      </xdr:nvSpPr>
      <xdr:spPr bwMode="auto">
        <a:xfrm>
          <a:off x="10172700" y="1818322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-9525</xdr:colOff>
      <xdr:row>1</xdr:row>
      <xdr:rowOff>0</xdr:rowOff>
    </xdr:from>
    <xdr:to>
      <xdr:col>13</xdr:col>
      <xdr:colOff>28575</xdr:colOff>
      <xdr:row>1</xdr:row>
      <xdr:rowOff>0</xdr:rowOff>
    </xdr:to>
    <xdr:sp macro="" textlink="">
      <xdr:nvSpPr>
        <xdr:cNvPr id="131" name="Shape 5">
          <a:extLst>
            <a:ext uri="{FF2B5EF4-FFF2-40B4-BE49-F238E27FC236}">
              <a16:creationId xmlns:a16="http://schemas.microsoft.com/office/drawing/2014/main" id="{0633CC94-0E27-4723-8455-19B836C3DE18}"/>
            </a:ext>
          </a:extLst>
        </xdr:cNvPr>
        <xdr:cNvSpPr>
          <a:spLocks noChangeArrowheads="1"/>
        </xdr:cNvSpPr>
      </xdr:nvSpPr>
      <xdr:spPr bwMode="auto">
        <a:xfrm>
          <a:off x="105251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-9525</xdr:colOff>
      <xdr:row>1</xdr:row>
      <xdr:rowOff>0</xdr:rowOff>
    </xdr:from>
    <xdr:to>
      <xdr:col>13</xdr:col>
      <xdr:colOff>28575</xdr:colOff>
      <xdr:row>1</xdr:row>
      <xdr:rowOff>0</xdr:rowOff>
    </xdr:to>
    <xdr:sp macro="" textlink="">
      <xdr:nvSpPr>
        <xdr:cNvPr id="132" name="Shape 5">
          <a:extLst>
            <a:ext uri="{FF2B5EF4-FFF2-40B4-BE49-F238E27FC236}">
              <a16:creationId xmlns:a16="http://schemas.microsoft.com/office/drawing/2014/main" id="{86928D06-E282-405C-9B53-54396A3ABBAD}"/>
            </a:ext>
          </a:extLst>
        </xdr:cNvPr>
        <xdr:cNvSpPr>
          <a:spLocks noChangeArrowheads="1"/>
        </xdr:cNvSpPr>
      </xdr:nvSpPr>
      <xdr:spPr bwMode="auto">
        <a:xfrm>
          <a:off x="105251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133" name="Shape 7">
          <a:extLst>
            <a:ext uri="{FF2B5EF4-FFF2-40B4-BE49-F238E27FC236}">
              <a16:creationId xmlns:a16="http://schemas.microsoft.com/office/drawing/2014/main" id="{238073A0-5855-4EB4-8CD7-E457C3AF4A6C}"/>
            </a:ext>
          </a:extLst>
        </xdr:cNvPr>
        <xdr:cNvSpPr>
          <a:spLocks noChangeArrowheads="1"/>
        </xdr:cNvSpPr>
      </xdr:nvSpPr>
      <xdr:spPr bwMode="auto">
        <a:xfrm>
          <a:off x="11210925"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134" name="Shape 7">
          <a:extLst>
            <a:ext uri="{FF2B5EF4-FFF2-40B4-BE49-F238E27FC236}">
              <a16:creationId xmlns:a16="http://schemas.microsoft.com/office/drawing/2014/main" id="{7E8DE22D-5B49-483D-88C5-68B220E97084}"/>
            </a:ext>
          </a:extLst>
        </xdr:cNvPr>
        <xdr:cNvSpPr>
          <a:spLocks noChangeArrowheads="1"/>
        </xdr:cNvSpPr>
      </xdr:nvSpPr>
      <xdr:spPr bwMode="auto">
        <a:xfrm>
          <a:off x="11210925"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135" name="Shape 8">
          <a:extLst>
            <a:ext uri="{FF2B5EF4-FFF2-40B4-BE49-F238E27FC236}">
              <a16:creationId xmlns:a16="http://schemas.microsoft.com/office/drawing/2014/main" id="{63C2A458-6A37-4395-B311-5CD6C5851C7D}"/>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136" name="Shape 8">
          <a:extLst>
            <a:ext uri="{FF2B5EF4-FFF2-40B4-BE49-F238E27FC236}">
              <a16:creationId xmlns:a16="http://schemas.microsoft.com/office/drawing/2014/main" id="{4A3764B4-79C6-42A3-B599-9F256D12E5FC}"/>
            </a:ext>
          </a:extLst>
        </xdr:cNvPr>
        <xdr:cNvSpPr>
          <a:spLocks noChangeArrowheads="1"/>
        </xdr:cNvSpPr>
      </xdr:nvSpPr>
      <xdr:spPr bwMode="auto">
        <a:xfrm>
          <a:off x="11944350" y="181832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37" name="Shape 5">
          <a:extLst>
            <a:ext uri="{FF2B5EF4-FFF2-40B4-BE49-F238E27FC236}">
              <a16:creationId xmlns:a16="http://schemas.microsoft.com/office/drawing/2014/main" id="{279517BE-F014-4512-B734-BABB0EE52621}"/>
            </a:ext>
          </a:extLst>
        </xdr:cNvPr>
        <xdr:cNvSpPr>
          <a:spLocks noChangeArrowheads="1"/>
        </xdr:cNvSpPr>
      </xdr:nvSpPr>
      <xdr:spPr bwMode="auto">
        <a:xfrm>
          <a:off x="125253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38" name="Shape 5">
          <a:extLst>
            <a:ext uri="{FF2B5EF4-FFF2-40B4-BE49-F238E27FC236}">
              <a16:creationId xmlns:a16="http://schemas.microsoft.com/office/drawing/2014/main" id="{C2978EF0-C0F6-4089-B7E7-A5941287D296}"/>
            </a:ext>
          </a:extLst>
        </xdr:cNvPr>
        <xdr:cNvSpPr>
          <a:spLocks noChangeArrowheads="1"/>
        </xdr:cNvSpPr>
      </xdr:nvSpPr>
      <xdr:spPr bwMode="auto">
        <a:xfrm>
          <a:off x="125253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39" name="Shape 5">
          <a:extLst>
            <a:ext uri="{FF2B5EF4-FFF2-40B4-BE49-F238E27FC236}">
              <a16:creationId xmlns:a16="http://schemas.microsoft.com/office/drawing/2014/main" id="{39ADFA03-9125-43D7-9CEB-43EB33612EE8}"/>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40" name="Shape 5">
          <a:extLst>
            <a:ext uri="{FF2B5EF4-FFF2-40B4-BE49-F238E27FC236}">
              <a16:creationId xmlns:a16="http://schemas.microsoft.com/office/drawing/2014/main" id="{DAFA5A0A-B725-42E4-AEBB-188549A6D68F}"/>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41" name="Shape 5">
          <a:extLst>
            <a:ext uri="{FF2B5EF4-FFF2-40B4-BE49-F238E27FC236}">
              <a16:creationId xmlns:a16="http://schemas.microsoft.com/office/drawing/2014/main" id="{31B10E1C-AC30-43BA-8B19-6A4E7032D978}"/>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42" name="Shape 5">
          <a:extLst>
            <a:ext uri="{FF2B5EF4-FFF2-40B4-BE49-F238E27FC236}">
              <a16:creationId xmlns:a16="http://schemas.microsoft.com/office/drawing/2014/main" id="{28C9FC3D-DBC8-4A03-8155-0FB9C7BC657D}"/>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43" name="Shape 5">
          <a:extLst>
            <a:ext uri="{FF2B5EF4-FFF2-40B4-BE49-F238E27FC236}">
              <a16:creationId xmlns:a16="http://schemas.microsoft.com/office/drawing/2014/main" id="{9E15E3AF-1DCE-4D31-8934-CFEEC3BA9158}"/>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44" name="Shape 5">
          <a:extLst>
            <a:ext uri="{FF2B5EF4-FFF2-40B4-BE49-F238E27FC236}">
              <a16:creationId xmlns:a16="http://schemas.microsoft.com/office/drawing/2014/main" id="{435BC5A9-2196-4915-96C6-6178217D4B46}"/>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45" name="Shape 5">
          <a:extLst>
            <a:ext uri="{FF2B5EF4-FFF2-40B4-BE49-F238E27FC236}">
              <a16:creationId xmlns:a16="http://schemas.microsoft.com/office/drawing/2014/main" id="{BF31A754-118B-43A2-97BD-2B8EAA76776F}"/>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46" name="Shape 5">
          <a:extLst>
            <a:ext uri="{FF2B5EF4-FFF2-40B4-BE49-F238E27FC236}">
              <a16:creationId xmlns:a16="http://schemas.microsoft.com/office/drawing/2014/main" id="{DCBB807D-3D40-485E-B449-32793E0A7D9E}"/>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47" name="Shape 4">
          <a:extLst>
            <a:ext uri="{FF2B5EF4-FFF2-40B4-BE49-F238E27FC236}">
              <a16:creationId xmlns:a16="http://schemas.microsoft.com/office/drawing/2014/main" id="{9D0FAE15-0469-46BE-A2E5-D3EE4141507E}"/>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48" name="Shape 4">
          <a:extLst>
            <a:ext uri="{FF2B5EF4-FFF2-40B4-BE49-F238E27FC236}">
              <a16:creationId xmlns:a16="http://schemas.microsoft.com/office/drawing/2014/main" id="{5114449D-EFE8-4256-A1DE-00A415B9F1A6}"/>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49" name="Shape 5">
          <a:extLst>
            <a:ext uri="{FF2B5EF4-FFF2-40B4-BE49-F238E27FC236}">
              <a16:creationId xmlns:a16="http://schemas.microsoft.com/office/drawing/2014/main" id="{3CF8D3F3-F934-4AC5-B73B-26E90F4690D3}"/>
            </a:ext>
          </a:extLst>
        </xdr:cNvPr>
        <xdr:cNvSpPr>
          <a:spLocks noChangeArrowheads="1"/>
        </xdr:cNvSpPr>
      </xdr:nvSpPr>
      <xdr:spPr bwMode="auto">
        <a:xfrm>
          <a:off x="158972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50" name="Shape 5">
          <a:extLst>
            <a:ext uri="{FF2B5EF4-FFF2-40B4-BE49-F238E27FC236}">
              <a16:creationId xmlns:a16="http://schemas.microsoft.com/office/drawing/2014/main" id="{005B9128-D542-4628-BBBE-6EDC1935CDB7}"/>
            </a:ext>
          </a:extLst>
        </xdr:cNvPr>
        <xdr:cNvSpPr>
          <a:spLocks noChangeArrowheads="1"/>
        </xdr:cNvSpPr>
      </xdr:nvSpPr>
      <xdr:spPr bwMode="auto">
        <a:xfrm>
          <a:off x="158972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51" name="Shape 5">
          <a:extLst>
            <a:ext uri="{FF2B5EF4-FFF2-40B4-BE49-F238E27FC236}">
              <a16:creationId xmlns:a16="http://schemas.microsoft.com/office/drawing/2014/main" id="{BF5A6C1B-2280-4E4D-951A-EADCC5160361}"/>
            </a:ext>
          </a:extLst>
        </xdr:cNvPr>
        <xdr:cNvSpPr>
          <a:spLocks noChangeArrowheads="1"/>
        </xdr:cNvSpPr>
      </xdr:nvSpPr>
      <xdr:spPr bwMode="auto">
        <a:xfrm>
          <a:off x="165068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52" name="Shape 5">
          <a:extLst>
            <a:ext uri="{FF2B5EF4-FFF2-40B4-BE49-F238E27FC236}">
              <a16:creationId xmlns:a16="http://schemas.microsoft.com/office/drawing/2014/main" id="{D9285FFB-B1D9-4F41-8407-89F5A22D707A}"/>
            </a:ext>
          </a:extLst>
        </xdr:cNvPr>
        <xdr:cNvSpPr>
          <a:spLocks noChangeArrowheads="1"/>
        </xdr:cNvSpPr>
      </xdr:nvSpPr>
      <xdr:spPr bwMode="auto">
        <a:xfrm>
          <a:off x="165068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-9525</xdr:colOff>
      <xdr:row>1</xdr:row>
      <xdr:rowOff>0</xdr:rowOff>
    </xdr:from>
    <xdr:to>
      <xdr:col>15</xdr:col>
      <xdr:colOff>28575</xdr:colOff>
      <xdr:row>1</xdr:row>
      <xdr:rowOff>0</xdr:rowOff>
    </xdr:to>
    <xdr:sp macro="" textlink="">
      <xdr:nvSpPr>
        <xdr:cNvPr id="153" name="Shape 5">
          <a:extLst>
            <a:ext uri="{FF2B5EF4-FFF2-40B4-BE49-F238E27FC236}">
              <a16:creationId xmlns:a16="http://schemas.microsoft.com/office/drawing/2014/main" id="{8B6B1875-C491-4488-B792-1EBD54F8F56B}"/>
            </a:ext>
          </a:extLst>
        </xdr:cNvPr>
        <xdr:cNvSpPr>
          <a:spLocks noChangeArrowheads="1"/>
        </xdr:cNvSpPr>
      </xdr:nvSpPr>
      <xdr:spPr bwMode="auto">
        <a:xfrm>
          <a:off x="171164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-9525</xdr:colOff>
      <xdr:row>1</xdr:row>
      <xdr:rowOff>0</xdr:rowOff>
    </xdr:from>
    <xdr:to>
      <xdr:col>15</xdr:col>
      <xdr:colOff>28575</xdr:colOff>
      <xdr:row>1</xdr:row>
      <xdr:rowOff>0</xdr:rowOff>
    </xdr:to>
    <xdr:sp macro="" textlink="">
      <xdr:nvSpPr>
        <xdr:cNvPr id="154" name="Shape 5">
          <a:extLst>
            <a:ext uri="{FF2B5EF4-FFF2-40B4-BE49-F238E27FC236}">
              <a16:creationId xmlns:a16="http://schemas.microsoft.com/office/drawing/2014/main" id="{A2A58304-80CB-4DCD-96E4-1288A36D92F4}"/>
            </a:ext>
          </a:extLst>
        </xdr:cNvPr>
        <xdr:cNvSpPr>
          <a:spLocks noChangeArrowheads="1"/>
        </xdr:cNvSpPr>
      </xdr:nvSpPr>
      <xdr:spPr bwMode="auto">
        <a:xfrm>
          <a:off x="171164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55" name="Shape 7">
          <a:extLst>
            <a:ext uri="{FF2B5EF4-FFF2-40B4-BE49-F238E27FC236}">
              <a16:creationId xmlns:a16="http://schemas.microsoft.com/office/drawing/2014/main" id="{44955EDE-0202-469E-9941-C8BD7C572C8C}"/>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56" name="Shape 7">
          <a:extLst>
            <a:ext uri="{FF2B5EF4-FFF2-40B4-BE49-F238E27FC236}">
              <a16:creationId xmlns:a16="http://schemas.microsoft.com/office/drawing/2014/main" id="{E417C3C5-36E2-4F1F-851A-39237DE340FE}"/>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57" name="Shape 7">
          <a:extLst>
            <a:ext uri="{FF2B5EF4-FFF2-40B4-BE49-F238E27FC236}">
              <a16:creationId xmlns:a16="http://schemas.microsoft.com/office/drawing/2014/main" id="{52CBC0FE-551A-4533-ACDC-F23E2B29ED30}"/>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58" name="Shape 7">
          <a:extLst>
            <a:ext uri="{FF2B5EF4-FFF2-40B4-BE49-F238E27FC236}">
              <a16:creationId xmlns:a16="http://schemas.microsoft.com/office/drawing/2014/main" id="{783753DC-4012-4E0E-B64F-410C578EC13A}"/>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59" name="Shape 7">
          <a:extLst>
            <a:ext uri="{FF2B5EF4-FFF2-40B4-BE49-F238E27FC236}">
              <a16:creationId xmlns:a16="http://schemas.microsoft.com/office/drawing/2014/main" id="{DF9F97A0-2D37-4BF8-8654-E9893D0312F6}"/>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60" name="Shape 7">
          <a:extLst>
            <a:ext uri="{FF2B5EF4-FFF2-40B4-BE49-F238E27FC236}">
              <a16:creationId xmlns:a16="http://schemas.microsoft.com/office/drawing/2014/main" id="{75A0A490-CDA3-4EC4-B3C3-9ABE80B9C09C}"/>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61" name="Shape 7">
          <a:extLst>
            <a:ext uri="{FF2B5EF4-FFF2-40B4-BE49-F238E27FC236}">
              <a16:creationId xmlns:a16="http://schemas.microsoft.com/office/drawing/2014/main" id="{8D92E6D2-1AAB-4FEB-BD25-B6C6FE89F2A0}"/>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62" name="Shape 7">
          <a:extLst>
            <a:ext uri="{FF2B5EF4-FFF2-40B4-BE49-F238E27FC236}">
              <a16:creationId xmlns:a16="http://schemas.microsoft.com/office/drawing/2014/main" id="{9F87DB2F-0F65-4670-8CD8-CC75506DC1F4}"/>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63" name="Shape 7">
          <a:extLst>
            <a:ext uri="{FF2B5EF4-FFF2-40B4-BE49-F238E27FC236}">
              <a16:creationId xmlns:a16="http://schemas.microsoft.com/office/drawing/2014/main" id="{860583CC-5F9F-4275-AC79-882EA82DA63C}"/>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64" name="Shape 7">
          <a:extLst>
            <a:ext uri="{FF2B5EF4-FFF2-40B4-BE49-F238E27FC236}">
              <a16:creationId xmlns:a16="http://schemas.microsoft.com/office/drawing/2014/main" id="{93B1414B-6DA8-49D4-A362-0FBC2D9A4C0F}"/>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65" name="Shape 7">
          <a:extLst>
            <a:ext uri="{FF2B5EF4-FFF2-40B4-BE49-F238E27FC236}">
              <a16:creationId xmlns:a16="http://schemas.microsoft.com/office/drawing/2014/main" id="{33036A72-B719-40AF-AA43-2E37454D52E2}"/>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66" name="Shape 7">
          <a:extLst>
            <a:ext uri="{FF2B5EF4-FFF2-40B4-BE49-F238E27FC236}">
              <a16:creationId xmlns:a16="http://schemas.microsoft.com/office/drawing/2014/main" id="{D53721B3-D436-4C1A-966A-C079506122EB}"/>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67" name="Shape 7">
          <a:extLst>
            <a:ext uri="{FF2B5EF4-FFF2-40B4-BE49-F238E27FC236}">
              <a16:creationId xmlns:a16="http://schemas.microsoft.com/office/drawing/2014/main" id="{FF761445-9DC1-407B-A7D3-60DCB8D6B2B0}"/>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68" name="Shape 7">
          <a:extLst>
            <a:ext uri="{FF2B5EF4-FFF2-40B4-BE49-F238E27FC236}">
              <a16:creationId xmlns:a16="http://schemas.microsoft.com/office/drawing/2014/main" id="{DE8D4C6E-EA36-407F-9088-4FA1BED3F4B5}"/>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69" name="Shape 7">
          <a:extLst>
            <a:ext uri="{FF2B5EF4-FFF2-40B4-BE49-F238E27FC236}">
              <a16:creationId xmlns:a16="http://schemas.microsoft.com/office/drawing/2014/main" id="{7D5D9BC3-508C-49ED-B425-1DF7D287C77B}"/>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170" name="Shape 7">
          <a:extLst>
            <a:ext uri="{FF2B5EF4-FFF2-40B4-BE49-F238E27FC236}">
              <a16:creationId xmlns:a16="http://schemas.microsoft.com/office/drawing/2014/main" id="{92547625-AD45-4135-90A3-1E9571C5D1EA}"/>
            </a:ext>
          </a:extLst>
        </xdr:cNvPr>
        <xdr:cNvSpPr>
          <a:spLocks noChangeArrowheads="1"/>
        </xdr:cNvSpPr>
      </xdr:nvSpPr>
      <xdr:spPr bwMode="auto">
        <a:xfrm>
          <a:off x="12534900" y="181832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-9525</xdr:colOff>
      <xdr:row>1</xdr:row>
      <xdr:rowOff>0</xdr:rowOff>
    </xdr:from>
    <xdr:to>
      <xdr:col>9</xdr:col>
      <xdr:colOff>28575</xdr:colOff>
      <xdr:row>1</xdr:row>
      <xdr:rowOff>0</xdr:rowOff>
    </xdr:to>
    <xdr:sp macro="" textlink="">
      <xdr:nvSpPr>
        <xdr:cNvPr id="171" name="Shape 4">
          <a:extLst>
            <a:ext uri="{FF2B5EF4-FFF2-40B4-BE49-F238E27FC236}">
              <a16:creationId xmlns:a16="http://schemas.microsoft.com/office/drawing/2014/main" id="{EB0DFD1B-CB87-431D-A982-F21394067CBB}"/>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172" name="Shape 5">
          <a:extLst>
            <a:ext uri="{FF2B5EF4-FFF2-40B4-BE49-F238E27FC236}">
              <a16:creationId xmlns:a16="http://schemas.microsoft.com/office/drawing/2014/main" id="{CE49A33A-4ADC-4FDD-9B31-259092F3B117}"/>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173" name="Shape 5">
          <a:extLst>
            <a:ext uri="{FF2B5EF4-FFF2-40B4-BE49-F238E27FC236}">
              <a16:creationId xmlns:a16="http://schemas.microsoft.com/office/drawing/2014/main" id="{62E6077B-876C-4ADA-91F4-335DE4F70248}"/>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174" name="Shape 5">
          <a:extLst>
            <a:ext uri="{FF2B5EF4-FFF2-40B4-BE49-F238E27FC236}">
              <a16:creationId xmlns:a16="http://schemas.microsoft.com/office/drawing/2014/main" id="{096B6642-19DA-4F77-83C1-780BAA6E5A39}"/>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175" name="Shape 6">
          <a:extLst>
            <a:ext uri="{FF2B5EF4-FFF2-40B4-BE49-F238E27FC236}">
              <a16:creationId xmlns:a16="http://schemas.microsoft.com/office/drawing/2014/main" id="{09E7D9F9-2EB4-4BC3-B5EB-530B2C296836}"/>
            </a:ext>
          </a:extLst>
        </xdr:cNvPr>
        <xdr:cNvSpPr>
          <a:spLocks noChangeArrowheads="1"/>
        </xdr:cNvSpPr>
      </xdr:nvSpPr>
      <xdr:spPr bwMode="auto">
        <a:xfrm>
          <a:off x="10172700" y="188118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176" name="Shape 7">
          <a:extLst>
            <a:ext uri="{FF2B5EF4-FFF2-40B4-BE49-F238E27FC236}">
              <a16:creationId xmlns:a16="http://schemas.microsoft.com/office/drawing/2014/main" id="{8E21DF14-E335-494A-9770-B86BB8EAA91F}"/>
            </a:ext>
          </a:extLst>
        </xdr:cNvPr>
        <xdr:cNvSpPr>
          <a:spLocks noChangeArrowheads="1"/>
        </xdr:cNvSpPr>
      </xdr:nvSpPr>
      <xdr:spPr bwMode="auto">
        <a:xfrm>
          <a:off x="11210925"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177" name="Shape 8">
          <a:extLst>
            <a:ext uri="{FF2B5EF4-FFF2-40B4-BE49-F238E27FC236}">
              <a16:creationId xmlns:a16="http://schemas.microsoft.com/office/drawing/2014/main" id="{F25E48B9-754C-4BF8-B07C-9B9C158E91C4}"/>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78" name="Shape 9">
          <a:extLst>
            <a:ext uri="{FF2B5EF4-FFF2-40B4-BE49-F238E27FC236}">
              <a16:creationId xmlns:a16="http://schemas.microsoft.com/office/drawing/2014/main" id="{D2F90AB1-1FB8-41CB-A7FD-4CED410A39F5}"/>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79" name="Shape 9">
          <a:extLst>
            <a:ext uri="{FF2B5EF4-FFF2-40B4-BE49-F238E27FC236}">
              <a16:creationId xmlns:a16="http://schemas.microsoft.com/office/drawing/2014/main" id="{A4E56857-318E-4779-BC0E-456040324683}"/>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80" name="Shape 9">
          <a:extLst>
            <a:ext uri="{FF2B5EF4-FFF2-40B4-BE49-F238E27FC236}">
              <a16:creationId xmlns:a16="http://schemas.microsoft.com/office/drawing/2014/main" id="{35F2462E-E05C-456A-8777-D402C5F193F5}"/>
            </a:ext>
          </a:extLst>
        </xdr:cNvPr>
        <xdr:cNvSpPr>
          <a:spLocks noChangeArrowheads="1"/>
        </xdr:cNvSpPr>
      </xdr:nvSpPr>
      <xdr:spPr bwMode="auto">
        <a:xfrm>
          <a:off x="137160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81" name="Shape 5">
          <a:extLst>
            <a:ext uri="{FF2B5EF4-FFF2-40B4-BE49-F238E27FC236}">
              <a16:creationId xmlns:a16="http://schemas.microsoft.com/office/drawing/2014/main" id="{1497180B-910A-4DDF-9D5C-BDB353423DCD}"/>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82" name="Shape 5">
          <a:extLst>
            <a:ext uri="{FF2B5EF4-FFF2-40B4-BE49-F238E27FC236}">
              <a16:creationId xmlns:a16="http://schemas.microsoft.com/office/drawing/2014/main" id="{F909B310-70ED-4DE3-B456-CCF8B2094901}"/>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83" name="Shape 5">
          <a:extLst>
            <a:ext uri="{FF2B5EF4-FFF2-40B4-BE49-F238E27FC236}">
              <a16:creationId xmlns:a16="http://schemas.microsoft.com/office/drawing/2014/main" id="{B3BB3D64-0E2F-4F82-8ADD-3F500A226676}"/>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84" name="Shape 9">
          <a:extLst>
            <a:ext uri="{FF2B5EF4-FFF2-40B4-BE49-F238E27FC236}">
              <a16:creationId xmlns:a16="http://schemas.microsoft.com/office/drawing/2014/main" id="{0EF6A672-F8C2-476F-A917-17E70614EB27}"/>
            </a:ext>
          </a:extLst>
        </xdr:cNvPr>
        <xdr:cNvSpPr>
          <a:spLocks noChangeArrowheads="1"/>
        </xdr:cNvSpPr>
      </xdr:nvSpPr>
      <xdr:spPr bwMode="auto">
        <a:xfrm>
          <a:off x="14620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85" name="Shape 4">
          <a:extLst>
            <a:ext uri="{FF2B5EF4-FFF2-40B4-BE49-F238E27FC236}">
              <a16:creationId xmlns:a16="http://schemas.microsoft.com/office/drawing/2014/main" id="{14914DF9-9BCC-4C54-A900-B16130D1B509}"/>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186" name="Shape 6">
          <a:extLst>
            <a:ext uri="{FF2B5EF4-FFF2-40B4-BE49-F238E27FC236}">
              <a16:creationId xmlns:a16="http://schemas.microsoft.com/office/drawing/2014/main" id="{F76A82BB-355C-44C5-BE9F-54F1B6FE41D0}"/>
            </a:ext>
          </a:extLst>
        </xdr:cNvPr>
        <xdr:cNvSpPr>
          <a:spLocks noChangeArrowheads="1"/>
        </xdr:cNvSpPr>
      </xdr:nvSpPr>
      <xdr:spPr bwMode="auto">
        <a:xfrm>
          <a:off x="10172700" y="188118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187" name="Shape 7">
          <a:extLst>
            <a:ext uri="{FF2B5EF4-FFF2-40B4-BE49-F238E27FC236}">
              <a16:creationId xmlns:a16="http://schemas.microsoft.com/office/drawing/2014/main" id="{F903239F-1E10-4886-9016-CB5DB368C4EE}"/>
            </a:ext>
          </a:extLst>
        </xdr:cNvPr>
        <xdr:cNvSpPr>
          <a:spLocks noChangeArrowheads="1"/>
        </xdr:cNvSpPr>
      </xdr:nvSpPr>
      <xdr:spPr bwMode="auto">
        <a:xfrm>
          <a:off x="11210925"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188" name="Shape 8">
          <a:extLst>
            <a:ext uri="{FF2B5EF4-FFF2-40B4-BE49-F238E27FC236}">
              <a16:creationId xmlns:a16="http://schemas.microsoft.com/office/drawing/2014/main" id="{8FCFF73B-2B43-487C-AC8F-BC010D3EA50E}"/>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89" name="Shape 9">
          <a:extLst>
            <a:ext uri="{FF2B5EF4-FFF2-40B4-BE49-F238E27FC236}">
              <a16:creationId xmlns:a16="http://schemas.microsoft.com/office/drawing/2014/main" id="{07CEDA31-383A-4BCC-BFC6-8D31AB95A0F1}"/>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90" name="Shape 9">
          <a:extLst>
            <a:ext uri="{FF2B5EF4-FFF2-40B4-BE49-F238E27FC236}">
              <a16:creationId xmlns:a16="http://schemas.microsoft.com/office/drawing/2014/main" id="{F9EB76DF-CF1A-4B88-A0EA-A8D722F80E57}"/>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91" name="Shape 9">
          <a:extLst>
            <a:ext uri="{FF2B5EF4-FFF2-40B4-BE49-F238E27FC236}">
              <a16:creationId xmlns:a16="http://schemas.microsoft.com/office/drawing/2014/main" id="{4A190128-9EFE-4383-A7A7-1C9B02DA158C}"/>
            </a:ext>
          </a:extLst>
        </xdr:cNvPr>
        <xdr:cNvSpPr>
          <a:spLocks noChangeArrowheads="1"/>
        </xdr:cNvSpPr>
      </xdr:nvSpPr>
      <xdr:spPr bwMode="auto">
        <a:xfrm>
          <a:off x="137160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92" name="Shape 5">
          <a:extLst>
            <a:ext uri="{FF2B5EF4-FFF2-40B4-BE49-F238E27FC236}">
              <a16:creationId xmlns:a16="http://schemas.microsoft.com/office/drawing/2014/main" id="{11D3307D-0D5A-4EC5-B105-A53C104DBAC6}"/>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93" name="Shape 5">
          <a:extLst>
            <a:ext uri="{FF2B5EF4-FFF2-40B4-BE49-F238E27FC236}">
              <a16:creationId xmlns:a16="http://schemas.microsoft.com/office/drawing/2014/main" id="{ACA2E53B-B194-4E29-8F85-D212A993CD84}"/>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94" name="Shape 5">
          <a:extLst>
            <a:ext uri="{FF2B5EF4-FFF2-40B4-BE49-F238E27FC236}">
              <a16:creationId xmlns:a16="http://schemas.microsoft.com/office/drawing/2014/main" id="{136CE7D4-4BD7-40B1-B190-20D862C78D94}"/>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95" name="Shape 9">
          <a:extLst>
            <a:ext uri="{FF2B5EF4-FFF2-40B4-BE49-F238E27FC236}">
              <a16:creationId xmlns:a16="http://schemas.microsoft.com/office/drawing/2014/main" id="{E86BA77D-67B1-461C-B778-18A41E250F85}"/>
            </a:ext>
          </a:extLst>
        </xdr:cNvPr>
        <xdr:cNvSpPr>
          <a:spLocks noChangeArrowheads="1"/>
        </xdr:cNvSpPr>
      </xdr:nvSpPr>
      <xdr:spPr bwMode="auto">
        <a:xfrm>
          <a:off x="14620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196" name="Shape 4">
          <a:extLst>
            <a:ext uri="{FF2B5EF4-FFF2-40B4-BE49-F238E27FC236}">
              <a16:creationId xmlns:a16="http://schemas.microsoft.com/office/drawing/2014/main" id="{1D7BFA69-9E87-4A57-8C30-E7F1811F4B60}"/>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197" name="Shape 6">
          <a:extLst>
            <a:ext uri="{FF2B5EF4-FFF2-40B4-BE49-F238E27FC236}">
              <a16:creationId xmlns:a16="http://schemas.microsoft.com/office/drawing/2014/main" id="{97FA61DB-5380-4A24-81B1-E4B1C4482F66}"/>
            </a:ext>
          </a:extLst>
        </xdr:cNvPr>
        <xdr:cNvSpPr>
          <a:spLocks noChangeArrowheads="1"/>
        </xdr:cNvSpPr>
      </xdr:nvSpPr>
      <xdr:spPr bwMode="auto">
        <a:xfrm>
          <a:off x="10172700" y="188118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198" name="Shape 7">
          <a:extLst>
            <a:ext uri="{FF2B5EF4-FFF2-40B4-BE49-F238E27FC236}">
              <a16:creationId xmlns:a16="http://schemas.microsoft.com/office/drawing/2014/main" id="{EB56ED42-D7B7-44F9-92EC-55E91D56D4F8}"/>
            </a:ext>
          </a:extLst>
        </xdr:cNvPr>
        <xdr:cNvSpPr>
          <a:spLocks noChangeArrowheads="1"/>
        </xdr:cNvSpPr>
      </xdr:nvSpPr>
      <xdr:spPr bwMode="auto">
        <a:xfrm>
          <a:off x="11210925"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199" name="Shape 8">
          <a:extLst>
            <a:ext uri="{FF2B5EF4-FFF2-40B4-BE49-F238E27FC236}">
              <a16:creationId xmlns:a16="http://schemas.microsoft.com/office/drawing/2014/main" id="{F9FDD8C2-6135-4C67-9999-D7A1ECDEAD7F}"/>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200" name="Shape 8">
          <a:extLst>
            <a:ext uri="{FF2B5EF4-FFF2-40B4-BE49-F238E27FC236}">
              <a16:creationId xmlns:a16="http://schemas.microsoft.com/office/drawing/2014/main" id="{436DDE44-20EB-4726-B9AF-1538AFB10160}"/>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01" name="Shape 5">
          <a:extLst>
            <a:ext uri="{FF2B5EF4-FFF2-40B4-BE49-F238E27FC236}">
              <a16:creationId xmlns:a16="http://schemas.microsoft.com/office/drawing/2014/main" id="{FD712FD5-5552-4BFD-8C07-E5F0E1B34072}"/>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02" name="Shape 5">
          <a:extLst>
            <a:ext uri="{FF2B5EF4-FFF2-40B4-BE49-F238E27FC236}">
              <a16:creationId xmlns:a16="http://schemas.microsoft.com/office/drawing/2014/main" id="{EE971922-7E63-4BC6-A439-8A23A8F6FF38}"/>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03" name="Shape 5">
          <a:extLst>
            <a:ext uri="{FF2B5EF4-FFF2-40B4-BE49-F238E27FC236}">
              <a16:creationId xmlns:a16="http://schemas.microsoft.com/office/drawing/2014/main" id="{8571DF93-6AC8-4654-9DED-C4A87C43A55F}"/>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04" name="Shape 5">
          <a:extLst>
            <a:ext uri="{FF2B5EF4-FFF2-40B4-BE49-F238E27FC236}">
              <a16:creationId xmlns:a16="http://schemas.microsoft.com/office/drawing/2014/main" id="{E73D42BF-548A-4709-B9E5-7B349E602CE6}"/>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05" name="Shape 5">
          <a:extLst>
            <a:ext uri="{FF2B5EF4-FFF2-40B4-BE49-F238E27FC236}">
              <a16:creationId xmlns:a16="http://schemas.microsoft.com/office/drawing/2014/main" id="{796AD52B-ED18-44D9-A83C-562CEC58DF09}"/>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06" name="Shape 5">
          <a:extLst>
            <a:ext uri="{FF2B5EF4-FFF2-40B4-BE49-F238E27FC236}">
              <a16:creationId xmlns:a16="http://schemas.microsoft.com/office/drawing/2014/main" id="{F5B8F334-53E8-4580-BC72-5ACCC143CD05}"/>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07" name="Shape 4">
          <a:extLst>
            <a:ext uri="{FF2B5EF4-FFF2-40B4-BE49-F238E27FC236}">
              <a16:creationId xmlns:a16="http://schemas.microsoft.com/office/drawing/2014/main" id="{20302C86-64B6-4AD6-9A14-5A504361C48C}"/>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208" name="Shape 6">
          <a:extLst>
            <a:ext uri="{FF2B5EF4-FFF2-40B4-BE49-F238E27FC236}">
              <a16:creationId xmlns:a16="http://schemas.microsoft.com/office/drawing/2014/main" id="{B462CAA7-24C2-4A91-84A2-A877CF9C9120}"/>
            </a:ext>
          </a:extLst>
        </xdr:cNvPr>
        <xdr:cNvSpPr>
          <a:spLocks noChangeArrowheads="1"/>
        </xdr:cNvSpPr>
      </xdr:nvSpPr>
      <xdr:spPr bwMode="auto">
        <a:xfrm>
          <a:off x="10172700" y="188118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209" name="Shape 7">
          <a:extLst>
            <a:ext uri="{FF2B5EF4-FFF2-40B4-BE49-F238E27FC236}">
              <a16:creationId xmlns:a16="http://schemas.microsoft.com/office/drawing/2014/main" id="{304B22D9-6989-44F4-B69F-1577C0E791D1}"/>
            </a:ext>
          </a:extLst>
        </xdr:cNvPr>
        <xdr:cNvSpPr>
          <a:spLocks noChangeArrowheads="1"/>
        </xdr:cNvSpPr>
      </xdr:nvSpPr>
      <xdr:spPr bwMode="auto">
        <a:xfrm>
          <a:off x="11210925"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210" name="Shape 8">
          <a:extLst>
            <a:ext uri="{FF2B5EF4-FFF2-40B4-BE49-F238E27FC236}">
              <a16:creationId xmlns:a16="http://schemas.microsoft.com/office/drawing/2014/main" id="{5324929B-E2E2-4F89-911B-4FA938664B7B}"/>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211" name="Shape 8">
          <a:extLst>
            <a:ext uri="{FF2B5EF4-FFF2-40B4-BE49-F238E27FC236}">
              <a16:creationId xmlns:a16="http://schemas.microsoft.com/office/drawing/2014/main" id="{80B0E781-BBB5-49A8-B8C9-93D3DB1EDB92}"/>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12" name="Shape 5">
          <a:extLst>
            <a:ext uri="{FF2B5EF4-FFF2-40B4-BE49-F238E27FC236}">
              <a16:creationId xmlns:a16="http://schemas.microsoft.com/office/drawing/2014/main" id="{6EB37704-44F3-4304-BCCE-7D06188EA9F5}"/>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13" name="Shape 5">
          <a:extLst>
            <a:ext uri="{FF2B5EF4-FFF2-40B4-BE49-F238E27FC236}">
              <a16:creationId xmlns:a16="http://schemas.microsoft.com/office/drawing/2014/main" id="{6E1B3CAE-A04E-4E8A-B302-507038BDC6ED}"/>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14" name="Shape 5">
          <a:extLst>
            <a:ext uri="{FF2B5EF4-FFF2-40B4-BE49-F238E27FC236}">
              <a16:creationId xmlns:a16="http://schemas.microsoft.com/office/drawing/2014/main" id="{5ED30A2A-10E1-447E-BAB6-E69B8BBE6268}"/>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15" name="Shape 5">
          <a:extLst>
            <a:ext uri="{FF2B5EF4-FFF2-40B4-BE49-F238E27FC236}">
              <a16:creationId xmlns:a16="http://schemas.microsoft.com/office/drawing/2014/main" id="{C8EC211F-DC7C-46B6-A2F2-9E54F6821856}"/>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16" name="Shape 5">
          <a:extLst>
            <a:ext uri="{FF2B5EF4-FFF2-40B4-BE49-F238E27FC236}">
              <a16:creationId xmlns:a16="http://schemas.microsoft.com/office/drawing/2014/main" id="{8C3150C8-84C2-4AFF-B980-2E76F54C7122}"/>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17" name="Shape 5">
          <a:extLst>
            <a:ext uri="{FF2B5EF4-FFF2-40B4-BE49-F238E27FC236}">
              <a16:creationId xmlns:a16="http://schemas.microsoft.com/office/drawing/2014/main" id="{4C8DB560-ADF6-4CC9-9B07-2685954609F6}"/>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18" name="Shape 4">
          <a:extLst>
            <a:ext uri="{FF2B5EF4-FFF2-40B4-BE49-F238E27FC236}">
              <a16:creationId xmlns:a16="http://schemas.microsoft.com/office/drawing/2014/main" id="{8F3EB977-F3A3-44DF-86F4-F0CD4A4A5EE8}"/>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219" name="Shape 6">
          <a:extLst>
            <a:ext uri="{FF2B5EF4-FFF2-40B4-BE49-F238E27FC236}">
              <a16:creationId xmlns:a16="http://schemas.microsoft.com/office/drawing/2014/main" id="{A1175479-F833-48CC-BFC8-780AAE6322CE}"/>
            </a:ext>
          </a:extLst>
        </xdr:cNvPr>
        <xdr:cNvSpPr>
          <a:spLocks noChangeArrowheads="1"/>
        </xdr:cNvSpPr>
      </xdr:nvSpPr>
      <xdr:spPr bwMode="auto">
        <a:xfrm>
          <a:off x="10172700" y="188118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220" name="Shape 7">
          <a:extLst>
            <a:ext uri="{FF2B5EF4-FFF2-40B4-BE49-F238E27FC236}">
              <a16:creationId xmlns:a16="http://schemas.microsoft.com/office/drawing/2014/main" id="{5B7EEE4B-B2BB-4383-8EE6-D86C0766EECA}"/>
            </a:ext>
          </a:extLst>
        </xdr:cNvPr>
        <xdr:cNvSpPr>
          <a:spLocks noChangeArrowheads="1"/>
        </xdr:cNvSpPr>
      </xdr:nvSpPr>
      <xdr:spPr bwMode="auto">
        <a:xfrm>
          <a:off x="11210925"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221" name="Shape 8">
          <a:extLst>
            <a:ext uri="{FF2B5EF4-FFF2-40B4-BE49-F238E27FC236}">
              <a16:creationId xmlns:a16="http://schemas.microsoft.com/office/drawing/2014/main" id="{3B27F644-9ED6-4F8F-A883-0739C47B36B8}"/>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222" name="Shape 8">
          <a:extLst>
            <a:ext uri="{FF2B5EF4-FFF2-40B4-BE49-F238E27FC236}">
              <a16:creationId xmlns:a16="http://schemas.microsoft.com/office/drawing/2014/main" id="{B377B23B-A04E-4F2C-B995-F2FE4C7F6C97}"/>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23" name="Shape 5">
          <a:extLst>
            <a:ext uri="{FF2B5EF4-FFF2-40B4-BE49-F238E27FC236}">
              <a16:creationId xmlns:a16="http://schemas.microsoft.com/office/drawing/2014/main" id="{D09DB214-D323-4754-BBBC-7A7138C4EEBE}"/>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24" name="Shape 5">
          <a:extLst>
            <a:ext uri="{FF2B5EF4-FFF2-40B4-BE49-F238E27FC236}">
              <a16:creationId xmlns:a16="http://schemas.microsoft.com/office/drawing/2014/main" id="{4E958C70-A41E-459D-936A-9388D702CC50}"/>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25" name="Shape 5">
          <a:extLst>
            <a:ext uri="{FF2B5EF4-FFF2-40B4-BE49-F238E27FC236}">
              <a16:creationId xmlns:a16="http://schemas.microsoft.com/office/drawing/2014/main" id="{9986827C-D40B-4BD2-9ACF-AE31C6174C66}"/>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26" name="Shape 5">
          <a:extLst>
            <a:ext uri="{FF2B5EF4-FFF2-40B4-BE49-F238E27FC236}">
              <a16:creationId xmlns:a16="http://schemas.microsoft.com/office/drawing/2014/main" id="{1330C375-5A8A-4F10-A8DB-2D8AF5148319}"/>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27" name="Shape 5">
          <a:extLst>
            <a:ext uri="{FF2B5EF4-FFF2-40B4-BE49-F238E27FC236}">
              <a16:creationId xmlns:a16="http://schemas.microsoft.com/office/drawing/2014/main" id="{170A3B0C-B149-4CA7-8562-CAA74921CA70}"/>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28" name="Shape 5">
          <a:extLst>
            <a:ext uri="{FF2B5EF4-FFF2-40B4-BE49-F238E27FC236}">
              <a16:creationId xmlns:a16="http://schemas.microsoft.com/office/drawing/2014/main" id="{D08D4A3D-A6BC-40D8-AEDE-7303EF809966}"/>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29" name="Shape 4">
          <a:extLst>
            <a:ext uri="{FF2B5EF4-FFF2-40B4-BE49-F238E27FC236}">
              <a16:creationId xmlns:a16="http://schemas.microsoft.com/office/drawing/2014/main" id="{14408CA7-3FFD-4357-9D3D-D408D2E0BF4F}"/>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230" name="Shape 6">
          <a:extLst>
            <a:ext uri="{FF2B5EF4-FFF2-40B4-BE49-F238E27FC236}">
              <a16:creationId xmlns:a16="http://schemas.microsoft.com/office/drawing/2014/main" id="{303A8578-CB91-4A62-A66A-5C2DBE15C1B1}"/>
            </a:ext>
          </a:extLst>
        </xdr:cNvPr>
        <xdr:cNvSpPr>
          <a:spLocks noChangeArrowheads="1"/>
        </xdr:cNvSpPr>
      </xdr:nvSpPr>
      <xdr:spPr bwMode="auto">
        <a:xfrm>
          <a:off x="10172700" y="188118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231" name="Shape 7">
          <a:extLst>
            <a:ext uri="{FF2B5EF4-FFF2-40B4-BE49-F238E27FC236}">
              <a16:creationId xmlns:a16="http://schemas.microsoft.com/office/drawing/2014/main" id="{4B00BD99-6338-43B0-8D37-8FDF120DD49B}"/>
            </a:ext>
          </a:extLst>
        </xdr:cNvPr>
        <xdr:cNvSpPr>
          <a:spLocks noChangeArrowheads="1"/>
        </xdr:cNvSpPr>
      </xdr:nvSpPr>
      <xdr:spPr bwMode="auto">
        <a:xfrm>
          <a:off x="11210925"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232" name="Shape 8">
          <a:extLst>
            <a:ext uri="{FF2B5EF4-FFF2-40B4-BE49-F238E27FC236}">
              <a16:creationId xmlns:a16="http://schemas.microsoft.com/office/drawing/2014/main" id="{94076B7F-D8E1-460C-BA4B-E67AD6C74FCE}"/>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233" name="Shape 8">
          <a:extLst>
            <a:ext uri="{FF2B5EF4-FFF2-40B4-BE49-F238E27FC236}">
              <a16:creationId xmlns:a16="http://schemas.microsoft.com/office/drawing/2014/main" id="{87C7D836-A999-4829-B031-5BE3958A4851}"/>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34" name="Shape 5">
          <a:extLst>
            <a:ext uri="{FF2B5EF4-FFF2-40B4-BE49-F238E27FC236}">
              <a16:creationId xmlns:a16="http://schemas.microsoft.com/office/drawing/2014/main" id="{EF5449E1-E4AF-441E-A81E-3804FE7139CF}"/>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35" name="Shape 5">
          <a:extLst>
            <a:ext uri="{FF2B5EF4-FFF2-40B4-BE49-F238E27FC236}">
              <a16:creationId xmlns:a16="http://schemas.microsoft.com/office/drawing/2014/main" id="{5764C354-75C0-4172-BFF1-AAF0C7CD5FD1}"/>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36" name="Shape 5">
          <a:extLst>
            <a:ext uri="{FF2B5EF4-FFF2-40B4-BE49-F238E27FC236}">
              <a16:creationId xmlns:a16="http://schemas.microsoft.com/office/drawing/2014/main" id="{1DFDE81D-C955-435C-9023-7EA3760D7287}"/>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37" name="Shape 5">
          <a:extLst>
            <a:ext uri="{FF2B5EF4-FFF2-40B4-BE49-F238E27FC236}">
              <a16:creationId xmlns:a16="http://schemas.microsoft.com/office/drawing/2014/main" id="{4751364D-01E4-4CE1-A32D-D2FEF9EB1F53}"/>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38" name="Shape 5">
          <a:extLst>
            <a:ext uri="{FF2B5EF4-FFF2-40B4-BE49-F238E27FC236}">
              <a16:creationId xmlns:a16="http://schemas.microsoft.com/office/drawing/2014/main" id="{E6ABA643-37C7-4F87-B67D-95EC685D29FA}"/>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39" name="Shape 5">
          <a:extLst>
            <a:ext uri="{FF2B5EF4-FFF2-40B4-BE49-F238E27FC236}">
              <a16:creationId xmlns:a16="http://schemas.microsoft.com/office/drawing/2014/main" id="{81CAA6F6-5D31-4793-886A-5C8764E222B7}"/>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40" name="Shape 4">
          <a:extLst>
            <a:ext uri="{FF2B5EF4-FFF2-40B4-BE49-F238E27FC236}">
              <a16:creationId xmlns:a16="http://schemas.microsoft.com/office/drawing/2014/main" id="{D704C20B-92FD-493C-B94D-4F551070D27D}"/>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241" name="Shape 6">
          <a:extLst>
            <a:ext uri="{FF2B5EF4-FFF2-40B4-BE49-F238E27FC236}">
              <a16:creationId xmlns:a16="http://schemas.microsoft.com/office/drawing/2014/main" id="{C4607D0A-F0F8-485A-BE48-C9029DC8936E}"/>
            </a:ext>
          </a:extLst>
        </xdr:cNvPr>
        <xdr:cNvSpPr>
          <a:spLocks noChangeArrowheads="1"/>
        </xdr:cNvSpPr>
      </xdr:nvSpPr>
      <xdr:spPr bwMode="auto">
        <a:xfrm>
          <a:off x="10172700" y="188118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242" name="Shape 7">
          <a:extLst>
            <a:ext uri="{FF2B5EF4-FFF2-40B4-BE49-F238E27FC236}">
              <a16:creationId xmlns:a16="http://schemas.microsoft.com/office/drawing/2014/main" id="{2B242089-C8D8-44AA-8A3C-502106984A25}"/>
            </a:ext>
          </a:extLst>
        </xdr:cNvPr>
        <xdr:cNvSpPr>
          <a:spLocks noChangeArrowheads="1"/>
        </xdr:cNvSpPr>
      </xdr:nvSpPr>
      <xdr:spPr bwMode="auto">
        <a:xfrm>
          <a:off x="11210925"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243" name="Shape 8">
          <a:extLst>
            <a:ext uri="{FF2B5EF4-FFF2-40B4-BE49-F238E27FC236}">
              <a16:creationId xmlns:a16="http://schemas.microsoft.com/office/drawing/2014/main" id="{49A57C8F-4CED-4423-B37A-DC0533A03350}"/>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244" name="Shape 8">
          <a:extLst>
            <a:ext uri="{FF2B5EF4-FFF2-40B4-BE49-F238E27FC236}">
              <a16:creationId xmlns:a16="http://schemas.microsoft.com/office/drawing/2014/main" id="{6A196264-47E7-4C2F-ACE5-D938EF4CC54D}"/>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45" name="Shape 5">
          <a:extLst>
            <a:ext uri="{FF2B5EF4-FFF2-40B4-BE49-F238E27FC236}">
              <a16:creationId xmlns:a16="http://schemas.microsoft.com/office/drawing/2014/main" id="{A8376F6F-CF3C-4F34-8FD9-F576BB218915}"/>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46" name="Shape 5">
          <a:extLst>
            <a:ext uri="{FF2B5EF4-FFF2-40B4-BE49-F238E27FC236}">
              <a16:creationId xmlns:a16="http://schemas.microsoft.com/office/drawing/2014/main" id="{B7B01F36-3CF7-40CA-99F9-2DD666C72B0D}"/>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47" name="Shape 5">
          <a:extLst>
            <a:ext uri="{FF2B5EF4-FFF2-40B4-BE49-F238E27FC236}">
              <a16:creationId xmlns:a16="http://schemas.microsoft.com/office/drawing/2014/main" id="{A0E7D019-020F-4FDD-B8BF-9ACCFED4D131}"/>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48" name="Shape 5">
          <a:extLst>
            <a:ext uri="{FF2B5EF4-FFF2-40B4-BE49-F238E27FC236}">
              <a16:creationId xmlns:a16="http://schemas.microsoft.com/office/drawing/2014/main" id="{8A4803AB-92C2-454F-8EDA-059AD7629C67}"/>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49" name="Shape 5">
          <a:extLst>
            <a:ext uri="{FF2B5EF4-FFF2-40B4-BE49-F238E27FC236}">
              <a16:creationId xmlns:a16="http://schemas.microsoft.com/office/drawing/2014/main" id="{2D4B010A-0480-421A-BEEB-56CAB35B436A}"/>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50" name="Shape 5">
          <a:extLst>
            <a:ext uri="{FF2B5EF4-FFF2-40B4-BE49-F238E27FC236}">
              <a16:creationId xmlns:a16="http://schemas.microsoft.com/office/drawing/2014/main" id="{FC314FD6-497C-4649-AEE5-E6331F2AE8DC}"/>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51" name="Shape 4">
          <a:extLst>
            <a:ext uri="{FF2B5EF4-FFF2-40B4-BE49-F238E27FC236}">
              <a16:creationId xmlns:a16="http://schemas.microsoft.com/office/drawing/2014/main" id="{8B10ABD9-9F57-4A39-8C0E-E5369F9C7BF9}"/>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52" name="Shape 5">
          <a:extLst>
            <a:ext uri="{FF2B5EF4-FFF2-40B4-BE49-F238E27FC236}">
              <a16:creationId xmlns:a16="http://schemas.microsoft.com/office/drawing/2014/main" id="{E7839F18-62BB-4B03-B93B-465BC69C426D}"/>
            </a:ext>
          </a:extLst>
        </xdr:cNvPr>
        <xdr:cNvSpPr>
          <a:spLocks noChangeArrowheads="1"/>
        </xdr:cNvSpPr>
      </xdr:nvSpPr>
      <xdr:spPr bwMode="auto">
        <a:xfrm>
          <a:off x="158972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53" name="Shape 5">
          <a:extLst>
            <a:ext uri="{FF2B5EF4-FFF2-40B4-BE49-F238E27FC236}">
              <a16:creationId xmlns:a16="http://schemas.microsoft.com/office/drawing/2014/main" id="{E6219BE1-EDC6-4F40-9EBB-654BECE6CDEA}"/>
            </a:ext>
          </a:extLst>
        </xdr:cNvPr>
        <xdr:cNvSpPr>
          <a:spLocks noChangeArrowheads="1"/>
        </xdr:cNvSpPr>
      </xdr:nvSpPr>
      <xdr:spPr bwMode="auto">
        <a:xfrm>
          <a:off x="165068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-9525</xdr:colOff>
      <xdr:row>1</xdr:row>
      <xdr:rowOff>0</xdr:rowOff>
    </xdr:from>
    <xdr:to>
      <xdr:col>15</xdr:col>
      <xdr:colOff>28575</xdr:colOff>
      <xdr:row>1</xdr:row>
      <xdr:rowOff>0</xdr:rowOff>
    </xdr:to>
    <xdr:sp macro="" textlink="">
      <xdr:nvSpPr>
        <xdr:cNvPr id="254" name="Shape 5">
          <a:extLst>
            <a:ext uri="{FF2B5EF4-FFF2-40B4-BE49-F238E27FC236}">
              <a16:creationId xmlns:a16="http://schemas.microsoft.com/office/drawing/2014/main" id="{1C00B8ED-2C5B-49AB-BC30-B942F4CCB445}"/>
            </a:ext>
          </a:extLst>
        </xdr:cNvPr>
        <xdr:cNvSpPr>
          <a:spLocks noChangeArrowheads="1"/>
        </xdr:cNvSpPr>
      </xdr:nvSpPr>
      <xdr:spPr bwMode="auto">
        <a:xfrm>
          <a:off x="171164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1</xdr:row>
      <xdr:rowOff>0</xdr:rowOff>
    </xdr:from>
    <xdr:to>
      <xdr:col>9</xdr:col>
      <xdr:colOff>28575</xdr:colOff>
      <xdr:row>1</xdr:row>
      <xdr:rowOff>0</xdr:rowOff>
    </xdr:to>
    <xdr:sp macro="" textlink="">
      <xdr:nvSpPr>
        <xdr:cNvPr id="255" name="Shape 4">
          <a:extLst>
            <a:ext uri="{FF2B5EF4-FFF2-40B4-BE49-F238E27FC236}">
              <a16:creationId xmlns:a16="http://schemas.microsoft.com/office/drawing/2014/main" id="{6D19AAC4-3D16-4CB6-BDC1-0C7EAE7B1CCD}"/>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1</xdr:row>
      <xdr:rowOff>0</xdr:rowOff>
    </xdr:from>
    <xdr:to>
      <xdr:col>9</xdr:col>
      <xdr:colOff>28575</xdr:colOff>
      <xdr:row>1</xdr:row>
      <xdr:rowOff>0</xdr:rowOff>
    </xdr:to>
    <xdr:sp macro="" textlink="">
      <xdr:nvSpPr>
        <xdr:cNvPr id="256" name="Shape 4">
          <a:extLst>
            <a:ext uri="{FF2B5EF4-FFF2-40B4-BE49-F238E27FC236}">
              <a16:creationId xmlns:a16="http://schemas.microsoft.com/office/drawing/2014/main" id="{1FC3CD13-6C79-49AD-B8F7-9C527FEF402A}"/>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1</xdr:row>
      <xdr:rowOff>0</xdr:rowOff>
    </xdr:from>
    <xdr:to>
      <xdr:col>9</xdr:col>
      <xdr:colOff>28575</xdr:colOff>
      <xdr:row>1</xdr:row>
      <xdr:rowOff>0</xdr:rowOff>
    </xdr:to>
    <xdr:sp macro="" textlink="">
      <xdr:nvSpPr>
        <xdr:cNvPr id="257" name="Shape 4">
          <a:extLst>
            <a:ext uri="{FF2B5EF4-FFF2-40B4-BE49-F238E27FC236}">
              <a16:creationId xmlns:a16="http://schemas.microsoft.com/office/drawing/2014/main" id="{11EF5348-E14B-4517-B082-98E17BED8FA2}"/>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1</xdr:row>
      <xdr:rowOff>0</xdr:rowOff>
    </xdr:from>
    <xdr:to>
      <xdr:col>9</xdr:col>
      <xdr:colOff>38100</xdr:colOff>
      <xdr:row>1</xdr:row>
      <xdr:rowOff>0</xdr:rowOff>
    </xdr:to>
    <xdr:sp macro="" textlink="">
      <xdr:nvSpPr>
        <xdr:cNvPr id="258" name="Shape 10">
          <a:extLst>
            <a:ext uri="{FF2B5EF4-FFF2-40B4-BE49-F238E27FC236}">
              <a16:creationId xmlns:a16="http://schemas.microsoft.com/office/drawing/2014/main" id="{92DE85B0-314F-415B-9E9F-793E2463A987}"/>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1</xdr:row>
      <xdr:rowOff>0</xdr:rowOff>
    </xdr:from>
    <xdr:to>
      <xdr:col>9</xdr:col>
      <xdr:colOff>38100</xdr:colOff>
      <xdr:row>1</xdr:row>
      <xdr:rowOff>0</xdr:rowOff>
    </xdr:to>
    <xdr:sp macro="" textlink="">
      <xdr:nvSpPr>
        <xdr:cNvPr id="259" name="Shape 10">
          <a:extLst>
            <a:ext uri="{FF2B5EF4-FFF2-40B4-BE49-F238E27FC236}">
              <a16:creationId xmlns:a16="http://schemas.microsoft.com/office/drawing/2014/main" id="{47FFF781-F675-47B2-AE93-4B43024BE414}"/>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1</xdr:row>
      <xdr:rowOff>0</xdr:rowOff>
    </xdr:from>
    <xdr:to>
      <xdr:col>9</xdr:col>
      <xdr:colOff>38100</xdr:colOff>
      <xdr:row>1</xdr:row>
      <xdr:rowOff>0</xdr:rowOff>
    </xdr:to>
    <xdr:sp macro="" textlink="">
      <xdr:nvSpPr>
        <xdr:cNvPr id="260" name="Shape 10">
          <a:extLst>
            <a:ext uri="{FF2B5EF4-FFF2-40B4-BE49-F238E27FC236}">
              <a16:creationId xmlns:a16="http://schemas.microsoft.com/office/drawing/2014/main" id="{AEC09F0C-F9C0-421D-ADF9-7F54ACF8459B}"/>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1</xdr:row>
      <xdr:rowOff>0</xdr:rowOff>
    </xdr:from>
    <xdr:to>
      <xdr:col>9</xdr:col>
      <xdr:colOff>38100</xdr:colOff>
      <xdr:row>1</xdr:row>
      <xdr:rowOff>0</xdr:rowOff>
    </xdr:to>
    <xdr:sp macro="" textlink="">
      <xdr:nvSpPr>
        <xdr:cNvPr id="261" name="Shape 10">
          <a:extLst>
            <a:ext uri="{FF2B5EF4-FFF2-40B4-BE49-F238E27FC236}">
              <a16:creationId xmlns:a16="http://schemas.microsoft.com/office/drawing/2014/main" id="{05337128-ED29-4154-80C6-AEA207C29259}"/>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262" name="Shape 10">
          <a:extLst>
            <a:ext uri="{FF2B5EF4-FFF2-40B4-BE49-F238E27FC236}">
              <a16:creationId xmlns:a16="http://schemas.microsoft.com/office/drawing/2014/main" id="{1FD926E0-AA03-4AEC-947D-5B73358FB62E}"/>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263" name="Shape 10">
          <a:extLst>
            <a:ext uri="{FF2B5EF4-FFF2-40B4-BE49-F238E27FC236}">
              <a16:creationId xmlns:a16="http://schemas.microsoft.com/office/drawing/2014/main" id="{695C8861-950C-47AA-A70A-0F304FF0EEAB}"/>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264" name="Shape 5">
          <a:extLst>
            <a:ext uri="{FF2B5EF4-FFF2-40B4-BE49-F238E27FC236}">
              <a16:creationId xmlns:a16="http://schemas.microsoft.com/office/drawing/2014/main" id="{C3ED10CD-2B04-40BE-A866-832B93339C09}"/>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265" name="Shape 5">
          <a:extLst>
            <a:ext uri="{FF2B5EF4-FFF2-40B4-BE49-F238E27FC236}">
              <a16:creationId xmlns:a16="http://schemas.microsoft.com/office/drawing/2014/main" id="{EC709AA0-1519-4BCB-BBA6-569A6DE94CE8}"/>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266" name="Shape 6">
          <a:extLst>
            <a:ext uri="{FF2B5EF4-FFF2-40B4-BE49-F238E27FC236}">
              <a16:creationId xmlns:a16="http://schemas.microsoft.com/office/drawing/2014/main" id="{217B0406-730D-4808-B24E-15CAA1C30FFF}"/>
            </a:ext>
          </a:extLst>
        </xdr:cNvPr>
        <xdr:cNvSpPr>
          <a:spLocks noChangeArrowheads="1"/>
        </xdr:cNvSpPr>
      </xdr:nvSpPr>
      <xdr:spPr bwMode="auto">
        <a:xfrm>
          <a:off x="10172700" y="188118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267" name="Shape 6">
          <a:extLst>
            <a:ext uri="{FF2B5EF4-FFF2-40B4-BE49-F238E27FC236}">
              <a16:creationId xmlns:a16="http://schemas.microsoft.com/office/drawing/2014/main" id="{BFE9E8F3-DD82-4DFF-BB57-093C9F167ED8}"/>
            </a:ext>
          </a:extLst>
        </xdr:cNvPr>
        <xdr:cNvSpPr>
          <a:spLocks noChangeArrowheads="1"/>
        </xdr:cNvSpPr>
      </xdr:nvSpPr>
      <xdr:spPr bwMode="auto">
        <a:xfrm>
          <a:off x="10172700" y="188118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268" name="Shape 7">
          <a:extLst>
            <a:ext uri="{FF2B5EF4-FFF2-40B4-BE49-F238E27FC236}">
              <a16:creationId xmlns:a16="http://schemas.microsoft.com/office/drawing/2014/main" id="{BD83D7D4-8753-4D56-8EF6-B5C36FAAA3A0}"/>
            </a:ext>
          </a:extLst>
        </xdr:cNvPr>
        <xdr:cNvSpPr>
          <a:spLocks noChangeArrowheads="1"/>
        </xdr:cNvSpPr>
      </xdr:nvSpPr>
      <xdr:spPr bwMode="auto">
        <a:xfrm>
          <a:off x="11210925"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269" name="Shape 7">
          <a:extLst>
            <a:ext uri="{FF2B5EF4-FFF2-40B4-BE49-F238E27FC236}">
              <a16:creationId xmlns:a16="http://schemas.microsoft.com/office/drawing/2014/main" id="{97ED444D-D140-42B8-96A1-B3C20F8F4299}"/>
            </a:ext>
          </a:extLst>
        </xdr:cNvPr>
        <xdr:cNvSpPr>
          <a:spLocks noChangeArrowheads="1"/>
        </xdr:cNvSpPr>
      </xdr:nvSpPr>
      <xdr:spPr bwMode="auto">
        <a:xfrm>
          <a:off x="11210925"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270" name="Shape 8">
          <a:extLst>
            <a:ext uri="{FF2B5EF4-FFF2-40B4-BE49-F238E27FC236}">
              <a16:creationId xmlns:a16="http://schemas.microsoft.com/office/drawing/2014/main" id="{3AC66BBC-A252-4303-87BE-407382E803EC}"/>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271" name="Shape 8">
          <a:extLst>
            <a:ext uri="{FF2B5EF4-FFF2-40B4-BE49-F238E27FC236}">
              <a16:creationId xmlns:a16="http://schemas.microsoft.com/office/drawing/2014/main" id="{5785558D-8963-46F5-A30C-847EF924EC8B}"/>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72" name="Shape 9">
          <a:extLst>
            <a:ext uri="{FF2B5EF4-FFF2-40B4-BE49-F238E27FC236}">
              <a16:creationId xmlns:a16="http://schemas.microsoft.com/office/drawing/2014/main" id="{62EE8E98-0D5F-4AE2-AF1E-38622589B51C}"/>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73" name="Shape 9">
          <a:extLst>
            <a:ext uri="{FF2B5EF4-FFF2-40B4-BE49-F238E27FC236}">
              <a16:creationId xmlns:a16="http://schemas.microsoft.com/office/drawing/2014/main" id="{6EAC917F-0D6C-497D-A38D-389CC1CE2973}"/>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74" name="Shape 9">
          <a:extLst>
            <a:ext uri="{FF2B5EF4-FFF2-40B4-BE49-F238E27FC236}">
              <a16:creationId xmlns:a16="http://schemas.microsoft.com/office/drawing/2014/main" id="{116A2A81-448C-45DB-8A2C-666CE76E3680}"/>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75" name="Shape 9">
          <a:extLst>
            <a:ext uri="{FF2B5EF4-FFF2-40B4-BE49-F238E27FC236}">
              <a16:creationId xmlns:a16="http://schemas.microsoft.com/office/drawing/2014/main" id="{B8485C7D-54E2-4F01-BC5C-49C1CFF1FC26}"/>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76" name="Shape 9">
          <a:extLst>
            <a:ext uri="{FF2B5EF4-FFF2-40B4-BE49-F238E27FC236}">
              <a16:creationId xmlns:a16="http://schemas.microsoft.com/office/drawing/2014/main" id="{51BA8363-D078-41FD-85D9-D44F23DCDE52}"/>
            </a:ext>
          </a:extLst>
        </xdr:cNvPr>
        <xdr:cNvSpPr>
          <a:spLocks noChangeArrowheads="1"/>
        </xdr:cNvSpPr>
      </xdr:nvSpPr>
      <xdr:spPr bwMode="auto">
        <a:xfrm>
          <a:off x="137160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77" name="Shape 9">
          <a:extLst>
            <a:ext uri="{FF2B5EF4-FFF2-40B4-BE49-F238E27FC236}">
              <a16:creationId xmlns:a16="http://schemas.microsoft.com/office/drawing/2014/main" id="{7EDF7A07-00AF-41C9-8667-004C3E4C6B8C}"/>
            </a:ext>
          </a:extLst>
        </xdr:cNvPr>
        <xdr:cNvSpPr>
          <a:spLocks noChangeArrowheads="1"/>
        </xdr:cNvSpPr>
      </xdr:nvSpPr>
      <xdr:spPr bwMode="auto">
        <a:xfrm>
          <a:off x="137160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78" name="Shape 5">
          <a:extLst>
            <a:ext uri="{FF2B5EF4-FFF2-40B4-BE49-F238E27FC236}">
              <a16:creationId xmlns:a16="http://schemas.microsoft.com/office/drawing/2014/main" id="{A3643881-46A9-4158-8E6E-9FE2EBD253AA}"/>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79" name="Shape 5">
          <a:extLst>
            <a:ext uri="{FF2B5EF4-FFF2-40B4-BE49-F238E27FC236}">
              <a16:creationId xmlns:a16="http://schemas.microsoft.com/office/drawing/2014/main" id="{C1143527-F9D0-4327-B1A0-9367F3050008}"/>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80" name="Shape 9">
          <a:extLst>
            <a:ext uri="{FF2B5EF4-FFF2-40B4-BE49-F238E27FC236}">
              <a16:creationId xmlns:a16="http://schemas.microsoft.com/office/drawing/2014/main" id="{E12F4D94-3570-4E90-B763-7CD83710B4AF}"/>
            </a:ext>
          </a:extLst>
        </xdr:cNvPr>
        <xdr:cNvSpPr>
          <a:spLocks noChangeArrowheads="1"/>
        </xdr:cNvSpPr>
      </xdr:nvSpPr>
      <xdr:spPr bwMode="auto">
        <a:xfrm>
          <a:off x="14154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81" name="Shape 9">
          <a:extLst>
            <a:ext uri="{FF2B5EF4-FFF2-40B4-BE49-F238E27FC236}">
              <a16:creationId xmlns:a16="http://schemas.microsoft.com/office/drawing/2014/main" id="{070D1BB2-AE8A-4B13-82A9-4B22C9F34B8C}"/>
            </a:ext>
          </a:extLst>
        </xdr:cNvPr>
        <xdr:cNvSpPr>
          <a:spLocks noChangeArrowheads="1"/>
        </xdr:cNvSpPr>
      </xdr:nvSpPr>
      <xdr:spPr bwMode="auto">
        <a:xfrm>
          <a:off x="14154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82" name="Shape 5">
          <a:extLst>
            <a:ext uri="{FF2B5EF4-FFF2-40B4-BE49-F238E27FC236}">
              <a16:creationId xmlns:a16="http://schemas.microsoft.com/office/drawing/2014/main" id="{774BC4A6-187B-4DF8-8A7B-F5C4F1336E62}"/>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83" name="Shape 5">
          <a:extLst>
            <a:ext uri="{FF2B5EF4-FFF2-40B4-BE49-F238E27FC236}">
              <a16:creationId xmlns:a16="http://schemas.microsoft.com/office/drawing/2014/main" id="{24C77FBB-9A34-40E6-8BD2-5032E5B2BA5E}"/>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84" name="Shape 9">
          <a:extLst>
            <a:ext uri="{FF2B5EF4-FFF2-40B4-BE49-F238E27FC236}">
              <a16:creationId xmlns:a16="http://schemas.microsoft.com/office/drawing/2014/main" id="{21072D37-E00B-4B18-BD33-A3750A548105}"/>
            </a:ext>
          </a:extLst>
        </xdr:cNvPr>
        <xdr:cNvSpPr>
          <a:spLocks noChangeArrowheads="1"/>
        </xdr:cNvSpPr>
      </xdr:nvSpPr>
      <xdr:spPr bwMode="auto">
        <a:xfrm>
          <a:off x="14620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85" name="Shape 9">
          <a:extLst>
            <a:ext uri="{FF2B5EF4-FFF2-40B4-BE49-F238E27FC236}">
              <a16:creationId xmlns:a16="http://schemas.microsoft.com/office/drawing/2014/main" id="{33BF41F6-213E-4ABA-8635-9DAE3CE33D98}"/>
            </a:ext>
          </a:extLst>
        </xdr:cNvPr>
        <xdr:cNvSpPr>
          <a:spLocks noChangeArrowheads="1"/>
        </xdr:cNvSpPr>
      </xdr:nvSpPr>
      <xdr:spPr bwMode="auto">
        <a:xfrm>
          <a:off x="14620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86" name="Shape 4">
          <a:extLst>
            <a:ext uri="{FF2B5EF4-FFF2-40B4-BE49-F238E27FC236}">
              <a16:creationId xmlns:a16="http://schemas.microsoft.com/office/drawing/2014/main" id="{7FF2AA7E-AA86-4E52-96F4-1F975BA9D4D3}"/>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287" name="Shape 4">
          <a:extLst>
            <a:ext uri="{FF2B5EF4-FFF2-40B4-BE49-F238E27FC236}">
              <a16:creationId xmlns:a16="http://schemas.microsoft.com/office/drawing/2014/main" id="{E1507F13-FFA8-4B1C-B745-DD8C75795106}"/>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1</xdr:row>
      <xdr:rowOff>0</xdr:rowOff>
    </xdr:from>
    <xdr:to>
      <xdr:col>9</xdr:col>
      <xdr:colOff>28575</xdr:colOff>
      <xdr:row>1</xdr:row>
      <xdr:rowOff>0</xdr:rowOff>
    </xdr:to>
    <xdr:sp macro="" textlink="">
      <xdr:nvSpPr>
        <xdr:cNvPr id="288" name="Shape 4">
          <a:extLst>
            <a:ext uri="{FF2B5EF4-FFF2-40B4-BE49-F238E27FC236}">
              <a16:creationId xmlns:a16="http://schemas.microsoft.com/office/drawing/2014/main" id="{FA6BD7A4-2FDA-4F95-AF18-BC5F1248DE1B}"/>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1</xdr:row>
      <xdr:rowOff>0</xdr:rowOff>
    </xdr:from>
    <xdr:to>
      <xdr:col>9</xdr:col>
      <xdr:colOff>28575</xdr:colOff>
      <xdr:row>1</xdr:row>
      <xdr:rowOff>0</xdr:rowOff>
    </xdr:to>
    <xdr:sp macro="" textlink="">
      <xdr:nvSpPr>
        <xdr:cNvPr id="289" name="Shape 4">
          <a:extLst>
            <a:ext uri="{FF2B5EF4-FFF2-40B4-BE49-F238E27FC236}">
              <a16:creationId xmlns:a16="http://schemas.microsoft.com/office/drawing/2014/main" id="{1E8C246F-FE7E-4353-BC55-A0A62FC69290}"/>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1</xdr:row>
      <xdr:rowOff>0</xdr:rowOff>
    </xdr:from>
    <xdr:to>
      <xdr:col>9</xdr:col>
      <xdr:colOff>38100</xdr:colOff>
      <xdr:row>1</xdr:row>
      <xdr:rowOff>0</xdr:rowOff>
    </xdr:to>
    <xdr:sp macro="" textlink="">
      <xdr:nvSpPr>
        <xdr:cNvPr id="290" name="Shape 10">
          <a:extLst>
            <a:ext uri="{FF2B5EF4-FFF2-40B4-BE49-F238E27FC236}">
              <a16:creationId xmlns:a16="http://schemas.microsoft.com/office/drawing/2014/main" id="{E61AA1BC-E11A-4664-8F52-66DECEDF40E4}"/>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1</xdr:row>
      <xdr:rowOff>0</xdr:rowOff>
    </xdr:from>
    <xdr:to>
      <xdr:col>9</xdr:col>
      <xdr:colOff>38100</xdr:colOff>
      <xdr:row>1</xdr:row>
      <xdr:rowOff>0</xdr:rowOff>
    </xdr:to>
    <xdr:sp macro="" textlink="">
      <xdr:nvSpPr>
        <xdr:cNvPr id="291" name="Shape 10">
          <a:extLst>
            <a:ext uri="{FF2B5EF4-FFF2-40B4-BE49-F238E27FC236}">
              <a16:creationId xmlns:a16="http://schemas.microsoft.com/office/drawing/2014/main" id="{593651C1-7DA1-4478-9DE9-CEC4A019A09A}"/>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1</xdr:row>
      <xdr:rowOff>0</xdr:rowOff>
    </xdr:from>
    <xdr:to>
      <xdr:col>9</xdr:col>
      <xdr:colOff>38100</xdr:colOff>
      <xdr:row>1</xdr:row>
      <xdr:rowOff>0</xdr:rowOff>
    </xdr:to>
    <xdr:sp macro="" textlink="">
      <xdr:nvSpPr>
        <xdr:cNvPr id="292" name="Shape 10">
          <a:extLst>
            <a:ext uri="{FF2B5EF4-FFF2-40B4-BE49-F238E27FC236}">
              <a16:creationId xmlns:a16="http://schemas.microsoft.com/office/drawing/2014/main" id="{6F58BC2F-946C-4DD8-AB64-DE534A093080}"/>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1</xdr:row>
      <xdr:rowOff>0</xdr:rowOff>
    </xdr:from>
    <xdr:to>
      <xdr:col>9</xdr:col>
      <xdr:colOff>38100</xdr:colOff>
      <xdr:row>1</xdr:row>
      <xdr:rowOff>0</xdr:rowOff>
    </xdr:to>
    <xdr:sp macro="" textlink="">
      <xdr:nvSpPr>
        <xdr:cNvPr id="293" name="Shape 10">
          <a:extLst>
            <a:ext uri="{FF2B5EF4-FFF2-40B4-BE49-F238E27FC236}">
              <a16:creationId xmlns:a16="http://schemas.microsoft.com/office/drawing/2014/main" id="{1A066198-D0D1-41F2-AC91-6493AE0D1771}"/>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294" name="Shape 10">
          <a:extLst>
            <a:ext uri="{FF2B5EF4-FFF2-40B4-BE49-F238E27FC236}">
              <a16:creationId xmlns:a16="http://schemas.microsoft.com/office/drawing/2014/main" id="{2DC54853-3F60-42BD-AA0C-1F52F88DEF85}"/>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295" name="Shape 10">
          <a:extLst>
            <a:ext uri="{FF2B5EF4-FFF2-40B4-BE49-F238E27FC236}">
              <a16:creationId xmlns:a16="http://schemas.microsoft.com/office/drawing/2014/main" id="{72E38E8D-BBF2-458F-AAC4-07B3D9F0FBBD}"/>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296" name="Shape 5">
          <a:extLst>
            <a:ext uri="{FF2B5EF4-FFF2-40B4-BE49-F238E27FC236}">
              <a16:creationId xmlns:a16="http://schemas.microsoft.com/office/drawing/2014/main" id="{1A277D55-69BA-43C3-A31B-3D0122A4C2D0}"/>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297" name="Shape 5">
          <a:extLst>
            <a:ext uri="{FF2B5EF4-FFF2-40B4-BE49-F238E27FC236}">
              <a16:creationId xmlns:a16="http://schemas.microsoft.com/office/drawing/2014/main" id="{32B83782-EB69-453E-83B8-948D398715FE}"/>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298" name="Shape 6">
          <a:extLst>
            <a:ext uri="{FF2B5EF4-FFF2-40B4-BE49-F238E27FC236}">
              <a16:creationId xmlns:a16="http://schemas.microsoft.com/office/drawing/2014/main" id="{259E680B-680E-45E8-8B35-DA10C4DBA9F8}"/>
            </a:ext>
          </a:extLst>
        </xdr:cNvPr>
        <xdr:cNvSpPr>
          <a:spLocks noChangeArrowheads="1"/>
        </xdr:cNvSpPr>
      </xdr:nvSpPr>
      <xdr:spPr bwMode="auto">
        <a:xfrm>
          <a:off x="10172700" y="188118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299" name="Shape 6">
          <a:extLst>
            <a:ext uri="{FF2B5EF4-FFF2-40B4-BE49-F238E27FC236}">
              <a16:creationId xmlns:a16="http://schemas.microsoft.com/office/drawing/2014/main" id="{1D861144-4D88-462E-A3B7-839C3470288C}"/>
            </a:ext>
          </a:extLst>
        </xdr:cNvPr>
        <xdr:cNvSpPr>
          <a:spLocks noChangeArrowheads="1"/>
        </xdr:cNvSpPr>
      </xdr:nvSpPr>
      <xdr:spPr bwMode="auto">
        <a:xfrm>
          <a:off x="10172700" y="188118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-9525</xdr:colOff>
      <xdr:row>1</xdr:row>
      <xdr:rowOff>0</xdr:rowOff>
    </xdr:from>
    <xdr:to>
      <xdr:col>13</xdr:col>
      <xdr:colOff>28575</xdr:colOff>
      <xdr:row>1</xdr:row>
      <xdr:rowOff>0</xdr:rowOff>
    </xdr:to>
    <xdr:sp macro="" textlink="">
      <xdr:nvSpPr>
        <xdr:cNvPr id="300" name="Shape 5">
          <a:extLst>
            <a:ext uri="{FF2B5EF4-FFF2-40B4-BE49-F238E27FC236}">
              <a16:creationId xmlns:a16="http://schemas.microsoft.com/office/drawing/2014/main" id="{8C095D78-C4DA-4FF5-8A6C-2D93327E9F63}"/>
            </a:ext>
          </a:extLst>
        </xdr:cNvPr>
        <xdr:cNvSpPr>
          <a:spLocks noChangeArrowheads="1"/>
        </xdr:cNvSpPr>
      </xdr:nvSpPr>
      <xdr:spPr bwMode="auto">
        <a:xfrm>
          <a:off x="105251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-9525</xdr:colOff>
      <xdr:row>1</xdr:row>
      <xdr:rowOff>0</xdr:rowOff>
    </xdr:from>
    <xdr:to>
      <xdr:col>13</xdr:col>
      <xdr:colOff>28575</xdr:colOff>
      <xdr:row>1</xdr:row>
      <xdr:rowOff>0</xdr:rowOff>
    </xdr:to>
    <xdr:sp macro="" textlink="">
      <xdr:nvSpPr>
        <xdr:cNvPr id="301" name="Shape 5">
          <a:extLst>
            <a:ext uri="{FF2B5EF4-FFF2-40B4-BE49-F238E27FC236}">
              <a16:creationId xmlns:a16="http://schemas.microsoft.com/office/drawing/2014/main" id="{96E41A38-468F-4C85-BE05-0F628F3F4EDC}"/>
            </a:ext>
          </a:extLst>
        </xdr:cNvPr>
        <xdr:cNvSpPr>
          <a:spLocks noChangeArrowheads="1"/>
        </xdr:cNvSpPr>
      </xdr:nvSpPr>
      <xdr:spPr bwMode="auto">
        <a:xfrm>
          <a:off x="105251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302" name="Shape 7">
          <a:extLst>
            <a:ext uri="{FF2B5EF4-FFF2-40B4-BE49-F238E27FC236}">
              <a16:creationId xmlns:a16="http://schemas.microsoft.com/office/drawing/2014/main" id="{8B8BFEEF-E442-478B-BED0-B9C1331204C5}"/>
            </a:ext>
          </a:extLst>
        </xdr:cNvPr>
        <xdr:cNvSpPr>
          <a:spLocks noChangeArrowheads="1"/>
        </xdr:cNvSpPr>
      </xdr:nvSpPr>
      <xdr:spPr bwMode="auto">
        <a:xfrm>
          <a:off x="11210925"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303" name="Shape 7">
          <a:extLst>
            <a:ext uri="{FF2B5EF4-FFF2-40B4-BE49-F238E27FC236}">
              <a16:creationId xmlns:a16="http://schemas.microsoft.com/office/drawing/2014/main" id="{8B6992A9-56ED-4429-93A8-09B45C4E1270}"/>
            </a:ext>
          </a:extLst>
        </xdr:cNvPr>
        <xdr:cNvSpPr>
          <a:spLocks noChangeArrowheads="1"/>
        </xdr:cNvSpPr>
      </xdr:nvSpPr>
      <xdr:spPr bwMode="auto">
        <a:xfrm>
          <a:off x="11210925"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304" name="Shape 8">
          <a:extLst>
            <a:ext uri="{FF2B5EF4-FFF2-40B4-BE49-F238E27FC236}">
              <a16:creationId xmlns:a16="http://schemas.microsoft.com/office/drawing/2014/main" id="{B59D58E8-5396-41E0-838E-F1C009D3B2A0}"/>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305" name="Shape 8">
          <a:extLst>
            <a:ext uri="{FF2B5EF4-FFF2-40B4-BE49-F238E27FC236}">
              <a16:creationId xmlns:a16="http://schemas.microsoft.com/office/drawing/2014/main" id="{C71FFA66-C844-43DE-96CD-067F9F1138FF}"/>
            </a:ext>
          </a:extLst>
        </xdr:cNvPr>
        <xdr:cNvSpPr>
          <a:spLocks noChangeArrowheads="1"/>
        </xdr:cNvSpPr>
      </xdr:nvSpPr>
      <xdr:spPr bwMode="auto">
        <a:xfrm>
          <a:off x="11944350" y="188118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06" name="Shape 5">
          <a:extLst>
            <a:ext uri="{FF2B5EF4-FFF2-40B4-BE49-F238E27FC236}">
              <a16:creationId xmlns:a16="http://schemas.microsoft.com/office/drawing/2014/main" id="{7995225F-C1ED-4928-95A5-C7ACA50C88DF}"/>
            </a:ext>
          </a:extLst>
        </xdr:cNvPr>
        <xdr:cNvSpPr>
          <a:spLocks noChangeArrowheads="1"/>
        </xdr:cNvSpPr>
      </xdr:nvSpPr>
      <xdr:spPr bwMode="auto">
        <a:xfrm>
          <a:off x="125253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07" name="Shape 5">
          <a:extLst>
            <a:ext uri="{FF2B5EF4-FFF2-40B4-BE49-F238E27FC236}">
              <a16:creationId xmlns:a16="http://schemas.microsoft.com/office/drawing/2014/main" id="{91954B87-C9E7-4360-BDC9-7E1AC2742D4F}"/>
            </a:ext>
          </a:extLst>
        </xdr:cNvPr>
        <xdr:cNvSpPr>
          <a:spLocks noChangeArrowheads="1"/>
        </xdr:cNvSpPr>
      </xdr:nvSpPr>
      <xdr:spPr bwMode="auto">
        <a:xfrm>
          <a:off x="125253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08" name="Shape 5">
          <a:extLst>
            <a:ext uri="{FF2B5EF4-FFF2-40B4-BE49-F238E27FC236}">
              <a16:creationId xmlns:a16="http://schemas.microsoft.com/office/drawing/2014/main" id="{564738AB-C9B8-44F9-B927-D41FFC3CC1F9}"/>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09" name="Shape 5">
          <a:extLst>
            <a:ext uri="{FF2B5EF4-FFF2-40B4-BE49-F238E27FC236}">
              <a16:creationId xmlns:a16="http://schemas.microsoft.com/office/drawing/2014/main" id="{4679FB87-C78D-4F4C-8F9D-9D1254C172A3}"/>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10" name="Shape 5">
          <a:extLst>
            <a:ext uri="{FF2B5EF4-FFF2-40B4-BE49-F238E27FC236}">
              <a16:creationId xmlns:a16="http://schemas.microsoft.com/office/drawing/2014/main" id="{85C71D3F-8654-45EE-9235-76FEFDA04D7D}"/>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11" name="Shape 5">
          <a:extLst>
            <a:ext uri="{FF2B5EF4-FFF2-40B4-BE49-F238E27FC236}">
              <a16:creationId xmlns:a16="http://schemas.microsoft.com/office/drawing/2014/main" id="{0DD3FD0E-FE83-44C6-9CF5-906336196E24}"/>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12" name="Shape 5">
          <a:extLst>
            <a:ext uri="{FF2B5EF4-FFF2-40B4-BE49-F238E27FC236}">
              <a16:creationId xmlns:a16="http://schemas.microsoft.com/office/drawing/2014/main" id="{470FD7E5-6660-4D06-89A8-47CC17F214F3}"/>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13" name="Shape 5">
          <a:extLst>
            <a:ext uri="{FF2B5EF4-FFF2-40B4-BE49-F238E27FC236}">
              <a16:creationId xmlns:a16="http://schemas.microsoft.com/office/drawing/2014/main" id="{4FB38AAA-CC5C-4242-A18B-AD66C1F12DD8}"/>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14" name="Shape 5">
          <a:extLst>
            <a:ext uri="{FF2B5EF4-FFF2-40B4-BE49-F238E27FC236}">
              <a16:creationId xmlns:a16="http://schemas.microsoft.com/office/drawing/2014/main" id="{215B6071-6D4D-4AB5-934C-A4665D2FADA7}"/>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15" name="Shape 5">
          <a:extLst>
            <a:ext uri="{FF2B5EF4-FFF2-40B4-BE49-F238E27FC236}">
              <a16:creationId xmlns:a16="http://schemas.microsoft.com/office/drawing/2014/main" id="{6A85487B-38FF-4347-AA74-565698A4119C}"/>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16" name="Shape 4">
          <a:extLst>
            <a:ext uri="{FF2B5EF4-FFF2-40B4-BE49-F238E27FC236}">
              <a16:creationId xmlns:a16="http://schemas.microsoft.com/office/drawing/2014/main" id="{B2375899-5411-4D44-84A3-FFC19212185E}"/>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17" name="Shape 4">
          <a:extLst>
            <a:ext uri="{FF2B5EF4-FFF2-40B4-BE49-F238E27FC236}">
              <a16:creationId xmlns:a16="http://schemas.microsoft.com/office/drawing/2014/main" id="{B7C48570-AE77-4467-8EB4-94390925C5F5}"/>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18" name="Shape 5">
          <a:extLst>
            <a:ext uri="{FF2B5EF4-FFF2-40B4-BE49-F238E27FC236}">
              <a16:creationId xmlns:a16="http://schemas.microsoft.com/office/drawing/2014/main" id="{86F05D85-F985-4523-BD15-3D0D91D56878}"/>
            </a:ext>
          </a:extLst>
        </xdr:cNvPr>
        <xdr:cNvSpPr>
          <a:spLocks noChangeArrowheads="1"/>
        </xdr:cNvSpPr>
      </xdr:nvSpPr>
      <xdr:spPr bwMode="auto">
        <a:xfrm>
          <a:off x="158972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19" name="Shape 5">
          <a:extLst>
            <a:ext uri="{FF2B5EF4-FFF2-40B4-BE49-F238E27FC236}">
              <a16:creationId xmlns:a16="http://schemas.microsoft.com/office/drawing/2014/main" id="{1B031A75-2DE1-44F3-B392-1B2B3F022CA7}"/>
            </a:ext>
          </a:extLst>
        </xdr:cNvPr>
        <xdr:cNvSpPr>
          <a:spLocks noChangeArrowheads="1"/>
        </xdr:cNvSpPr>
      </xdr:nvSpPr>
      <xdr:spPr bwMode="auto">
        <a:xfrm>
          <a:off x="158972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20" name="Shape 5">
          <a:extLst>
            <a:ext uri="{FF2B5EF4-FFF2-40B4-BE49-F238E27FC236}">
              <a16:creationId xmlns:a16="http://schemas.microsoft.com/office/drawing/2014/main" id="{3959CF91-E016-4753-B7B8-9BFBA464BD96}"/>
            </a:ext>
          </a:extLst>
        </xdr:cNvPr>
        <xdr:cNvSpPr>
          <a:spLocks noChangeArrowheads="1"/>
        </xdr:cNvSpPr>
      </xdr:nvSpPr>
      <xdr:spPr bwMode="auto">
        <a:xfrm>
          <a:off x="165068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21" name="Shape 5">
          <a:extLst>
            <a:ext uri="{FF2B5EF4-FFF2-40B4-BE49-F238E27FC236}">
              <a16:creationId xmlns:a16="http://schemas.microsoft.com/office/drawing/2014/main" id="{E1AC782E-CF7E-4B35-BE21-EAC93B4D73E8}"/>
            </a:ext>
          </a:extLst>
        </xdr:cNvPr>
        <xdr:cNvSpPr>
          <a:spLocks noChangeArrowheads="1"/>
        </xdr:cNvSpPr>
      </xdr:nvSpPr>
      <xdr:spPr bwMode="auto">
        <a:xfrm>
          <a:off x="165068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-9525</xdr:colOff>
      <xdr:row>1</xdr:row>
      <xdr:rowOff>0</xdr:rowOff>
    </xdr:from>
    <xdr:to>
      <xdr:col>15</xdr:col>
      <xdr:colOff>28575</xdr:colOff>
      <xdr:row>1</xdr:row>
      <xdr:rowOff>0</xdr:rowOff>
    </xdr:to>
    <xdr:sp macro="" textlink="">
      <xdr:nvSpPr>
        <xdr:cNvPr id="322" name="Shape 5">
          <a:extLst>
            <a:ext uri="{FF2B5EF4-FFF2-40B4-BE49-F238E27FC236}">
              <a16:creationId xmlns:a16="http://schemas.microsoft.com/office/drawing/2014/main" id="{A031300A-1CAB-4F09-8676-86D40EE9804E}"/>
            </a:ext>
          </a:extLst>
        </xdr:cNvPr>
        <xdr:cNvSpPr>
          <a:spLocks noChangeArrowheads="1"/>
        </xdr:cNvSpPr>
      </xdr:nvSpPr>
      <xdr:spPr bwMode="auto">
        <a:xfrm>
          <a:off x="171164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-9525</xdr:colOff>
      <xdr:row>1</xdr:row>
      <xdr:rowOff>0</xdr:rowOff>
    </xdr:from>
    <xdr:to>
      <xdr:col>15</xdr:col>
      <xdr:colOff>28575</xdr:colOff>
      <xdr:row>1</xdr:row>
      <xdr:rowOff>0</xdr:rowOff>
    </xdr:to>
    <xdr:sp macro="" textlink="">
      <xdr:nvSpPr>
        <xdr:cNvPr id="323" name="Shape 5">
          <a:extLst>
            <a:ext uri="{FF2B5EF4-FFF2-40B4-BE49-F238E27FC236}">
              <a16:creationId xmlns:a16="http://schemas.microsoft.com/office/drawing/2014/main" id="{94A9B063-FA22-429B-B349-B872F172AFEA}"/>
            </a:ext>
          </a:extLst>
        </xdr:cNvPr>
        <xdr:cNvSpPr>
          <a:spLocks noChangeArrowheads="1"/>
        </xdr:cNvSpPr>
      </xdr:nvSpPr>
      <xdr:spPr bwMode="auto">
        <a:xfrm>
          <a:off x="171164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24" name="Shape 7">
          <a:extLst>
            <a:ext uri="{FF2B5EF4-FFF2-40B4-BE49-F238E27FC236}">
              <a16:creationId xmlns:a16="http://schemas.microsoft.com/office/drawing/2014/main" id="{1EF92BBC-29C3-49C7-B964-079AE6BBF721}"/>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25" name="Shape 7">
          <a:extLst>
            <a:ext uri="{FF2B5EF4-FFF2-40B4-BE49-F238E27FC236}">
              <a16:creationId xmlns:a16="http://schemas.microsoft.com/office/drawing/2014/main" id="{5708CF24-EB17-4BF1-A46D-279D1CA2B428}"/>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26" name="Shape 7">
          <a:extLst>
            <a:ext uri="{FF2B5EF4-FFF2-40B4-BE49-F238E27FC236}">
              <a16:creationId xmlns:a16="http://schemas.microsoft.com/office/drawing/2014/main" id="{5285173E-290E-466E-9EEE-D010674DA34E}"/>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27" name="Shape 7">
          <a:extLst>
            <a:ext uri="{FF2B5EF4-FFF2-40B4-BE49-F238E27FC236}">
              <a16:creationId xmlns:a16="http://schemas.microsoft.com/office/drawing/2014/main" id="{D38DBEDE-C529-4385-A820-125F9CB7297D}"/>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28" name="Shape 7">
          <a:extLst>
            <a:ext uri="{FF2B5EF4-FFF2-40B4-BE49-F238E27FC236}">
              <a16:creationId xmlns:a16="http://schemas.microsoft.com/office/drawing/2014/main" id="{B2D9BA49-C532-4CCD-8FAE-77C530F7999B}"/>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29" name="Shape 7">
          <a:extLst>
            <a:ext uri="{FF2B5EF4-FFF2-40B4-BE49-F238E27FC236}">
              <a16:creationId xmlns:a16="http://schemas.microsoft.com/office/drawing/2014/main" id="{0235B0D1-F289-4D01-9D10-C301C12D63FB}"/>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30" name="Shape 7">
          <a:extLst>
            <a:ext uri="{FF2B5EF4-FFF2-40B4-BE49-F238E27FC236}">
              <a16:creationId xmlns:a16="http://schemas.microsoft.com/office/drawing/2014/main" id="{45152BEA-99B4-4202-8910-EAD1D1232704}"/>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31" name="Shape 7">
          <a:extLst>
            <a:ext uri="{FF2B5EF4-FFF2-40B4-BE49-F238E27FC236}">
              <a16:creationId xmlns:a16="http://schemas.microsoft.com/office/drawing/2014/main" id="{6D82E486-6E8B-40F6-94CA-C6DA58FF4F08}"/>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32" name="Shape 7">
          <a:extLst>
            <a:ext uri="{FF2B5EF4-FFF2-40B4-BE49-F238E27FC236}">
              <a16:creationId xmlns:a16="http://schemas.microsoft.com/office/drawing/2014/main" id="{FD0D147D-523A-44D1-8916-3F90317D5089}"/>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33" name="Shape 7">
          <a:extLst>
            <a:ext uri="{FF2B5EF4-FFF2-40B4-BE49-F238E27FC236}">
              <a16:creationId xmlns:a16="http://schemas.microsoft.com/office/drawing/2014/main" id="{BE3C9088-19A3-4BAC-BEF3-D8EAA9F749B1}"/>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34" name="Shape 7">
          <a:extLst>
            <a:ext uri="{FF2B5EF4-FFF2-40B4-BE49-F238E27FC236}">
              <a16:creationId xmlns:a16="http://schemas.microsoft.com/office/drawing/2014/main" id="{8B03CD93-A5E4-46A6-97F0-6D488EF482D1}"/>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35" name="Shape 7">
          <a:extLst>
            <a:ext uri="{FF2B5EF4-FFF2-40B4-BE49-F238E27FC236}">
              <a16:creationId xmlns:a16="http://schemas.microsoft.com/office/drawing/2014/main" id="{D8B6BAE7-DD88-4CB9-8EBE-50AD95BE81A9}"/>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36" name="Shape 7">
          <a:extLst>
            <a:ext uri="{FF2B5EF4-FFF2-40B4-BE49-F238E27FC236}">
              <a16:creationId xmlns:a16="http://schemas.microsoft.com/office/drawing/2014/main" id="{DB41D775-09A1-4CFB-AB05-33FCE7A20AF5}"/>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37" name="Shape 7">
          <a:extLst>
            <a:ext uri="{FF2B5EF4-FFF2-40B4-BE49-F238E27FC236}">
              <a16:creationId xmlns:a16="http://schemas.microsoft.com/office/drawing/2014/main" id="{2FAF5D0A-DF4C-4101-82A1-73E34ECA7CB0}"/>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38" name="Shape 7">
          <a:extLst>
            <a:ext uri="{FF2B5EF4-FFF2-40B4-BE49-F238E27FC236}">
              <a16:creationId xmlns:a16="http://schemas.microsoft.com/office/drawing/2014/main" id="{59542D2C-DABE-4133-8C3A-92AB868652CC}"/>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339" name="Shape 7">
          <a:extLst>
            <a:ext uri="{FF2B5EF4-FFF2-40B4-BE49-F238E27FC236}">
              <a16:creationId xmlns:a16="http://schemas.microsoft.com/office/drawing/2014/main" id="{CBB9490F-2DCD-44D9-9144-B963CF53746F}"/>
            </a:ext>
          </a:extLst>
        </xdr:cNvPr>
        <xdr:cNvSpPr>
          <a:spLocks noChangeArrowheads="1"/>
        </xdr:cNvSpPr>
      </xdr:nvSpPr>
      <xdr:spPr bwMode="auto">
        <a:xfrm>
          <a:off x="12534900" y="188118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-9525</xdr:colOff>
      <xdr:row>1</xdr:row>
      <xdr:rowOff>0</xdr:rowOff>
    </xdr:from>
    <xdr:to>
      <xdr:col>9</xdr:col>
      <xdr:colOff>28575</xdr:colOff>
      <xdr:row>1</xdr:row>
      <xdr:rowOff>0</xdr:rowOff>
    </xdr:to>
    <xdr:sp macro="" textlink="">
      <xdr:nvSpPr>
        <xdr:cNvPr id="340" name="Shape 4">
          <a:extLst>
            <a:ext uri="{FF2B5EF4-FFF2-40B4-BE49-F238E27FC236}">
              <a16:creationId xmlns:a16="http://schemas.microsoft.com/office/drawing/2014/main" id="{B19ECF19-7157-481F-950C-07E83D8224BE}"/>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341" name="Shape 5">
          <a:extLst>
            <a:ext uri="{FF2B5EF4-FFF2-40B4-BE49-F238E27FC236}">
              <a16:creationId xmlns:a16="http://schemas.microsoft.com/office/drawing/2014/main" id="{E4B7F200-DB6B-45FC-A0E7-B1036816FC25}"/>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342" name="Shape 5">
          <a:extLst>
            <a:ext uri="{FF2B5EF4-FFF2-40B4-BE49-F238E27FC236}">
              <a16:creationId xmlns:a16="http://schemas.microsoft.com/office/drawing/2014/main" id="{4E1AC446-65C9-4FF9-B1FC-282FB06028DB}"/>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343" name="Shape 5">
          <a:extLst>
            <a:ext uri="{FF2B5EF4-FFF2-40B4-BE49-F238E27FC236}">
              <a16:creationId xmlns:a16="http://schemas.microsoft.com/office/drawing/2014/main" id="{E886E6B0-FABF-493A-92A7-488B5C66D98E}"/>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344" name="Shape 6">
          <a:extLst>
            <a:ext uri="{FF2B5EF4-FFF2-40B4-BE49-F238E27FC236}">
              <a16:creationId xmlns:a16="http://schemas.microsoft.com/office/drawing/2014/main" id="{967F8DBE-E576-4C20-9C08-0A45337D14AE}"/>
            </a:ext>
          </a:extLst>
        </xdr:cNvPr>
        <xdr:cNvSpPr>
          <a:spLocks noChangeArrowheads="1"/>
        </xdr:cNvSpPr>
      </xdr:nvSpPr>
      <xdr:spPr bwMode="auto">
        <a:xfrm>
          <a:off x="10172700" y="18649950"/>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345" name="Shape 7">
          <a:extLst>
            <a:ext uri="{FF2B5EF4-FFF2-40B4-BE49-F238E27FC236}">
              <a16:creationId xmlns:a16="http://schemas.microsoft.com/office/drawing/2014/main" id="{0B5D7099-88F5-4B0A-BD7F-3DA9D3F46E76}"/>
            </a:ext>
          </a:extLst>
        </xdr:cNvPr>
        <xdr:cNvSpPr>
          <a:spLocks noChangeArrowheads="1"/>
        </xdr:cNvSpPr>
      </xdr:nvSpPr>
      <xdr:spPr bwMode="auto">
        <a:xfrm>
          <a:off x="11210925"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346" name="Shape 8">
          <a:extLst>
            <a:ext uri="{FF2B5EF4-FFF2-40B4-BE49-F238E27FC236}">
              <a16:creationId xmlns:a16="http://schemas.microsoft.com/office/drawing/2014/main" id="{73D721F4-5A0C-4BAE-A201-20934044EE98}"/>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47" name="Shape 9">
          <a:extLst>
            <a:ext uri="{FF2B5EF4-FFF2-40B4-BE49-F238E27FC236}">
              <a16:creationId xmlns:a16="http://schemas.microsoft.com/office/drawing/2014/main" id="{15BB28CA-F71A-40A9-8C6F-92F84C801CD6}"/>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48" name="Shape 9">
          <a:extLst>
            <a:ext uri="{FF2B5EF4-FFF2-40B4-BE49-F238E27FC236}">
              <a16:creationId xmlns:a16="http://schemas.microsoft.com/office/drawing/2014/main" id="{10D8324C-18B2-4951-8A94-EC9CBD966BC6}"/>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49" name="Shape 9">
          <a:extLst>
            <a:ext uri="{FF2B5EF4-FFF2-40B4-BE49-F238E27FC236}">
              <a16:creationId xmlns:a16="http://schemas.microsoft.com/office/drawing/2014/main" id="{5EC4D563-E5FF-4AC4-AE71-873EFAE8DAFD}"/>
            </a:ext>
          </a:extLst>
        </xdr:cNvPr>
        <xdr:cNvSpPr>
          <a:spLocks noChangeArrowheads="1"/>
        </xdr:cNvSpPr>
      </xdr:nvSpPr>
      <xdr:spPr bwMode="auto">
        <a:xfrm>
          <a:off x="137160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50" name="Shape 5">
          <a:extLst>
            <a:ext uri="{FF2B5EF4-FFF2-40B4-BE49-F238E27FC236}">
              <a16:creationId xmlns:a16="http://schemas.microsoft.com/office/drawing/2014/main" id="{3126E6FC-6752-4AFD-A60F-B99B2A1F5FD5}"/>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51" name="Shape 5">
          <a:extLst>
            <a:ext uri="{FF2B5EF4-FFF2-40B4-BE49-F238E27FC236}">
              <a16:creationId xmlns:a16="http://schemas.microsoft.com/office/drawing/2014/main" id="{9A4106F6-8CB4-4F9F-88D5-B0E92685CB38}"/>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52" name="Shape 5">
          <a:extLst>
            <a:ext uri="{FF2B5EF4-FFF2-40B4-BE49-F238E27FC236}">
              <a16:creationId xmlns:a16="http://schemas.microsoft.com/office/drawing/2014/main" id="{4F10651F-195F-41C2-86EC-A533D29D0E8B}"/>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53" name="Shape 9">
          <a:extLst>
            <a:ext uri="{FF2B5EF4-FFF2-40B4-BE49-F238E27FC236}">
              <a16:creationId xmlns:a16="http://schemas.microsoft.com/office/drawing/2014/main" id="{2744BCB9-B5D9-42BB-91D5-58DCEA1C09C2}"/>
            </a:ext>
          </a:extLst>
        </xdr:cNvPr>
        <xdr:cNvSpPr>
          <a:spLocks noChangeArrowheads="1"/>
        </xdr:cNvSpPr>
      </xdr:nvSpPr>
      <xdr:spPr bwMode="auto">
        <a:xfrm>
          <a:off x="14620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54" name="Shape 4">
          <a:extLst>
            <a:ext uri="{FF2B5EF4-FFF2-40B4-BE49-F238E27FC236}">
              <a16:creationId xmlns:a16="http://schemas.microsoft.com/office/drawing/2014/main" id="{71C35199-1DFC-429B-8F54-BDA02CFF08EB}"/>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355" name="Shape 6">
          <a:extLst>
            <a:ext uri="{FF2B5EF4-FFF2-40B4-BE49-F238E27FC236}">
              <a16:creationId xmlns:a16="http://schemas.microsoft.com/office/drawing/2014/main" id="{4DA8CD4B-5ABD-4FF9-9DE1-30884BAA82FE}"/>
            </a:ext>
          </a:extLst>
        </xdr:cNvPr>
        <xdr:cNvSpPr>
          <a:spLocks noChangeArrowheads="1"/>
        </xdr:cNvSpPr>
      </xdr:nvSpPr>
      <xdr:spPr bwMode="auto">
        <a:xfrm>
          <a:off x="10172700" y="18649950"/>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356" name="Shape 7">
          <a:extLst>
            <a:ext uri="{FF2B5EF4-FFF2-40B4-BE49-F238E27FC236}">
              <a16:creationId xmlns:a16="http://schemas.microsoft.com/office/drawing/2014/main" id="{6DF0EC21-BF4E-42F3-ABFF-3F970698DD3E}"/>
            </a:ext>
          </a:extLst>
        </xdr:cNvPr>
        <xdr:cNvSpPr>
          <a:spLocks noChangeArrowheads="1"/>
        </xdr:cNvSpPr>
      </xdr:nvSpPr>
      <xdr:spPr bwMode="auto">
        <a:xfrm>
          <a:off x="11210925"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357" name="Shape 8">
          <a:extLst>
            <a:ext uri="{FF2B5EF4-FFF2-40B4-BE49-F238E27FC236}">
              <a16:creationId xmlns:a16="http://schemas.microsoft.com/office/drawing/2014/main" id="{8D7E3384-EF19-4ED1-AA67-59259BAB3980}"/>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58" name="Shape 9">
          <a:extLst>
            <a:ext uri="{FF2B5EF4-FFF2-40B4-BE49-F238E27FC236}">
              <a16:creationId xmlns:a16="http://schemas.microsoft.com/office/drawing/2014/main" id="{636E6D9A-E96D-4D0A-BFFF-477D608A75ED}"/>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59" name="Shape 9">
          <a:extLst>
            <a:ext uri="{FF2B5EF4-FFF2-40B4-BE49-F238E27FC236}">
              <a16:creationId xmlns:a16="http://schemas.microsoft.com/office/drawing/2014/main" id="{06FC41E2-9E72-4C2C-A30F-E78A43087CD2}"/>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60" name="Shape 9">
          <a:extLst>
            <a:ext uri="{FF2B5EF4-FFF2-40B4-BE49-F238E27FC236}">
              <a16:creationId xmlns:a16="http://schemas.microsoft.com/office/drawing/2014/main" id="{31579212-4B88-4396-B063-2AE757AB893B}"/>
            </a:ext>
          </a:extLst>
        </xdr:cNvPr>
        <xdr:cNvSpPr>
          <a:spLocks noChangeArrowheads="1"/>
        </xdr:cNvSpPr>
      </xdr:nvSpPr>
      <xdr:spPr bwMode="auto">
        <a:xfrm>
          <a:off x="137160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61" name="Shape 5">
          <a:extLst>
            <a:ext uri="{FF2B5EF4-FFF2-40B4-BE49-F238E27FC236}">
              <a16:creationId xmlns:a16="http://schemas.microsoft.com/office/drawing/2014/main" id="{9D673000-956E-4F92-AF2E-8DF3388EFC08}"/>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62" name="Shape 5">
          <a:extLst>
            <a:ext uri="{FF2B5EF4-FFF2-40B4-BE49-F238E27FC236}">
              <a16:creationId xmlns:a16="http://schemas.microsoft.com/office/drawing/2014/main" id="{CC3FEA28-BBB5-4C8B-A2AF-080434104FD6}"/>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63" name="Shape 5">
          <a:extLst>
            <a:ext uri="{FF2B5EF4-FFF2-40B4-BE49-F238E27FC236}">
              <a16:creationId xmlns:a16="http://schemas.microsoft.com/office/drawing/2014/main" id="{158E329C-02DB-4198-9259-6606EFEF5D7C}"/>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64" name="Shape 9">
          <a:extLst>
            <a:ext uri="{FF2B5EF4-FFF2-40B4-BE49-F238E27FC236}">
              <a16:creationId xmlns:a16="http://schemas.microsoft.com/office/drawing/2014/main" id="{83A5EA0E-9171-4AAA-8BF1-5421F4EAB5E7}"/>
            </a:ext>
          </a:extLst>
        </xdr:cNvPr>
        <xdr:cNvSpPr>
          <a:spLocks noChangeArrowheads="1"/>
        </xdr:cNvSpPr>
      </xdr:nvSpPr>
      <xdr:spPr bwMode="auto">
        <a:xfrm>
          <a:off x="14620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65" name="Shape 4">
          <a:extLst>
            <a:ext uri="{FF2B5EF4-FFF2-40B4-BE49-F238E27FC236}">
              <a16:creationId xmlns:a16="http://schemas.microsoft.com/office/drawing/2014/main" id="{3388D1F6-11C8-4269-8C47-A378CFC2D358}"/>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366" name="Shape 6">
          <a:extLst>
            <a:ext uri="{FF2B5EF4-FFF2-40B4-BE49-F238E27FC236}">
              <a16:creationId xmlns:a16="http://schemas.microsoft.com/office/drawing/2014/main" id="{0A23B1E7-BAA6-4A75-825C-A7CAAC4106B0}"/>
            </a:ext>
          </a:extLst>
        </xdr:cNvPr>
        <xdr:cNvSpPr>
          <a:spLocks noChangeArrowheads="1"/>
        </xdr:cNvSpPr>
      </xdr:nvSpPr>
      <xdr:spPr bwMode="auto">
        <a:xfrm>
          <a:off x="10172700" y="18649950"/>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367" name="Shape 7">
          <a:extLst>
            <a:ext uri="{FF2B5EF4-FFF2-40B4-BE49-F238E27FC236}">
              <a16:creationId xmlns:a16="http://schemas.microsoft.com/office/drawing/2014/main" id="{9BB7F9C4-D5E0-4C18-B57D-95BF0AF7505F}"/>
            </a:ext>
          </a:extLst>
        </xdr:cNvPr>
        <xdr:cNvSpPr>
          <a:spLocks noChangeArrowheads="1"/>
        </xdr:cNvSpPr>
      </xdr:nvSpPr>
      <xdr:spPr bwMode="auto">
        <a:xfrm>
          <a:off x="11210925"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368" name="Shape 8">
          <a:extLst>
            <a:ext uri="{FF2B5EF4-FFF2-40B4-BE49-F238E27FC236}">
              <a16:creationId xmlns:a16="http://schemas.microsoft.com/office/drawing/2014/main" id="{6CBCABA8-A884-4994-A5D1-FDE3AE6593C5}"/>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369" name="Shape 8">
          <a:extLst>
            <a:ext uri="{FF2B5EF4-FFF2-40B4-BE49-F238E27FC236}">
              <a16:creationId xmlns:a16="http://schemas.microsoft.com/office/drawing/2014/main" id="{A87AB9FE-A283-4EC2-A6D5-3E64C0DF4A04}"/>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70" name="Shape 5">
          <a:extLst>
            <a:ext uri="{FF2B5EF4-FFF2-40B4-BE49-F238E27FC236}">
              <a16:creationId xmlns:a16="http://schemas.microsoft.com/office/drawing/2014/main" id="{77192361-6520-40E7-B81A-FA8A49BC6FCF}"/>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71" name="Shape 5">
          <a:extLst>
            <a:ext uri="{FF2B5EF4-FFF2-40B4-BE49-F238E27FC236}">
              <a16:creationId xmlns:a16="http://schemas.microsoft.com/office/drawing/2014/main" id="{7BD37382-F920-4097-9BA2-5C914B4FFB07}"/>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72" name="Shape 5">
          <a:extLst>
            <a:ext uri="{FF2B5EF4-FFF2-40B4-BE49-F238E27FC236}">
              <a16:creationId xmlns:a16="http://schemas.microsoft.com/office/drawing/2014/main" id="{DF203EE1-C3E1-40F9-80D4-DDF349E4811A}"/>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73" name="Shape 5">
          <a:extLst>
            <a:ext uri="{FF2B5EF4-FFF2-40B4-BE49-F238E27FC236}">
              <a16:creationId xmlns:a16="http://schemas.microsoft.com/office/drawing/2014/main" id="{7A0191A5-FA2C-4BCF-83EA-594403C5AE75}"/>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74" name="Shape 5">
          <a:extLst>
            <a:ext uri="{FF2B5EF4-FFF2-40B4-BE49-F238E27FC236}">
              <a16:creationId xmlns:a16="http://schemas.microsoft.com/office/drawing/2014/main" id="{B40AEF39-D25D-4B8D-B183-F6846B1DA8D0}"/>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75" name="Shape 5">
          <a:extLst>
            <a:ext uri="{FF2B5EF4-FFF2-40B4-BE49-F238E27FC236}">
              <a16:creationId xmlns:a16="http://schemas.microsoft.com/office/drawing/2014/main" id="{2A1F39C0-5133-4340-8567-D7C9A2863288}"/>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76" name="Shape 4">
          <a:extLst>
            <a:ext uri="{FF2B5EF4-FFF2-40B4-BE49-F238E27FC236}">
              <a16:creationId xmlns:a16="http://schemas.microsoft.com/office/drawing/2014/main" id="{625B4D2C-D596-475D-B030-8232C60E54C9}"/>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377" name="Shape 6">
          <a:extLst>
            <a:ext uri="{FF2B5EF4-FFF2-40B4-BE49-F238E27FC236}">
              <a16:creationId xmlns:a16="http://schemas.microsoft.com/office/drawing/2014/main" id="{A771BEE6-A895-4ABB-B8B2-27E6FC2B55E3}"/>
            </a:ext>
          </a:extLst>
        </xdr:cNvPr>
        <xdr:cNvSpPr>
          <a:spLocks noChangeArrowheads="1"/>
        </xdr:cNvSpPr>
      </xdr:nvSpPr>
      <xdr:spPr bwMode="auto">
        <a:xfrm>
          <a:off x="10172700" y="18649950"/>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378" name="Shape 7">
          <a:extLst>
            <a:ext uri="{FF2B5EF4-FFF2-40B4-BE49-F238E27FC236}">
              <a16:creationId xmlns:a16="http://schemas.microsoft.com/office/drawing/2014/main" id="{863A316B-4151-4C53-9F53-0153100921AE}"/>
            </a:ext>
          </a:extLst>
        </xdr:cNvPr>
        <xdr:cNvSpPr>
          <a:spLocks noChangeArrowheads="1"/>
        </xdr:cNvSpPr>
      </xdr:nvSpPr>
      <xdr:spPr bwMode="auto">
        <a:xfrm>
          <a:off x="11210925"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379" name="Shape 8">
          <a:extLst>
            <a:ext uri="{FF2B5EF4-FFF2-40B4-BE49-F238E27FC236}">
              <a16:creationId xmlns:a16="http://schemas.microsoft.com/office/drawing/2014/main" id="{D756EC7A-FBC1-424B-8BFC-348E769D51B4}"/>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380" name="Shape 8">
          <a:extLst>
            <a:ext uri="{FF2B5EF4-FFF2-40B4-BE49-F238E27FC236}">
              <a16:creationId xmlns:a16="http://schemas.microsoft.com/office/drawing/2014/main" id="{85416E6B-0459-4A13-A229-BFA804B1506B}"/>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81" name="Shape 5">
          <a:extLst>
            <a:ext uri="{FF2B5EF4-FFF2-40B4-BE49-F238E27FC236}">
              <a16:creationId xmlns:a16="http://schemas.microsoft.com/office/drawing/2014/main" id="{72913421-FD31-4A11-8C65-E05D239CC8DF}"/>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82" name="Shape 5">
          <a:extLst>
            <a:ext uri="{FF2B5EF4-FFF2-40B4-BE49-F238E27FC236}">
              <a16:creationId xmlns:a16="http://schemas.microsoft.com/office/drawing/2014/main" id="{C440A614-4301-4E70-919A-2B791DF89135}"/>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83" name="Shape 5">
          <a:extLst>
            <a:ext uri="{FF2B5EF4-FFF2-40B4-BE49-F238E27FC236}">
              <a16:creationId xmlns:a16="http://schemas.microsoft.com/office/drawing/2014/main" id="{59604426-EA30-494B-9A7D-E56F9222827E}"/>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84" name="Shape 5">
          <a:extLst>
            <a:ext uri="{FF2B5EF4-FFF2-40B4-BE49-F238E27FC236}">
              <a16:creationId xmlns:a16="http://schemas.microsoft.com/office/drawing/2014/main" id="{8F6F56D8-69EB-41E0-95DF-CD045C6C2CEE}"/>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85" name="Shape 5">
          <a:extLst>
            <a:ext uri="{FF2B5EF4-FFF2-40B4-BE49-F238E27FC236}">
              <a16:creationId xmlns:a16="http://schemas.microsoft.com/office/drawing/2014/main" id="{999745C5-33C3-4B70-9654-38FA6C50E289}"/>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86" name="Shape 5">
          <a:extLst>
            <a:ext uri="{FF2B5EF4-FFF2-40B4-BE49-F238E27FC236}">
              <a16:creationId xmlns:a16="http://schemas.microsoft.com/office/drawing/2014/main" id="{D40A593D-EB84-4AEE-8628-BAECC2F77FDF}"/>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87" name="Shape 4">
          <a:extLst>
            <a:ext uri="{FF2B5EF4-FFF2-40B4-BE49-F238E27FC236}">
              <a16:creationId xmlns:a16="http://schemas.microsoft.com/office/drawing/2014/main" id="{8CA71267-27CE-40A3-BA10-B35119187A36}"/>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388" name="Shape 6">
          <a:extLst>
            <a:ext uri="{FF2B5EF4-FFF2-40B4-BE49-F238E27FC236}">
              <a16:creationId xmlns:a16="http://schemas.microsoft.com/office/drawing/2014/main" id="{F31FDC51-9F96-4C27-BE25-90AFD30B2375}"/>
            </a:ext>
          </a:extLst>
        </xdr:cNvPr>
        <xdr:cNvSpPr>
          <a:spLocks noChangeArrowheads="1"/>
        </xdr:cNvSpPr>
      </xdr:nvSpPr>
      <xdr:spPr bwMode="auto">
        <a:xfrm>
          <a:off x="10172700" y="18649950"/>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389" name="Shape 7">
          <a:extLst>
            <a:ext uri="{FF2B5EF4-FFF2-40B4-BE49-F238E27FC236}">
              <a16:creationId xmlns:a16="http://schemas.microsoft.com/office/drawing/2014/main" id="{92985C56-D275-4C17-AA2B-CF6A15B2C238}"/>
            </a:ext>
          </a:extLst>
        </xdr:cNvPr>
        <xdr:cNvSpPr>
          <a:spLocks noChangeArrowheads="1"/>
        </xdr:cNvSpPr>
      </xdr:nvSpPr>
      <xdr:spPr bwMode="auto">
        <a:xfrm>
          <a:off x="11210925"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390" name="Shape 8">
          <a:extLst>
            <a:ext uri="{FF2B5EF4-FFF2-40B4-BE49-F238E27FC236}">
              <a16:creationId xmlns:a16="http://schemas.microsoft.com/office/drawing/2014/main" id="{35845A32-411C-4941-974A-9DAA2B255E51}"/>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391" name="Shape 8">
          <a:extLst>
            <a:ext uri="{FF2B5EF4-FFF2-40B4-BE49-F238E27FC236}">
              <a16:creationId xmlns:a16="http://schemas.microsoft.com/office/drawing/2014/main" id="{C05F83E1-E127-4ED9-B40E-EFB1B636304C}"/>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92" name="Shape 5">
          <a:extLst>
            <a:ext uri="{FF2B5EF4-FFF2-40B4-BE49-F238E27FC236}">
              <a16:creationId xmlns:a16="http://schemas.microsoft.com/office/drawing/2014/main" id="{45D19AC0-E4D7-4E22-A64F-361E89E32FAC}"/>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93" name="Shape 5">
          <a:extLst>
            <a:ext uri="{FF2B5EF4-FFF2-40B4-BE49-F238E27FC236}">
              <a16:creationId xmlns:a16="http://schemas.microsoft.com/office/drawing/2014/main" id="{3A8AE843-7B41-42E6-9BE5-2A6F2B5C9033}"/>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94" name="Shape 5">
          <a:extLst>
            <a:ext uri="{FF2B5EF4-FFF2-40B4-BE49-F238E27FC236}">
              <a16:creationId xmlns:a16="http://schemas.microsoft.com/office/drawing/2014/main" id="{3B2DC88A-D3C6-4091-A0EF-B5ED1C3AB7D1}"/>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95" name="Shape 5">
          <a:extLst>
            <a:ext uri="{FF2B5EF4-FFF2-40B4-BE49-F238E27FC236}">
              <a16:creationId xmlns:a16="http://schemas.microsoft.com/office/drawing/2014/main" id="{2F646701-F406-4846-88A0-04F60BB179CD}"/>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96" name="Shape 5">
          <a:extLst>
            <a:ext uri="{FF2B5EF4-FFF2-40B4-BE49-F238E27FC236}">
              <a16:creationId xmlns:a16="http://schemas.microsoft.com/office/drawing/2014/main" id="{790A118B-B3ED-478E-867C-C02C0EF276E7}"/>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97" name="Shape 5">
          <a:extLst>
            <a:ext uri="{FF2B5EF4-FFF2-40B4-BE49-F238E27FC236}">
              <a16:creationId xmlns:a16="http://schemas.microsoft.com/office/drawing/2014/main" id="{8DB9EE8B-ADD5-45F6-B516-597E33E6578E}"/>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398" name="Shape 4">
          <a:extLst>
            <a:ext uri="{FF2B5EF4-FFF2-40B4-BE49-F238E27FC236}">
              <a16:creationId xmlns:a16="http://schemas.microsoft.com/office/drawing/2014/main" id="{46782C62-E162-4F79-B545-8A0244A1908D}"/>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399" name="Shape 6">
          <a:extLst>
            <a:ext uri="{FF2B5EF4-FFF2-40B4-BE49-F238E27FC236}">
              <a16:creationId xmlns:a16="http://schemas.microsoft.com/office/drawing/2014/main" id="{A0C6CD07-39E6-42CB-975C-EDEC2C129F67}"/>
            </a:ext>
          </a:extLst>
        </xdr:cNvPr>
        <xdr:cNvSpPr>
          <a:spLocks noChangeArrowheads="1"/>
        </xdr:cNvSpPr>
      </xdr:nvSpPr>
      <xdr:spPr bwMode="auto">
        <a:xfrm>
          <a:off x="10172700" y="18649950"/>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400" name="Shape 7">
          <a:extLst>
            <a:ext uri="{FF2B5EF4-FFF2-40B4-BE49-F238E27FC236}">
              <a16:creationId xmlns:a16="http://schemas.microsoft.com/office/drawing/2014/main" id="{95BDA34D-D799-4F30-899A-E45521A7D4FE}"/>
            </a:ext>
          </a:extLst>
        </xdr:cNvPr>
        <xdr:cNvSpPr>
          <a:spLocks noChangeArrowheads="1"/>
        </xdr:cNvSpPr>
      </xdr:nvSpPr>
      <xdr:spPr bwMode="auto">
        <a:xfrm>
          <a:off x="11210925"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401" name="Shape 8">
          <a:extLst>
            <a:ext uri="{FF2B5EF4-FFF2-40B4-BE49-F238E27FC236}">
              <a16:creationId xmlns:a16="http://schemas.microsoft.com/office/drawing/2014/main" id="{EE82129E-6C25-4F34-B40F-919396BCB209}"/>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402" name="Shape 8">
          <a:extLst>
            <a:ext uri="{FF2B5EF4-FFF2-40B4-BE49-F238E27FC236}">
              <a16:creationId xmlns:a16="http://schemas.microsoft.com/office/drawing/2014/main" id="{9D96ACBC-2567-43F4-BB6A-F1EF09E0A5B5}"/>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03" name="Shape 5">
          <a:extLst>
            <a:ext uri="{FF2B5EF4-FFF2-40B4-BE49-F238E27FC236}">
              <a16:creationId xmlns:a16="http://schemas.microsoft.com/office/drawing/2014/main" id="{DEF53B2C-60CA-4731-9E25-D8991BAA923F}"/>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04" name="Shape 5">
          <a:extLst>
            <a:ext uri="{FF2B5EF4-FFF2-40B4-BE49-F238E27FC236}">
              <a16:creationId xmlns:a16="http://schemas.microsoft.com/office/drawing/2014/main" id="{76B89164-22F7-440E-90ED-812C2771FC57}"/>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05" name="Shape 5">
          <a:extLst>
            <a:ext uri="{FF2B5EF4-FFF2-40B4-BE49-F238E27FC236}">
              <a16:creationId xmlns:a16="http://schemas.microsoft.com/office/drawing/2014/main" id="{6B836DCE-B162-4243-895D-697BB6B81C3F}"/>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06" name="Shape 5">
          <a:extLst>
            <a:ext uri="{FF2B5EF4-FFF2-40B4-BE49-F238E27FC236}">
              <a16:creationId xmlns:a16="http://schemas.microsoft.com/office/drawing/2014/main" id="{E272F394-1C42-4F12-B2FF-B934CD1CA757}"/>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07" name="Shape 5">
          <a:extLst>
            <a:ext uri="{FF2B5EF4-FFF2-40B4-BE49-F238E27FC236}">
              <a16:creationId xmlns:a16="http://schemas.microsoft.com/office/drawing/2014/main" id="{BF1306E8-6B6F-4648-908E-DA8C1BF59983}"/>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08" name="Shape 5">
          <a:extLst>
            <a:ext uri="{FF2B5EF4-FFF2-40B4-BE49-F238E27FC236}">
              <a16:creationId xmlns:a16="http://schemas.microsoft.com/office/drawing/2014/main" id="{E60C348A-01E2-4336-B6CE-45D663E6E031}"/>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09" name="Shape 4">
          <a:extLst>
            <a:ext uri="{FF2B5EF4-FFF2-40B4-BE49-F238E27FC236}">
              <a16:creationId xmlns:a16="http://schemas.microsoft.com/office/drawing/2014/main" id="{C6912F24-9E32-4E52-8717-74D6B2AAEA7A}"/>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410" name="Shape 6">
          <a:extLst>
            <a:ext uri="{FF2B5EF4-FFF2-40B4-BE49-F238E27FC236}">
              <a16:creationId xmlns:a16="http://schemas.microsoft.com/office/drawing/2014/main" id="{8F87494B-6971-4DC5-9F61-CD3DBC6059E3}"/>
            </a:ext>
          </a:extLst>
        </xdr:cNvPr>
        <xdr:cNvSpPr>
          <a:spLocks noChangeArrowheads="1"/>
        </xdr:cNvSpPr>
      </xdr:nvSpPr>
      <xdr:spPr bwMode="auto">
        <a:xfrm>
          <a:off x="10172700" y="18649950"/>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411" name="Shape 7">
          <a:extLst>
            <a:ext uri="{FF2B5EF4-FFF2-40B4-BE49-F238E27FC236}">
              <a16:creationId xmlns:a16="http://schemas.microsoft.com/office/drawing/2014/main" id="{BDAF6174-1558-47BA-BD5A-E7CC1227063B}"/>
            </a:ext>
          </a:extLst>
        </xdr:cNvPr>
        <xdr:cNvSpPr>
          <a:spLocks noChangeArrowheads="1"/>
        </xdr:cNvSpPr>
      </xdr:nvSpPr>
      <xdr:spPr bwMode="auto">
        <a:xfrm>
          <a:off x="11210925"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412" name="Shape 8">
          <a:extLst>
            <a:ext uri="{FF2B5EF4-FFF2-40B4-BE49-F238E27FC236}">
              <a16:creationId xmlns:a16="http://schemas.microsoft.com/office/drawing/2014/main" id="{C5DE2D5C-8CA2-47C3-895B-FBBEBA1DBCDD}"/>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413" name="Shape 8">
          <a:extLst>
            <a:ext uri="{FF2B5EF4-FFF2-40B4-BE49-F238E27FC236}">
              <a16:creationId xmlns:a16="http://schemas.microsoft.com/office/drawing/2014/main" id="{9B5A9311-331C-408E-96E9-CFE26AD73238}"/>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14" name="Shape 5">
          <a:extLst>
            <a:ext uri="{FF2B5EF4-FFF2-40B4-BE49-F238E27FC236}">
              <a16:creationId xmlns:a16="http://schemas.microsoft.com/office/drawing/2014/main" id="{CCC8EDE3-8E39-4BB4-8D95-332E7E60E5C5}"/>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15" name="Shape 5">
          <a:extLst>
            <a:ext uri="{FF2B5EF4-FFF2-40B4-BE49-F238E27FC236}">
              <a16:creationId xmlns:a16="http://schemas.microsoft.com/office/drawing/2014/main" id="{9C081265-0D1E-4099-B1FD-8420F4AFF813}"/>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16" name="Shape 5">
          <a:extLst>
            <a:ext uri="{FF2B5EF4-FFF2-40B4-BE49-F238E27FC236}">
              <a16:creationId xmlns:a16="http://schemas.microsoft.com/office/drawing/2014/main" id="{0A6211CB-ED7B-4957-B9C8-686D82954026}"/>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17" name="Shape 5">
          <a:extLst>
            <a:ext uri="{FF2B5EF4-FFF2-40B4-BE49-F238E27FC236}">
              <a16:creationId xmlns:a16="http://schemas.microsoft.com/office/drawing/2014/main" id="{E0C14F47-392A-4BD6-A155-B622F9616E84}"/>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18" name="Shape 5">
          <a:extLst>
            <a:ext uri="{FF2B5EF4-FFF2-40B4-BE49-F238E27FC236}">
              <a16:creationId xmlns:a16="http://schemas.microsoft.com/office/drawing/2014/main" id="{138B64C6-3EEA-435D-9A07-45E1DBA30FD8}"/>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19" name="Shape 5">
          <a:extLst>
            <a:ext uri="{FF2B5EF4-FFF2-40B4-BE49-F238E27FC236}">
              <a16:creationId xmlns:a16="http://schemas.microsoft.com/office/drawing/2014/main" id="{672249F0-169B-453A-A452-4CF649B83D05}"/>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20" name="Shape 4">
          <a:extLst>
            <a:ext uri="{FF2B5EF4-FFF2-40B4-BE49-F238E27FC236}">
              <a16:creationId xmlns:a16="http://schemas.microsoft.com/office/drawing/2014/main" id="{E5C0D0C1-CD63-4707-B9FB-C852FFC05CA3}"/>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21" name="Shape 5">
          <a:extLst>
            <a:ext uri="{FF2B5EF4-FFF2-40B4-BE49-F238E27FC236}">
              <a16:creationId xmlns:a16="http://schemas.microsoft.com/office/drawing/2014/main" id="{EDABAAE6-9C00-459A-A294-C5227E6E36BD}"/>
            </a:ext>
          </a:extLst>
        </xdr:cNvPr>
        <xdr:cNvSpPr>
          <a:spLocks noChangeArrowheads="1"/>
        </xdr:cNvSpPr>
      </xdr:nvSpPr>
      <xdr:spPr bwMode="auto">
        <a:xfrm>
          <a:off x="158972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22" name="Shape 5">
          <a:extLst>
            <a:ext uri="{FF2B5EF4-FFF2-40B4-BE49-F238E27FC236}">
              <a16:creationId xmlns:a16="http://schemas.microsoft.com/office/drawing/2014/main" id="{A8301C42-AF33-4857-A5ED-369D5A0528BF}"/>
            </a:ext>
          </a:extLst>
        </xdr:cNvPr>
        <xdr:cNvSpPr>
          <a:spLocks noChangeArrowheads="1"/>
        </xdr:cNvSpPr>
      </xdr:nvSpPr>
      <xdr:spPr bwMode="auto">
        <a:xfrm>
          <a:off x="165068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-9525</xdr:colOff>
      <xdr:row>1</xdr:row>
      <xdr:rowOff>0</xdr:rowOff>
    </xdr:from>
    <xdr:to>
      <xdr:col>15</xdr:col>
      <xdr:colOff>28575</xdr:colOff>
      <xdr:row>1</xdr:row>
      <xdr:rowOff>0</xdr:rowOff>
    </xdr:to>
    <xdr:sp macro="" textlink="">
      <xdr:nvSpPr>
        <xdr:cNvPr id="423" name="Shape 5">
          <a:extLst>
            <a:ext uri="{FF2B5EF4-FFF2-40B4-BE49-F238E27FC236}">
              <a16:creationId xmlns:a16="http://schemas.microsoft.com/office/drawing/2014/main" id="{1893BC82-DC13-426C-ABFA-EFE8CE5003A9}"/>
            </a:ext>
          </a:extLst>
        </xdr:cNvPr>
        <xdr:cNvSpPr>
          <a:spLocks noChangeArrowheads="1"/>
        </xdr:cNvSpPr>
      </xdr:nvSpPr>
      <xdr:spPr bwMode="auto">
        <a:xfrm>
          <a:off x="171164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1</xdr:row>
      <xdr:rowOff>0</xdr:rowOff>
    </xdr:from>
    <xdr:to>
      <xdr:col>9</xdr:col>
      <xdr:colOff>28575</xdr:colOff>
      <xdr:row>1</xdr:row>
      <xdr:rowOff>0</xdr:rowOff>
    </xdr:to>
    <xdr:sp macro="" textlink="">
      <xdr:nvSpPr>
        <xdr:cNvPr id="424" name="Shape 4">
          <a:extLst>
            <a:ext uri="{FF2B5EF4-FFF2-40B4-BE49-F238E27FC236}">
              <a16:creationId xmlns:a16="http://schemas.microsoft.com/office/drawing/2014/main" id="{CA0C95FB-A1BE-480B-9951-9ECECD46C124}"/>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1</xdr:row>
      <xdr:rowOff>0</xdr:rowOff>
    </xdr:from>
    <xdr:to>
      <xdr:col>9</xdr:col>
      <xdr:colOff>28575</xdr:colOff>
      <xdr:row>1</xdr:row>
      <xdr:rowOff>0</xdr:rowOff>
    </xdr:to>
    <xdr:sp macro="" textlink="">
      <xdr:nvSpPr>
        <xdr:cNvPr id="425" name="Shape 4">
          <a:extLst>
            <a:ext uri="{FF2B5EF4-FFF2-40B4-BE49-F238E27FC236}">
              <a16:creationId xmlns:a16="http://schemas.microsoft.com/office/drawing/2014/main" id="{634090F1-9901-43E1-B4C3-6686A7BAA1DF}"/>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1</xdr:row>
      <xdr:rowOff>0</xdr:rowOff>
    </xdr:from>
    <xdr:to>
      <xdr:col>9</xdr:col>
      <xdr:colOff>28575</xdr:colOff>
      <xdr:row>1</xdr:row>
      <xdr:rowOff>0</xdr:rowOff>
    </xdr:to>
    <xdr:sp macro="" textlink="">
      <xdr:nvSpPr>
        <xdr:cNvPr id="426" name="Shape 4">
          <a:extLst>
            <a:ext uri="{FF2B5EF4-FFF2-40B4-BE49-F238E27FC236}">
              <a16:creationId xmlns:a16="http://schemas.microsoft.com/office/drawing/2014/main" id="{40884371-25D6-4A36-96B7-35B33DAE07A9}"/>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1</xdr:row>
      <xdr:rowOff>0</xdr:rowOff>
    </xdr:from>
    <xdr:to>
      <xdr:col>9</xdr:col>
      <xdr:colOff>38100</xdr:colOff>
      <xdr:row>1</xdr:row>
      <xdr:rowOff>0</xdr:rowOff>
    </xdr:to>
    <xdr:sp macro="" textlink="">
      <xdr:nvSpPr>
        <xdr:cNvPr id="427" name="Shape 10">
          <a:extLst>
            <a:ext uri="{FF2B5EF4-FFF2-40B4-BE49-F238E27FC236}">
              <a16:creationId xmlns:a16="http://schemas.microsoft.com/office/drawing/2014/main" id="{786E0D60-65DA-4A2E-856C-88B1B2ED001E}"/>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1</xdr:row>
      <xdr:rowOff>0</xdr:rowOff>
    </xdr:from>
    <xdr:to>
      <xdr:col>9</xdr:col>
      <xdr:colOff>38100</xdr:colOff>
      <xdr:row>1</xdr:row>
      <xdr:rowOff>0</xdr:rowOff>
    </xdr:to>
    <xdr:sp macro="" textlink="">
      <xdr:nvSpPr>
        <xdr:cNvPr id="428" name="Shape 10">
          <a:extLst>
            <a:ext uri="{FF2B5EF4-FFF2-40B4-BE49-F238E27FC236}">
              <a16:creationId xmlns:a16="http://schemas.microsoft.com/office/drawing/2014/main" id="{68067E4B-2024-4AEF-BA2F-410B1105E24E}"/>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1</xdr:row>
      <xdr:rowOff>0</xdr:rowOff>
    </xdr:from>
    <xdr:to>
      <xdr:col>9</xdr:col>
      <xdr:colOff>38100</xdr:colOff>
      <xdr:row>1</xdr:row>
      <xdr:rowOff>0</xdr:rowOff>
    </xdr:to>
    <xdr:sp macro="" textlink="">
      <xdr:nvSpPr>
        <xdr:cNvPr id="429" name="Shape 10">
          <a:extLst>
            <a:ext uri="{FF2B5EF4-FFF2-40B4-BE49-F238E27FC236}">
              <a16:creationId xmlns:a16="http://schemas.microsoft.com/office/drawing/2014/main" id="{0C129542-8858-4F6B-B9FD-E43794DDE9FD}"/>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1</xdr:row>
      <xdr:rowOff>0</xdr:rowOff>
    </xdr:from>
    <xdr:to>
      <xdr:col>9</xdr:col>
      <xdr:colOff>38100</xdr:colOff>
      <xdr:row>1</xdr:row>
      <xdr:rowOff>0</xdr:rowOff>
    </xdr:to>
    <xdr:sp macro="" textlink="">
      <xdr:nvSpPr>
        <xdr:cNvPr id="430" name="Shape 10">
          <a:extLst>
            <a:ext uri="{FF2B5EF4-FFF2-40B4-BE49-F238E27FC236}">
              <a16:creationId xmlns:a16="http://schemas.microsoft.com/office/drawing/2014/main" id="{BAC3F110-157C-44F6-9668-8D1D97FD3E65}"/>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431" name="Shape 10">
          <a:extLst>
            <a:ext uri="{FF2B5EF4-FFF2-40B4-BE49-F238E27FC236}">
              <a16:creationId xmlns:a16="http://schemas.microsoft.com/office/drawing/2014/main" id="{6C8EDBB3-1165-4543-99B9-AACB1F547EAE}"/>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432" name="Shape 10">
          <a:extLst>
            <a:ext uri="{FF2B5EF4-FFF2-40B4-BE49-F238E27FC236}">
              <a16:creationId xmlns:a16="http://schemas.microsoft.com/office/drawing/2014/main" id="{1529F488-E093-475A-87D9-6F03FEFAC95C}"/>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433" name="Shape 5">
          <a:extLst>
            <a:ext uri="{FF2B5EF4-FFF2-40B4-BE49-F238E27FC236}">
              <a16:creationId xmlns:a16="http://schemas.microsoft.com/office/drawing/2014/main" id="{11058B21-D0C3-46D5-8C9D-F4C8315A22E1}"/>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434" name="Shape 5">
          <a:extLst>
            <a:ext uri="{FF2B5EF4-FFF2-40B4-BE49-F238E27FC236}">
              <a16:creationId xmlns:a16="http://schemas.microsoft.com/office/drawing/2014/main" id="{C35A12A0-E80E-4334-869D-5B818FF6BFE2}"/>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435" name="Shape 6">
          <a:extLst>
            <a:ext uri="{FF2B5EF4-FFF2-40B4-BE49-F238E27FC236}">
              <a16:creationId xmlns:a16="http://schemas.microsoft.com/office/drawing/2014/main" id="{E86C30F9-42C7-464A-B06C-D75C30CEE177}"/>
            </a:ext>
          </a:extLst>
        </xdr:cNvPr>
        <xdr:cNvSpPr>
          <a:spLocks noChangeArrowheads="1"/>
        </xdr:cNvSpPr>
      </xdr:nvSpPr>
      <xdr:spPr bwMode="auto">
        <a:xfrm>
          <a:off x="10172700" y="18649950"/>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436" name="Shape 6">
          <a:extLst>
            <a:ext uri="{FF2B5EF4-FFF2-40B4-BE49-F238E27FC236}">
              <a16:creationId xmlns:a16="http://schemas.microsoft.com/office/drawing/2014/main" id="{5CEBB193-DA55-4AA8-B8E4-477F64AE65FC}"/>
            </a:ext>
          </a:extLst>
        </xdr:cNvPr>
        <xdr:cNvSpPr>
          <a:spLocks noChangeArrowheads="1"/>
        </xdr:cNvSpPr>
      </xdr:nvSpPr>
      <xdr:spPr bwMode="auto">
        <a:xfrm>
          <a:off x="10172700" y="18649950"/>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437" name="Shape 7">
          <a:extLst>
            <a:ext uri="{FF2B5EF4-FFF2-40B4-BE49-F238E27FC236}">
              <a16:creationId xmlns:a16="http://schemas.microsoft.com/office/drawing/2014/main" id="{CB79E6A0-DF84-4D76-90A8-3EF78CA87443}"/>
            </a:ext>
          </a:extLst>
        </xdr:cNvPr>
        <xdr:cNvSpPr>
          <a:spLocks noChangeArrowheads="1"/>
        </xdr:cNvSpPr>
      </xdr:nvSpPr>
      <xdr:spPr bwMode="auto">
        <a:xfrm>
          <a:off x="11210925"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438" name="Shape 7">
          <a:extLst>
            <a:ext uri="{FF2B5EF4-FFF2-40B4-BE49-F238E27FC236}">
              <a16:creationId xmlns:a16="http://schemas.microsoft.com/office/drawing/2014/main" id="{7519EBA1-7A87-4FFD-9B99-798C00F2CF8F}"/>
            </a:ext>
          </a:extLst>
        </xdr:cNvPr>
        <xdr:cNvSpPr>
          <a:spLocks noChangeArrowheads="1"/>
        </xdr:cNvSpPr>
      </xdr:nvSpPr>
      <xdr:spPr bwMode="auto">
        <a:xfrm>
          <a:off x="11210925"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439" name="Shape 8">
          <a:extLst>
            <a:ext uri="{FF2B5EF4-FFF2-40B4-BE49-F238E27FC236}">
              <a16:creationId xmlns:a16="http://schemas.microsoft.com/office/drawing/2014/main" id="{016BB500-61AF-4B1B-AD0A-0AB94A2B8CF9}"/>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440" name="Shape 8">
          <a:extLst>
            <a:ext uri="{FF2B5EF4-FFF2-40B4-BE49-F238E27FC236}">
              <a16:creationId xmlns:a16="http://schemas.microsoft.com/office/drawing/2014/main" id="{4D2B8A65-A97F-457E-B9A5-8F67E9A1E893}"/>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41" name="Shape 9">
          <a:extLst>
            <a:ext uri="{FF2B5EF4-FFF2-40B4-BE49-F238E27FC236}">
              <a16:creationId xmlns:a16="http://schemas.microsoft.com/office/drawing/2014/main" id="{581A12A5-2801-46F6-80C1-4D4A45328BC3}"/>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42" name="Shape 9">
          <a:extLst>
            <a:ext uri="{FF2B5EF4-FFF2-40B4-BE49-F238E27FC236}">
              <a16:creationId xmlns:a16="http://schemas.microsoft.com/office/drawing/2014/main" id="{EB95C0CB-2412-4B67-806F-EDD0E5EB5A51}"/>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43" name="Shape 9">
          <a:extLst>
            <a:ext uri="{FF2B5EF4-FFF2-40B4-BE49-F238E27FC236}">
              <a16:creationId xmlns:a16="http://schemas.microsoft.com/office/drawing/2014/main" id="{DA09CEA4-D79D-44BD-88DD-CC7F5CF30990}"/>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44" name="Shape 9">
          <a:extLst>
            <a:ext uri="{FF2B5EF4-FFF2-40B4-BE49-F238E27FC236}">
              <a16:creationId xmlns:a16="http://schemas.microsoft.com/office/drawing/2014/main" id="{835B03EE-0C07-4CAF-89D7-D0F829E6CB5E}"/>
            </a:ext>
          </a:extLst>
        </xdr:cNvPr>
        <xdr:cNvSpPr>
          <a:spLocks noChangeArrowheads="1"/>
        </xdr:cNvSpPr>
      </xdr:nvSpPr>
      <xdr:spPr bwMode="auto">
        <a:xfrm>
          <a:off x="13096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45" name="Shape 9">
          <a:extLst>
            <a:ext uri="{FF2B5EF4-FFF2-40B4-BE49-F238E27FC236}">
              <a16:creationId xmlns:a16="http://schemas.microsoft.com/office/drawing/2014/main" id="{F396F891-9FAC-4AD8-AD39-106697E3D2DA}"/>
            </a:ext>
          </a:extLst>
        </xdr:cNvPr>
        <xdr:cNvSpPr>
          <a:spLocks noChangeArrowheads="1"/>
        </xdr:cNvSpPr>
      </xdr:nvSpPr>
      <xdr:spPr bwMode="auto">
        <a:xfrm>
          <a:off x="137160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46" name="Shape 9">
          <a:extLst>
            <a:ext uri="{FF2B5EF4-FFF2-40B4-BE49-F238E27FC236}">
              <a16:creationId xmlns:a16="http://schemas.microsoft.com/office/drawing/2014/main" id="{FD46706B-9A3B-4D87-8F26-A0326D9E4538}"/>
            </a:ext>
          </a:extLst>
        </xdr:cNvPr>
        <xdr:cNvSpPr>
          <a:spLocks noChangeArrowheads="1"/>
        </xdr:cNvSpPr>
      </xdr:nvSpPr>
      <xdr:spPr bwMode="auto">
        <a:xfrm>
          <a:off x="137160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47" name="Shape 5">
          <a:extLst>
            <a:ext uri="{FF2B5EF4-FFF2-40B4-BE49-F238E27FC236}">
              <a16:creationId xmlns:a16="http://schemas.microsoft.com/office/drawing/2014/main" id="{FB6A5568-A542-425F-AEFD-00CCB48C1148}"/>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48" name="Shape 5">
          <a:extLst>
            <a:ext uri="{FF2B5EF4-FFF2-40B4-BE49-F238E27FC236}">
              <a16:creationId xmlns:a16="http://schemas.microsoft.com/office/drawing/2014/main" id="{53C7E3A8-6E4F-405E-9088-BED21770C5E9}"/>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49" name="Shape 9">
          <a:extLst>
            <a:ext uri="{FF2B5EF4-FFF2-40B4-BE49-F238E27FC236}">
              <a16:creationId xmlns:a16="http://schemas.microsoft.com/office/drawing/2014/main" id="{44E75613-F270-4428-97CA-DBC78A1D20B2}"/>
            </a:ext>
          </a:extLst>
        </xdr:cNvPr>
        <xdr:cNvSpPr>
          <a:spLocks noChangeArrowheads="1"/>
        </xdr:cNvSpPr>
      </xdr:nvSpPr>
      <xdr:spPr bwMode="auto">
        <a:xfrm>
          <a:off x="14154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50" name="Shape 9">
          <a:extLst>
            <a:ext uri="{FF2B5EF4-FFF2-40B4-BE49-F238E27FC236}">
              <a16:creationId xmlns:a16="http://schemas.microsoft.com/office/drawing/2014/main" id="{69BA72DF-7599-47C5-914A-FEC6E6FABCAF}"/>
            </a:ext>
          </a:extLst>
        </xdr:cNvPr>
        <xdr:cNvSpPr>
          <a:spLocks noChangeArrowheads="1"/>
        </xdr:cNvSpPr>
      </xdr:nvSpPr>
      <xdr:spPr bwMode="auto">
        <a:xfrm>
          <a:off x="14154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51" name="Shape 5">
          <a:extLst>
            <a:ext uri="{FF2B5EF4-FFF2-40B4-BE49-F238E27FC236}">
              <a16:creationId xmlns:a16="http://schemas.microsoft.com/office/drawing/2014/main" id="{BBF715DC-F0C4-432E-BFB3-0B6C02DDD09C}"/>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52" name="Shape 5">
          <a:extLst>
            <a:ext uri="{FF2B5EF4-FFF2-40B4-BE49-F238E27FC236}">
              <a16:creationId xmlns:a16="http://schemas.microsoft.com/office/drawing/2014/main" id="{49F4A6E6-8C79-4B63-977D-6D50FA835C68}"/>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53" name="Shape 9">
          <a:extLst>
            <a:ext uri="{FF2B5EF4-FFF2-40B4-BE49-F238E27FC236}">
              <a16:creationId xmlns:a16="http://schemas.microsoft.com/office/drawing/2014/main" id="{FC269FD4-E3C9-4A23-B96A-6637EDCB0935}"/>
            </a:ext>
          </a:extLst>
        </xdr:cNvPr>
        <xdr:cNvSpPr>
          <a:spLocks noChangeArrowheads="1"/>
        </xdr:cNvSpPr>
      </xdr:nvSpPr>
      <xdr:spPr bwMode="auto">
        <a:xfrm>
          <a:off x="14620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54" name="Shape 9">
          <a:extLst>
            <a:ext uri="{FF2B5EF4-FFF2-40B4-BE49-F238E27FC236}">
              <a16:creationId xmlns:a16="http://schemas.microsoft.com/office/drawing/2014/main" id="{159C6CDF-D3B8-4A9F-892F-0E35D334AE26}"/>
            </a:ext>
          </a:extLst>
        </xdr:cNvPr>
        <xdr:cNvSpPr>
          <a:spLocks noChangeArrowheads="1"/>
        </xdr:cNvSpPr>
      </xdr:nvSpPr>
      <xdr:spPr bwMode="auto">
        <a:xfrm>
          <a:off x="146208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55" name="Shape 4">
          <a:extLst>
            <a:ext uri="{FF2B5EF4-FFF2-40B4-BE49-F238E27FC236}">
              <a16:creationId xmlns:a16="http://schemas.microsoft.com/office/drawing/2014/main" id="{5606E786-6BC9-4855-BB44-A693D55C782E}"/>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56" name="Shape 4">
          <a:extLst>
            <a:ext uri="{FF2B5EF4-FFF2-40B4-BE49-F238E27FC236}">
              <a16:creationId xmlns:a16="http://schemas.microsoft.com/office/drawing/2014/main" id="{CC25C860-200A-4555-B5D2-9DE27A2FE650}"/>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1</xdr:row>
      <xdr:rowOff>0</xdr:rowOff>
    </xdr:from>
    <xdr:to>
      <xdr:col>9</xdr:col>
      <xdr:colOff>28575</xdr:colOff>
      <xdr:row>1</xdr:row>
      <xdr:rowOff>0</xdr:rowOff>
    </xdr:to>
    <xdr:sp macro="" textlink="">
      <xdr:nvSpPr>
        <xdr:cNvPr id="457" name="Shape 4">
          <a:extLst>
            <a:ext uri="{FF2B5EF4-FFF2-40B4-BE49-F238E27FC236}">
              <a16:creationId xmlns:a16="http://schemas.microsoft.com/office/drawing/2014/main" id="{20C94970-8784-43D3-B6E9-CB5AE30BD1A7}"/>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1</xdr:row>
      <xdr:rowOff>0</xdr:rowOff>
    </xdr:from>
    <xdr:to>
      <xdr:col>9</xdr:col>
      <xdr:colOff>28575</xdr:colOff>
      <xdr:row>1</xdr:row>
      <xdr:rowOff>0</xdr:rowOff>
    </xdr:to>
    <xdr:sp macro="" textlink="">
      <xdr:nvSpPr>
        <xdr:cNvPr id="458" name="Shape 4">
          <a:extLst>
            <a:ext uri="{FF2B5EF4-FFF2-40B4-BE49-F238E27FC236}">
              <a16:creationId xmlns:a16="http://schemas.microsoft.com/office/drawing/2014/main" id="{03D95E98-608E-46F0-8AED-5ADC5053CE66}"/>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1</xdr:row>
      <xdr:rowOff>0</xdr:rowOff>
    </xdr:from>
    <xdr:to>
      <xdr:col>9</xdr:col>
      <xdr:colOff>38100</xdr:colOff>
      <xdr:row>1</xdr:row>
      <xdr:rowOff>0</xdr:rowOff>
    </xdr:to>
    <xdr:sp macro="" textlink="">
      <xdr:nvSpPr>
        <xdr:cNvPr id="459" name="Shape 10">
          <a:extLst>
            <a:ext uri="{FF2B5EF4-FFF2-40B4-BE49-F238E27FC236}">
              <a16:creationId xmlns:a16="http://schemas.microsoft.com/office/drawing/2014/main" id="{E94D23F0-373E-4161-A072-3AE3E9405D57}"/>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1</xdr:row>
      <xdr:rowOff>0</xdr:rowOff>
    </xdr:from>
    <xdr:to>
      <xdr:col>9</xdr:col>
      <xdr:colOff>38100</xdr:colOff>
      <xdr:row>1</xdr:row>
      <xdr:rowOff>0</xdr:rowOff>
    </xdr:to>
    <xdr:sp macro="" textlink="">
      <xdr:nvSpPr>
        <xdr:cNvPr id="460" name="Shape 10">
          <a:extLst>
            <a:ext uri="{FF2B5EF4-FFF2-40B4-BE49-F238E27FC236}">
              <a16:creationId xmlns:a16="http://schemas.microsoft.com/office/drawing/2014/main" id="{5494995B-D1A2-4B3B-8B84-6483CF0A3DD2}"/>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1</xdr:row>
      <xdr:rowOff>0</xdr:rowOff>
    </xdr:from>
    <xdr:to>
      <xdr:col>9</xdr:col>
      <xdr:colOff>38100</xdr:colOff>
      <xdr:row>1</xdr:row>
      <xdr:rowOff>0</xdr:rowOff>
    </xdr:to>
    <xdr:sp macro="" textlink="">
      <xdr:nvSpPr>
        <xdr:cNvPr id="461" name="Shape 10">
          <a:extLst>
            <a:ext uri="{FF2B5EF4-FFF2-40B4-BE49-F238E27FC236}">
              <a16:creationId xmlns:a16="http://schemas.microsoft.com/office/drawing/2014/main" id="{5747010C-FE92-47B9-A802-E95427D0D77D}"/>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1</xdr:row>
      <xdr:rowOff>0</xdr:rowOff>
    </xdr:from>
    <xdr:to>
      <xdr:col>9</xdr:col>
      <xdr:colOff>38100</xdr:colOff>
      <xdr:row>1</xdr:row>
      <xdr:rowOff>0</xdr:rowOff>
    </xdr:to>
    <xdr:sp macro="" textlink="">
      <xdr:nvSpPr>
        <xdr:cNvPr id="462" name="Shape 10">
          <a:extLst>
            <a:ext uri="{FF2B5EF4-FFF2-40B4-BE49-F238E27FC236}">
              <a16:creationId xmlns:a16="http://schemas.microsoft.com/office/drawing/2014/main" id="{81CF4330-7632-4BF6-B956-88B7C1B66A2E}"/>
            </a:ext>
          </a:extLst>
        </xdr:cNvPr>
        <xdr:cNvSpPr>
          <a:spLocks noChangeArrowheads="1"/>
        </xdr:cNvSpPr>
      </xdr:nvSpPr>
      <xdr:spPr bwMode="auto">
        <a:xfrm>
          <a:off x="82296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463" name="Shape 10">
          <a:extLst>
            <a:ext uri="{FF2B5EF4-FFF2-40B4-BE49-F238E27FC236}">
              <a16:creationId xmlns:a16="http://schemas.microsoft.com/office/drawing/2014/main" id="{C7162E7F-88E4-491D-B14C-6D57182337A2}"/>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464" name="Shape 10">
          <a:extLst>
            <a:ext uri="{FF2B5EF4-FFF2-40B4-BE49-F238E27FC236}">
              <a16:creationId xmlns:a16="http://schemas.microsoft.com/office/drawing/2014/main" id="{4F1E26BF-A6A0-4F1A-9A95-F44F8E0CC847}"/>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465" name="Shape 5">
          <a:extLst>
            <a:ext uri="{FF2B5EF4-FFF2-40B4-BE49-F238E27FC236}">
              <a16:creationId xmlns:a16="http://schemas.microsoft.com/office/drawing/2014/main" id="{D9220A16-A547-4E0D-BE74-A853918B09A6}"/>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1</xdr:row>
      <xdr:rowOff>0</xdr:rowOff>
    </xdr:from>
    <xdr:to>
      <xdr:col>11</xdr:col>
      <xdr:colOff>28575</xdr:colOff>
      <xdr:row>1</xdr:row>
      <xdr:rowOff>0</xdr:rowOff>
    </xdr:to>
    <xdr:sp macro="" textlink="">
      <xdr:nvSpPr>
        <xdr:cNvPr id="466" name="Shape 5">
          <a:extLst>
            <a:ext uri="{FF2B5EF4-FFF2-40B4-BE49-F238E27FC236}">
              <a16:creationId xmlns:a16="http://schemas.microsoft.com/office/drawing/2014/main" id="{EA127262-DEA1-46AB-AAA9-FAF78010F816}"/>
            </a:ext>
          </a:extLst>
        </xdr:cNvPr>
        <xdr:cNvSpPr>
          <a:spLocks noChangeArrowheads="1"/>
        </xdr:cNvSpPr>
      </xdr:nvSpPr>
      <xdr:spPr bwMode="auto">
        <a:xfrm>
          <a:off x="94297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467" name="Shape 6">
          <a:extLst>
            <a:ext uri="{FF2B5EF4-FFF2-40B4-BE49-F238E27FC236}">
              <a16:creationId xmlns:a16="http://schemas.microsoft.com/office/drawing/2014/main" id="{4238AD92-7E5C-4E50-BB59-920B1D09A7F7}"/>
            </a:ext>
          </a:extLst>
        </xdr:cNvPr>
        <xdr:cNvSpPr>
          <a:spLocks noChangeArrowheads="1"/>
        </xdr:cNvSpPr>
      </xdr:nvSpPr>
      <xdr:spPr bwMode="auto">
        <a:xfrm>
          <a:off x="10172700" y="18649950"/>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23</xdr:row>
      <xdr:rowOff>0</xdr:rowOff>
    </xdr:from>
    <xdr:to>
      <xdr:col>12</xdr:col>
      <xdr:colOff>104775</xdr:colOff>
      <xdr:row>23</xdr:row>
      <xdr:rowOff>38100</xdr:rowOff>
    </xdr:to>
    <xdr:sp macro="" textlink="">
      <xdr:nvSpPr>
        <xdr:cNvPr id="468" name="Shape 6">
          <a:extLst>
            <a:ext uri="{FF2B5EF4-FFF2-40B4-BE49-F238E27FC236}">
              <a16:creationId xmlns:a16="http://schemas.microsoft.com/office/drawing/2014/main" id="{408CCCBE-8A43-4EDA-B1EC-17FEB7848E6A}"/>
            </a:ext>
          </a:extLst>
        </xdr:cNvPr>
        <xdr:cNvSpPr>
          <a:spLocks noChangeArrowheads="1"/>
        </xdr:cNvSpPr>
      </xdr:nvSpPr>
      <xdr:spPr bwMode="auto">
        <a:xfrm>
          <a:off x="10172700" y="18649950"/>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-9525</xdr:colOff>
      <xdr:row>1</xdr:row>
      <xdr:rowOff>0</xdr:rowOff>
    </xdr:from>
    <xdr:to>
      <xdr:col>13</xdr:col>
      <xdr:colOff>28575</xdr:colOff>
      <xdr:row>1</xdr:row>
      <xdr:rowOff>0</xdr:rowOff>
    </xdr:to>
    <xdr:sp macro="" textlink="">
      <xdr:nvSpPr>
        <xdr:cNvPr id="469" name="Shape 5">
          <a:extLst>
            <a:ext uri="{FF2B5EF4-FFF2-40B4-BE49-F238E27FC236}">
              <a16:creationId xmlns:a16="http://schemas.microsoft.com/office/drawing/2014/main" id="{B1DAA4AA-1674-42F2-AD11-D0F21E8E164C}"/>
            </a:ext>
          </a:extLst>
        </xdr:cNvPr>
        <xdr:cNvSpPr>
          <a:spLocks noChangeArrowheads="1"/>
        </xdr:cNvSpPr>
      </xdr:nvSpPr>
      <xdr:spPr bwMode="auto">
        <a:xfrm>
          <a:off x="105251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-9525</xdr:colOff>
      <xdr:row>1</xdr:row>
      <xdr:rowOff>0</xdr:rowOff>
    </xdr:from>
    <xdr:to>
      <xdr:col>13</xdr:col>
      <xdr:colOff>28575</xdr:colOff>
      <xdr:row>1</xdr:row>
      <xdr:rowOff>0</xdr:rowOff>
    </xdr:to>
    <xdr:sp macro="" textlink="">
      <xdr:nvSpPr>
        <xdr:cNvPr id="470" name="Shape 5">
          <a:extLst>
            <a:ext uri="{FF2B5EF4-FFF2-40B4-BE49-F238E27FC236}">
              <a16:creationId xmlns:a16="http://schemas.microsoft.com/office/drawing/2014/main" id="{95460755-4A6E-4302-9DDD-DE2B23344D19}"/>
            </a:ext>
          </a:extLst>
        </xdr:cNvPr>
        <xdr:cNvSpPr>
          <a:spLocks noChangeArrowheads="1"/>
        </xdr:cNvSpPr>
      </xdr:nvSpPr>
      <xdr:spPr bwMode="auto">
        <a:xfrm>
          <a:off x="105251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471" name="Shape 7">
          <a:extLst>
            <a:ext uri="{FF2B5EF4-FFF2-40B4-BE49-F238E27FC236}">
              <a16:creationId xmlns:a16="http://schemas.microsoft.com/office/drawing/2014/main" id="{07F253F5-9472-4465-82B4-D42355643F87}"/>
            </a:ext>
          </a:extLst>
        </xdr:cNvPr>
        <xdr:cNvSpPr>
          <a:spLocks noChangeArrowheads="1"/>
        </xdr:cNvSpPr>
      </xdr:nvSpPr>
      <xdr:spPr bwMode="auto">
        <a:xfrm>
          <a:off x="11210925"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23</xdr:row>
      <xdr:rowOff>0</xdr:rowOff>
    </xdr:from>
    <xdr:to>
      <xdr:col>14</xdr:col>
      <xdr:colOff>38100</xdr:colOff>
      <xdr:row>23</xdr:row>
      <xdr:rowOff>38100</xdr:rowOff>
    </xdr:to>
    <xdr:sp macro="" textlink="">
      <xdr:nvSpPr>
        <xdr:cNvPr id="472" name="Shape 7">
          <a:extLst>
            <a:ext uri="{FF2B5EF4-FFF2-40B4-BE49-F238E27FC236}">
              <a16:creationId xmlns:a16="http://schemas.microsoft.com/office/drawing/2014/main" id="{1F42F1E7-AB24-4E7A-90B6-E1016AC3F7B0}"/>
            </a:ext>
          </a:extLst>
        </xdr:cNvPr>
        <xdr:cNvSpPr>
          <a:spLocks noChangeArrowheads="1"/>
        </xdr:cNvSpPr>
      </xdr:nvSpPr>
      <xdr:spPr bwMode="auto">
        <a:xfrm>
          <a:off x="11210925"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473" name="Shape 8">
          <a:extLst>
            <a:ext uri="{FF2B5EF4-FFF2-40B4-BE49-F238E27FC236}">
              <a16:creationId xmlns:a16="http://schemas.microsoft.com/office/drawing/2014/main" id="{550A22A5-9479-4929-ADED-776A2FECBF4F}"/>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23</xdr:row>
      <xdr:rowOff>0</xdr:rowOff>
    </xdr:from>
    <xdr:to>
      <xdr:col>15</xdr:col>
      <xdr:colOff>114300</xdr:colOff>
      <xdr:row>23</xdr:row>
      <xdr:rowOff>38100</xdr:rowOff>
    </xdr:to>
    <xdr:sp macro="" textlink="">
      <xdr:nvSpPr>
        <xdr:cNvPr id="474" name="Shape 8">
          <a:extLst>
            <a:ext uri="{FF2B5EF4-FFF2-40B4-BE49-F238E27FC236}">
              <a16:creationId xmlns:a16="http://schemas.microsoft.com/office/drawing/2014/main" id="{52EAB17F-2CAA-4613-A87D-A76E04821B33}"/>
            </a:ext>
          </a:extLst>
        </xdr:cNvPr>
        <xdr:cNvSpPr>
          <a:spLocks noChangeArrowheads="1"/>
        </xdr:cNvSpPr>
      </xdr:nvSpPr>
      <xdr:spPr bwMode="auto">
        <a:xfrm>
          <a:off x="11944350" y="186499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75" name="Shape 5">
          <a:extLst>
            <a:ext uri="{FF2B5EF4-FFF2-40B4-BE49-F238E27FC236}">
              <a16:creationId xmlns:a16="http://schemas.microsoft.com/office/drawing/2014/main" id="{9DEB5EC3-3709-472D-B09B-7D6D1AECC635}"/>
            </a:ext>
          </a:extLst>
        </xdr:cNvPr>
        <xdr:cNvSpPr>
          <a:spLocks noChangeArrowheads="1"/>
        </xdr:cNvSpPr>
      </xdr:nvSpPr>
      <xdr:spPr bwMode="auto">
        <a:xfrm>
          <a:off x="125253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76" name="Shape 5">
          <a:extLst>
            <a:ext uri="{FF2B5EF4-FFF2-40B4-BE49-F238E27FC236}">
              <a16:creationId xmlns:a16="http://schemas.microsoft.com/office/drawing/2014/main" id="{DD802FFE-C7F6-4BA3-B48D-5AB6164D31E6}"/>
            </a:ext>
          </a:extLst>
        </xdr:cNvPr>
        <xdr:cNvSpPr>
          <a:spLocks noChangeArrowheads="1"/>
        </xdr:cNvSpPr>
      </xdr:nvSpPr>
      <xdr:spPr bwMode="auto">
        <a:xfrm>
          <a:off x="125253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77" name="Shape 5">
          <a:extLst>
            <a:ext uri="{FF2B5EF4-FFF2-40B4-BE49-F238E27FC236}">
              <a16:creationId xmlns:a16="http://schemas.microsoft.com/office/drawing/2014/main" id="{365FAD1D-D6A7-411B-896A-FDCB08C3C0A1}"/>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78" name="Shape 5">
          <a:extLst>
            <a:ext uri="{FF2B5EF4-FFF2-40B4-BE49-F238E27FC236}">
              <a16:creationId xmlns:a16="http://schemas.microsoft.com/office/drawing/2014/main" id="{7569C1B6-56DE-41CC-BBDB-F6A47DFFCFCB}"/>
            </a:ext>
          </a:extLst>
        </xdr:cNvPr>
        <xdr:cNvSpPr>
          <a:spLocks noChangeArrowheads="1"/>
        </xdr:cNvSpPr>
      </xdr:nvSpPr>
      <xdr:spPr bwMode="auto">
        <a:xfrm>
          <a:off x="13106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79" name="Shape 5">
          <a:extLst>
            <a:ext uri="{FF2B5EF4-FFF2-40B4-BE49-F238E27FC236}">
              <a16:creationId xmlns:a16="http://schemas.microsoft.com/office/drawing/2014/main" id="{8C8DF835-C9D1-4F64-8BCF-CCAB55BE869E}"/>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80" name="Shape 5">
          <a:extLst>
            <a:ext uri="{FF2B5EF4-FFF2-40B4-BE49-F238E27FC236}">
              <a16:creationId xmlns:a16="http://schemas.microsoft.com/office/drawing/2014/main" id="{DE137F1A-11DC-4043-B75A-005DACD243BF}"/>
            </a:ext>
          </a:extLst>
        </xdr:cNvPr>
        <xdr:cNvSpPr>
          <a:spLocks noChangeArrowheads="1"/>
        </xdr:cNvSpPr>
      </xdr:nvSpPr>
      <xdr:spPr bwMode="auto">
        <a:xfrm>
          <a:off x="137255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81" name="Shape 5">
          <a:extLst>
            <a:ext uri="{FF2B5EF4-FFF2-40B4-BE49-F238E27FC236}">
              <a16:creationId xmlns:a16="http://schemas.microsoft.com/office/drawing/2014/main" id="{238CF162-E93D-4BB4-8471-48E35AF3959D}"/>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82" name="Shape 5">
          <a:extLst>
            <a:ext uri="{FF2B5EF4-FFF2-40B4-BE49-F238E27FC236}">
              <a16:creationId xmlns:a16="http://schemas.microsoft.com/office/drawing/2014/main" id="{8F2DB82C-ABCD-4434-9BCF-1A954AD988E8}"/>
            </a:ext>
          </a:extLst>
        </xdr:cNvPr>
        <xdr:cNvSpPr>
          <a:spLocks noChangeArrowheads="1"/>
        </xdr:cNvSpPr>
      </xdr:nvSpPr>
      <xdr:spPr bwMode="auto">
        <a:xfrm>
          <a:off x="141636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83" name="Shape 5">
          <a:extLst>
            <a:ext uri="{FF2B5EF4-FFF2-40B4-BE49-F238E27FC236}">
              <a16:creationId xmlns:a16="http://schemas.microsoft.com/office/drawing/2014/main" id="{25167342-827A-4B12-AEC5-DB73B658E0A8}"/>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84" name="Shape 5">
          <a:extLst>
            <a:ext uri="{FF2B5EF4-FFF2-40B4-BE49-F238E27FC236}">
              <a16:creationId xmlns:a16="http://schemas.microsoft.com/office/drawing/2014/main" id="{607AA854-D646-422E-8B41-C5A50110C9A0}"/>
            </a:ext>
          </a:extLst>
        </xdr:cNvPr>
        <xdr:cNvSpPr>
          <a:spLocks noChangeArrowheads="1"/>
        </xdr:cNvSpPr>
      </xdr:nvSpPr>
      <xdr:spPr bwMode="auto">
        <a:xfrm>
          <a:off x="1463040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85" name="Shape 4">
          <a:extLst>
            <a:ext uri="{FF2B5EF4-FFF2-40B4-BE49-F238E27FC236}">
              <a16:creationId xmlns:a16="http://schemas.microsoft.com/office/drawing/2014/main" id="{2A20B73E-41F9-43E3-8F83-B9CFE8177BB2}"/>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86" name="Shape 4">
          <a:extLst>
            <a:ext uri="{FF2B5EF4-FFF2-40B4-BE49-F238E27FC236}">
              <a16:creationId xmlns:a16="http://schemas.microsoft.com/office/drawing/2014/main" id="{BFC1D2FD-01DE-4F6B-BFC0-41D08483A845}"/>
            </a:ext>
          </a:extLst>
        </xdr:cNvPr>
        <xdr:cNvSpPr>
          <a:spLocks noChangeArrowheads="1"/>
        </xdr:cNvSpPr>
      </xdr:nvSpPr>
      <xdr:spPr bwMode="auto">
        <a:xfrm>
          <a:off x="152971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87" name="Shape 5">
          <a:extLst>
            <a:ext uri="{FF2B5EF4-FFF2-40B4-BE49-F238E27FC236}">
              <a16:creationId xmlns:a16="http://schemas.microsoft.com/office/drawing/2014/main" id="{A0CFDF23-F79C-4CF1-9569-02D7C34E8548}"/>
            </a:ext>
          </a:extLst>
        </xdr:cNvPr>
        <xdr:cNvSpPr>
          <a:spLocks noChangeArrowheads="1"/>
        </xdr:cNvSpPr>
      </xdr:nvSpPr>
      <xdr:spPr bwMode="auto">
        <a:xfrm>
          <a:off x="158972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88" name="Shape 5">
          <a:extLst>
            <a:ext uri="{FF2B5EF4-FFF2-40B4-BE49-F238E27FC236}">
              <a16:creationId xmlns:a16="http://schemas.microsoft.com/office/drawing/2014/main" id="{781826E7-E750-42EA-9A39-661BD42AA27A}"/>
            </a:ext>
          </a:extLst>
        </xdr:cNvPr>
        <xdr:cNvSpPr>
          <a:spLocks noChangeArrowheads="1"/>
        </xdr:cNvSpPr>
      </xdr:nvSpPr>
      <xdr:spPr bwMode="auto">
        <a:xfrm>
          <a:off x="158972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89" name="Shape 5">
          <a:extLst>
            <a:ext uri="{FF2B5EF4-FFF2-40B4-BE49-F238E27FC236}">
              <a16:creationId xmlns:a16="http://schemas.microsoft.com/office/drawing/2014/main" id="{1C839089-3C01-4405-B9A9-ACEE6A94E887}"/>
            </a:ext>
          </a:extLst>
        </xdr:cNvPr>
        <xdr:cNvSpPr>
          <a:spLocks noChangeArrowheads="1"/>
        </xdr:cNvSpPr>
      </xdr:nvSpPr>
      <xdr:spPr bwMode="auto">
        <a:xfrm>
          <a:off x="165068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xdr:row>
      <xdr:rowOff>0</xdr:rowOff>
    </xdr:from>
    <xdr:to>
      <xdr:col>15</xdr:col>
      <xdr:colOff>38100</xdr:colOff>
      <xdr:row>1</xdr:row>
      <xdr:rowOff>0</xdr:rowOff>
    </xdr:to>
    <xdr:sp macro="" textlink="">
      <xdr:nvSpPr>
        <xdr:cNvPr id="490" name="Shape 5">
          <a:extLst>
            <a:ext uri="{FF2B5EF4-FFF2-40B4-BE49-F238E27FC236}">
              <a16:creationId xmlns:a16="http://schemas.microsoft.com/office/drawing/2014/main" id="{078562E6-16A2-4B83-8946-BAC5FA24E279}"/>
            </a:ext>
          </a:extLst>
        </xdr:cNvPr>
        <xdr:cNvSpPr>
          <a:spLocks noChangeArrowheads="1"/>
        </xdr:cNvSpPr>
      </xdr:nvSpPr>
      <xdr:spPr bwMode="auto">
        <a:xfrm>
          <a:off x="165068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-9525</xdr:colOff>
      <xdr:row>1</xdr:row>
      <xdr:rowOff>0</xdr:rowOff>
    </xdr:from>
    <xdr:to>
      <xdr:col>15</xdr:col>
      <xdr:colOff>28575</xdr:colOff>
      <xdr:row>1</xdr:row>
      <xdr:rowOff>0</xdr:rowOff>
    </xdr:to>
    <xdr:sp macro="" textlink="">
      <xdr:nvSpPr>
        <xdr:cNvPr id="491" name="Shape 5">
          <a:extLst>
            <a:ext uri="{FF2B5EF4-FFF2-40B4-BE49-F238E27FC236}">
              <a16:creationId xmlns:a16="http://schemas.microsoft.com/office/drawing/2014/main" id="{ADE2B8E7-F493-4DAE-8456-357DA31CFDA9}"/>
            </a:ext>
          </a:extLst>
        </xdr:cNvPr>
        <xdr:cNvSpPr>
          <a:spLocks noChangeArrowheads="1"/>
        </xdr:cNvSpPr>
      </xdr:nvSpPr>
      <xdr:spPr bwMode="auto">
        <a:xfrm>
          <a:off x="171164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-9525</xdr:colOff>
      <xdr:row>1</xdr:row>
      <xdr:rowOff>0</xdr:rowOff>
    </xdr:from>
    <xdr:to>
      <xdr:col>15</xdr:col>
      <xdr:colOff>28575</xdr:colOff>
      <xdr:row>1</xdr:row>
      <xdr:rowOff>0</xdr:rowOff>
    </xdr:to>
    <xdr:sp macro="" textlink="">
      <xdr:nvSpPr>
        <xdr:cNvPr id="492" name="Shape 5">
          <a:extLst>
            <a:ext uri="{FF2B5EF4-FFF2-40B4-BE49-F238E27FC236}">
              <a16:creationId xmlns:a16="http://schemas.microsoft.com/office/drawing/2014/main" id="{C3F7A9FF-0C57-4934-A047-BC96E53FCC3F}"/>
            </a:ext>
          </a:extLst>
        </xdr:cNvPr>
        <xdr:cNvSpPr>
          <a:spLocks noChangeArrowheads="1"/>
        </xdr:cNvSpPr>
      </xdr:nvSpPr>
      <xdr:spPr bwMode="auto">
        <a:xfrm>
          <a:off x="1711642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493" name="Shape 7">
          <a:extLst>
            <a:ext uri="{FF2B5EF4-FFF2-40B4-BE49-F238E27FC236}">
              <a16:creationId xmlns:a16="http://schemas.microsoft.com/office/drawing/2014/main" id="{A21F297B-38C8-4426-ABBA-41F448AED1BA}"/>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494" name="Shape 7">
          <a:extLst>
            <a:ext uri="{FF2B5EF4-FFF2-40B4-BE49-F238E27FC236}">
              <a16:creationId xmlns:a16="http://schemas.microsoft.com/office/drawing/2014/main" id="{AB3D36CB-C58E-40AC-8360-B703E6B28613}"/>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495" name="Shape 7">
          <a:extLst>
            <a:ext uri="{FF2B5EF4-FFF2-40B4-BE49-F238E27FC236}">
              <a16:creationId xmlns:a16="http://schemas.microsoft.com/office/drawing/2014/main" id="{DF3A6781-F248-485A-BBA7-26CD2DB6E525}"/>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496" name="Shape 7">
          <a:extLst>
            <a:ext uri="{FF2B5EF4-FFF2-40B4-BE49-F238E27FC236}">
              <a16:creationId xmlns:a16="http://schemas.microsoft.com/office/drawing/2014/main" id="{144EB075-AD48-4FA8-8B82-890937F9B90D}"/>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497" name="Shape 7">
          <a:extLst>
            <a:ext uri="{FF2B5EF4-FFF2-40B4-BE49-F238E27FC236}">
              <a16:creationId xmlns:a16="http://schemas.microsoft.com/office/drawing/2014/main" id="{3B12BB84-FA3D-4B40-ADDC-E9C61EF149E3}"/>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498" name="Shape 7">
          <a:extLst>
            <a:ext uri="{FF2B5EF4-FFF2-40B4-BE49-F238E27FC236}">
              <a16:creationId xmlns:a16="http://schemas.microsoft.com/office/drawing/2014/main" id="{B9638704-CF08-4424-9D54-927B80F087A1}"/>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499" name="Shape 7">
          <a:extLst>
            <a:ext uri="{FF2B5EF4-FFF2-40B4-BE49-F238E27FC236}">
              <a16:creationId xmlns:a16="http://schemas.microsoft.com/office/drawing/2014/main" id="{5D2804EA-80A0-4167-8CA6-2AC6098366ED}"/>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500" name="Shape 7">
          <a:extLst>
            <a:ext uri="{FF2B5EF4-FFF2-40B4-BE49-F238E27FC236}">
              <a16:creationId xmlns:a16="http://schemas.microsoft.com/office/drawing/2014/main" id="{82D90377-7A3F-4B2C-BCA0-9000F0923BE4}"/>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501" name="Shape 7">
          <a:extLst>
            <a:ext uri="{FF2B5EF4-FFF2-40B4-BE49-F238E27FC236}">
              <a16:creationId xmlns:a16="http://schemas.microsoft.com/office/drawing/2014/main" id="{C07C3472-5547-46A9-89C6-757E945C513C}"/>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502" name="Shape 7">
          <a:extLst>
            <a:ext uri="{FF2B5EF4-FFF2-40B4-BE49-F238E27FC236}">
              <a16:creationId xmlns:a16="http://schemas.microsoft.com/office/drawing/2014/main" id="{0E1393EF-80E5-4E02-ADBD-A5ADC8BE8A3C}"/>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503" name="Shape 7">
          <a:extLst>
            <a:ext uri="{FF2B5EF4-FFF2-40B4-BE49-F238E27FC236}">
              <a16:creationId xmlns:a16="http://schemas.microsoft.com/office/drawing/2014/main" id="{01F5B1AA-2774-430F-AAF5-8980F52CF6D2}"/>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504" name="Shape 7">
          <a:extLst>
            <a:ext uri="{FF2B5EF4-FFF2-40B4-BE49-F238E27FC236}">
              <a16:creationId xmlns:a16="http://schemas.microsoft.com/office/drawing/2014/main" id="{8FA8E6E7-9D7B-4665-B88E-67DFCA811A9B}"/>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505" name="Shape 7">
          <a:extLst>
            <a:ext uri="{FF2B5EF4-FFF2-40B4-BE49-F238E27FC236}">
              <a16:creationId xmlns:a16="http://schemas.microsoft.com/office/drawing/2014/main" id="{5D13D4BB-7122-44B3-BF29-FA02F972DDF6}"/>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506" name="Shape 7">
          <a:extLst>
            <a:ext uri="{FF2B5EF4-FFF2-40B4-BE49-F238E27FC236}">
              <a16:creationId xmlns:a16="http://schemas.microsoft.com/office/drawing/2014/main" id="{84E6450E-2B56-4744-9336-A9D461A698CA}"/>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507" name="Shape 7">
          <a:extLst>
            <a:ext uri="{FF2B5EF4-FFF2-40B4-BE49-F238E27FC236}">
              <a16:creationId xmlns:a16="http://schemas.microsoft.com/office/drawing/2014/main" id="{A1BFB09B-3EE4-407F-B751-6F85C7E10A55}"/>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23</xdr:row>
      <xdr:rowOff>0</xdr:rowOff>
    </xdr:from>
    <xdr:to>
      <xdr:col>15</xdr:col>
      <xdr:colOff>38100</xdr:colOff>
      <xdr:row>23</xdr:row>
      <xdr:rowOff>38100</xdr:rowOff>
    </xdr:to>
    <xdr:sp macro="" textlink="">
      <xdr:nvSpPr>
        <xdr:cNvPr id="508" name="Shape 7">
          <a:extLst>
            <a:ext uri="{FF2B5EF4-FFF2-40B4-BE49-F238E27FC236}">
              <a16:creationId xmlns:a16="http://schemas.microsoft.com/office/drawing/2014/main" id="{E682C68E-9424-4AA0-B981-38DA2A11182E}"/>
            </a:ext>
          </a:extLst>
        </xdr:cNvPr>
        <xdr:cNvSpPr>
          <a:spLocks noChangeArrowheads="1"/>
        </xdr:cNvSpPr>
      </xdr:nvSpPr>
      <xdr:spPr bwMode="auto">
        <a:xfrm>
          <a:off x="12534900" y="186499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-9525</xdr:colOff>
      <xdr:row>27</xdr:row>
      <xdr:rowOff>0</xdr:rowOff>
    </xdr:from>
    <xdr:to>
      <xdr:col>9</xdr:col>
      <xdr:colOff>28575</xdr:colOff>
      <xdr:row>27</xdr:row>
      <xdr:rowOff>0</xdr:rowOff>
    </xdr:to>
    <xdr:sp macro="" textlink="">
      <xdr:nvSpPr>
        <xdr:cNvPr id="509" name="Shape 4">
          <a:extLst>
            <a:ext uri="{FF2B5EF4-FFF2-40B4-BE49-F238E27FC236}">
              <a16:creationId xmlns:a16="http://schemas.microsoft.com/office/drawing/2014/main" id="{BB898982-AE2F-4EA8-AB92-8D598985121F}"/>
            </a:ext>
          </a:extLst>
        </xdr:cNvPr>
        <xdr:cNvSpPr>
          <a:spLocks noChangeArrowheads="1"/>
        </xdr:cNvSpPr>
      </xdr:nvSpPr>
      <xdr:spPr bwMode="auto">
        <a:xfrm>
          <a:off x="82200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27</xdr:row>
      <xdr:rowOff>0</xdr:rowOff>
    </xdr:from>
    <xdr:to>
      <xdr:col>11</xdr:col>
      <xdr:colOff>28575</xdr:colOff>
      <xdr:row>27</xdr:row>
      <xdr:rowOff>0</xdr:rowOff>
    </xdr:to>
    <xdr:sp macro="" textlink="">
      <xdr:nvSpPr>
        <xdr:cNvPr id="510" name="Shape 5">
          <a:extLst>
            <a:ext uri="{FF2B5EF4-FFF2-40B4-BE49-F238E27FC236}">
              <a16:creationId xmlns:a16="http://schemas.microsoft.com/office/drawing/2014/main" id="{DB4B1CD3-5063-4F96-87BF-AB8A51B9FB76}"/>
            </a:ext>
          </a:extLst>
        </xdr:cNvPr>
        <xdr:cNvSpPr>
          <a:spLocks noChangeArrowheads="1"/>
        </xdr:cNvSpPr>
      </xdr:nvSpPr>
      <xdr:spPr bwMode="auto">
        <a:xfrm>
          <a:off x="94297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27</xdr:row>
      <xdr:rowOff>0</xdr:rowOff>
    </xdr:from>
    <xdr:to>
      <xdr:col>11</xdr:col>
      <xdr:colOff>28575</xdr:colOff>
      <xdr:row>27</xdr:row>
      <xdr:rowOff>0</xdr:rowOff>
    </xdr:to>
    <xdr:sp macro="" textlink="">
      <xdr:nvSpPr>
        <xdr:cNvPr id="511" name="Shape 5">
          <a:extLst>
            <a:ext uri="{FF2B5EF4-FFF2-40B4-BE49-F238E27FC236}">
              <a16:creationId xmlns:a16="http://schemas.microsoft.com/office/drawing/2014/main" id="{A261203A-ED91-4C92-929F-C5F3679AD429}"/>
            </a:ext>
          </a:extLst>
        </xdr:cNvPr>
        <xdr:cNvSpPr>
          <a:spLocks noChangeArrowheads="1"/>
        </xdr:cNvSpPr>
      </xdr:nvSpPr>
      <xdr:spPr bwMode="auto">
        <a:xfrm>
          <a:off x="94297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27</xdr:row>
      <xdr:rowOff>0</xdr:rowOff>
    </xdr:from>
    <xdr:to>
      <xdr:col>11</xdr:col>
      <xdr:colOff>28575</xdr:colOff>
      <xdr:row>27</xdr:row>
      <xdr:rowOff>0</xdr:rowOff>
    </xdr:to>
    <xdr:sp macro="" textlink="">
      <xdr:nvSpPr>
        <xdr:cNvPr id="512" name="Shape 5">
          <a:extLst>
            <a:ext uri="{FF2B5EF4-FFF2-40B4-BE49-F238E27FC236}">
              <a16:creationId xmlns:a16="http://schemas.microsoft.com/office/drawing/2014/main" id="{57828E41-4642-40F6-AB78-E7FF107FA5DE}"/>
            </a:ext>
          </a:extLst>
        </xdr:cNvPr>
        <xdr:cNvSpPr>
          <a:spLocks noChangeArrowheads="1"/>
        </xdr:cNvSpPr>
      </xdr:nvSpPr>
      <xdr:spPr bwMode="auto">
        <a:xfrm>
          <a:off x="94297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27</xdr:row>
      <xdr:rowOff>-19050</xdr:rowOff>
    </xdr:from>
    <xdr:to>
      <xdr:col>12</xdr:col>
      <xdr:colOff>104775</xdr:colOff>
      <xdr:row>27</xdr:row>
      <xdr:rowOff>19050</xdr:rowOff>
    </xdr:to>
    <xdr:sp macro="" textlink="">
      <xdr:nvSpPr>
        <xdr:cNvPr id="513" name="Shape 6">
          <a:extLst>
            <a:ext uri="{FF2B5EF4-FFF2-40B4-BE49-F238E27FC236}">
              <a16:creationId xmlns:a16="http://schemas.microsoft.com/office/drawing/2014/main" id="{82A897EF-0E6F-4FBE-BC3B-937BEC5A582E}"/>
            </a:ext>
          </a:extLst>
        </xdr:cNvPr>
        <xdr:cNvSpPr>
          <a:spLocks noChangeArrowheads="1"/>
        </xdr:cNvSpPr>
      </xdr:nvSpPr>
      <xdr:spPr bwMode="auto">
        <a:xfrm>
          <a:off x="10172700" y="194595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27</xdr:row>
      <xdr:rowOff>-19050</xdr:rowOff>
    </xdr:from>
    <xdr:to>
      <xdr:col>14</xdr:col>
      <xdr:colOff>38100</xdr:colOff>
      <xdr:row>27</xdr:row>
      <xdr:rowOff>19050</xdr:rowOff>
    </xdr:to>
    <xdr:sp macro="" textlink="">
      <xdr:nvSpPr>
        <xdr:cNvPr id="514" name="Shape 7">
          <a:extLst>
            <a:ext uri="{FF2B5EF4-FFF2-40B4-BE49-F238E27FC236}">
              <a16:creationId xmlns:a16="http://schemas.microsoft.com/office/drawing/2014/main" id="{22567816-101B-47D6-B6E3-DAB126238D4C}"/>
            </a:ext>
          </a:extLst>
        </xdr:cNvPr>
        <xdr:cNvSpPr>
          <a:spLocks noChangeArrowheads="1"/>
        </xdr:cNvSpPr>
      </xdr:nvSpPr>
      <xdr:spPr bwMode="auto">
        <a:xfrm>
          <a:off x="11210925"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515" name="Shape 8">
          <a:extLst>
            <a:ext uri="{FF2B5EF4-FFF2-40B4-BE49-F238E27FC236}">
              <a16:creationId xmlns:a16="http://schemas.microsoft.com/office/drawing/2014/main" id="{CF0F8A34-0EC2-406B-A8B7-C3B45FEF99D3}"/>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16" name="Shape 9">
          <a:extLst>
            <a:ext uri="{FF2B5EF4-FFF2-40B4-BE49-F238E27FC236}">
              <a16:creationId xmlns:a16="http://schemas.microsoft.com/office/drawing/2014/main" id="{2122740F-C606-4897-BEDC-4C51576B8A11}"/>
            </a:ext>
          </a:extLst>
        </xdr:cNvPr>
        <xdr:cNvSpPr>
          <a:spLocks noChangeArrowheads="1"/>
        </xdr:cNvSpPr>
      </xdr:nvSpPr>
      <xdr:spPr bwMode="auto">
        <a:xfrm>
          <a:off x="130968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17" name="Shape 9">
          <a:extLst>
            <a:ext uri="{FF2B5EF4-FFF2-40B4-BE49-F238E27FC236}">
              <a16:creationId xmlns:a16="http://schemas.microsoft.com/office/drawing/2014/main" id="{6C417A01-3502-4FC9-BD22-4B5CFD77DC2D}"/>
            </a:ext>
          </a:extLst>
        </xdr:cNvPr>
        <xdr:cNvSpPr>
          <a:spLocks noChangeArrowheads="1"/>
        </xdr:cNvSpPr>
      </xdr:nvSpPr>
      <xdr:spPr bwMode="auto">
        <a:xfrm>
          <a:off x="130968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18" name="Shape 9">
          <a:extLst>
            <a:ext uri="{FF2B5EF4-FFF2-40B4-BE49-F238E27FC236}">
              <a16:creationId xmlns:a16="http://schemas.microsoft.com/office/drawing/2014/main" id="{8AC941A2-937C-4C72-B3AB-4615AF952256}"/>
            </a:ext>
          </a:extLst>
        </xdr:cNvPr>
        <xdr:cNvSpPr>
          <a:spLocks noChangeArrowheads="1"/>
        </xdr:cNvSpPr>
      </xdr:nvSpPr>
      <xdr:spPr bwMode="auto">
        <a:xfrm>
          <a:off x="137160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19" name="Shape 5">
          <a:extLst>
            <a:ext uri="{FF2B5EF4-FFF2-40B4-BE49-F238E27FC236}">
              <a16:creationId xmlns:a16="http://schemas.microsoft.com/office/drawing/2014/main" id="{15542C31-ED46-4582-8FE2-133394D73DD1}"/>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20" name="Shape 5">
          <a:extLst>
            <a:ext uri="{FF2B5EF4-FFF2-40B4-BE49-F238E27FC236}">
              <a16:creationId xmlns:a16="http://schemas.microsoft.com/office/drawing/2014/main" id="{CEB7C2A7-EF7B-4A9D-9C11-2C08504DE8C2}"/>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21" name="Shape 5">
          <a:extLst>
            <a:ext uri="{FF2B5EF4-FFF2-40B4-BE49-F238E27FC236}">
              <a16:creationId xmlns:a16="http://schemas.microsoft.com/office/drawing/2014/main" id="{5B23FE21-7884-4334-8E58-58A4437FCFB6}"/>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22" name="Shape 9">
          <a:extLst>
            <a:ext uri="{FF2B5EF4-FFF2-40B4-BE49-F238E27FC236}">
              <a16:creationId xmlns:a16="http://schemas.microsoft.com/office/drawing/2014/main" id="{1DA6977C-7DC4-45E9-BD9F-7A85DA29F39E}"/>
            </a:ext>
          </a:extLst>
        </xdr:cNvPr>
        <xdr:cNvSpPr>
          <a:spLocks noChangeArrowheads="1"/>
        </xdr:cNvSpPr>
      </xdr:nvSpPr>
      <xdr:spPr bwMode="auto">
        <a:xfrm>
          <a:off x="146208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23" name="Shape 4">
          <a:extLst>
            <a:ext uri="{FF2B5EF4-FFF2-40B4-BE49-F238E27FC236}">
              <a16:creationId xmlns:a16="http://schemas.microsoft.com/office/drawing/2014/main" id="{99A178BC-0199-4751-A421-8E6F7AEA0A34}"/>
            </a:ext>
          </a:extLst>
        </xdr:cNvPr>
        <xdr:cNvSpPr>
          <a:spLocks noChangeArrowheads="1"/>
        </xdr:cNvSpPr>
      </xdr:nvSpPr>
      <xdr:spPr bwMode="auto">
        <a:xfrm>
          <a:off x="152971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27</xdr:row>
      <xdr:rowOff>-19050</xdr:rowOff>
    </xdr:from>
    <xdr:to>
      <xdr:col>12</xdr:col>
      <xdr:colOff>104775</xdr:colOff>
      <xdr:row>27</xdr:row>
      <xdr:rowOff>19050</xdr:rowOff>
    </xdr:to>
    <xdr:sp macro="" textlink="">
      <xdr:nvSpPr>
        <xdr:cNvPr id="524" name="Shape 6">
          <a:extLst>
            <a:ext uri="{FF2B5EF4-FFF2-40B4-BE49-F238E27FC236}">
              <a16:creationId xmlns:a16="http://schemas.microsoft.com/office/drawing/2014/main" id="{78017481-3CF5-4A74-8AD7-7E707E5CE95B}"/>
            </a:ext>
          </a:extLst>
        </xdr:cNvPr>
        <xdr:cNvSpPr>
          <a:spLocks noChangeArrowheads="1"/>
        </xdr:cNvSpPr>
      </xdr:nvSpPr>
      <xdr:spPr bwMode="auto">
        <a:xfrm>
          <a:off x="10172700" y="194595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27</xdr:row>
      <xdr:rowOff>-19050</xdr:rowOff>
    </xdr:from>
    <xdr:to>
      <xdr:col>14</xdr:col>
      <xdr:colOff>38100</xdr:colOff>
      <xdr:row>27</xdr:row>
      <xdr:rowOff>19050</xdr:rowOff>
    </xdr:to>
    <xdr:sp macro="" textlink="">
      <xdr:nvSpPr>
        <xdr:cNvPr id="525" name="Shape 7">
          <a:extLst>
            <a:ext uri="{FF2B5EF4-FFF2-40B4-BE49-F238E27FC236}">
              <a16:creationId xmlns:a16="http://schemas.microsoft.com/office/drawing/2014/main" id="{D4ED6967-00F8-4A30-A6C6-D92FE415ED2C}"/>
            </a:ext>
          </a:extLst>
        </xdr:cNvPr>
        <xdr:cNvSpPr>
          <a:spLocks noChangeArrowheads="1"/>
        </xdr:cNvSpPr>
      </xdr:nvSpPr>
      <xdr:spPr bwMode="auto">
        <a:xfrm>
          <a:off x="11210925"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526" name="Shape 8">
          <a:extLst>
            <a:ext uri="{FF2B5EF4-FFF2-40B4-BE49-F238E27FC236}">
              <a16:creationId xmlns:a16="http://schemas.microsoft.com/office/drawing/2014/main" id="{56D2C5D0-19AE-4811-9E0C-DD9653D010BC}"/>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27" name="Shape 9">
          <a:extLst>
            <a:ext uri="{FF2B5EF4-FFF2-40B4-BE49-F238E27FC236}">
              <a16:creationId xmlns:a16="http://schemas.microsoft.com/office/drawing/2014/main" id="{6E963AC8-D5DB-4905-9E3F-63AA2D524086}"/>
            </a:ext>
          </a:extLst>
        </xdr:cNvPr>
        <xdr:cNvSpPr>
          <a:spLocks noChangeArrowheads="1"/>
        </xdr:cNvSpPr>
      </xdr:nvSpPr>
      <xdr:spPr bwMode="auto">
        <a:xfrm>
          <a:off x="130968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28" name="Shape 9">
          <a:extLst>
            <a:ext uri="{FF2B5EF4-FFF2-40B4-BE49-F238E27FC236}">
              <a16:creationId xmlns:a16="http://schemas.microsoft.com/office/drawing/2014/main" id="{84A24268-0839-48A0-9111-10CD53837D3B}"/>
            </a:ext>
          </a:extLst>
        </xdr:cNvPr>
        <xdr:cNvSpPr>
          <a:spLocks noChangeArrowheads="1"/>
        </xdr:cNvSpPr>
      </xdr:nvSpPr>
      <xdr:spPr bwMode="auto">
        <a:xfrm>
          <a:off x="130968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29" name="Shape 9">
          <a:extLst>
            <a:ext uri="{FF2B5EF4-FFF2-40B4-BE49-F238E27FC236}">
              <a16:creationId xmlns:a16="http://schemas.microsoft.com/office/drawing/2014/main" id="{40A25E67-9D55-41AF-8911-6F5474EFE494}"/>
            </a:ext>
          </a:extLst>
        </xdr:cNvPr>
        <xdr:cNvSpPr>
          <a:spLocks noChangeArrowheads="1"/>
        </xdr:cNvSpPr>
      </xdr:nvSpPr>
      <xdr:spPr bwMode="auto">
        <a:xfrm>
          <a:off x="137160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30" name="Shape 5">
          <a:extLst>
            <a:ext uri="{FF2B5EF4-FFF2-40B4-BE49-F238E27FC236}">
              <a16:creationId xmlns:a16="http://schemas.microsoft.com/office/drawing/2014/main" id="{6C98562C-AB88-4FD5-BEAB-4391B60ABAAC}"/>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31" name="Shape 5">
          <a:extLst>
            <a:ext uri="{FF2B5EF4-FFF2-40B4-BE49-F238E27FC236}">
              <a16:creationId xmlns:a16="http://schemas.microsoft.com/office/drawing/2014/main" id="{59FD7C4B-5AFC-4F4C-8152-24810BF9135A}"/>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32" name="Shape 5">
          <a:extLst>
            <a:ext uri="{FF2B5EF4-FFF2-40B4-BE49-F238E27FC236}">
              <a16:creationId xmlns:a16="http://schemas.microsoft.com/office/drawing/2014/main" id="{0D69379F-D89C-47DA-AFAE-AC53B2A49A01}"/>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33" name="Shape 9">
          <a:extLst>
            <a:ext uri="{FF2B5EF4-FFF2-40B4-BE49-F238E27FC236}">
              <a16:creationId xmlns:a16="http://schemas.microsoft.com/office/drawing/2014/main" id="{5FC09DC9-D3A2-41D8-A6DA-8EF14119B104}"/>
            </a:ext>
          </a:extLst>
        </xdr:cNvPr>
        <xdr:cNvSpPr>
          <a:spLocks noChangeArrowheads="1"/>
        </xdr:cNvSpPr>
      </xdr:nvSpPr>
      <xdr:spPr bwMode="auto">
        <a:xfrm>
          <a:off x="146208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34" name="Shape 4">
          <a:extLst>
            <a:ext uri="{FF2B5EF4-FFF2-40B4-BE49-F238E27FC236}">
              <a16:creationId xmlns:a16="http://schemas.microsoft.com/office/drawing/2014/main" id="{082336EC-D177-4B61-ADD0-7581F0428A28}"/>
            </a:ext>
          </a:extLst>
        </xdr:cNvPr>
        <xdr:cNvSpPr>
          <a:spLocks noChangeArrowheads="1"/>
        </xdr:cNvSpPr>
      </xdr:nvSpPr>
      <xdr:spPr bwMode="auto">
        <a:xfrm>
          <a:off x="152971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27</xdr:row>
      <xdr:rowOff>-19050</xdr:rowOff>
    </xdr:from>
    <xdr:to>
      <xdr:col>12</xdr:col>
      <xdr:colOff>104775</xdr:colOff>
      <xdr:row>27</xdr:row>
      <xdr:rowOff>19050</xdr:rowOff>
    </xdr:to>
    <xdr:sp macro="" textlink="">
      <xdr:nvSpPr>
        <xdr:cNvPr id="535" name="Shape 6">
          <a:extLst>
            <a:ext uri="{FF2B5EF4-FFF2-40B4-BE49-F238E27FC236}">
              <a16:creationId xmlns:a16="http://schemas.microsoft.com/office/drawing/2014/main" id="{286DFB68-00E6-4455-BF22-0FD3BBADC42B}"/>
            </a:ext>
          </a:extLst>
        </xdr:cNvPr>
        <xdr:cNvSpPr>
          <a:spLocks noChangeArrowheads="1"/>
        </xdr:cNvSpPr>
      </xdr:nvSpPr>
      <xdr:spPr bwMode="auto">
        <a:xfrm>
          <a:off x="10172700" y="194595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27</xdr:row>
      <xdr:rowOff>-19050</xdr:rowOff>
    </xdr:from>
    <xdr:to>
      <xdr:col>14</xdr:col>
      <xdr:colOff>38100</xdr:colOff>
      <xdr:row>27</xdr:row>
      <xdr:rowOff>19050</xdr:rowOff>
    </xdr:to>
    <xdr:sp macro="" textlink="">
      <xdr:nvSpPr>
        <xdr:cNvPr id="536" name="Shape 7">
          <a:extLst>
            <a:ext uri="{FF2B5EF4-FFF2-40B4-BE49-F238E27FC236}">
              <a16:creationId xmlns:a16="http://schemas.microsoft.com/office/drawing/2014/main" id="{662533C5-0C0D-4608-8E03-BA38D2896864}"/>
            </a:ext>
          </a:extLst>
        </xdr:cNvPr>
        <xdr:cNvSpPr>
          <a:spLocks noChangeArrowheads="1"/>
        </xdr:cNvSpPr>
      </xdr:nvSpPr>
      <xdr:spPr bwMode="auto">
        <a:xfrm>
          <a:off x="11210925"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537" name="Shape 8">
          <a:extLst>
            <a:ext uri="{FF2B5EF4-FFF2-40B4-BE49-F238E27FC236}">
              <a16:creationId xmlns:a16="http://schemas.microsoft.com/office/drawing/2014/main" id="{0E899CFA-2AF7-4888-8091-0F426607C78C}"/>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538" name="Shape 8">
          <a:extLst>
            <a:ext uri="{FF2B5EF4-FFF2-40B4-BE49-F238E27FC236}">
              <a16:creationId xmlns:a16="http://schemas.microsoft.com/office/drawing/2014/main" id="{7B46A7BA-5338-4AC9-B190-BD5D0F7D87EC}"/>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39" name="Shape 5">
          <a:extLst>
            <a:ext uri="{FF2B5EF4-FFF2-40B4-BE49-F238E27FC236}">
              <a16:creationId xmlns:a16="http://schemas.microsoft.com/office/drawing/2014/main" id="{FD5CD5F5-D6CF-413E-8D8B-40AD96E419C5}"/>
            </a:ext>
          </a:extLst>
        </xdr:cNvPr>
        <xdr:cNvSpPr>
          <a:spLocks noChangeArrowheads="1"/>
        </xdr:cNvSpPr>
      </xdr:nvSpPr>
      <xdr:spPr bwMode="auto">
        <a:xfrm>
          <a:off x="13106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40" name="Shape 5">
          <a:extLst>
            <a:ext uri="{FF2B5EF4-FFF2-40B4-BE49-F238E27FC236}">
              <a16:creationId xmlns:a16="http://schemas.microsoft.com/office/drawing/2014/main" id="{ACFF4808-B48D-4477-B644-A59D82C63CAB}"/>
            </a:ext>
          </a:extLst>
        </xdr:cNvPr>
        <xdr:cNvSpPr>
          <a:spLocks noChangeArrowheads="1"/>
        </xdr:cNvSpPr>
      </xdr:nvSpPr>
      <xdr:spPr bwMode="auto">
        <a:xfrm>
          <a:off x="137255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41" name="Shape 5">
          <a:extLst>
            <a:ext uri="{FF2B5EF4-FFF2-40B4-BE49-F238E27FC236}">
              <a16:creationId xmlns:a16="http://schemas.microsoft.com/office/drawing/2014/main" id="{CFF4AEF2-4C1A-443B-B339-6F993EF0441D}"/>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42" name="Shape 5">
          <a:extLst>
            <a:ext uri="{FF2B5EF4-FFF2-40B4-BE49-F238E27FC236}">
              <a16:creationId xmlns:a16="http://schemas.microsoft.com/office/drawing/2014/main" id="{3F0334AE-47DA-436C-A3BA-8BD847D34431}"/>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43" name="Shape 5">
          <a:extLst>
            <a:ext uri="{FF2B5EF4-FFF2-40B4-BE49-F238E27FC236}">
              <a16:creationId xmlns:a16="http://schemas.microsoft.com/office/drawing/2014/main" id="{0439FA36-DE88-425B-B7BF-20EF0B42EECD}"/>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44" name="Shape 5">
          <a:extLst>
            <a:ext uri="{FF2B5EF4-FFF2-40B4-BE49-F238E27FC236}">
              <a16:creationId xmlns:a16="http://schemas.microsoft.com/office/drawing/2014/main" id="{ACD5495C-F195-411D-94F8-953BB243FFA1}"/>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45" name="Shape 4">
          <a:extLst>
            <a:ext uri="{FF2B5EF4-FFF2-40B4-BE49-F238E27FC236}">
              <a16:creationId xmlns:a16="http://schemas.microsoft.com/office/drawing/2014/main" id="{51B0811B-E213-4D93-A7AF-28497C8D6348}"/>
            </a:ext>
          </a:extLst>
        </xdr:cNvPr>
        <xdr:cNvSpPr>
          <a:spLocks noChangeArrowheads="1"/>
        </xdr:cNvSpPr>
      </xdr:nvSpPr>
      <xdr:spPr bwMode="auto">
        <a:xfrm>
          <a:off x="152971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27</xdr:row>
      <xdr:rowOff>-19050</xdr:rowOff>
    </xdr:from>
    <xdr:to>
      <xdr:col>12</xdr:col>
      <xdr:colOff>104775</xdr:colOff>
      <xdr:row>27</xdr:row>
      <xdr:rowOff>19050</xdr:rowOff>
    </xdr:to>
    <xdr:sp macro="" textlink="">
      <xdr:nvSpPr>
        <xdr:cNvPr id="546" name="Shape 6">
          <a:extLst>
            <a:ext uri="{FF2B5EF4-FFF2-40B4-BE49-F238E27FC236}">
              <a16:creationId xmlns:a16="http://schemas.microsoft.com/office/drawing/2014/main" id="{A5B74D21-A209-481E-B89C-70B3A166CFA7}"/>
            </a:ext>
          </a:extLst>
        </xdr:cNvPr>
        <xdr:cNvSpPr>
          <a:spLocks noChangeArrowheads="1"/>
        </xdr:cNvSpPr>
      </xdr:nvSpPr>
      <xdr:spPr bwMode="auto">
        <a:xfrm>
          <a:off x="10172700" y="194595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27</xdr:row>
      <xdr:rowOff>-19050</xdr:rowOff>
    </xdr:from>
    <xdr:to>
      <xdr:col>14</xdr:col>
      <xdr:colOff>38100</xdr:colOff>
      <xdr:row>27</xdr:row>
      <xdr:rowOff>19050</xdr:rowOff>
    </xdr:to>
    <xdr:sp macro="" textlink="">
      <xdr:nvSpPr>
        <xdr:cNvPr id="547" name="Shape 7">
          <a:extLst>
            <a:ext uri="{FF2B5EF4-FFF2-40B4-BE49-F238E27FC236}">
              <a16:creationId xmlns:a16="http://schemas.microsoft.com/office/drawing/2014/main" id="{A71BA619-00C3-42A0-B86B-F13659C430F5}"/>
            </a:ext>
          </a:extLst>
        </xdr:cNvPr>
        <xdr:cNvSpPr>
          <a:spLocks noChangeArrowheads="1"/>
        </xdr:cNvSpPr>
      </xdr:nvSpPr>
      <xdr:spPr bwMode="auto">
        <a:xfrm>
          <a:off x="11210925"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548" name="Shape 8">
          <a:extLst>
            <a:ext uri="{FF2B5EF4-FFF2-40B4-BE49-F238E27FC236}">
              <a16:creationId xmlns:a16="http://schemas.microsoft.com/office/drawing/2014/main" id="{E124BED5-96E0-44AE-A353-1E61A42A8EAC}"/>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549" name="Shape 8">
          <a:extLst>
            <a:ext uri="{FF2B5EF4-FFF2-40B4-BE49-F238E27FC236}">
              <a16:creationId xmlns:a16="http://schemas.microsoft.com/office/drawing/2014/main" id="{E796ADBC-D5BC-4CB2-97AB-E43E26CE07D6}"/>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50" name="Shape 5">
          <a:extLst>
            <a:ext uri="{FF2B5EF4-FFF2-40B4-BE49-F238E27FC236}">
              <a16:creationId xmlns:a16="http://schemas.microsoft.com/office/drawing/2014/main" id="{A074EFC8-A51A-40F4-B053-368A39026C61}"/>
            </a:ext>
          </a:extLst>
        </xdr:cNvPr>
        <xdr:cNvSpPr>
          <a:spLocks noChangeArrowheads="1"/>
        </xdr:cNvSpPr>
      </xdr:nvSpPr>
      <xdr:spPr bwMode="auto">
        <a:xfrm>
          <a:off x="13106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51" name="Shape 5">
          <a:extLst>
            <a:ext uri="{FF2B5EF4-FFF2-40B4-BE49-F238E27FC236}">
              <a16:creationId xmlns:a16="http://schemas.microsoft.com/office/drawing/2014/main" id="{11B0DADE-3224-4E6B-87AC-8D29D035DEB2}"/>
            </a:ext>
          </a:extLst>
        </xdr:cNvPr>
        <xdr:cNvSpPr>
          <a:spLocks noChangeArrowheads="1"/>
        </xdr:cNvSpPr>
      </xdr:nvSpPr>
      <xdr:spPr bwMode="auto">
        <a:xfrm>
          <a:off x="137255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52" name="Shape 5">
          <a:extLst>
            <a:ext uri="{FF2B5EF4-FFF2-40B4-BE49-F238E27FC236}">
              <a16:creationId xmlns:a16="http://schemas.microsoft.com/office/drawing/2014/main" id="{D1D5EEFB-15AD-4EB1-8C9C-FE4F12EB63E6}"/>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53" name="Shape 5">
          <a:extLst>
            <a:ext uri="{FF2B5EF4-FFF2-40B4-BE49-F238E27FC236}">
              <a16:creationId xmlns:a16="http://schemas.microsoft.com/office/drawing/2014/main" id="{6AC00C68-8CC3-49DB-A963-1DEB68701D74}"/>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54" name="Shape 5">
          <a:extLst>
            <a:ext uri="{FF2B5EF4-FFF2-40B4-BE49-F238E27FC236}">
              <a16:creationId xmlns:a16="http://schemas.microsoft.com/office/drawing/2014/main" id="{ADBCFE32-CFF6-4345-97B1-4E84D611D9B0}"/>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55" name="Shape 5">
          <a:extLst>
            <a:ext uri="{FF2B5EF4-FFF2-40B4-BE49-F238E27FC236}">
              <a16:creationId xmlns:a16="http://schemas.microsoft.com/office/drawing/2014/main" id="{FC8F3EFB-B1FF-4DC4-82EB-FE05AE75B2A8}"/>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56" name="Shape 4">
          <a:extLst>
            <a:ext uri="{FF2B5EF4-FFF2-40B4-BE49-F238E27FC236}">
              <a16:creationId xmlns:a16="http://schemas.microsoft.com/office/drawing/2014/main" id="{45ECD21E-8BA3-4252-B83E-7CA744556E34}"/>
            </a:ext>
          </a:extLst>
        </xdr:cNvPr>
        <xdr:cNvSpPr>
          <a:spLocks noChangeArrowheads="1"/>
        </xdr:cNvSpPr>
      </xdr:nvSpPr>
      <xdr:spPr bwMode="auto">
        <a:xfrm>
          <a:off x="152971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27</xdr:row>
      <xdr:rowOff>-19050</xdr:rowOff>
    </xdr:from>
    <xdr:to>
      <xdr:col>12</xdr:col>
      <xdr:colOff>104775</xdr:colOff>
      <xdr:row>27</xdr:row>
      <xdr:rowOff>19050</xdr:rowOff>
    </xdr:to>
    <xdr:sp macro="" textlink="">
      <xdr:nvSpPr>
        <xdr:cNvPr id="557" name="Shape 6">
          <a:extLst>
            <a:ext uri="{FF2B5EF4-FFF2-40B4-BE49-F238E27FC236}">
              <a16:creationId xmlns:a16="http://schemas.microsoft.com/office/drawing/2014/main" id="{E4EF4E1A-8D79-486C-B04D-BFE99E3E20B4}"/>
            </a:ext>
          </a:extLst>
        </xdr:cNvPr>
        <xdr:cNvSpPr>
          <a:spLocks noChangeArrowheads="1"/>
        </xdr:cNvSpPr>
      </xdr:nvSpPr>
      <xdr:spPr bwMode="auto">
        <a:xfrm>
          <a:off x="10172700" y="194595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27</xdr:row>
      <xdr:rowOff>-19050</xdr:rowOff>
    </xdr:from>
    <xdr:to>
      <xdr:col>14</xdr:col>
      <xdr:colOff>38100</xdr:colOff>
      <xdr:row>27</xdr:row>
      <xdr:rowOff>19050</xdr:rowOff>
    </xdr:to>
    <xdr:sp macro="" textlink="">
      <xdr:nvSpPr>
        <xdr:cNvPr id="558" name="Shape 7">
          <a:extLst>
            <a:ext uri="{FF2B5EF4-FFF2-40B4-BE49-F238E27FC236}">
              <a16:creationId xmlns:a16="http://schemas.microsoft.com/office/drawing/2014/main" id="{C1438D15-20E7-46BE-8E78-3215725337C4}"/>
            </a:ext>
          </a:extLst>
        </xdr:cNvPr>
        <xdr:cNvSpPr>
          <a:spLocks noChangeArrowheads="1"/>
        </xdr:cNvSpPr>
      </xdr:nvSpPr>
      <xdr:spPr bwMode="auto">
        <a:xfrm>
          <a:off x="11210925"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559" name="Shape 8">
          <a:extLst>
            <a:ext uri="{FF2B5EF4-FFF2-40B4-BE49-F238E27FC236}">
              <a16:creationId xmlns:a16="http://schemas.microsoft.com/office/drawing/2014/main" id="{2802DB58-09CC-4E29-8670-1285CCC23342}"/>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560" name="Shape 8">
          <a:extLst>
            <a:ext uri="{FF2B5EF4-FFF2-40B4-BE49-F238E27FC236}">
              <a16:creationId xmlns:a16="http://schemas.microsoft.com/office/drawing/2014/main" id="{C8D78B72-0902-4EC6-9810-027620726D30}"/>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61" name="Shape 5">
          <a:extLst>
            <a:ext uri="{FF2B5EF4-FFF2-40B4-BE49-F238E27FC236}">
              <a16:creationId xmlns:a16="http://schemas.microsoft.com/office/drawing/2014/main" id="{DE1A779C-85F7-4439-8D9C-09316CA78CF5}"/>
            </a:ext>
          </a:extLst>
        </xdr:cNvPr>
        <xdr:cNvSpPr>
          <a:spLocks noChangeArrowheads="1"/>
        </xdr:cNvSpPr>
      </xdr:nvSpPr>
      <xdr:spPr bwMode="auto">
        <a:xfrm>
          <a:off x="13106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62" name="Shape 5">
          <a:extLst>
            <a:ext uri="{FF2B5EF4-FFF2-40B4-BE49-F238E27FC236}">
              <a16:creationId xmlns:a16="http://schemas.microsoft.com/office/drawing/2014/main" id="{14B38D91-D446-46B1-BFDF-8F7BE3432BB0}"/>
            </a:ext>
          </a:extLst>
        </xdr:cNvPr>
        <xdr:cNvSpPr>
          <a:spLocks noChangeArrowheads="1"/>
        </xdr:cNvSpPr>
      </xdr:nvSpPr>
      <xdr:spPr bwMode="auto">
        <a:xfrm>
          <a:off x="137255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63" name="Shape 5">
          <a:extLst>
            <a:ext uri="{FF2B5EF4-FFF2-40B4-BE49-F238E27FC236}">
              <a16:creationId xmlns:a16="http://schemas.microsoft.com/office/drawing/2014/main" id="{26657F1F-7812-4C85-BA97-24F46184A23D}"/>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64" name="Shape 5">
          <a:extLst>
            <a:ext uri="{FF2B5EF4-FFF2-40B4-BE49-F238E27FC236}">
              <a16:creationId xmlns:a16="http://schemas.microsoft.com/office/drawing/2014/main" id="{B4D2542A-1353-44F8-8C3F-8164188F0E32}"/>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65" name="Shape 5">
          <a:extLst>
            <a:ext uri="{FF2B5EF4-FFF2-40B4-BE49-F238E27FC236}">
              <a16:creationId xmlns:a16="http://schemas.microsoft.com/office/drawing/2014/main" id="{28613F5A-EA2B-40C1-9CBC-008321411F81}"/>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66" name="Shape 5">
          <a:extLst>
            <a:ext uri="{FF2B5EF4-FFF2-40B4-BE49-F238E27FC236}">
              <a16:creationId xmlns:a16="http://schemas.microsoft.com/office/drawing/2014/main" id="{0B4A509C-02D1-49BF-A613-FC6F495D1C81}"/>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67" name="Shape 4">
          <a:extLst>
            <a:ext uri="{FF2B5EF4-FFF2-40B4-BE49-F238E27FC236}">
              <a16:creationId xmlns:a16="http://schemas.microsoft.com/office/drawing/2014/main" id="{FBDF043C-02F9-4634-BD9E-A46DA13AF509}"/>
            </a:ext>
          </a:extLst>
        </xdr:cNvPr>
        <xdr:cNvSpPr>
          <a:spLocks noChangeArrowheads="1"/>
        </xdr:cNvSpPr>
      </xdr:nvSpPr>
      <xdr:spPr bwMode="auto">
        <a:xfrm>
          <a:off x="152971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27</xdr:row>
      <xdr:rowOff>-19050</xdr:rowOff>
    </xdr:from>
    <xdr:to>
      <xdr:col>12</xdr:col>
      <xdr:colOff>104775</xdr:colOff>
      <xdr:row>27</xdr:row>
      <xdr:rowOff>19050</xdr:rowOff>
    </xdr:to>
    <xdr:sp macro="" textlink="">
      <xdr:nvSpPr>
        <xdr:cNvPr id="568" name="Shape 6">
          <a:extLst>
            <a:ext uri="{FF2B5EF4-FFF2-40B4-BE49-F238E27FC236}">
              <a16:creationId xmlns:a16="http://schemas.microsoft.com/office/drawing/2014/main" id="{B67561C4-AB3F-455D-A9DB-9F370831962B}"/>
            </a:ext>
          </a:extLst>
        </xdr:cNvPr>
        <xdr:cNvSpPr>
          <a:spLocks noChangeArrowheads="1"/>
        </xdr:cNvSpPr>
      </xdr:nvSpPr>
      <xdr:spPr bwMode="auto">
        <a:xfrm>
          <a:off x="10172700" y="194595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27</xdr:row>
      <xdr:rowOff>-19050</xdr:rowOff>
    </xdr:from>
    <xdr:to>
      <xdr:col>14</xdr:col>
      <xdr:colOff>38100</xdr:colOff>
      <xdr:row>27</xdr:row>
      <xdr:rowOff>19050</xdr:rowOff>
    </xdr:to>
    <xdr:sp macro="" textlink="">
      <xdr:nvSpPr>
        <xdr:cNvPr id="569" name="Shape 7">
          <a:extLst>
            <a:ext uri="{FF2B5EF4-FFF2-40B4-BE49-F238E27FC236}">
              <a16:creationId xmlns:a16="http://schemas.microsoft.com/office/drawing/2014/main" id="{436F7E23-4D23-4C93-A6E6-B1C6E42A6792}"/>
            </a:ext>
          </a:extLst>
        </xdr:cNvPr>
        <xdr:cNvSpPr>
          <a:spLocks noChangeArrowheads="1"/>
        </xdr:cNvSpPr>
      </xdr:nvSpPr>
      <xdr:spPr bwMode="auto">
        <a:xfrm>
          <a:off x="11210925"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570" name="Shape 8">
          <a:extLst>
            <a:ext uri="{FF2B5EF4-FFF2-40B4-BE49-F238E27FC236}">
              <a16:creationId xmlns:a16="http://schemas.microsoft.com/office/drawing/2014/main" id="{AE4BCF28-088C-4D56-BCD1-6A9016E74B1E}"/>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571" name="Shape 8">
          <a:extLst>
            <a:ext uri="{FF2B5EF4-FFF2-40B4-BE49-F238E27FC236}">
              <a16:creationId xmlns:a16="http://schemas.microsoft.com/office/drawing/2014/main" id="{79612232-1D1D-4FEB-8045-14B1A3654005}"/>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72" name="Shape 5">
          <a:extLst>
            <a:ext uri="{FF2B5EF4-FFF2-40B4-BE49-F238E27FC236}">
              <a16:creationId xmlns:a16="http://schemas.microsoft.com/office/drawing/2014/main" id="{D43510C0-BAB9-4A48-B21A-230697128195}"/>
            </a:ext>
          </a:extLst>
        </xdr:cNvPr>
        <xdr:cNvSpPr>
          <a:spLocks noChangeArrowheads="1"/>
        </xdr:cNvSpPr>
      </xdr:nvSpPr>
      <xdr:spPr bwMode="auto">
        <a:xfrm>
          <a:off x="13106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73" name="Shape 5">
          <a:extLst>
            <a:ext uri="{FF2B5EF4-FFF2-40B4-BE49-F238E27FC236}">
              <a16:creationId xmlns:a16="http://schemas.microsoft.com/office/drawing/2014/main" id="{C43ED86D-1DB8-414A-B856-5B0A965A6BBB}"/>
            </a:ext>
          </a:extLst>
        </xdr:cNvPr>
        <xdr:cNvSpPr>
          <a:spLocks noChangeArrowheads="1"/>
        </xdr:cNvSpPr>
      </xdr:nvSpPr>
      <xdr:spPr bwMode="auto">
        <a:xfrm>
          <a:off x="137255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74" name="Shape 5">
          <a:extLst>
            <a:ext uri="{FF2B5EF4-FFF2-40B4-BE49-F238E27FC236}">
              <a16:creationId xmlns:a16="http://schemas.microsoft.com/office/drawing/2014/main" id="{DE006737-32C8-4DFE-9511-40B150C1A282}"/>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75" name="Shape 5">
          <a:extLst>
            <a:ext uri="{FF2B5EF4-FFF2-40B4-BE49-F238E27FC236}">
              <a16:creationId xmlns:a16="http://schemas.microsoft.com/office/drawing/2014/main" id="{AEF338CC-56ED-4A96-9257-10724341D405}"/>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76" name="Shape 5">
          <a:extLst>
            <a:ext uri="{FF2B5EF4-FFF2-40B4-BE49-F238E27FC236}">
              <a16:creationId xmlns:a16="http://schemas.microsoft.com/office/drawing/2014/main" id="{CF0FD56B-BD9F-4EBA-8B5C-1CEE37E14F24}"/>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77" name="Shape 5">
          <a:extLst>
            <a:ext uri="{FF2B5EF4-FFF2-40B4-BE49-F238E27FC236}">
              <a16:creationId xmlns:a16="http://schemas.microsoft.com/office/drawing/2014/main" id="{1A102921-94BC-44BB-86ED-D366A88D70A1}"/>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78" name="Shape 4">
          <a:extLst>
            <a:ext uri="{FF2B5EF4-FFF2-40B4-BE49-F238E27FC236}">
              <a16:creationId xmlns:a16="http://schemas.microsoft.com/office/drawing/2014/main" id="{831863DF-C3D6-43D4-9F43-F9331871D9D5}"/>
            </a:ext>
          </a:extLst>
        </xdr:cNvPr>
        <xdr:cNvSpPr>
          <a:spLocks noChangeArrowheads="1"/>
        </xdr:cNvSpPr>
      </xdr:nvSpPr>
      <xdr:spPr bwMode="auto">
        <a:xfrm>
          <a:off x="152971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27</xdr:row>
      <xdr:rowOff>-19050</xdr:rowOff>
    </xdr:from>
    <xdr:to>
      <xdr:col>12</xdr:col>
      <xdr:colOff>104775</xdr:colOff>
      <xdr:row>27</xdr:row>
      <xdr:rowOff>19050</xdr:rowOff>
    </xdr:to>
    <xdr:sp macro="" textlink="">
      <xdr:nvSpPr>
        <xdr:cNvPr id="579" name="Shape 6">
          <a:extLst>
            <a:ext uri="{FF2B5EF4-FFF2-40B4-BE49-F238E27FC236}">
              <a16:creationId xmlns:a16="http://schemas.microsoft.com/office/drawing/2014/main" id="{326D5A14-C86F-4107-AF54-DBDA2544CA32}"/>
            </a:ext>
          </a:extLst>
        </xdr:cNvPr>
        <xdr:cNvSpPr>
          <a:spLocks noChangeArrowheads="1"/>
        </xdr:cNvSpPr>
      </xdr:nvSpPr>
      <xdr:spPr bwMode="auto">
        <a:xfrm>
          <a:off x="10172700" y="194595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27</xdr:row>
      <xdr:rowOff>-19050</xdr:rowOff>
    </xdr:from>
    <xdr:to>
      <xdr:col>14</xdr:col>
      <xdr:colOff>38100</xdr:colOff>
      <xdr:row>27</xdr:row>
      <xdr:rowOff>19050</xdr:rowOff>
    </xdr:to>
    <xdr:sp macro="" textlink="">
      <xdr:nvSpPr>
        <xdr:cNvPr id="580" name="Shape 7">
          <a:extLst>
            <a:ext uri="{FF2B5EF4-FFF2-40B4-BE49-F238E27FC236}">
              <a16:creationId xmlns:a16="http://schemas.microsoft.com/office/drawing/2014/main" id="{E120AC43-E4DF-4B30-9691-40D8ECE34952}"/>
            </a:ext>
          </a:extLst>
        </xdr:cNvPr>
        <xdr:cNvSpPr>
          <a:spLocks noChangeArrowheads="1"/>
        </xdr:cNvSpPr>
      </xdr:nvSpPr>
      <xdr:spPr bwMode="auto">
        <a:xfrm>
          <a:off x="11210925"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581" name="Shape 8">
          <a:extLst>
            <a:ext uri="{FF2B5EF4-FFF2-40B4-BE49-F238E27FC236}">
              <a16:creationId xmlns:a16="http://schemas.microsoft.com/office/drawing/2014/main" id="{E22452C1-9FAC-41DB-80D0-F52E85C434CA}"/>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582" name="Shape 8">
          <a:extLst>
            <a:ext uri="{FF2B5EF4-FFF2-40B4-BE49-F238E27FC236}">
              <a16:creationId xmlns:a16="http://schemas.microsoft.com/office/drawing/2014/main" id="{93EFD068-D80C-448C-9E3A-1D52048ED296}"/>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83" name="Shape 5">
          <a:extLst>
            <a:ext uri="{FF2B5EF4-FFF2-40B4-BE49-F238E27FC236}">
              <a16:creationId xmlns:a16="http://schemas.microsoft.com/office/drawing/2014/main" id="{DB5F1BC0-8794-4E58-B3D4-98816C8A1305}"/>
            </a:ext>
          </a:extLst>
        </xdr:cNvPr>
        <xdr:cNvSpPr>
          <a:spLocks noChangeArrowheads="1"/>
        </xdr:cNvSpPr>
      </xdr:nvSpPr>
      <xdr:spPr bwMode="auto">
        <a:xfrm>
          <a:off x="13106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84" name="Shape 5">
          <a:extLst>
            <a:ext uri="{FF2B5EF4-FFF2-40B4-BE49-F238E27FC236}">
              <a16:creationId xmlns:a16="http://schemas.microsoft.com/office/drawing/2014/main" id="{1393D36D-3136-4450-83CF-C2049530D933}"/>
            </a:ext>
          </a:extLst>
        </xdr:cNvPr>
        <xdr:cNvSpPr>
          <a:spLocks noChangeArrowheads="1"/>
        </xdr:cNvSpPr>
      </xdr:nvSpPr>
      <xdr:spPr bwMode="auto">
        <a:xfrm>
          <a:off x="137255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85" name="Shape 5">
          <a:extLst>
            <a:ext uri="{FF2B5EF4-FFF2-40B4-BE49-F238E27FC236}">
              <a16:creationId xmlns:a16="http://schemas.microsoft.com/office/drawing/2014/main" id="{A3420218-2C96-4B55-A070-1B48E5FA9A4A}"/>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86" name="Shape 5">
          <a:extLst>
            <a:ext uri="{FF2B5EF4-FFF2-40B4-BE49-F238E27FC236}">
              <a16:creationId xmlns:a16="http://schemas.microsoft.com/office/drawing/2014/main" id="{039F6B6F-B2EE-4B0A-8769-8DCCEB760197}"/>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87" name="Shape 5">
          <a:extLst>
            <a:ext uri="{FF2B5EF4-FFF2-40B4-BE49-F238E27FC236}">
              <a16:creationId xmlns:a16="http://schemas.microsoft.com/office/drawing/2014/main" id="{7E3F82BC-5CE4-4359-BAF3-75498FAF872A}"/>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88" name="Shape 5">
          <a:extLst>
            <a:ext uri="{FF2B5EF4-FFF2-40B4-BE49-F238E27FC236}">
              <a16:creationId xmlns:a16="http://schemas.microsoft.com/office/drawing/2014/main" id="{94201F8F-2E66-4D12-BC71-8FE8D032C0A8}"/>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89" name="Shape 4">
          <a:extLst>
            <a:ext uri="{FF2B5EF4-FFF2-40B4-BE49-F238E27FC236}">
              <a16:creationId xmlns:a16="http://schemas.microsoft.com/office/drawing/2014/main" id="{CE98846F-714B-45E4-9D55-8C1DAAC9FA80}"/>
            </a:ext>
          </a:extLst>
        </xdr:cNvPr>
        <xdr:cNvSpPr>
          <a:spLocks noChangeArrowheads="1"/>
        </xdr:cNvSpPr>
      </xdr:nvSpPr>
      <xdr:spPr bwMode="auto">
        <a:xfrm>
          <a:off x="152971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90" name="Shape 5">
          <a:extLst>
            <a:ext uri="{FF2B5EF4-FFF2-40B4-BE49-F238E27FC236}">
              <a16:creationId xmlns:a16="http://schemas.microsoft.com/office/drawing/2014/main" id="{CC1125D0-0AF5-40F2-8FD2-00150146BDF8}"/>
            </a:ext>
          </a:extLst>
        </xdr:cNvPr>
        <xdr:cNvSpPr>
          <a:spLocks noChangeArrowheads="1"/>
        </xdr:cNvSpPr>
      </xdr:nvSpPr>
      <xdr:spPr bwMode="auto">
        <a:xfrm>
          <a:off x="158972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591" name="Shape 5">
          <a:extLst>
            <a:ext uri="{FF2B5EF4-FFF2-40B4-BE49-F238E27FC236}">
              <a16:creationId xmlns:a16="http://schemas.microsoft.com/office/drawing/2014/main" id="{1C11747E-7ECA-4F89-AC87-6F7F2E351095}"/>
            </a:ext>
          </a:extLst>
        </xdr:cNvPr>
        <xdr:cNvSpPr>
          <a:spLocks noChangeArrowheads="1"/>
        </xdr:cNvSpPr>
      </xdr:nvSpPr>
      <xdr:spPr bwMode="auto">
        <a:xfrm>
          <a:off x="165068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-9525</xdr:colOff>
      <xdr:row>27</xdr:row>
      <xdr:rowOff>0</xdr:rowOff>
    </xdr:from>
    <xdr:to>
      <xdr:col>15</xdr:col>
      <xdr:colOff>28575</xdr:colOff>
      <xdr:row>27</xdr:row>
      <xdr:rowOff>0</xdr:rowOff>
    </xdr:to>
    <xdr:sp macro="" textlink="">
      <xdr:nvSpPr>
        <xdr:cNvPr id="592" name="Shape 5">
          <a:extLst>
            <a:ext uri="{FF2B5EF4-FFF2-40B4-BE49-F238E27FC236}">
              <a16:creationId xmlns:a16="http://schemas.microsoft.com/office/drawing/2014/main" id="{F5F68AC7-F4CE-4F74-BE0D-8FD3426F00A2}"/>
            </a:ext>
          </a:extLst>
        </xdr:cNvPr>
        <xdr:cNvSpPr>
          <a:spLocks noChangeArrowheads="1"/>
        </xdr:cNvSpPr>
      </xdr:nvSpPr>
      <xdr:spPr bwMode="auto">
        <a:xfrm>
          <a:off x="171164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27</xdr:row>
      <xdr:rowOff>0</xdr:rowOff>
    </xdr:from>
    <xdr:to>
      <xdr:col>9</xdr:col>
      <xdr:colOff>28575</xdr:colOff>
      <xdr:row>27</xdr:row>
      <xdr:rowOff>0</xdr:rowOff>
    </xdr:to>
    <xdr:sp macro="" textlink="">
      <xdr:nvSpPr>
        <xdr:cNvPr id="593" name="Shape 4">
          <a:extLst>
            <a:ext uri="{FF2B5EF4-FFF2-40B4-BE49-F238E27FC236}">
              <a16:creationId xmlns:a16="http://schemas.microsoft.com/office/drawing/2014/main" id="{7C98AF3F-ACFF-44D7-87CA-A0D0FE0443F5}"/>
            </a:ext>
          </a:extLst>
        </xdr:cNvPr>
        <xdr:cNvSpPr>
          <a:spLocks noChangeArrowheads="1"/>
        </xdr:cNvSpPr>
      </xdr:nvSpPr>
      <xdr:spPr bwMode="auto">
        <a:xfrm>
          <a:off x="82200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27</xdr:row>
      <xdr:rowOff>0</xdr:rowOff>
    </xdr:from>
    <xdr:to>
      <xdr:col>9</xdr:col>
      <xdr:colOff>28575</xdr:colOff>
      <xdr:row>27</xdr:row>
      <xdr:rowOff>0</xdr:rowOff>
    </xdr:to>
    <xdr:sp macro="" textlink="">
      <xdr:nvSpPr>
        <xdr:cNvPr id="594" name="Shape 4">
          <a:extLst>
            <a:ext uri="{FF2B5EF4-FFF2-40B4-BE49-F238E27FC236}">
              <a16:creationId xmlns:a16="http://schemas.microsoft.com/office/drawing/2014/main" id="{2538C60F-B200-478B-B982-64E555288345}"/>
            </a:ext>
          </a:extLst>
        </xdr:cNvPr>
        <xdr:cNvSpPr>
          <a:spLocks noChangeArrowheads="1"/>
        </xdr:cNvSpPr>
      </xdr:nvSpPr>
      <xdr:spPr bwMode="auto">
        <a:xfrm>
          <a:off x="82200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27</xdr:row>
      <xdr:rowOff>0</xdr:rowOff>
    </xdr:from>
    <xdr:to>
      <xdr:col>9</xdr:col>
      <xdr:colOff>28575</xdr:colOff>
      <xdr:row>27</xdr:row>
      <xdr:rowOff>0</xdr:rowOff>
    </xdr:to>
    <xdr:sp macro="" textlink="">
      <xdr:nvSpPr>
        <xdr:cNvPr id="595" name="Shape 4">
          <a:extLst>
            <a:ext uri="{FF2B5EF4-FFF2-40B4-BE49-F238E27FC236}">
              <a16:creationId xmlns:a16="http://schemas.microsoft.com/office/drawing/2014/main" id="{78A4F0EF-6616-4216-B634-34FC2041E4C6}"/>
            </a:ext>
          </a:extLst>
        </xdr:cNvPr>
        <xdr:cNvSpPr>
          <a:spLocks noChangeArrowheads="1"/>
        </xdr:cNvSpPr>
      </xdr:nvSpPr>
      <xdr:spPr bwMode="auto">
        <a:xfrm>
          <a:off x="82200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27</xdr:row>
      <xdr:rowOff>0</xdr:rowOff>
    </xdr:from>
    <xdr:to>
      <xdr:col>9</xdr:col>
      <xdr:colOff>38100</xdr:colOff>
      <xdr:row>27</xdr:row>
      <xdr:rowOff>0</xdr:rowOff>
    </xdr:to>
    <xdr:sp macro="" textlink="">
      <xdr:nvSpPr>
        <xdr:cNvPr id="596" name="Shape 10">
          <a:extLst>
            <a:ext uri="{FF2B5EF4-FFF2-40B4-BE49-F238E27FC236}">
              <a16:creationId xmlns:a16="http://schemas.microsoft.com/office/drawing/2014/main" id="{95A2B94B-DDCC-4430-B48E-D704C5CC57A6}"/>
            </a:ext>
          </a:extLst>
        </xdr:cNvPr>
        <xdr:cNvSpPr>
          <a:spLocks noChangeArrowheads="1"/>
        </xdr:cNvSpPr>
      </xdr:nvSpPr>
      <xdr:spPr bwMode="auto">
        <a:xfrm>
          <a:off x="82296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27</xdr:row>
      <xdr:rowOff>0</xdr:rowOff>
    </xdr:from>
    <xdr:to>
      <xdr:col>9</xdr:col>
      <xdr:colOff>38100</xdr:colOff>
      <xdr:row>27</xdr:row>
      <xdr:rowOff>0</xdr:rowOff>
    </xdr:to>
    <xdr:sp macro="" textlink="">
      <xdr:nvSpPr>
        <xdr:cNvPr id="597" name="Shape 10">
          <a:extLst>
            <a:ext uri="{FF2B5EF4-FFF2-40B4-BE49-F238E27FC236}">
              <a16:creationId xmlns:a16="http://schemas.microsoft.com/office/drawing/2014/main" id="{F0338B2D-0B04-4092-80DB-A2E058D4311E}"/>
            </a:ext>
          </a:extLst>
        </xdr:cNvPr>
        <xdr:cNvSpPr>
          <a:spLocks noChangeArrowheads="1"/>
        </xdr:cNvSpPr>
      </xdr:nvSpPr>
      <xdr:spPr bwMode="auto">
        <a:xfrm>
          <a:off x="82296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27</xdr:row>
      <xdr:rowOff>0</xdr:rowOff>
    </xdr:from>
    <xdr:to>
      <xdr:col>9</xdr:col>
      <xdr:colOff>38100</xdr:colOff>
      <xdr:row>27</xdr:row>
      <xdr:rowOff>0</xdr:rowOff>
    </xdr:to>
    <xdr:sp macro="" textlink="">
      <xdr:nvSpPr>
        <xdr:cNvPr id="598" name="Shape 10">
          <a:extLst>
            <a:ext uri="{FF2B5EF4-FFF2-40B4-BE49-F238E27FC236}">
              <a16:creationId xmlns:a16="http://schemas.microsoft.com/office/drawing/2014/main" id="{71FD899A-272B-4137-B9D4-9D2700D87494}"/>
            </a:ext>
          </a:extLst>
        </xdr:cNvPr>
        <xdr:cNvSpPr>
          <a:spLocks noChangeArrowheads="1"/>
        </xdr:cNvSpPr>
      </xdr:nvSpPr>
      <xdr:spPr bwMode="auto">
        <a:xfrm>
          <a:off x="82296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27</xdr:row>
      <xdr:rowOff>0</xdr:rowOff>
    </xdr:from>
    <xdr:to>
      <xdr:col>9</xdr:col>
      <xdr:colOff>38100</xdr:colOff>
      <xdr:row>27</xdr:row>
      <xdr:rowOff>0</xdr:rowOff>
    </xdr:to>
    <xdr:sp macro="" textlink="">
      <xdr:nvSpPr>
        <xdr:cNvPr id="599" name="Shape 10">
          <a:extLst>
            <a:ext uri="{FF2B5EF4-FFF2-40B4-BE49-F238E27FC236}">
              <a16:creationId xmlns:a16="http://schemas.microsoft.com/office/drawing/2014/main" id="{9F8FC3DC-5F6C-47CD-9189-39D04252369A}"/>
            </a:ext>
          </a:extLst>
        </xdr:cNvPr>
        <xdr:cNvSpPr>
          <a:spLocks noChangeArrowheads="1"/>
        </xdr:cNvSpPr>
      </xdr:nvSpPr>
      <xdr:spPr bwMode="auto">
        <a:xfrm>
          <a:off x="82296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27</xdr:row>
      <xdr:rowOff>0</xdr:rowOff>
    </xdr:from>
    <xdr:to>
      <xdr:col>10</xdr:col>
      <xdr:colOff>38100</xdr:colOff>
      <xdr:row>27</xdr:row>
      <xdr:rowOff>0</xdr:rowOff>
    </xdr:to>
    <xdr:sp macro="" textlink="">
      <xdr:nvSpPr>
        <xdr:cNvPr id="600" name="Shape 10">
          <a:extLst>
            <a:ext uri="{FF2B5EF4-FFF2-40B4-BE49-F238E27FC236}">
              <a16:creationId xmlns:a16="http://schemas.microsoft.com/office/drawing/2014/main" id="{BBD91EE2-3B83-4E89-8A5B-378189BA8186}"/>
            </a:ext>
          </a:extLst>
        </xdr:cNvPr>
        <xdr:cNvSpPr>
          <a:spLocks noChangeArrowheads="1"/>
        </xdr:cNvSpPr>
      </xdr:nvSpPr>
      <xdr:spPr bwMode="auto">
        <a:xfrm>
          <a:off x="88963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27</xdr:row>
      <xdr:rowOff>0</xdr:rowOff>
    </xdr:from>
    <xdr:to>
      <xdr:col>10</xdr:col>
      <xdr:colOff>38100</xdr:colOff>
      <xdr:row>27</xdr:row>
      <xdr:rowOff>0</xdr:rowOff>
    </xdr:to>
    <xdr:sp macro="" textlink="">
      <xdr:nvSpPr>
        <xdr:cNvPr id="601" name="Shape 10">
          <a:extLst>
            <a:ext uri="{FF2B5EF4-FFF2-40B4-BE49-F238E27FC236}">
              <a16:creationId xmlns:a16="http://schemas.microsoft.com/office/drawing/2014/main" id="{8E54CC3F-60AA-4098-AD23-D8EC7DACA7C9}"/>
            </a:ext>
          </a:extLst>
        </xdr:cNvPr>
        <xdr:cNvSpPr>
          <a:spLocks noChangeArrowheads="1"/>
        </xdr:cNvSpPr>
      </xdr:nvSpPr>
      <xdr:spPr bwMode="auto">
        <a:xfrm>
          <a:off x="88963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27</xdr:row>
      <xdr:rowOff>0</xdr:rowOff>
    </xdr:from>
    <xdr:to>
      <xdr:col>11</xdr:col>
      <xdr:colOff>28575</xdr:colOff>
      <xdr:row>27</xdr:row>
      <xdr:rowOff>0</xdr:rowOff>
    </xdr:to>
    <xdr:sp macro="" textlink="">
      <xdr:nvSpPr>
        <xdr:cNvPr id="602" name="Shape 5">
          <a:extLst>
            <a:ext uri="{FF2B5EF4-FFF2-40B4-BE49-F238E27FC236}">
              <a16:creationId xmlns:a16="http://schemas.microsoft.com/office/drawing/2014/main" id="{3E7416A0-C00F-4FEB-B2D3-C2AE7CE10DB8}"/>
            </a:ext>
          </a:extLst>
        </xdr:cNvPr>
        <xdr:cNvSpPr>
          <a:spLocks noChangeArrowheads="1"/>
        </xdr:cNvSpPr>
      </xdr:nvSpPr>
      <xdr:spPr bwMode="auto">
        <a:xfrm>
          <a:off x="94297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27</xdr:row>
      <xdr:rowOff>0</xdr:rowOff>
    </xdr:from>
    <xdr:to>
      <xdr:col>11</xdr:col>
      <xdr:colOff>28575</xdr:colOff>
      <xdr:row>27</xdr:row>
      <xdr:rowOff>0</xdr:rowOff>
    </xdr:to>
    <xdr:sp macro="" textlink="">
      <xdr:nvSpPr>
        <xdr:cNvPr id="603" name="Shape 5">
          <a:extLst>
            <a:ext uri="{FF2B5EF4-FFF2-40B4-BE49-F238E27FC236}">
              <a16:creationId xmlns:a16="http://schemas.microsoft.com/office/drawing/2014/main" id="{C15CAE00-22F6-4504-A36D-F351770CEED1}"/>
            </a:ext>
          </a:extLst>
        </xdr:cNvPr>
        <xdr:cNvSpPr>
          <a:spLocks noChangeArrowheads="1"/>
        </xdr:cNvSpPr>
      </xdr:nvSpPr>
      <xdr:spPr bwMode="auto">
        <a:xfrm>
          <a:off x="94297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27</xdr:row>
      <xdr:rowOff>-19050</xdr:rowOff>
    </xdr:from>
    <xdr:to>
      <xdr:col>12</xdr:col>
      <xdr:colOff>104775</xdr:colOff>
      <xdr:row>27</xdr:row>
      <xdr:rowOff>19050</xdr:rowOff>
    </xdr:to>
    <xdr:sp macro="" textlink="">
      <xdr:nvSpPr>
        <xdr:cNvPr id="604" name="Shape 6">
          <a:extLst>
            <a:ext uri="{FF2B5EF4-FFF2-40B4-BE49-F238E27FC236}">
              <a16:creationId xmlns:a16="http://schemas.microsoft.com/office/drawing/2014/main" id="{F1E69B14-4CA9-471C-AFFF-F24C9F423122}"/>
            </a:ext>
          </a:extLst>
        </xdr:cNvPr>
        <xdr:cNvSpPr>
          <a:spLocks noChangeArrowheads="1"/>
        </xdr:cNvSpPr>
      </xdr:nvSpPr>
      <xdr:spPr bwMode="auto">
        <a:xfrm>
          <a:off x="10172700" y="194595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27</xdr:row>
      <xdr:rowOff>-19050</xdr:rowOff>
    </xdr:from>
    <xdr:to>
      <xdr:col>12</xdr:col>
      <xdr:colOff>104775</xdr:colOff>
      <xdr:row>27</xdr:row>
      <xdr:rowOff>19050</xdr:rowOff>
    </xdr:to>
    <xdr:sp macro="" textlink="">
      <xdr:nvSpPr>
        <xdr:cNvPr id="605" name="Shape 6">
          <a:extLst>
            <a:ext uri="{FF2B5EF4-FFF2-40B4-BE49-F238E27FC236}">
              <a16:creationId xmlns:a16="http://schemas.microsoft.com/office/drawing/2014/main" id="{38EDEC3F-BBC1-49BA-83C0-588C76825127}"/>
            </a:ext>
          </a:extLst>
        </xdr:cNvPr>
        <xdr:cNvSpPr>
          <a:spLocks noChangeArrowheads="1"/>
        </xdr:cNvSpPr>
      </xdr:nvSpPr>
      <xdr:spPr bwMode="auto">
        <a:xfrm>
          <a:off x="10172700" y="194595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27</xdr:row>
      <xdr:rowOff>-19050</xdr:rowOff>
    </xdr:from>
    <xdr:to>
      <xdr:col>14</xdr:col>
      <xdr:colOff>38100</xdr:colOff>
      <xdr:row>27</xdr:row>
      <xdr:rowOff>19050</xdr:rowOff>
    </xdr:to>
    <xdr:sp macro="" textlink="">
      <xdr:nvSpPr>
        <xdr:cNvPr id="606" name="Shape 7">
          <a:extLst>
            <a:ext uri="{FF2B5EF4-FFF2-40B4-BE49-F238E27FC236}">
              <a16:creationId xmlns:a16="http://schemas.microsoft.com/office/drawing/2014/main" id="{B9DC7546-7A1C-46E3-B3C2-BCB533E63A88}"/>
            </a:ext>
          </a:extLst>
        </xdr:cNvPr>
        <xdr:cNvSpPr>
          <a:spLocks noChangeArrowheads="1"/>
        </xdr:cNvSpPr>
      </xdr:nvSpPr>
      <xdr:spPr bwMode="auto">
        <a:xfrm>
          <a:off x="11210925"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27</xdr:row>
      <xdr:rowOff>-19050</xdr:rowOff>
    </xdr:from>
    <xdr:to>
      <xdr:col>14</xdr:col>
      <xdr:colOff>38100</xdr:colOff>
      <xdr:row>27</xdr:row>
      <xdr:rowOff>19050</xdr:rowOff>
    </xdr:to>
    <xdr:sp macro="" textlink="">
      <xdr:nvSpPr>
        <xdr:cNvPr id="607" name="Shape 7">
          <a:extLst>
            <a:ext uri="{FF2B5EF4-FFF2-40B4-BE49-F238E27FC236}">
              <a16:creationId xmlns:a16="http://schemas.microsoft.com/office/drawing/2014/main" id="{E72C0362-51F5-44AE-B9C5-13B086A2385E}"/>
            </a:ext>
          </a:extLst>
        </xdr:cNvPr>
        <xdr:cNvSpPr>
          <a:spLocks noChangeArrowheads="1"/>
        </xdr:cNvSpPr>
      </xdr:nvSpPr>
      <xdr:spPr bwMode="auto">
        <a:xfrm>
          <a:off x="11210925"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608" name="Shape 8">
          <a:extLst>
            <a:ext uri="{FF2B5EF4-FFF2-40B4-BE49-F238E27FC236}">
              <a16:creationId xmlns:a16="http://schemas.microsoft.com/office/drawing/2014/main" id="{3DACD704-E3AD-48CA-8A42-F6DB16F1629D}"/>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609" name="Shape 8">
          <a:extLst>
            <a:ext uri="{FF2B5EF4-FFF2-40B4-BE49-F238E27FC236}">
              <a16:creationId xmlns:a16="http://schemas.microsoft.com/office/drawing/2014/main" id="{5851E0E9-8C6C-4A44-8750-19389298AB61}"/>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10" name="Shape 9">
          <a:extLst>
            <a:ext uri="{FF2B5EF4-FFF2-40B4-BE49-F238E27FC236}">
              <a16:creationId xmlns:a16="http://schemas.microsoft.com/office/drawing/2014/main" id="{43D88388-7A87-48BA-A5F7-D509BF73200F}"/>
            </a:ext>
          </a:extLst>
        </xdr:cNvPr>
        <xdr:cNvSpPr>
          <a:spLocks noChangeArrowheads="1"/>
        </xdr:cNvSpPr>
      </xdr:nvSpPr>
      <xdr:spPr bwMode="auto">
        <a:xfrm>
          <a:off x="130968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11" name="Shape 9">
          <a:extLst>
            <a:ext uri="{FF2B5EF4-FFF2-40B4-BE49-F238E27FC236}">
              <a16:creationId xmlns:a16="http://schemas.microsoft.com/office/drawing/2014/main" id="{E1918BBC-AC51-4DE3-B1B4-C0FB1A8E4CA7}"/>
            </a:ext>
          </a:extLst>
        </xdr:cNvPr>
        <xdr:cNvSpPr>
          <a:spLocks noChangeArrowheads="1"/>
        </xdr:cNvSpPr>
      </xdr:nvSpPr>
      <xdr:spPr bwMode="auto">
        <a:xfrm>
          <a:off x="130968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12" name="Shape 9">
          <a:extLst>
            <a:ext uri="{FF2B5EF4-FFF2-40B4-BE49-F238E27FC236}">
              <a16:creationId xmlns:a16="http://schemas.microsoft.com/office/drawing/2014/main" id="{8291961D-91A9-4E79-AA5B-D7155C68C427}"/>
            </a:ext>
          </a:extLst>
        </xdr:cNvPr>
        <xdr:cNvSpPr>
          <a:spLocks noChangeArrowheads="1"/>
        </xdr:cNvSpPr>
      </xdr:nvSpPr>
      <xdr:spPr bwMode="auto">
        <a:xfrm>
          <a:off x="130968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13" name="Shape 9">
          <a:extLst>
            <a:ext uri="{FF2B5EF4-FFF2-40B4-BE49-F238E27FC236}">
              <a16:creationId xmlns:a16="http://schemas.microsoft.com/office/drawing/2014/main" id="{0E08CE6D-48CD-45FE-B906-C9108683647C}"/>
            </a:ext>
          </a:extLst>
        </xdr:cNvPr>
        <xdr:cNvSpPr>
          <a:spLocks noChangeArrowheads="1"/>
        </xdr:cNvSpPr>
      </xdr:nvSpPr>
      <xdr:spPr bwMode="auto">
        <a:xfrm>
          <a:off x="130968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14" name="Shape 9">
          <a:extLst>
            <a:ext uri="{FF2B5EF4-FFF2-40B4-BE49-F238E27FC236}">
              <a16:creationId xmlns:a16="http://schemas.microsoft.com/office/drawing/2014/main" id="{E4852342-AD4C-41AB-A192-7A3C8F655CB2}"/>
            </a:ext>
          </a:extLst>
        </xdr:cNvPr>
        <xdr:cNvSpPr>
          <a:spLocks noChangeArrowheads="1"/>
        </xdr:cNvSpPr>
      </xdr:nvSpPr>
      <xdr:spPr bwMode="auto">
        <a:xfrm>
          <a:off x="137160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15" name="Shape 9">
          <a:extLst>
            <a:ext uri="{FF2B5EF4-FFF2-40B4-BE49-F238E27FC236}">
              <a16:creationId xmlns:a16="http://schemas.microsoft.com/office/drawing/2014/main" id="{72796D19-B459-4881-B334-598984CF94B3}"/>
            </a:ext>
          </a:extLst>
        </xdr:cNvPr>
        <xdr:cNvSpPr>
          <a:spLocks noChangeArrowheads="1"/>
        </xdr:cNvSpPr>
      </xdr:nvSpPr>
      <xdr:spPr bwMode="auto">
        <a:xfrm>
          <a:off x="137160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16" name="Shape 5">
          <a:extLst>
            <a:ext uri="{FF2B5EF4-FFF2-40B4-BE49-F238E27FC236}">
              <a16:creationId xmlns:a16="http://schemas.microsoft.com/office/drawing/2014/main" id="{3A4F9EF0-56F9-4A19-A199-770231E6FFF8}"/>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17" name="Shape 5">
          <a:extLst>
            <a:ext uri="{FF2B5EF4-FFF2-40B4-BE49-F238E27FC236}">
              <a16:creationId xmlns:a16="http://schemas.microsoft.com/office/drawing/2014/main" id="{AF4C60C1-C195-4717-AD79-63AFBD5441D5}"/>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18" name="Shape 9">
          <a:extLst>
            <a:ext uri="{FF2B5EF4-FFF2-40B4-BE49-F238E27FC236}">
              <a16:creationId xmlns:a16="http://schemas.microsoft.com/office/drawing/2014/main" id="{65A44B31-4F99-48B3-97A2-9AC51E617302}"/>
            </a:ext>
          </a:extLst>
        </xdr:cNvPr>
        <xdr:cNvSpPr>
          <a:spLocks noChangeArrowheads="1"/>
        </xdr:cNvSpPr>
      </xdr:nvSpPr>
      <xdr:spPr bwMode="auto">
        <a:xfrm>
          <a:off x="141541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19" name="Shape 9">
          <a:extLst>
            <a:ext uri="{FF2B5EF4-FFF2-40B4-BE49-F238E27FC236}">
              <a16:creationId xmlns:a16="http://schemas.microsoft.com/office/drawing/2014/main" id="{0498F1C3-DACC-4BE4-9A70-8F59F2E1A864}"/>
            </a:ext>
          </a:extLst>
        </xdr:cNvPr>
        <xdr:cNvSpPr>
          <a:spLocks noChangeArrowheads="1"/>
        </xdr:cNvSpPr>
      </xdr:nvSpPr>
      <xdr:spPr bwMode="auto">
        <a:xfrm>
          <a:off x="141541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20" name="Shape 5">
          <a:extLst>
            <a:ext uri="{FF2B5EF4-FFF2-40B4-BE49-F238E27FC236}">
              <a16:creationId xmlns:a16="http://schemas.microsoft.com/office/drawing/2014/main" id="{0B89625C-8A89-44C0-9232-3276417C8399}"/>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21" name="Shape 5">
          <a:extLst>
            <a:ext uri="{FF2B5EF4-FFF2-40B4-BE49-F238E27FC236}">
              <a16:creationId xmlns:a16="http://schemas.microsoft.com/office/drawing/2014/main" id="{A8B934B6-FD35-42FC-ACAA-2FB1B0216400}"/>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22" name="Shape 9">
          <a:extLst>
            <a:ext uri="{FF2B5EF4-FFF2-40B4-BE49-F238E27FC236}">
              <a16:creationId xmlns:a16="http://schemas.microsoft.com/office/drawing/2014/main" id="{B9033269-3C42-4E83-A39A-A20BB3FA6DA7}"/>
            </a:ext>
          </a:extLst>
        </xdr:cNvPr>
        <xdr:cNvSpPr>
          <a:spLocks noChangeArrowheads="1"/>
        </xdr:cNvSpPr>
      </xdr:nvSpPr>
      <xdr:spPr bwMode="auto">
        <a:xfrm>
          <a:off x="146208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23" name="Shape 9">
          <a:extLst>
            <a:ext uri="{FF2B5EF4-FFF2-40B4-BE49-F238E27FC236}">
              <a16:creationId xmlns:a16="http://schemas.microsoft.com/office/drawing/2014/main" id="{97B7FD0A-E83B-4179-AE96-B6FEBF7323DC}"/>
            </a:ext>
          </a:extLst>
        </xdr:cNvPr>
        <xdr:cNvSpPr>
          <a:spLocks noChangeArrowheads="1"/>
        </xdr:cNvSpPr>
      </xdr:nvSpPr>
      <xdr:spPr bwMode="auto">
        <a:xfrm>
          <a:off x="146208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24" name="Shape 4">
          <a:extLst>
            <a:ext uri="{FF2B5EF4-FFF2-40B4-BE49-F238E27FC236}">
              <a16:creationId xmlns:a16="http://schemas.microsoft.com/office/drawing/2014/main" id="{1BADFAAE-39AD-41D1-A35F-916877DD4FFC}"/>
            </a:ext>
          </a:extLst>
        </xdr:cNvPr>
        <xdr:cNvSpPr>
          <a:spLocks noChangeArrowheads="1"/>
        </xdr:cNvSpPr>
      </xdr:nvSpPr>
      <xdr:spPr bwMode="auto">
        <a:xfrm>
          <a:off x="152971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25" name="Shape 4">
          <a:extLst>
            <a:ext uri="{FF2B5EF4-FFF2-40B4-BE49-F238E27FC236}">
              <a16:creationId xmlns:a16="http://schemas.microsoft.com/office/drawing/2014/main" id="{DC05FDB1-2440-4598-86B5-471FEA1783F6}"/>
            </a:ext>
          </a:extLst>
        </xdr:cNvPr>
        <xdr:cNvSpPr>
          <a:spLocks noChangeArrowheads="1"/>
        </xdr:cNvSpPr>
      </xdr:nvSpPr>
      <xdr:spPr bwMode="auto">
        <a:xfrm>
          <a:off x="152971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27</xdr:row>
      <xdr:rowOff>0</xdr:rowOff>
    </xdr:from>
    <xdr:to>
      <xdr:col>9</xdr:col>
      <xdr:colOff>28575</xdr:colOff>
      <xdr:row>27</xdr:row>
      <xdr:rowOff>0</xdr:rowOff>
    </xdr:to>
    <xdr:sp macro="" textlink="">
      <xdr:nvSpPr>
        <xdr:cNvPr id="626" name="Shape 4">
          <a:extLst>
            <a:ext uri="{FF2B5EF4-FFF2-40B4-BE49-F238E27FC236}">
              <a16:creationId xmlns:a16="http://schemas.microsoft.com/office/drawing/2014/main" id="{B0CE6FFC-6E73-4DCC-835B-E6E875EF3D8E}"/>
            </a:ext>
          </a:extLst>
        </xdr:cNvPr>
        <xdr:cNvSpPr>
          <a:spLocks noChangeArrowheads="1"/>
        </xdr:cNvSpPr>
      </xdr:nvSpPr>
      <xdr:spPr bwMode="auto">
        <a:xfrm>
          <a:off x="82200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-9525</xdr:colOff>
      <xdr:row>27</xdr:row>
      <xdr:rowOff>0</xdr:rowOff>
    </xdr:from>
    <xdr:to>
      <xdr:col>9</xdr:col>
      <xdr:colOff>28575</xdr:colOff>
      <xdr:row>27</xdr:row>
      <xdr:rowOff>0</xdr:rowOff>
    </xdr:to>
    <xdr:sp macro="" textlink="">
      <xdr:nvSpPr>
        <xdr:cNvPr id="627" name="Shape 4">
          <a:extLst>
            <a:ext uri="{FF2B5EF4-FFF2-40B4-BE49-F238E27FC236}">
              <a16:creationId xmlns:a16="http://schemas.microsoft.com/office/drawing/2014/main" id="{E5E41DAA-E6CA-407B-A562-CF2CBFD5518E}"/>
            </a:ext>
          </a:extLst>
        </xdr:cNvPr>
        <xdr:cNvSpPr>
          <a:spLocks noChangeArrowheads="1"/>
        </xdr:cNvSpPr>
      </xdr:nvSpPr>
      <xdr:spPr bwMode="auto">
        <a:xfrm>
          <a:off x="82200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27</xdr:row>
      <xdr:rowOff>0</xdr:rowOff>
    </xdr:from>
    <xdr:to>
      <xdr:col>9</xdr:col>
      <xdr:colOff>38100</xdr:colOff>
      <xdr:row>27</xdr:row>
      <xdr:rowOff>0</xdr:rowOff>
    </xdr:to>
    <xdr:sp macro="" textlink="">
      <xdr:nvSpPr>
        <xdr:cNvPr id="628" name="Shape 10">
          <a:extLst>
            <a:ext uri="{FF2B5EF4-FFF2-40B4-BE49-F238E27FC236}">
              <a16:creationId xmlns:a16="http://schemas.microsoft.com/office/drawing/2014/main" id="{67E01210-9C79-49FC-B7EE-747120D0C1D4}"/>
            </a:ext>
          </a:extLst>
        </xdr:cNvPr>
        <xdr:cNvSpPr>
          <a:spLocks noChangeArrowheads="1"/>
        </xdr:cNvSpPr>
      </xdr:nvSpPr>
      <xdr:spPr bwMode="auto">
        <a:xfrm>
          <a:off x="82296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7</xdr:col>
      <xdr:colOff>733425</xdr:colOff>
      <xdr:row>27</xdr:row>
      <xdr:rowOff>0</xdr:rowOff>
    </xdr:from>
    <xdr:to>
      <xdr:col>9</xdr:col>
      <xdr:colOff>38100</xdr:colOff>
      <xdr:row>27</xdr:row>
      <xdr:rowOff>0</xdr:rowOff>
    </xdr:to>
    <xdr:sp macro="" textlink="">
      <xdr:nvSpPr>
        <xdr:cNvPr id="629" name="Shape 10">
          <a:extLst>
            <a:ext uri="{FF2B5EF4-FFF2-40B4-BE49-F238E27FC236}">
              <a16:creationId xmlns:a16="http://schemas.microsoft.com/office/drawing/2014/main" id="{D39D83EE-437C-4E6D-9855-DA48026DC6CE}"/>
            </a:ext>
          </a:extLst>
        </xdr:cNvPr>
        <xdr:cNvSpPr>
          <a:spLocks noChangeArrowheads="1"/>
        </xdr:cNvSpPr>
      </xdr:nvSpPr>
      <xdr:spPr bwMode="auto">
        <a:xfrm>
          <a:off x="82296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27</xdr:row>
      <xdr:rowOff>0</xdr:rowOff>
    </xdr:from>
    <xdr:to>
      <xdr:col>9</xdr:col>
      <xdr:colOff>38100</xdr:colOff>
      <xdr:row>27</xdr:row>
      <xdr:rowOff>0</xdr:rowOff>
    </xdr:to>
    <xdr:sp macro="" textlink="">
      <xdr:nvSpPr>
        <xdr:cNvPr id="630" name="Shape 10">
          <a:extLst>
            <a:ext uri="{FF2B5EF4-FFF2-40B4-BE49-F238E27FC236}">
              <a16:creationId xmlns:a16="http://schemas.microsoft.com/office/drawing/2014/main" id="{73B293CC-6F41-4089-A662-3F3A44DD0DA2}"/>
            </a:ext>
          </a:extLst>
        </xdr:cNvPr>
        <xdr:cNvSpPr>
          <a:spLocks noChangeArrowheads="1"/>
        </xdr:cNvSpPr>
      </xdr:nvSpPr>
      <xdr:spPr bwMode="auto">
        <a:xfrm>
          <a:off x="82296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8</xdr:col>
      <xdr:colOff>733425</xdr:colOff>
      <xdr:row>27</xdr:row>
      <xdr:rowOff>0</xdr:rowOff>
    </xdr:from>
    <xdr:to>
      <xdr:col>9</xdr:col>
      <xdr:colOff>38100</xdr:colOff>
      <xdr:row>27</xdr:row>
      <xdr:rowOff>0</xdr:rowOff>
    </xdr:to>
    <xdr:sp macro="" textlink="">
      <xdr:nvSpPr>
        <xdr:cNvPr id="631" name="Shape 10">
          <a:extLst>
            <a:ext uri="{FF2B5EF4-FFF2-40B4-BE49-F238E27FC236}">
              <a16:creationId xmlns:a16="http://schemas.microsoft.com/office/drawing/2014/main" id="{0006D850-DC1B-4761-A496-65A5243F13C4}"/>
            </a:ext>
          </a:extLst>
        </xdr:cNvPr>
        <xdr:cNvSpPr>
          <a:spLocks noChangeArrowheads="1"/>
        </xdr:cNvSpPr>
      </xdr:nvSpPr>
      <xdr:spPr bwMode="auto">
        <a:xfrm>
          <a:off x="82296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27</xdr:row>
      <xdr:rowOff>0</xdr:rowOff>
    </xdr:from>
    <xdr:to>
      <xdr:col>10</xdr:col>
      <xdr:colOff>38100</xdr:colOff>
      <xdr:row>27</xdr:row>
      <xdr:rowOff>0</xdr:rowOff>
    </xdr:to>
    <xdr:sp macro="" textlink="">
      <xdr:nvSpPr>
        <xdr:cNvPr id="632" name="Shape 10">
          <a:extLst>
            <a:ext uri="{FF2B5EF4-FFF2-40B4-BE49-F238E27FC236}">
              <a16:creationId xmlns:a16="http://schemas.microsoft.com/office/drawing/2014/main" id="{3CC3A718-6DBD-4C8D-8791-58616CD3F976}"/>
            </a:ext>
          </a:extLst>
        </xdr:cNvPr>
        <xdr:cNvSpPr>
          <a:spLocks noChangeArrowheads="1"/>
        </xdr:cNvSpPr>
      </xdr:nvSpPr>
      <xdr:spPr bwMode="auto">
        <a:xfrm>
          <a:off x="88963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27</xdr:row>
      <xdr:rowOff>0</xdr:rowOff>
    </xdr:from>
    <xdr:to>
      <xdr:col>10</xdr:col>
      <xdr:colOff>38100</xdr:colOff>
      <xdr:row>27</xdr:row>
      <xdr:rowOff>0</xdr:rowOff>
    </xdr:to>
    <xdr:sp macro="" textlink="">
      <xdr:nvSpPr>
        <xdr:cNvPr id="633" name="Shape 10">
          <a:extLst>
            <a:ext uri="{FF2B5EF4-FFF2-40B4-BE49-F238E27FC236}">
              <a16:creationId xmlns:a16="http://schemas.microsoft.com/office/drawing/2014/main" id="{918A562F-CDF0-4CE4-BECE-F7F9DD722D42}"/>
            </a:ext>
          </a:extLst>
        </xdr:cNvPr>
        <xdr:cNvSpPr>
          <a:spLocks noChangeArrowheads="1"/>
        </xdr:cNvSpPr>
      </xdr:nvSpPr>
      <xdr:spPr bwMode="auto">
        <a:xfrm>
          <a:off x="88963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27</xdr:row>
      <xdr:rowOff>0</xdr:rowOff>
    </xdr:from>
    <xdr:to>
      <xdr:col>11</xdr:col>
      <xdr:colOff>28575</xdr:colOff>
      <xdr:row>27</xdr:row>
      <xdr:rowOff>0</xdr:rowOff>
    </xdr:to>
    <xdr:sp macro="" textlink="">
      <xdr:nvSpPr>
        <xdr:cNvPr id="634" name="Shape 5">
          <a:extLst>
            <a:ext uri="{FF2B5EF4-FFF2-40B4-BE49-F238E27FC236}">
              <a16:creationId xmlns:a16="http://schemas.microsoft.com/office/drawing/2014/main" id="{D3D7CD7E-2211-4F57-BCCD-10D328BECC11}"/>
            </a:ext>
          </a:extLst>
        </xdr:cNvPr>
        <xdr:cNvSpPr>
          <a:spLocks noChangeArrowheads="1"/>
        </xdr:cNvSpPr>
      </xdr:nvSpPr>
      <xdr:spPr bwMode="auto">
        <a:xfrm>
          <a:off x="94297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-9525</xdr:colOff>
      <xdr:row>27</xdr:row>
      <xdr:rowOff>0</xdr:rowOff>
    </xdr:from>
    <xdr:to>
      <xdr:col>11</xdr:col>
      <xdr:colOff>28575</xdr:colOff>
      <xdr:row>27</xdr:row>
      <xdr:rowOff>0</xdr:rowOff>
    </xdr:to>
    <xdr:sp macro="" textlink="">
      <xdr:nvSpPr>
        <xdr:cNvPr id="635" name="Shape 5">
          <a:extLst>
            <a:ext uri="{FF2B5EF4-FFF2-40B4-BE49-F238E27FC236}">
              <a16:creationId xmlns:a16="http://schemas.microsoft.com/office/drawing/2014/main" id="{469F9193-27F8-425F-A5FD-2DA335367FC7}"/>
            </a:ext>
          </a:extLst>
        </xdr:cNvPr>
        <xdr:cNvSpPr>
          <a:spLocks noChangeArrowheads="1"/>
        </xdr:cNvSpPr>
      </xdr:nvSpPr>
      <xdr:spPr bwMode="auto">
        <a:xfrm>
          <a:off x="94297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27</xdr:row>
      <xdr:rowOff>-19050</xdr:rowOff>
    </xdr:from>
    <xdr:to>
      <xdr:col>12</xdr:col>
      <xdr:colOff>104775</xdr:colOff>
      <xdr:row>27</xdr:row>
      <xdr:rowOff>19050</xdr:rowOff>
    </xdr:to>
    <xdr:sp macro="" textlink="">
      <xdr:nvSpPr>
        <xdr:cNvPr id="636" name="Shape 6">
          <a:extLst>
            <a:ext uri="{FF2B5EF4-FFF2-40B4-BE49-F238E27FC236}">
              <a16:creationId xmlns:a16="http://schemas.microsoft.com/office/drawing/2014/main" id="{1E831159-9AE1-42B4-808F-F9B7C6D06411}"/>
            </a:ext>
          </a:extLst>
        </xdr:cNvPr>
        <xdr:cNvSpPr>
          <a:spLocks noChangeArrowheads="1"/>
        </xdr:cNvSpPr>
      </xdr:nvSpPr>
      <xdr:spPr bwMode="auto">
        <a:xfrm>
          <a:off x="10172700" y="194595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27</xdr:row>
      <xdr:rowOff>-19050</xdr:rowOff>
    </xdr:from>
    <xdr:to>
      <xdr:col>12</xdr:col>
      <xdr:colOff>104775</xdr:colOff>
      <xdr:row>27</xdr:row>
      <xdr:rowOff>19050</xdr:rowOff>
    </xdr:to>
    <xdr:sp macro="" textlink="">
      <xdr:nvSpPr>
        <xdr:cNvPr id="637" name="Shape 6">
          <a:extLst>
            <a:ext uri="{FF2B5EF4-FFF2-40B4-BE49-F238E27FC236}">
              <a16:creationId xmlns:a16="http://schemas.microsoft.com/office/drawing/2014/main" id="{C9A95887-8E4E-4F99-9C0A-F539AB1CE78A}"/>
            </a:ext>
          </a:extLst>
        </xdr:cNvPr>
        <xdr:cNvSpPr>
          <a:spLocks noChangeArrowheads="1"/>
        </xdr:cNvSpPr>
      </xdr:nvSpPr>
      <xdr:spPr bwMode="auto">
        <a:xfrm>
          <a:off x="10172700" y="194595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-9525</xdr:colOff>
      <xdr:row>27</xdr:row>
      <xdr:rowOff>0</xdr:rowOff>
    </xdr:from>
    <xdr:to>
      <xdr:col>13</xdr:col>
      <xdr:colOff>28575</xdr:colOff>
      <xdr:row>27</xdr:row>
      <xdr:rowOff>0</xdr:rowOff>
    </xdr:to>
    <xdr:sp macro="" textlink="">
      <xdr:nvSpPr>
        <xdr:cNvPr id="638" name="Shape 5">
          <a:extLst>
            <a:ext uri="{FF2B5EF4-FFF2-40B4-BE49-F238E27FC236}">
              <a16:creationId xmlns:a16="http://schemas.microsoft.com/office/drawing/2014/main" id="{E8193766-5E27-44BA-8149-F05DA7207E0F}"/>
            </a:ext>
          </a:extLst>
        </xdr:cNvPr>
        <xdr:cNvSpPr>
          <a:spLocks noChangeArrowheads="1"/>
        </xdr:cNvSpPr>
      </xdr:nvSpPr>
      <xdr:spPr bwMode="auto">
        <a:xfrm>
          <a:off x="105251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-9525</xdr:colOff>
      <xdr:row>27</xdr:row>
      <xdr:rowOff>0</xdr:rowOff>
    </xdr:from>
    <xdr:to>
      <xdr:col>13</xdr:col>
      <xdr:colOff>28575</xdr:colOff>
      <xdr:row>27</xdr:row>
      <xdr:rowOff>0</xdr:rowOff>
    </xdr:to>
    <xdr:sp macro="" textlink="">
      <xdr:nvSpPr>
        <xdr:cNvPr id="639" name="Shape 5">
          <a:extLst>
            <a:ext uri="{FF2B5EF4-FFF2-40B4-BE49-F238E27FC236}">
              <a16:creationId xmlns:a16="http://schemas.microsoft.com/office/drawing/2014/main" id="{A20B6AB1-7692-4E36-A84A-5DDBD1927C17}"/>
            </a:ext>
          </a:extLst>
        </xdr:cNvPr>
        <xdr:cNvSpPr>
          <a:spLocks noChangeArrowheads="1"/>
        </xdr:cNvSpPr>
      </xdr:nvSpPr>
      <xdr:spPr bwMode="auto">
        <a:xfrm>
          <a:off x="105251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27</xdr:row>
      <xdr:rowOff>-19050</xdr:rowOff>
    </xdr:from>
    <xdr:to>
      <xdr:col>14</xdr:col>
      <xdr:colOff>38100</xdr:colOff>
      <xdr:row>27</xdr:row>
      <xdr:rowOff>19050</xdr:rowOff>
    </xdr:to>
    <xdr:sp macro="" textlink="">
      <xdr:nvSpPr>
        <xdr:cNvPr id="640" name="Shape 7">
          <a:extLst>
            <a:ext uri="{FF2B5EF4-FFF2-40B4-BE49-F238E27FC236}">
              <a16:creationId xmlns:a16="http://schemas.microsoft.com/office/drawing/2014/main" id="{8DB3842D-029B-4BBF-A9B5-16D3F34F5832}"/>
            </a:ext>
          </a:extLst>
        </xdr:cNvPr>
        <xdr:cNvSpPr>
          <a:spLocks noChangeArrowheads="1"/>
        </xdr:cNvSpPr>
      </xdr:nvSpPr>
      <xdr:spPr bwMode="auto">
        <a:xfrm>
          <a:off x="11210925"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27</xdr:row>
      <xdr:rowOff>-19050</xdr:rowOff>
    </xdr:from>
    <xdr:to>
      <xdr:col>14</xdr:col>
      <xdr:colOff>38100</xdr:colOff>
      <xdr:row>27</xdr:row>
      <xdr:rowOff>19050</xdr:rowOff>
    </xdr:to>
    <xdr:sp macro="" textlink="">
      <xdr:nvSpPr>
        <xdr:cNvPr id="641" name="Shape 7">
          <a:extLst>
            <a:ext uri="{FF2B5EF4-FFF2-40B4-BE49-F238E27FC236}">
              <a16:creationId xmlns:a16="http://schemas.microsoft.com/office/drawing/2014/main" id="{1A333AF8-52BA-428E-BBF4-6DC5A73F54B6}"/>
            </a:ext>
          </a:extLst>
        </xdr:cNvPr>
        <xdr:cNvSpPr>
          <a:spLocks noChangeArrowheads="1"/>
        </xdr:cNvSpPr>
      </xdr:nvSpPr>
      <xdr:spPr bwMode="auto">
        <a:xfrm>
          <a:off x="11210925"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642" name="Shape 8">
          <a:extLst>
            <a:ext uri="{FF2B5EF4-FFF2-40B4-BE49-F238E27FC236}">
              <a16:creationId xmlns:a16="http://schemas.microsoft.com/office/drawing/2014/main" id="{2F858513-68BB-4D5B-AC09-DF6522982CAE}"/>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27</xdr:row>
      <xdr:rowOff>-19050</xdr:rowOff>
    </xdr:from>
    <xdr:to>
      <xdr:col>15</xdr:col>
      <xdr:colOff>114300</xdr:colOff>
      <xdr:row>27</xdr:row>
      <xdr:rowOff>19050</xdr:rowOff>
    </xdr:to>
    <xdr:sp macro="" textlink="">
      <xdr:nvSpPr>
        <xdr:cNvPr id="643" name="Shape 8">
          <a:extLst>
            <a:ext uri="{FF2B5EF4-FFF2-40B4-BE49-F238E27FC236}">
              <a16:creationId xmlns:a16="http://schemas.microsoft.com/office/drawing/2014/main" id="{FF4B0B27-D03F-4535-B049-344703FFB624}"/>
            </a:ext>
          </a:extLst>
        </xdr:cNvPr>
        <xdr:cNvSpPr>
          <a:spLocks noChangeArrowheads="1"/>
        </xdr:cNvSpPr>
      </xdr:nvSpPr>
      <xdr:spPr bwMode="auto">
        <a:xfrm>
          <a:off x="11944350" y="194595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44" name="Shape 5">
          <a:extLst>
            <a:ext uri="{FF2B5EF4-FFF2-40B4-BE49-F238E27FC236}">
              <a16:creationId xmlns:a16="http://schemas.microsoft.com/office/drawing/2014/main" id="{62D587B6-DB13-4959-AF28-7831C535F22E}"/>
            </a:ext>
          </a:extLst>
        </xdr:cNvPr>
        <xdr:cNvSpPr>
          <a:spLocks noChangeArrowheads="1"/>
        </xdr:cNvSpPr>
      </xdr:nvSpPr>
      <xdr:spPr bwMode="auto">
        <a:xfrm>
          <a:off x="125253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45" name="Shape 5">
          <a:extLst>
            <a:ext uri="{FF2B5EF4-FFF2-40B4-BE49-F238E27FC236}">
              <a16:creationId xmlns:a16="http://schemas.microsoft.com/office/drawing/2014/main" id="{3EC5EE3B-5316-495D-8770-8CB831DC9FDB}"/>
            </a:ext>
          </a:extLst>
        </xdr:cNvPr>
        <xdr:cNvSpPr>
          <a:spLocks noChangeArrowheads="1"/>
        </xdr:cNvSpPr>
      </xdr:nvSpPr>
      <xdr:spPr bwMode="auto">
        <a:xfrm>
          <a:off x="125253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46" name="Shape 5">
          <a:extLst>
            <a:ext uri="{FF2B5EF4-FFF2-40B4-BE49-F238E27FC236}">
              <a16:creationId xmlns:a16="http://schemas.microsoft.com/office/drawing/2014/main" id="{A08D31A6-D4D6-4619-BD15-7A6D8E50F556}"/>
            </a:ext>
          </a:extLst>
        </xdr:cNvPr>
        <xdr:cNvSpPr>
          <a:spLocks noChangeArrowheads="1"/>
        </xdr:cNvSpPr>
      </xdr:nvSpPr>
      <xdr:spPr bwMode="auto">
        <a:xfrm>
          <a:off x="13106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47" name="Shape 5">
          <a:extLst>
            <a:ext uri="{FF2B5EF4-FFF2-40B4-BE49-F238E27FC236}">
              <a16:creationId xmlns:a16="http://schemas.microsoft.com/office/drawing/2014/main" id="{2C8C589D-BE67-4A24-AC17-4DF60AB9122F}"/>
            </a:ext>
          </a:extLst>
        </xdr:cNvPr>
        <xdr:cNvSpPr>
          <a:spLocks noChangeArrowheads="1"/>
        </xdr:cNvSpPr>
      </xdr:nvSpPr>
      <xdr:spPr bwMode="auto">
        <a:xfrm>
          <a:off x="13106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48" name="Shape 5">
          <a:extLst>
            <a:ext uri="{FF2B5EF4-FFF2-40B4-BE49-F238E27FC236}">
              <a16:creationId xmlns:a16="http://schemas.microsoft.com/office/drawing/2014/main" id="{D4A658DD-B9C6-4784-8135-F0B381C6C664}"/>
            </a:ext>
          </a:extLst>
        </xdr:cNvPr>
        <xdr:cNvSpPr>
          <a:spLocks noChangeArrowheads="1"/>
        </xdr:cNvSpPr>
      </xdr:nvSpPr>
      <xdr:spPr bwMode="auto">
        <a:xfrm>
          <a:off x="137255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49" name="Shape 5">
          <a:extLst>
            <a:ext uri="{FF2B5EF4-FFF2-40B4-BE49-F238E27FC236}">
              <a16:creationId xmlns:a16="http://schemas.microsoft.com/office/drawing/2014/main" id="{6ACD4DC7-CB44-4DE3-8249-908A204CCB81}"/>
            </a:ext>
          </a:extLst>
        </xdr:cNvPr>
        <xdr:cNvSpPr>
          <a:spLocks noChangeArrowheads="1"/>
        </xdr:cNvSpPr>
      </xdr:nvSpPr>
      <xdr:spPr bwMode="auto">
        <a:xfrm>
          <a:off x="137255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50" name="Shape 5">
          <a:extLst>
            <a:ext uri="{FF2B5EF4-FFF2-40B4-BE49-F238E27FC236}">
              <a16:creationId xmlns:a16="http://schemas.microsoft.com/office/drawing/2014/main" id="{6946DC87-4200-453B-97DC-C6C646CC2858}"/>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51" name="Shape 5">
          <a:extLst>
            <a:ext uri="{FF2B5EF4-FFF2-40B4-BE49-F238E27FC236}">
              <a16:creationId xmlns:a16="http://schemas.microsoft.com/office/drawing/2014/main" id="{D76A2EA1-AF4D-4D58-955D-1D022157D4A6}"/>
            </a:ext>
          </a:extLst>
        </xdr:cNvPr>
        <xdr:cNvSpPr>
          <a:spLocks noChangeArrowheads="1"/>
        </xdr:cNvSpPr>
      </xdr:nvSpPr>
      <xdr:spPr bwMode="auto">
        <a:xfrm>
          <a:off x="1416367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52" name="Shape 5">
          <a:extLst>
            <a:ext uri="{FF2B5EF4-FFF2-40B4-BE49-F238E27FC236}">
              <a16:creationId xmlns:a16="http://schemas.microsoft.com/office/drawing/2014/main" id="{918F3A2B-5CB5-423F-B636-CBA327DC7054}"/>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53" name="Shape 5">
          <a:extLst>
            <a:ext uri="{FF2B5EF4-FFF2-40B4-BE49-F238E27FC236}">
              <a16:creationId xmlns:a16="http://schemas.microsoft.com/office/drawing/2014/main" id="{3EE49558-1746-4F61-9C6A-6FD2B363B32E}"/>
            </a:ext>
          </a:extLst>
        </xdr:cNvPr>
        <xdr:cNvSpPr>
          <a:spLocks noChangeArrowheads="1"/>
        </xdr:cNvSpPr>
      </xdr:nvSpPr>
      <xdr:spPr bwMode="auto">
        <a:xfrm>
          <a:off x="1463040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54" name="Shape 4">
          <a:extLst>
            <a:ext uri="{FF2B5EF4-FFF2-40B4-BE49-F238E27FC236}">
              <a16:creationId xmlns:a16="http://schemas.microsoft.com/office/drawing/2014/main" id="{4EF16C3C-EA7C-41B7-B9B6-154A3E898C04}"/>
            </a:ext>
          </a:extLst>
        </xdr:cNvPr>
        <xdr:cNvSpPr>
          <a:spLocks noChangeArrowheads="1"/>
        </xdr:cNvSpPr>
      </xdr:nvSpPr>
      <xdr:spPr bwMode="auto">
        <a:xfrm>
          <a:off x="152971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55" name="Shape 4">
          <a:extLst>
            <a:ext uri="{FF2B5EF4-FFF2-40B4-BE49-F238E27FC236}">
              <a16:creationId xmlns:a16="http://schemas.microsoft.com/office/drawing/2014/main" id="{499EFAF9-1B52-43C3-B10D-71451D729A06}"/>
            </a:ext>
          </a:extLst>
        </xdr:cNvPr>
        <xdr:cNvSpPr>
          <a:spLocks noChangeArrowheads="1"/>
        </xdr:cNvSpPr>
      </xdr:nvSpPr>
      <xdr:spPr bwMode="auto">
        <a:xfrm>
          <a:off x="15297150"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56" name="Shape 5">
          <a:extLst>
            <a:ext uri="{FF2B5EF4-FFF2-40B4-BE49-F238E27FC236}">
              <a16:creationId xmlns:a16="http://schemas.microsoft.com/office/drawing/2014/main" id="{99AC22A6-9BB3-4BC4-B945-D4F2E26CFB72}"/>
            </a:ext>
          </a:extLst>
        </xdr:cNvPr>
        <xdr:cNvSpPr>
          <a:spLocks noChangeArrowheads="1"/>
        </xdr:cNvSpPr>
      </xdr:nvSpPr>
      <xdr:spPr bwMode="auto">
        <a:xfrm>
          <a:off x="158972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57" name="Shape 5">
          <a:extLst>
            <a:ext uri="{FF2B5EF4-FFF2-40B4-BE49-F238E27FC236}">
              <a16:creationId xmlns:a16="http://schemas.microsoft.com/office/drawing/2014/main" id="{DAD0F9D1-0C8F-4487-B252-E0D47B2104D7}"/>
            </a:ext>
          </a:extLst>
        </xdr:cNvPr>
        <xdr:cNvSpPr>
          <a:spLocks noChangeArrowheads="1"/>
        </xdr:cNvSpPr>
      </xdr:nvSpPr>
      <xdr:spPr bwMode="auto">
        <a:xfrm>
          <a:off x="158972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58" name="Shape 5">
          <a:extLst>
            <a:ext uri="{FF2B5EF4-FFF2-40B4-BE49-F238E27FC236}">
              <a16:creationId xmlns:a16="http://schemas.microsoft.com/office/drawing/2014/main" id="{6D820658-21FD-4BD5-AE80-E1005071E1CD}"/>
            </a:ext>
          </a:extLst>
        </xdr:cNvPr>
        <xdr:cNvSpPr>
          <a:spLocks noChangeArrowheads="1"/>
        </xdr:cNvSpPr>
      </xdr:nvSpPr>
      <xdr:spPr bwMode="auto">
        <a:xfrm>
          <a:off x="165068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0</xdr:rowOff>
    </xdr:from>
    <xdr:to>
      <xdr:col>15</xdr:col>
      <xdr:colOff>38100</xdr:colOff>
      <xdr:row>27</xdr:row>
      <xdr:rowOff>0</xdr:rowOff>
    </xdr:to>
    <xdr:sp macro="" textlink="">
      <xdr:nvSpPr>
        <xdr:cNvPr id="659" name="Shape 5">
          <a:extLst>
            <a:ext uri="{FF2B5EF4-FFF2-40B4-BE49-F238E27FC236}">
              <a16:creationId xmlns:a16="http://schemas.microsoft.com/office/drawing/2014/main" id="{0C998897-BFE9-46FA-9ECE-E121C6766A7D}"/>
            </a:ext>
          </a:extLst>
        </xdr:cNvPr>
        <xdr:cNvSpPr>
          <a:spLocks noChangeArrowheads="1"/>
        </xdr:cNvSpPr>
      </xdr:nvSpPr>
      <xdr:spPr bwMode="auto">
        <a:xfrm>
          <a:off x="165068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-9525</xdr:colOff>
      <xdr:row>27</xdr:row>
      <xdr:rowOff>0</xdr:rowOff>
    </xdr:from>
    <xdr:to>
      <xdr:col>15</xdr:col>
      <xdr:colOff>28575</xdr:colOff>
      <xdr:row>27</xdr:row>
      <xdr:rowOff>0</xdr:rowOff>
    </xdr:to>
    <xdr:sp macro="" textlink="">
      <xdr:nvSpPr>
        <xdr:cNvPr id="660" name="Shape 5">
          <a:extLst>
            <a:ext uri="{FF2B5EF4-FFF2-40B4-BE49-F238E27FC236}">
              <a16:creationId xmlns:a16="http://schemas.microsoft.com/office/drawing/2014/main" id="{8A917E9E-D097-4DAD-B166-D474B9FC6937}"/>
            </a:ext>
          </a:extLst>
        </xdr:cNvPr>
        <xdr:cNvSpPr>
          <a:spLocks noChangeArrowheads="1"/>
        </xdr:cNvSpPr>
      </xdr:nvSpPr>
      <xdr:spPr bwMode="auto">
        <a:xfrm>
          <a:off x="171164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-9525</xdr:colOff>
      <xdr:row>27</xdr:row>
      <xdr:rowOff>0</xdr:rowOff>
    </xdr:from>
    <xdr:to>
      <xdr:col>15</xdr:col>
      <xdr:colOff>28575</xdr:colOff>
      <xdr:row>27</xdr:row>
      <xdr:rowOff>0</xdr:rowOff>
    </xdr:to>
    <xdr:sp macro="" textlink="">
      <xdr:nvSpPr>
        <xdr:cNvPr id="661" name="Shape 5">
          <a:extLst>
            <a:ext uri="{FF2B5EF4-FFF2-40B4-BE49-F238E27FC236}">
              <a16:creationId xmlns:a16="http://schemas.microsoft.com/office/drawing/2014/main" id="{5B9A3A20-86F4-4336-8667-71BFE71AA4E7}"/>
            </a:ext>
          </a:extLst>
        </xdr:cNvPr>
        <xdr:cNvSpPr>
          <a:spLocks noChangeArrowheads="1"/>
        </xdr:cNvSpPr>
      </xdr:nvSpPr>
      <xdr:spPr bwMode="auto">
        <a:xfrm>
          <a:off x="17116425" y="19478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62" name="Shape 7">
          <a:extLst>
            <a:ext uri="{FF2B5EF4-FFF2-40B4-BE49-F238E27FC236}">
              <a16:creationId xmlns:a16="http://schemas.microsoft.com/office/drawing/2014/main" id="{16845539-8545-41F7-B76F-B6B40AA2373B}"/>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63" name="Shape 7">
          <a:extLst>
            <a:ext uri="{FF2B5EF4-FFF2-40B4-BE49-F238E27FC236}">
              <a16:creationId xmlns:a16="http://schemas.microsoft.com/office/drawing/2014/main" id="{37814A30-A1E2-45E3-9A03-062CA09726CD}"/>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64" name="Shape 7">
          <a:extLst>
            <a:ext uri="{FF2B5EF4-FFF2-40B4-BE49-F238E27FC236}">
              <a16:creationId xmlns:a16="http://schemas.microsoft.com/office/drawing/2014/main" id="{A9F63BED-E3B8-4D17-A7E5-F5A53B51392B}"/>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65" name="Shape 7">
          <a:extLst>
            <a:ext uri="{FF2B5EF4-FFF2-40B4-BE49-F238E27FC236}">
              <a16:creationId xmlns:a16="http://schemas.microsoft.com/office/drawing/2014/main" id="{8358D203-7CE8-4437-99B6-ABE48C7DD14C}"/>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66" name="Shape 7">
          <a:extLst>
            <a:ext uri="{FF2B5EF4-FFF2-40B4-BE49-F238E27FC236}">
              <a16:creationId xmlns:a16="http://schemas.microsoft.com/office/drawing/2014/main" id="{72D71ED7-EE28-4124-A573-FC4396EEE8F7}"/>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67" name="Shape 7">
          <a:extLst>
            <a:ext uri="{FF2B5EF4-FFF2-40B4-BE49-F238E27FC236}">
              <a16:creationId xmlns:a16="http://schemas.microsoft.com/office/drawing/2014/main" id="{9F950398-295A-41F9-B70B-F0B22572A44A}"/>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68" name="Shape 7">
          <a:extLst>
            <a:ext uri="{FF2B5EF4-FFF2-40B4-BE49-F238E27FC236}">
              <a16:creationId xmlns:a16="http://schemas.microsoft.com/office/drawing/2014/main" id="{4EF8841A-53AE-4435-9C26-6AA82F82CEB0}"/>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69" name="Shape 7">
          <a:extLst>
            <a:ext uri="{FF2B5EF4-FFF2-40B4-BE49-F238E27FC236}">
              <a16:creationId xmlns:a16="http://schemas.microsoft.com/office/drawing/2014/main" id="{C12D7BCD-94BD-497D-AC90-4291AC90B83F}"/>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70" name="Shape 7">
          <a:extLst>
            <a:ext uri="{FF2B5EF4-FFF2-40B4-BE49-F238E27FC236}">
              <a16:creationId xmlns:a16="http://schemas.microsoft.com/office/drawing/2014/main" id="{D13944E2-AD23-4767-ADA7-98FF8CA0B003}"/>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71" name="Shape 7">
          <a:extLst>
            <a:ext uri="{FF2B5EF4-FFF2-40B4-BE49-F238E27FC236}">
              <a16:creationId xmlns:a16="http://schemas.microsoft.com/office/drawing/2014/main" id="{25EB7A05-A5FA-4457-AAC5-376A374403CC}"/>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72" name="Shape 7">
          <a:extLst>
            <a:ext uri="{FF2B5EF4-FFF2-40B4-BE49-F238E27FC236}">
              <a16:creationId xmlns:a16="http://schemas.microsoft.com/office/drawing/2014/main" id="{5177EDFC-DCAF-48D9-AE7F-486EDE204EB0}"/>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73" name="Shape 7">
          <a:extLst>
            <a:ext uri="{FF2B5EF4-FFF2-40B4-BE49-F238E27FC236}">
              <a16:creationId xmlns:a16="http://schemas.microsoft.com/office/drawing/2014/main" id="{DB8F7174-6DC1-47E5-9E80-1081AEF35836}"/>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74" name="Shape 7">
          <a:extLst>
            <a:ext uri="{FF2B5EF4-FFF2-40B4-BE49-F238E27FC236}">
              <a16:creationId xmlns:a16="http://schemas.microsoft.com/office/drawing/2014/main" id="{A96B818C-4C0B-4E66-A7AA-F29DD45DB8C5}"/>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75" name="Shape 7">
          <a:extLst>
            <a:ext uri="{FF2B5EF4-FFF2-40B4-BE49-F238E27FC236}">
              <a16:creationId xmlns:a16="http://schemas.microsoft.com/office/drawing/2014/main" id="{D64DB2A4-BD34-470C-BCEA-36B6EA39B651}"/>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76" name="Shape 7">
          <a:extLst>
            <a:ext uri="{FF2B5EF4-FFF2-40B4-BE49-F238E27FC236}">
              <a16:creationId xmlns:a16="http://schemas.microsoft.com/office/drawing/2014/main" id="{10C948BF-0857-4F53-BEF4-7352C0AFBE8C}"/>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27</xdr:row>
      <xdr:rowOff>-19050</xdr:rowOff>
    </xdr:from>
    <xdr:to>
      <xdr:col>15</xdr:col>
      <xdr:colOff>38100</xdr:colOff>
      <xdr:row>27</xdr:row>
      <xdr:rowOff>19050</xdr:rowOff>
    </xdr:to>
    <xdr:sp macro="" textlink="">
      <xdr:nvSpPr>
        <xdr:cNvPr id="677" name="Shape 7">
          <a:extLst>
            <a:ext uri="{FF2B5EF4-FFF2-40B4-BE49-F238E27FC236}">
              <a16:creationId xmlns:a16="http://schemas.microsoft.com/office/drawing/2014/main" id="{324DC07E-740F-415C-99EA-AFE6082B0B6B}"/>
            </a:ext>
          </a:extLst>
        </xdr:cNvPr>
        <xdr:cNvSpPr>
          <a:spLocks noChangeArrowheads="1"/>
        </xdr:cNvSpPr>
      </xdr:nvSpPr>
      <xdr:spPr bwMode="auto">
        <a:xfrm>
          <a:off x="12534900" y="194595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-9525</xdr:colOff>
      <xdr:row>1</xdr:row>
      <xdr:rowOff>0</xdr:rowOff>
    </xdr:from>
    <xdr:to>
      <xdr:col>9</xdr:col>
      <xdr:colOff>28575</xdr:colOff>
      <xdr:row>1</xdr:row>
      <xdr:rowOff>0</xdr:rowOff>
    </xdr:to>
    <xdr:sp macro="" textlink="">
      <xdr:nvSpPr>
        <xdr:cNvPr id="678" name="Shape 4">
          <a:extLst>
            <a:ext uri="{FF2B5EF4-FFF2-40B4-BE49-F238E27FC236}">
              <a16:creationId xmlns:a16="http://schemas.microsoft.com/office/drawing/2014/main" id="{9B785A48-5AF5-40F9-8903-C9A8B3003704}"/>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679" name="Shape 10">
          <a:extLst>
            <a:ext uri="{FF2B5EF4-FFF2-40B4-BE49-F238E27FC236}">
              <a16:creationId xmlns:a16="http://schemas.microsoft.com/office/drawing/2014/main" id="{0898D089-EAA2-4674-9352-B8A675847928}"/>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680" name="Shape 10">
          <a:extLst>
            <a:ext uri="{FF2B5EF4-FFF2-40B4-BE49-F238E27FC236}">
              <a16:creationId xmlns:a16="http://schemas.microsoft.com/office/drawing/2014/main" id="{ABAD83D5-38B1-43BE-8655-9A03416D9446}"/>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681" name="Shape 10">
          <a:extLst>
            <a:ext uri="{FF2B5EF4-FFF2-40B4-BE49-F238E27FC236}">
              <a16:creationId xmlns:a16="http://schemas.microsoft.com/office/drawing/2014/main" id="{EC13ACBE-DC5F-47CB-875F-56F8A984D7D6}"/>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682" name="Shape 10">
          <a:extLst>
            <a:ext uri="{FF2B5EF4-FFF2-40B4-BE49-F238E27FC236}">
              <a16:creationId xmlns:a16="http://schemas.microsoft.com/office/drawing/2014/main" id="{F8BF984C-0C4D-456C-A98C-A7AA131FCFB9}"/>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-9525</xdr:colOff>
      <xdr:row>1</xdr:row>
      <xdr:rowOff>0</xdr:rowOff>
    </xdr:from>
    <xdr:to>
      <xdr:col>9</xdr:col>
      <xdr:colOff>28575</xdr:colOff>
      <xdr:row>1</xdr:row>
      <xdr:rowOff>0</xdr:rowOff>
    </xdr:to>
    <xdr:sp macro="" textlink="">
      <xdr:nvSpPr>
        <xdr:cNvPr id="683" name="Shape 4">
          <a:extLst>
            <a:ext uri="{FF2B5EF4-FFF2-40B4-BE49-F238E27FC236}">
              <a16:creationId xmlns:a16="http://schemas.microsoft.com/office/drawing/2014/main" id="{D0634327-1EDA-4C57-9DAE-659D1B0317FD}"/>
            </a:ext>
          </a:extLst>
        </xdr:cNvPr>
        <xdr:cNvSpPr>
          <a:spLocks noChangeArrowheads="1"/>
        </xdr:cNvSpPr>
      </xdr:nvSpPr>
      <xdr:spPr bwMode="auto">
        <a:xfrm>
          <a:off x="8220075"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684" name="Shape 10">
          <a:extLst>
            <a:ext uri="{FF2B5EF4-FFF2-40B4-BE49-F238E27FC236}">
              <a16:creationId xmlns:a16="http://schemas.microsoft.com/office/drawing/2014/main" id="{0390F511-372F-4224-8F7A-B32B07698EB2}"/>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685" name="Shape 10">
          <a:extLst>
            <a:ext uri="{FF2B5EF4-FFF2-40B4-BE49-F238E27FC236}">
              <a16:creationId xmlns:a16="http://schemas.microsoft.com/office/drawing/2014/main" id="{9ECBBAB0-03F8-418D-AF6E-B4EB4BAEB96F}"/>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686" name="Shape 10">
          <a:extLst>
            <a:ext uri="{FF2B5EF4-FFF2-40B4-BE49-F238E27FC236}">
              <a16:creationId xmlns:a16="http://schemas.microsoft.com/office/drawing/2014/main" id="{8F0C05D4-85B6-4EC6-927C-3A3E59D04639}"/>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9</xdr:col>
      <xdr:colOff>733425</xdr:colOff>
      <xdr:row>1</xdr:row>
      <xdr:rowOff>0</xdr:rowOff>
    </xdr:from>
    <xdr:to>
      <xdr:col>10</xdr:col>
      <xdr:colOff>38100</xdr:colOff>
      <xdr:row>1</xdr:row>
      <xdr:rowOff>0</xdr:rowOff>
    </xdr:to>
    <xdr:sp macro="" textlink="">
      <xdr:nvSpPr>
        <xdr:cNvPr id="687" name="Shape 10">
          <a:extLst>
            <a:ext uri="{FF2B5EF4-FFF2-40B4-BE49-F238E27FC236}">
              <a16:creationId xmlns:a16="http://schemas.microsoft.com/office/drawing/2014/main" id="{119131E9-5ECE-4E8C-A341-6FA9FB387A0E}"/>
            </a:ext>
          </a:extLst>
        </xdr:cNvPr>
        <xdr:cNvSpPr>
          <a:spLocks noChangeArrowheads="1"/>
        </xdr:cNvSpPr>
      </xdr:nvSpPr>
      <xdr:spPr bwMode="auto">
        <a:xfrm>
          <a:off x="8896350" y="809625"/>
          <a:ext cx="3810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688" name="Shape 6">
          <a:extLst>
            <a:ext uri="{FF2B5EF4-FFF2-40B4-BE49-F238E27FC236}">
              <a16:creationId xmlns:a16="http://schemas.microsoft.com/office/drawing/2014/main" id="{6026AF5E-4BAD-409A-A64B-6B53C9AB1C64}"/>
            </a:ext>
          </a:extLst>
        </xdr:cNvPr>
        <xdr:cNvSpPr>
          <a:spLocks noChangeArrowheads="1"/>
        </xdr:cNvSpPr>
      </xdr:nvSpPr>
      <xdr:spPr bwMode="auto">
        <a:xfrm>
          <a:off x="10172700" y="191547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689" name="Shape 7">
          <a:extLst>
            <a:ext uri="{FF2B5EF4-FFF2-40B4-BE49-F238E27FC236}">
              <a16:creationId xmlns:a16="http://schemas.microsoft.com/office/drawing/2014/main" id="{5C2D3DF6-FF38-4E46-9EB0-D4BC92B53FF1}"/>
            </a:ext>
          </a:extLst>
        </xdr:cNvPr>
        <xdr:cNvSpPr>
          <a:spLocks noChangeArrowheads="1"/>
        </xdr:cNvSpPr>
      </xdr:nvSpPr>
      <xdr:spPr bwMode="auto">
        <a:xfrm>
          <a:off x="11210925"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690" name="Shape 8">
          <a:extLst>
            <a:ext uri="{FF2B5EF4-FFF2-40B4-BE49-F238E27FC236}">
              <a16:creationId xmlns:a16="http://schemas.microsoft.com/office/drawing/2014/main" id="{EA3E4931-F5E8-4841-B4F3-C47D100DD6BD}"/>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691" name="Shape 6">
          <a:extLst>
            <a:ext uri="{FF2B5EF4-FFF2-40B4-BE49-F238E27FC236}">
              <a16:creationId xmlns:a16="http://schemas.microsoft.com/office/drawing/2014/main" id="{2B680BC5-911F-4DA3-BC36-6B8EE5FC2250}"/>
            </a:ext>
          </a:extLst>
        </xdr:cNvPr>
        <xdr:cNvSpPr>
          <a:spLocks noChangeArrowheads="1"/>
        </xdr:cNvSpPr>
      </xdr:nvSpPr>
      <xdr:spPr bwMode="auto">
        <a:xfrm>
          <a:off x="10172700" y="191547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692" name="Shape 7">
          <a:extLst>
            <a:ext uri="{FF2B5EF4-FFF2-40B4-BE49-F238E27FC236}">
              <a16:creationId xmlns:a16="http://schemas.microsoft.com/office/drawing/2014/main" id="{B1157752-AC6A-4F97-ABDC-B6CD7C5BBC5E}"/>
            </a:ext>
          </a:extLst>
        </xdr:cNvPr>
        <xdr:cNvSpPr>
          <a:spLocks noChangeArrowheads="1"/>
        </xdr:cNvSpPr>
      </xdr:nvSpPr>
      <xdr:spPr bwMode="auto">
        <a:xfrm>
          <a:off x="11210925"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693" name="Shape 8">
          <a:extLst>
            <a:ext uri="{FF2B5EF4-FFF2-40B4-BE49-F238E27FC236}">
              <a16:creationId xmlns:a16="http://schemas.microsoft.com/office/drawing/2014/main" id="{9177C4A0-4482-4DC3-A304-BB329C4ADCEC}"/>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694" name="Shape 6">
          <a:extLst>
            <a:ext uri="{FF2B5EF4-FFF2-40B4-BE49-F238E27FC236}">
              <a16:creationId xmlns:a16="http://schemas.microsoft.com/office/drawing/2014/main" id="{1B6090AA-E3B9-4EB3-9BDE-1996D5612DD5}"/>
            </a:ext>
          </a:extLst>
        </xdr:cNvPr>
        <xdr:cNvSpPr>
          <a:spLocks noChangeArrowheads="1"/>
        </xdr:cNvSpPr>
      </xdr:nvSpPr>
      <xdr:spPr bwMode="auto">
        <a:xfrm>
          <a:off x="10172700" y="191547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695" name="Shape 7">
          <a:extLst>
            <a:ext uri="{FF2B5EF4-FFF2-40B4-BE49-F238E27FC236}">
              <a16:creationId xmlns:a16="http://schemas.microsoft.com/office/drawing/2014/main" id="{332F4065-5AB4-4926-B8CA-FE37DC3DCF59}"/>
            </a:ext>
          </a:extLst>
        </xdr:cNvPr>
        <xdr:cNvSpPr>
          <a:spLocks noChangeArrowheads="1"/>
        </xdr:cNvSpPr>
      </xdr:nvSpPr>
      <xdr:spPr bwMode="auto">
        <a:xfrm>
          <a:off x="11210925"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696" name="Shape 8">
          <a:extLst>
            <a:ext uri="{FF2B5EF4-FFF2-40B4-BE49-F238E27FC236}">
              <a16:creationId xmlns:a16="http://schemas.microsoft.com/office/drawing/2014/main" id="{3532D605-C497-4714-95E0-ABCB03064B18}"/>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697" name="Shape 8">
          <a:extLst>
            <a:ext uri="{FF2B5EF4-FFF2-40B4-BE49-F238E27FC236}">
              <a16:creationId xmlns:a16="http://schemas.microsoft.com/office/drawing/2014/main" id="{EB0263DA-D414-4131-8527-3777CA6D8EA8}"/>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698" name="Shape 6">
          <a:extLst>
            <a:ext uri="{FF2B5EF4-FFF2-40B4-BE49-F238E27FC236}">
              <a16:creationId xmlns:a16="http://schemas.microsoft.com/office/drawing/2014/main" id="{488EDF32-4610-43C6-AC08-42DF1ADCDA63}"/>
            </a:ext>
          </a:extLst>
        </xdr:cNvPr>
        <xdr:cNvSpPr>
          <a:spLocks noChangeArrowheads="1"/>
        </xdr:cNvSpPr>
      </xdr:nvSpPr>
      <xdr:spPr bwMode="auto">
        <a:xfrm>
          <a:off x="10172700" y="191547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699" name="Shape 7">
          <a:extLst>
            <a:ext uri="{FF2B5EF4-FFF2-40B4-BE49-F238E27FC236}">
              <a16:creationId xmlns:a16="http://schemas.microsoft.com/office/drawing/2014/main" id="{5725AA9D-39FB-4EB4-B98F-00ECC1A71400}"/>
            </a:ext>
          </a:extLst>
        </xdr:cNvPr>
        <xdr:cNvSpPr>
          <a:spLocks noChangeArrowheads="1"/>
        </xdr:cNvSpPr>
      </xdr:nvSpPr>
      <xdr:spPr bwMode="auto">
        <a:xfrm>
          <a:off x="11210925"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700" name="Shape 8">
          <a:extLst>
            <a:ext uri="{FF2B5EF4-FFF2-40B4-BE49-F238E27FC236}">
              <a16:creationId xmlns:a16="http://schemas.microsoft.com/office/drawing/2014/main" id="{C0863043-DD62-4D24-8925-56D58A44E173}"/>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701" name="Shape 8">
          <a:extLst>
            <a:ext uri="{FF2B5EF4-FFF2-40B4-BE49-F238E27FC236}">
              <a16:creationId xmlns:a16="http://schemas.microsoft.com/office/drawing/2014/main" id="{961EE5F7-510F-4CAF-9C0C-55A59EE7B156}"/>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702" name="Shape 6">
          <a:extLst>
            <a:ext uri="{FF2B5EF4-FFF2-40B4-BE49-F238E27FC236}">
              <a16:creationId xmlns:a16="http://schemas.microsoft.com/office/drawing/2014/main" id="{EFC5E1C9-8863-4257-B34C-0E0F3C6A3307}"/>
            </a:ext>
          </a:extLst>
        </xdr:cNvPr>
        <xdr:cNvSpPr>
          <a:spLocks noChangeArrowheads="1"/>
        </xdr:cNvSpPr>
      </xdr:nvSpPr>
      <xdr:spPr bwMode="auto">
        <a:xfrm>
          <a:off x="10172700" y="191547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703" name="Shape 7">
          <a:extLst>
            <a:ext uri="{FF2B5EF4-FFF2-40B4-BE49-F238E27FC236}">
              <a16:creationId xmlns:a16="http://schemas.microsoft.com/office/drawing/2014/main" id="{9A660FCC-2B47-4678-89A0-9D72DFC0972A}"/>
            </a:ext>
          </a:extLst>
        </xdr:cNvPr>
        <xdr:cNvSpPr>
          <a:spLocks noChangeArrowheads="1"/>
        </xdr:cNvSpPr>
      </xdr:nvSpPr>
      <xdr:spPr bwMode="auto">
        <a:xfrm>
          <a:off x="11210925"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704" name="Shape 8">
          <a:extLst>
            <a:ext uri="{FF2B5EF4-FFF2-40B4-BE49-F238E27FC236}">
              <a16:creationId xmlns:a16="http://schemas.microsoft.com/office/drawing/2014/main" id="{01591543-004C-41D3-AE40-C0511F10E752}"/>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705" name="Shape 8">
          <a:extLst>
            <a:ext uri="{FF2B5EF4-FFF2-40B4-BE49-F238E27FC236}">
              <a16:creationId xmlns:a16="http://schemas.microsoft.com/office/drawing/2014/main" id="{96481111-82DA-48E5-BC9A-22740740CDB7}"/>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706" name="Shape 6">
          <a:extLst>
            <a:ext uri="{FF2B5EF4-FFF2-40B4-BE49-F238E27FC236}">
              <a16:creationId xmlns:a16="http://schemas.microsoft.com/office/drawing/2014/main" id="{C72F3986-55EF-4261-896E-AABED53A3BE4}"/>
            </a:ext>
          </a:extLst>
        </xdr:cNvPr>
        <xdr:cNvSpPr>
          <a:spLocks noChangeArrowheads="1"/>
        </xdr:cNvSpPr>
      </xdr:nvSpPr>
      <xdr:spPr bwMode="auto">
        <a:xfrm>
          <a:off x="10172700" y="191547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707" name="Shape 7">
          <a:extLst>
            <a:ext uri="{FF2B5EF4-FFF2-40B4-BE49-F238E27FC236}">
              <a16:creationId xmlns:a16="http://schemas.microsoft.com/office/drawing/2014/main" id="{089549BA-41A8-4031-86F4-84D04CD037DD}"/>
            </a:ext>
          </a:extLst>
        </xdr:cNvPr>
        <xdr:cNvSpPr>
          <a:spLocks noChangeArrowheads="1"/>
        </xdr:cNvSpPr>
      </xdr:nvSpPr>
      <xdr:spPr bwMode="auto">
        <a:xfrm>
          <a:off x="11210925"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708" name="Shape 8">
          <a:extLst>
            <a:ext uri="{FF2B5EF4-FFF2-40B4-BE49-F238E27FC236}">
              <a16:creationId xmlns:a16="http://schemas.microsoft.com/office/drawing/2014/main" id="{77E717DD-51F5-4A77-8AD4-B92D26FEAF81}"/>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709" name="Shape 8">
          <a:extLst>
            <a:ext uri="{FF2B5EF4-FFF2-40B4-BE49-F238E27FC236}">
              <a16:creationId xmlns:a16="http://schemas.microsoft.com/office/drawing/2014/main" id="{73953761-6502-4D2E-952C-EEC9814BFD6A}"/>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710" name="Shape 6">
          <a:extLst>
            <a:ext uri="{FF2B5EF4-FFF2-40B4-BE49-F238E27FC236}">
              <a16:creationId xmlns:a16="http://schemas.microsoft.com/office/drawing/2014/main" id="{ADAEEFF2-60AD-4A51-B128-EFC6A3D09F2A}"/>
            </a:ext>
          </a:extLst>
        </xdr:cNvPr>
        <xdr:cNvSpPr>
          <a:spLocks noChangeArrowheads="1"/>
        </xdr:cNvSpPr>
      </xdr:nvSpPr>
      <xdr:spPr bwMode="auto">
        <a:xfrm>
          <a:off x="10172700" y="191547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711" name="Shape 7">
          <a:extLst>
            <a:ext uri="{FF2B5EF4-FFF2-40B4-BE49-F238E27FC236}">
              <a16:creationId xmlns:a16="http://schemas.microsoft.com/office/drawing/2014/main" id="{A565896B-902C-4407-AEC1-4E3D637CA5DB}"/>
            </a:ext>
          </a:extLst>
        </xdr:cNvPr>
        <xdr:cNvSpPr>
          <a:spLocks noChangeArrowheads="1"/>
        </xdr:cNvSpPr>
      </xdr:nvSpPr>
      <xdr:spPr bwMode="auto">
        <a:xfrm>
          <a:off x="11210925"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712" name="Shape 8">
          <a:extLst>
            <a:ext uri="{FF2B5EF4-FFF2-40B4-BE49-F238E27FC236}">
              <a16:creationId xmlns:a16="http://schemas.microsoft.com/office/drawing/2014/main" id="{7D4D144F-E9E6-4633-912C-11B81ABF66B6}"/>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713" name="Shape 8">
          <a:extLst>
            <a:ext uri="{FF2B5EF4-FFF2-40B4-BE49-F238E27FC236}">
              <a16:creationId xmlns:a16="http://schemas.microsoft.com/office/drawing/2014/main" id="{6F2C0BA1-F0CE-4DEF-AC28-A0FF8FC70534}"/>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714" name="Shape 6">
          <a:extLst>
            <a:ext uri="{FF2B5EF4-FFF2-40B4-BE49-F238E27FC236}">
              <a16:creationId xmlns:a16="http://schemas.microsoft.com/office/drawing/2014/main" id="{057534C7-5358-42C3-8717-1AF05AFA5590}"/>
            </a:ext>
          </a:extLst>
        </xdr:cNvPr>
        <xdr:cNvSpPr>
          <a:spLocks noChangeArrowheads="1"/>
        </xdr:cNvSpPr>
      </xdr:nvSpPr>
      <xdr:spPr bwMode="auto">
        <a:xfrm>
          <a:off x="10172700" y="191547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715" name="Shape 6">
          <a:extLst>
            <a:ext uri="{FF2B5EF4-FFF2-40B4-BE49-F238E27FC236}">
              <a16:creationId xmlns:a16="http://schemas.microsoft.com/office/drawing/2014/main" id="{C74981B8-BDBE-4904-AB97-21999106A665}"/>
            </a:ext>
          </a:extLst>
        </xdr:cNvPr>
        <xdr:cNvSpPr>
          <a:spLocks noChangeArrowheads="1"/>
        </xdr:cNvSpPr>
      </xdr:nvSpPr>
      <xdr:spPr bwMode="auto">
        <a:xfrm>
          <a:off x="10172700" y="191547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716" name="Shape 7">
          <a:extLst>
            <a:ext uri="{FF2B5EF4-FFF2-40B4-BE49-F238E27FC236}">
              <a16:creationId xmlns:a16="http://schemas.microsoft.com/office/drawing/2014/main" id="{C1013DD6-496D-4ED0-AF3D-21DDB5017D50}"/>
            </a:ext>
          </a:extLst>
        </xdr:cNvPr>
        <xdr:cNvSpPr>
          <a:spLocks noChangeArrowheads="1"/>
        </xdr:cNvSpPr>
      </xdr:nvSpPr>
      <xdr:spPr bwMode="auto">
        <a:xfrm>
          <a:off x="11210925"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717" name="Shape 7">
          <a:extLst>
            <a:ext uri="{FF2B5EF4-FFF2-40B4-BE49-F238E27FC236}">
              <a16:creationId xmlns:a16="http://schemas.microsoft.com/office/drawing/2014/main" id="{CF3A5E01-0E67-455D-AE49-9A3D3C0C3E99}"/>
            </a:ext>
          </a:extLst>
        </xdr:cNvPr>
        <xdr:cNvSpPr>
          <a:spLocks noChangeArrowheads="1"/>
        </xdr:cNvSpPr>
      </xdr:nvSpPr>
      <xdr:spPr bwMode="auto">
        <a:xfrm>
          <a:off x="11210925"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718" name="Shape 8">
          <a:extLst>
            <a:ext uri="{FF2B5EF4-FFF2-40B4-BE49-F238E27FC236}">
              <a16:creationId xmlns:a16="http://schemas.microsoft.com/office/drawing/2014/main" id="{E12C520F-5E8C-4863-80B5-62C7B690B0F9}"/>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719" name="Shape 8">
          <a:extLst>
            <a:ext uri="{FF2B5EF4-FFF2-40B4-BE49-F238E27FC236}">
              <a16:creationId xmlns:a16="http://schemas.microsoft.com/office/drawing/2014/main" id="{860754D4-C9A5-4B2C-9A0F-E85D73382160}"/>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720" name="Shape 6">
          <a:extLst>
            <a:ext uri="{FF2B5EF4-FFF2-40B4-BE49-F238E27FC236}">
              <a16:creationId xmlns:a16="http://schemas.microsoft.com/office/drawing/2014/main" id="{EB62B588-F4E9-4C22-A9E8-460E8BEF726C}"/>
            </a:ext>
          </a:extLst>
        </xdr:cNvPr>
        <xdr:cNvSpPr>
          <a:spLocks noChangeArrowheads="1"/>
        </xdr:cNvSpPr>
      </xdr:nvSpPr>
      <xdr:spPr bwMode="auto">
        <a:xfrm>
          <a:off x="10172700" y="191547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24</xdr:row>
      <xdr:rowOff>0</xdr:rowOff>
    </xdr:from>
    <xdr:to>
      <xdr:col>12</xdr:col>
      <xdr:colOff>104775</xdr:colOff>
      <xdr:row>24</xdr:row>
      <xdr:rowOff>38100</xdr:rowOff>
    </xdr:to>
    <xdr:sp macro="" textlink="">
      <xdr:nvSpPr>
        <xdr:cNvPr id="721" name="Shape 6">
          <a:extLst>
            <a:ext uri="{FF2B5EF4-FFF2-40B4-BE49-F238E27FC236}">
              <a16:creationId xmlns:a16="http://schemas.microsoft.com/office/drawing/2014/main" id="{0162D602-2A0D-4182-AA28-4725EF3249FE}"/>
            </a:ext>
          </a:extLst>
        </xdr:cNvPr>
        <xdr:cNvSpPr>
          <a:spLocks noChangeArrowheads="1"/>
        </xdr:cNvSpPr>
      </xdr:nvSpPr>
      <xdr:spPr bwMode="auto">
        <a:xfrm>
          <a:off x="10172700" y="191547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722" name="Shape 7">
          <a:extLst>
            <a:ext uri="{FF2B5EF4-FFF2-40B4-BE49-F238E27FC236}">
              <a16:creationId xmlns:a16="http://schemas.microsoft.com/office/drawing/2014/main" id="{3C9ED185-60B9-4229-9F4A-3DB05D7AB30E}"/>
            </a:ext>
          </a:extLst>
        </xdr:cNvPr>
        <xdr:cNvSpPr>
          <a:spLocks noChangeArrowheads="1"/>
        </xdr:cNvSpPr>
      </xdr:nvSpPr>
      <xdr:spPr bwMode="auto">
        <a:xfrm>
          <a:off x="11210925"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24</xdr:row>
      <xdr:rowOff>0</xdr:rowOff>
    </xdr:from>
    <xdr:to>
      <xdr:col>14</xdr:col>
      <xdr:colOff>38100</xdr:colOff>
      <xdr:row>24</xdr:row>
      <xdr:rowOff>38100</xdr:rowOff>
    </xdr:to>
    <xdr:sp macro="" textlink="">
      <xdr:nvSpPr>
        <xdr:cNvPr id="723" name="Shape 7">
          <a:extLst>
            <a:ext uri="{FF2B5EF4-FFF2-40B4-BE49-F238E27FC236}">
              <a16:creationId xmlns:a16="http://schemas.microsoft.com/office/drawing/2014/main" id="{59FF4164-68B3-472B-BF30-8B685ABD394B}"/>
            </a:ext>
          </a:extLst>
        </xdr:cNvPr>
        <xdr:cNvSpPr>
          <a:spLocks noChangeArrowheads="1"/>
        </xdr:cNvSpPr>
      </xdr:nvSpPr>
      <xdr:spPr bwMode="auto">
        <a:xfrm>
          <a:off x="11210925"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724" name="Shape 8">
          <a:extLst>
            <a:ext uri="{FF2B5EF4-FFF2-40B4-BE49-F238E27FC236}">
              <a16:creationId xmlns:a16="http://schemas.microsoft.com/office/drawing/2014/main" id="{40D3B8C4-5994-4345-B662-12497E434CF7}"/>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24</xdr:row>
      <xdr:rowOff>0</xdr:rowOff>
    </xdr:from>
    <xdr:to>
      <xdr:col>15</xdr:col>
      <xdr:colOff>114300</xdr:colOff>
      <xdr:row>24</xdr:row>
      <xdr:rowOff>38100</xdr:rowOff>
    </xdr:to>
    <xdr:sp macro="" textlink="">
      <xdr:nvSpPr>
        <xdr:cNvPr id="725" name="Shape 8">
          <a:extLst>
            <a:ext uri="{FF2B5EF4-FFF2-40B4-BE49-F238E27FC236}">
              <a16:creationId xmlns:a16="http://schemas.microsoft.com/office/drawing/2014/main" id="{F3873214-FAB2-4B2A-B852-5E9953091947}"/>
            </a:ext>
          </a:extLst>
        </xdr:cNvPr>
        <xdr:cNvSpPr>
          <a:spLocks noChangeArrowheads="1"/>
        </xdr:cNvSpPr>
      </xdr:nvSpPr>
      <xdr:spPr bwMode="auto">
        <a:xfrm>
          <a:off x="11944350" y="19154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26" name="Shape 7">
          <a:extLst>
            <a:ext uri="{FF2B5EF4-FFF2-40B4-BE49-F238E27FC236}">
              <a16:creationId xmlns:a16="http://schemas.microsoft.com/office/drawing/2014/main" id="{054C8AA5-35E7-4BB2-9A6D-A576313855F2}"/>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27" name="Shape 7">
          <a:extLst>
            <a:ext uri="{FF2B5EF4-FFF2-40B4-BE49-F238E27FC236}">
              <a16:creationId xmlns:a16="http://schemas.microsoft.com/office/drawing/2014/main" id="{8362701F-7152-4EE0-B4AC-0E68F71C330D}"/>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28" name="Shape 7">
          <a:extLst>
            <a:ext uri="{FF2B5EF4-FFF2-40B4-BE49-F238E27FC236}">
              <a16:creationId xmlns:a16="http://schemas.microsoft.com/office/drawing/2014/main" id="{81847451-16BB-4A3F-907C-24F9BD87C3C0}"/>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29" name="Shape 7">
          <a:extLst>
            <a:ext uri="{FF2B5EF4-FFF2-40B4-BE49-F238E27FC236}">
              <a16:creationId xmlns:a16="http://schemas.microsoft.com/office/drawing/2014/main" id="{14959D9F-C044-4BA9-910E-3D6DF8A29A8B}"/>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30" name="Shape 7">
          <a:extLst>
            <a:ext uri="{FF2B5EF4-FFF2-40B4-BE49-F238E27FC236}">
              <a16:creationId xmlns:a16="http://schemas.microsoft.com/office/drawing/2014/main" id="{3434F357-66E8-4A07-9754-D17C0DF54D28}"/>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31" name="Shape 7">
          <a:extLst>
            <a:ext uri="{FF2B5EF4-FFF2-40B4-BE49-F238E27FC236}">
              <a16:creationId xmlns:a16="http://schemas.microsoft.com/office/drawing/2014/main" id="{DE11DD2A-C58E-486B-8073-BE07D6A0CE94}"/>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32" name="Shape 7">
          <a:extLst>
            <a:ext uri="{FF2B5EF4-FFF2-40B4-BE49-F238E27FC236}">
              <a16:creationId xmlns:a16="http://schemas.microsoft.com/office/drawing/2014/main" id="{C6BA346A-9D74-4BDD-BA78-C460D982BDDA}"/>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33" name="Shape 7">
          <a:extLst>
            <a:ext uri="{FF2B5EF4-FFF2-40B4-BE49-F238E27FC236}">
              <a16:creationId xmlns:a16="http://schemas.microsoft.com/office/drawing/2014/main" id="{91F55E75-3517-4546-B281-B15F777BC838}"/>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34" name="Shape 7">
          <a:extLst>
            <a:ext uri="{FF2B5EF4-FFF2-40B4-BE49-F238E27FC236}">
              <a16:creationId xmlns:a16="http://schemas.microsoft.com/office/drawing/2014/main" id="{7F21EB1C-C33E-4D76-9B84-F04C0D3B1A45}"/>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35" name="Shape 7">
          <a:extLst>
            <a:ext uri="{FF2B5EF4-FFF2-40B4-BE49-F238E27FC236}">
              <a16:creationId xmlns:a16="http://schemas.microsoft.com/office/drawing/2014/main" id="{30F40989-046B-4F7D-9AE0-72E5A4B0CB2D}"/>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36" name="Shape 7">
          <a:extLst>
            <a:ext uri="{FF2B5EF4-FFF2-40B4-BE49-F238E27FC236}">
              <a16:creationId xmlns:a16="http://schemas.microsoft.com/office/drawing/2014/main" id="{9D71C894-9B67-466E-B7AB-71C68477F264}"/>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37" name="Shape 7">
          <a:extLst>
            <a:ext uri="{FF2B5EF4-FFF2-40B4-BE49-F238E27FC236}">
              <a16:creationId xmlns:a16="http://schemas.microsoft.com/office/drawing/2014/main" id="{CE60D1E3-3C48-4020-BC54-C04A671018FD}"/>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38" name="Shape 7">
          <a:extLst>
            <a:ext uri="{FF2B5EF4-FFF2-40B4-BE49-F238E27FC236}">
              <a16:creationId xmlns:a16="http://schemas.microsoft.com/office/drawing/2014/main" id="{4921E400-DC65-4706-9ED2-66A86F02F59C}"/>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39" name="Shape 7">
          <a:extLst>
            <a:ext uri="{FF2B5EF4-FFF2-40B4-BE49-F238E27FC236}">
              <a16:creationId xmlns:a16="http://schemas.microsoft.com/office/drawing/2014/main" id="{1AD2FF69-6A17-4C39-8C6C-7A00FBC5BF70}"/>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40" name="Shape 7">
          <a:extLst>
            <a:ext uri="{FF2B5EF4-FFF2-40B4-BE49-F238E27FC236}">
              <a16:creationId xmlns:a16="http://schemas.microsoft.com/office/drawing/2014/main" id="{3662E46A-9AF8-4B29-8C6C-825067171F01}"/>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24</xdr:row>
      <xdr:rowOff>0</xdr:rowOff>
    </xdr:from>
    <xdr:to>
      <xdr:col>15</xdr:col>
      <xdr:colOff>38100</xdr:colOff>
      <xdr:row>24</xdr:row>
      <xdr:rowOff>38100</xdr:rowOff>
    </xdr:to>
    <xdr:sp macro="" textlink="">
      <xdr:nvSpPr>
        <xdr:cNvPr id="741" name="Shape 7">
          <a:extLst>
            <a:ext uri="{FF2B5EF4-FFF2-40B4-BE49-F238E27FC236}">
              <a16:creationId xmlns:a16="http://schemas.microsoft.com/office/drawing/2014/main" id="{FA1CD78F-9064-46B5-AE02-54AF8AE2407E}"/>
            </a:ext>
          </a:extLst>
        </xdr:cNvPr>
        <xdr:cNvSpPr>
          <a:spLocks noChangeArrowheads="1"/>
        </xdr:cNvSpPr>
      </xdr:nvSpPr>
      <xdr:spPr bwMode="auto">
        <a:xfrm>
          <a:off x="12534900" y="19154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0</xdr:row>
      <xdr:rowOff>0</xdr:rowOff>
    </xdr:from>
    <xdr:to>
      <xdr:col>14</xdr:col>
      <xdr:colOff>38100</xdr:colOff>
      <xdr:row>0</xdr:row>
      <xdr:rowOff>38100</xdr:rowOff>
    </xdr:to>
    <xdr:sp macro="" textlink="">
      <xdr:nvSpPr>
        <xdr:cNvPr id="742" name="Shape 7">
          <a:extLst>
            <a:ext uri="{FF2B5EF4-FFF2-40B4-BE49-F238E27FC236}">
              <a16:creationId xmlns:a16="http://schemas.microsoft.com/office/drawing/2014/main" id="{99DA8A9A-05E4-4682-8B82-AB64EAE5B62D}"/>
            </a:ext>
          </a:extLst>
        </xdr:cNvPr>
        <xdr:cNvSpPr>
          <a:spLocks noChangeArrowheads="1"/>
        </xdr:cNvSpPr>
      </xdr:nvSpPr>
      <xdr:spPr bwMode="auto">
        <a:xfrm>
          <a:off x="11210925"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43" name="Shape 8">
          <a:extLst>
            <a:ext uri="{FF2B5EF4-FFF2-40B4-BE49-F238E27FC236}">
              <a16:creationId xmlns:a16="http://schemas.microsoft.com/office/drawing/2014/main" id="{2A5E5C85-5EFB-43FB-AF35-508D5B96D17D}"/>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0</xdr:row>
      <xdr:rowOff>0</xdr:rowOff>
    </xdr:from>
    <xdr:to>
      <xdr:col>14</xdr:col>
      <xdr:colOff>38100</xdr:colOff>
      <xdr:row>0</xdr:row>
      <xdr:rowOff>38100</xdr:rowOff>
    </xdr:to>
    <xdr:sp macro="" textlink="">
      <xdr:nvSpPr>
        <xdr:cNvPr id="744" name="Shape 7">
          <a:extLst>
            <a:ext uri="{FF2B5EF4-FFF2-40B4-BE49-F238E27FC236}">
              <a16:creationId xmlns:a16="http://schemas.microsoft.com/office/drawing/2014/main" id="{2CEAC2F1-80FC-4777-AA74-273608AB4EE5}"/>
            </a:ext>
          </a:extLst>
        </xdr:cNvPr>
        <xdr:cNvSpPr>
          <a:spLocks noChangeArrowheads="1"/>
        </xdr:cNvSpPr>
      </xdr:nvSpPr>
      <xdr:spPr bwMode="auto">
        <a:xfrm>
          <a:off x="11210925"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45" name="Shape 8">
          <a:extLst>
            <a:ext uri="{FF2B5EF4-FFF2-40B4-BE49-F238E27FC236}">
              <a16:creationId xmlns:a16="http://schemas.microsoft.com/office/drawing/2014/main" id="{3C576081-2EC9-475F-B86F-FC28AB60DF16}"/>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0</xdr:row>
      <xdr:rowOff>0</xdr:rowOff>
    </xdr:from>
    <xdr:to>
      <xdr:col>14</xdr:col>
      <xdr:colOff>38100</xdr:colOff>
      <xdr:row>0</xdr:row>
      <xdr:rowOff>38100</xdr:rowOff>
    </xdr:to>
    <xdr:sp macro="" textlink="">
      <xdr:nvSpPr>
        <xdr:cNvPr id="746" name="Shape 7">
          <a:extLst>
            <a:ext uri="{FF2B5EF4-FFF2-40B4-BE49-F238E27FC236}">
              <a16:creationId xmlns:a16="http://schemas.microsoft.com/office/drawing/2014/main" id="{DE75AAC3-6CFF-4FA8-A0AC-2CE2B17AE7FF}"/>
            </a:ext>
          </a:extLst>
        </xdr:cNvPr>
        <xdr:cNvSpPr>
          <a:spLocks noChangeArrowheads="1"/>
        </xdr:cNvSpPr>
      </xdr:nvSpPr>
      <xdr:spPr bwMode="auto">
        <a:xfrm>
          <a:off x="11210925"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47" name="Shape 8">
          <a:extLst>
            <a:ext uri="{FF2B5EF4-FFF2-40B4-BE49-F238E27FC236}">
              <a16:creationId xmlns:a16="http://schemas.microsoft.com/office/drawing/2014/main" id="{5CA321D1-A58C-4A31-B242-DD6CF82C709A}"/>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48" name="Shape 8">
          <a:extLst>
            <a:ext uri="{FF2B5EF4-FFF2-40B4-BE49-F238E27FC236}">
              <a16:creationId xmlns:a16="http://schemas.microsoft.com/office/drawing/2014/main" id="{6C2C9881-70FE-4655-844E-69631FFC7C33}"/>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0</xdr:row>
      <xdr:rowOff>0</xdr:rowOff>
    </xdr:from>
    <xdr:to>
      <xdr:col>14</xdr:col>
      <xdr:colOff>38100</xdr:colOff>
      <xdr:row>0</xdr:row>
      <xdr:rowOff>38100</xdr:rowOff>
    </xdr:to>
    <xdr:sp macro="" textlink="">
      <xdr:nvSpPr>
        <xdr:cNvPr id="749" name="Shape 7">
          <a:extLst>
            <a:ext uri="{FF2B5EF4-FFF2-40B4-BE49-F238E27FC236}">
              <a16:creationId xmlns:a16="http://schemas.microsoft.com/office/drawing/2014/main" id="{70A243F9-33D6-403B-A43D-EFFE0130C4AE}"/>
            </a:ext>
          </a:extLst>
        </xdr:cNvPr>
        <xdr:cNvSpPr>
          <a:spLocks noChangeArrowheads="1"/>
        </xdr:cNvSpPr>
      </xdr:nvSpPr>
      <xdr:spPr bwMode="auto">
        <a:xfrm>
          <a:off x="11210925"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50" name="Shape 8">
          <a:extLst>
            <a:ext uri="{FF2B5EF4-FFF2-40B4-BE49-F238E27FC236}">
              <a16:creationId xmlns:a16="http://schemas.microsoft.com/office/drawing/2014/main" id="{FAA4518C-A942-4139-9071-EC92B21DA567}"/>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51" name="Shape 8">
          <a:extLst>
            <a:ext uri="{FF2B5EF4-FFF2-40B4-BE49-F238E27FC236}">
              <a16:creationId xmlns:a16="http://schemas.microsoft.com/office/drawing/2014/main" id="{07B28E9C-92E3-44B8-BDEC-8EFC2158402E}"/>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0</xdr:row>
      <xdr:rowOff>0</xdr:rowOff>
    </xdr:from>
    <xdr:to>
      <xdr:col>14</xdr:col>
      <xdr:colOff>38100</xdr:colOff>
      <xdr:row>0</xdr:row>
      <xdr:rowOff>38100</xdr:rowOff>
    </xdr:to>
    <xdr:sp macro="" textlink="">
      <xdr:nvSpPr>
        <xdr:cNvPr id="752" name="Shape 7">
          <a:extLst>
            <a:ext uri="{FF2B5EF4-FFF2-40B4-BE49-F238E27FC236}">
              <a16:creationId xmlns:a16="http://schemas.microsoft.com/office/drawing/2014/main" id="{EE431D1E-2333-40D1-B365-DD65E568B087}"/>
            </a:ext>
          </a:extLst>
        </xdr:cNvPr>
        <xdr:cNvSpPr>
          <a:spLocks noChangeArrowheads="1"/>
        </xdr:cNvSpPr>
      </xdr:nvSpPr>
      <xdr:spPr bwMode="auto">
        <a:xfrm>
          <a:off x="11210925"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53" name="Shape 8">
          <a:extLst>
            <a:ext uri="{FF2B5EF4-FFF2-40B4-BE49-F238E27FC236}">
              <a16:creationId xmlns:a16="http://schemas.microsoft.com/office/drawing/2014/main" id="{BECDECA7-4676-4A0F-81C6-B55E1DB46DAC}"/>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54" name="Shape 8">
          <a:extLst>
            <a:ext uri="{FF2B5EF4-FFF2-40B4-BE49-F238E27FC236}">
              <a16:creationId xmlns:a16="http://schemas.microsoft.com/office/drawing/2014/main" id="{506BE3F6-7466-4179-BB46-4133F4A0239C}"/>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0</xdr:row>
      <xdr:rowOff>0</xdr:rowOff>
    </xdr:from>
    <xdr:to>
      <xdr:col>14</xdr:col>
      <xdr:colOff>38100</xdr:colOff>
      <xdr:row>0</xdr:row>
      <xdr:rowOff>38100</xdr:rowOff>
    </xdr:to>
    <xdr:sp macro="" textlink="">
      <xdr:nvSpPr>
        <xdr:cNvPr id="755" name="Shape 7">
          <a:extLst>
            <a:ext uri="{FF2B5EF4-FFF2-40B4-BE49-F238E27FC236}">
              <a16:creationId xmlns:a16="http://schemas.microsoft.com/office/drawing/2014/main" id="{8ADF7703-5067-44C3-972B-B631AF23C30C}"/>
            </a:ext>
          </a:extLst>
        </xdr:cNvPr>
        <xdr:cNvSpPr>
          <a:spLocks noChangeArrowheads="1"/>
        </xdr:cNvSpPr>
      </xdr:nvSpPr>
      <xdr:spPr bwMode="auto">
        <a:xfrm>
          <a:off x="11210925"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56" name="Shape 8">
          <a:extLst>
            <a:ext uri="{FF2B5EF4-FFF2-40B4-BE49-F238E27FC236}">
              <a16:creationId xmlns:a16="http://schemas.microsoft.com/office/drawing/2014/main" id="{A8C28D03-FB90-4408-8BB0-7B355C467E4F}"/>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57" name="Shape 8">
          <a:extLst>
            <a:ext uri="{FF2B5EF4-FFF2-40B4-BE49-F238E27FC236}">
              <a16:creationId xmlns:a16="http://schemas.microsoft.com/office/drawing/2014/main" id="{027EBE51-C506-414D-9F37-39B040D3F3D0}"/>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0</xdr:row>
      <xdr:rowOff>0</xdr:rowOff>
    </xdr:from>
    <xdr:to>
      <xdr:col>14</xdr:col>
      <xdr:colOff>38100</xdr:colOff>
      <xdr:row>0</xdr:row>
      <xdr:rowOff>38100</xdr:rowOff>
    </xdr:to>
    <xdr:sp macro="" textlink="">
      <xdr:nvSpPr>
        <xdr:cNvPr id="758" name="Shape 7">
          <a:extLst>
            <a:ext uri="{FF2B5EF4-FFF2-40B4-BE49-F238E27FC236}">
              <a16:creationId xmlns:a16="http://schemas.microsoft.com/office/drawing/2014/main" id="{A598718E-0F73-4CEF-8614-366C87788CD1}"/>
            </a:ext>
          </a:extLst>
        </xdr:cNvPr>
        <xdr:cNvSpPr>
          <a:spLocks noChangeArrowheads="1"/>
        </xdr:cNvSpPr>
      </xdr:nvSpPr>
      <xdr:spPr bwMode="auto">
        <a:xfrm>
          <a:off x="11210925"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59" name="Shape 8">
          <a:extLst>
            <a:ext uri="{FF2B5EF4-FFF2-40B4-BE49-F238E27FC236}">
              <a16:creationId xmlns:a16="http://schemas.microsoft.com/office/drawing/2014/main" id="{49878E64-60FC-498D-AF9B-613F402B4AF1}"/>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60" name="Shape 8">
          <a:extLst>
            <a:ext uri="{FF2B5EF4-FFF2-40B4-BE49-F238E27FC236}">
              <a16:creationId xmlns:a16="http://schemas.microsoft.com/office/drawing/2014/main" id="{4A07D835-C34A-4FC6-8D71-41256A47C662}"/>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0</xdr:row>
      <xdr:rowOff>0</xdr:rowOff>
    </xdr:from>
    <xdr:to>
      <xdr:col>14</xdr:col>
      <xdr:colOff>38100</xdr:colOff>
      <xdr:row>0</xdr:row>
      <xdr:rowOff>38100</xdr:rowOff>
    </xdr:to>
    <xdr:sp macro="" textlink="">
      <xdr:nvSpPr>
        <xdr:cNvPr id="761" name="Shape 7">
          <a:extLst>
            <a:ext uri="{FF2B5EF4-FFF2-40B4-BE49-F238E27FC236}">
              <a16:creationId xmlns:a16="http://schemas.microsoft.com/office/drawing/2014/main" id="{9CB823B6-2C57-4AF0-B617-9B15F3C4EEC6}"/>
            </a:ext>
          </a:extLst>
        </xdr:cNvPr>
        <xdr:cNvSpPr>
          <a:spLocks noChangeArrowheads="1"/>
        </xdr:cNvSpPr>
      </xdr:nvSpPr>
      <xdr:spPr bwMode="auto">
        <a:xfrm>
          <a:off x="11210925"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0</xdr:row>
      <xdr:rowOff>0</xdr:rowOff>
    </xdr:from>
    <xdr:to>
      <xdr:col>14</xdr:col>
      <xdr:colOff>38100</xdr:colOff>
      <xdr:row>0</xdr:row>
      <xdr:rowOff>38100</xdr:rowOff>
    </xdr:to>
    <xdr:sp macro="" textlink="">
      <xdr:nvSpPr>
        <xdr:cNvPr id="762" name="Shape 7">
          <a:extLst>
            <a:ext uri="{FF2B5EF4-FFF2-40B4-BE49-F238E27FC236}">
              <a16:creationId xmlns:a16="http://schemas.microsoft.com/office/drawing/2014/main" id="{8F747AD7-E745-48AB-8825-47D201E08333}"/>
            </a:ext>
          </a:extLst>
        </xdr:cNvPr>
        <xdr:cNvSpPr>
          <a:spLocks noChangeArrowheads="1"/>
        </xdr:cNvSpPr>
      </xdr:nvSpPr>
      <xdr:spPr bwMode="auto">
        <a:xfrm>
          <a:off x="11210925"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63" name="Shape 8">
          <a:extLst>
            <a:ext uri="{FF2B5EF4-FFF2-40B4-BE49-F238E27FC236}">
              <a16:creationId xmlns:a16="http://schemas.microsoft.com/office/drawing/2014/main" id="{79E2D411-CB10-43E8-8B0F-9EABB1245065}"/>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64" name="Shape 8">
          <a:extLst>
            <a:ext uri="{FF2B5EF4-FFF2-40B4-BE49-F238E27FC236}">
              <a16:creationId xmlns:a16="http://schemas.microsoft.com/office/drawing/2014/main" id="{F8518C83-57BB-4C7C-8F56-50F7F4036CC2}"/>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0</xdr:row>
      <xdr:rowOff>0</xdr:rowOff>
    </xdr:from>
    <xdr:to>
      <xdr:col>14</xdr:col>
      <xdr:colOff>38100</xdr:colOff>
      <xdr:row>0</xdr:row>
      <xdr:rowOff>38100</xdr:rowOff>
    </xdr:to>
    <xdr:sp macro="" textlink="">
      <xdr:nvSpPr>
        <xdr:cNvPr id="765" name="Shape 7">
          <a:extLst>
            <a:ext uri="{FF2B5EF4-FFF2-40B4-BE49-F238E27FC236}">
              <a16:creationId xmlns:a16="http://schemas.microsoft.com/office/drawing/2014/main" id="{C63A90EE-C232-48E8-A523-BECADBE2B337}"/>
            </a:ext>
          </a:extLst>
        </xdr:cNvPr>
        <xdr:cNvSpPr>
          <a:spLocks noChangeArrowheads="1"/>
        </xdr:cNvSpPr>
      </xdr:nvSpPr>
      <xdr:spPr bwMode="auto">
        <a:xfrm>
          <a:off x="11210925"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0</xdr:row>
      <xdr:rowOff>0</xdr:rowOff>
    </xdr:from>
    <xdr:to>
      <xdr:col>14</xdr:col>
      <xdr:colOff>38100</xdr:colOff>
      <xdr:row>0</xdr:row>
      <xdr:rowOff>38100</xdr:rowOff>
    </xdr:to>
    <xdr:sp macro="" textlink="">
      <xdr:nvSpPr>
        <xdr:cNvPr id="766" name="Shape 7">
          <a:extLst>
            <a:ext uri="{FF2B5EF4-FFF2-40B4-BE49-F238E27FC236}">
              <a16:creationId xmlns:a16="http://schemas.microsoft.com/office/drawing/2014/main" id="{478BC9F7-E2F0-496C-8CE4-1BD6E51A14EA}"/>
            </a:ext>
          </a:extLst>
        </xdr:cNvPr>
        <xdr:cNvSpPr>
          <a:spLocks noChangeArrowheads="1"/>
        </xdr:cNvSpPr>
      </xdr:nvSpPr>
      <xdr:spPr bwMode="auto">
        <a:xfrm>
          <a:off x="11210925"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67" name="Shape 8">
          <a:extLst>
            <a:ext uri="{FF2B5EF4-FFF2-40B4-BE49-F238E27FC236}">
              <a16:creationId xmlns:a16="http://schemas.microsoft.com/office/drawing/2014/main" id="{7B22EAC9-2A92-49A0-BDB7-F7A335F5F283}"/>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0</xdr:row>
      <xdr:rowOff>0</xdr:rowOff>
    </xdr:from>
    <xdr:to>
      <xdr:col>15</xdr:col>
      <xdr:colOff>114300</xdr:colOff>
      <xdr:row>0</xdr:row>
      <xdr:rowOff>38100</xdr:rowOff>
    </xdr:to>
    <xdr:sp macro="" textlink="">
      <xdr:nvSpPr>
        <xdr:cNvPr id="768" name="Shape 8">
          <a:extLst>
            <a:ext uri="{FF2B5EF4-FFF2-40B4-BE49-F238E27FC236}">
              <a16:creationId xmlns:a16="http://schemas.microsoft.com/office/drawing/2014/main" id="{321DD3B7-613D-45D9-A1A1-3F41FFB5CD2B}"/>
            </a:ext>
          </a:extLst>
        </xdr:cNvPr>
        <xdr:cNvSpPr>
          <a:spLocks noChangeArrowheads="1"/>
        </xdr:cNvSpPr>
      </xdr:nvSpPr>
      <xdr:spPr bwMode="auto">
        <a:xfrm>
          <a:off x="11944350" y="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69" name="Shape 7">
          <a:extLst>
            <a:ext uri="{FF2B5EF4-FFF2-40B4-BE49-F238E27FC236}">
              <a16:creationId xmlns:a16="http://schemas.microsoft.com/office/drawing/2014/main" id="{DEFD8106-5C0A-4F18-8413-519233156C81}"/>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70" name="Shape 7">
          <a:extLst>
            <a:ext uri="{FF2B5EF4-FFF2-40B4-BE49-F238E27FC236}">
              <a16:creationId xmlns:a16="http://schemas.microsoft.com/office/drawing/2014/main" id="{053F4087-2584-4D86-9771-FBC100C8C639}"/>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71" name="Shape 7">
          <a:extLst>
            <a:ext uri="{FF2B5EF4-FFF2-40B4-BE49-F238E27FC236}">
              <a16:creationId xmlns:a16="http://schemas.microsoft.com/office/drawing/2014/main" id="{0E026371-60D4-4155-85DD-10E995B467C3}"/>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72" name="Shape 7">
          <a:extLst>
            <a:ext uri="{FF2B5EF4-FFF2-40B4-BE49-F238E27FC236}">
              <a16:creationId xmlns:a16="http://schemas.microsoft.com/office/drawing/2014/main" id="{ED442098-09E1-4605-8F42-688628DFFE22}"/>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73" name="Shape 7">
          <a:extLst>
            <a:ext uri="{FF2B5EF4-FFF2-40B4-BE49-F238E27FC236}">
              <a16:creationId xmlns:a16="http://schemas.microsoft.com/office/drawing/2014/main" id="{12E7AA28-D7EE-462E-8534-A0F62A76BF29}"/>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74" name="Shape 7">
          <a:extLst>
            <a:ext uri="{FF2B5EF4-FFF2-40B4-BE49-F238E27FC236}">
              <a16:creationId xmlns:a16="http://schemas.microsoft.com/office/drawing/2014/main" id="{C8A5651C-2AD2-4C10-A3CD-CFA97A2EE4F4}"/>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75" name="Shape 7">
          <a:extLst>
            <a:ext uri="{FF2B5EF4-FFF2-40B4-BE49-F238E27FC236}">
              <a16:creationId xmlns:a16="http://schemas.microsoft.com/office/drawing/2014/main" id="{03A6A679-2572-4A5B-8221-72E31768F0A8}"/>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76" name="Shape 7">
          <a:extLst>
            <a:ext uri="{FF2B5EF4-FFF2-40B4-BE49-F238E27FC236}">
              <a16:creationId xmlns:a16="http://schemas.microsoft.com/office/drawing/2014/main" id="{04F3B36C-A63D-4343-9F16-14C2DB3CBD5A}"/>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77" name="Shape 7">
          <a:extLst>
            <a:ext uri="{FF2B5EF4-FFF2-40B4-BE49-F238E27FC236}">
              <a16:creationId xmlns:a16="http://schemas.microsoft.com/office/drawing/2014/main" id="{C8C663DE-B880-4418-8117-2B9179C1822B}"/>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78" name="Shape 7">
          <a:extLst>
            <a:ext uri="{FF2B5EF4-FFF2-40B4-BE49-F238E27FC236}">
              <a16:creationId xmlns:a16="http://schemas.microsoft.com/office/drawing/2014/main" id="{A300E5A2-2B62-44F8-8551-615524B22233}"/>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79" name="Shape 7">
          <a:extLst>
            <a:ext uri="{FF2B5EF4-FFF2-40B4-BE49-F238E27FC236}">
              <a16:creationId xmlns:a16="http://schemas.microsoft.com/office/drawing/2014/main" id="{64938D12-2FC5-4280-AE4C-44D7996751FC}"/>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80" name="Shape 7">
          <a:extLst>
            <a:ext uri="{FF2B5EF4-FFF2-40B4-BE49-F238E27FC236}">
              <a16:creationId xmlns:a16="http://schemas.microsoft.com/office/drawing/2014/main" id="{5754D989-6F10-4119-84F6-C129DFACF846}"/>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81" name="Shape 7">
          <a:extLst>
            <a:ext uri="{FF2B5EF4-FFF2-40B4-BE49-F238E27FC236}">
              <a16:creationId xmlns:a16="http://schemas.microsoft.com/office/drawing/2014/main" id="{4BD32AAB-B013-4329-A04A-7B72D791FC8B}"/>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82" name="Shape 7">
          <a:extLst>
            <a:ext uri="{FF2B5EF4-FFF2-40B4-BE49-F238E27FC236}">
              <a16:creationId xmlns:a16="http://schemas.microsoft.com/office/drawing/2014/main" id="{8F0EA9F7-C389-4BBE-B92C-2E163CAF7227}"/>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83" name="Shape 7">
          <a:extLst>
            <a:ext uri="{FF2B5EF4-FFF2-40B4-BE49-F238E27FC236}">
              <a16:creationId xmlns:a16="http://schemas.microsoft.com/office/drawing/2014/main" id="{64C63274-EC40-43F7-9FCF-3ABB4FCAE07A}"/>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0</xdr:row>
      <xdr:rowOff>0</xdr:rowOff>
    </xdr:from>
    <xdr:to>
      <xdr:col>15</xdr:col>
      <xdr:colOff>38100</xdr:colOff>
      <xdr:row>0</xdr:row>
      <xdr:rowOff>38100</xdr:rowOff>
    </xdr:to>
    <xdr:sp macro="" textlink="">
      <xdr:nvSpPr>
        <xdr:cNvPr id="784" name="Shape 7">
          <a:extLst>
            <a:ext uri="{FF2B5EF4-FFF2-40B4-BE49-F238E27FC236}">
              <a16:creationId xmlns:a16="http://schemas.microsoft.com/office/drawing/2014/main" id="{063B1EBD-9A33-4B35-8D07-BA5F0D13D2FC}"/>
            </a:ext>
          </a:extLst>
        </xdr:cNvPr>
        <xdr:cNvSpPr>
          <a:spLocks noChangeArrowheads="1"/>
        </xdr:cNvSpPr>
      </xdr:nvSpPr>
      <xdr:spPr bwMode="auto">
        <a:xfrm>
          <a:off x="12534900" y="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785" name="Shape 7">
          <a:extLst>
            <a:ext uri="{FF2B5EF4-FFF2-40B4-BE49-F238E27FC236}">
              <a16:creationId xmlns:a16="http://schemas.microsoft.com/office/drawing/2014/main" id="{C2470026-D099-4B56-9946-03CB7244E8BD}"/>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786" name="Shape 8">
          <a:extLst>
            <a:ext uri="{FF2B5EF4-FFF2-40B4-BE49-F238E27FC236}">
              <a16:creationId xmlns:a16="http://schemas.microsoft.com/office/drawing/2014/main" id="{9EABAE19-9005-46F9-AC9A-D4431FD78429}"/>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787" name="Shape 7">
          <a:extLst>
            <a:ext uri="{FF2B5EF4-FFF2-40B4-BE49-F238E27FC236}">
              <a16:creationId xmlns:a16="http://schemas.microsoft.com/office/drawing/2014/main" id="{84244A2B-DB1A-443C-ABA2-8885D6AC19C6}"/>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788" name="Shape 8">
          <a:extLst>
            <a:ext uri="{FF2B5EF4-FFF2-40B4-BE49-F238E27FC236}">
              <a16:creationId xmlns:a16="http://schemas.microsoft.com/office/drawing/2014/main" id="{7488CB91-2E37-4071-B0B7-2B18C6BB9355}"/>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789" name="Shape 7">
          <a:extLst>
            <a:ext uri="{FF2B5EF4-FFF2-40B4-BE49-F238E27FC236}">
              <a16:creationId xmlns:a16="http://schemas.microsoft.com/office/drawing/2014/main" id="{FBEF8F97-2EFA-42BD-9FA8-71015CAEF03A}"/>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790" name="Shape 8">
          <a:extLst>
            <a:ext uri="{FF2B5EF4-FFF2-40B4-BE49-F238E27FC236}">
              <a16:creationId xmlns:a16="http://schemas.microsoft.com/office/drawing/2014/main" id="{9BC15635-AD6A-49DA-994D-8D9EE59F9C49}"/>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791" name="Shape 8">
          <a:extLst>
            <a:ext uri="{FF2B5EF4-FFF2-40B4-BE49-F238E27FC236}">
              <a16:creationId xmlns:a16="http://schemas.microsoft.com/office/drawing/2014/main" id="{032987DC-237A-4925-A55C-3FDBBDCB1896}"/>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792" name="Shape 7">
          <a:extLst>
            <a:ext uri="{FF2B5EF4-FFF2-40B4-BE49-F238E27FC236}">
              <a16:creationId xmlns:a16="http://schemas.microsoft.com/office/drawing/2014/main" id="{8C88A74D-5B25-457B-A33D-EA0F7BBFE7D1}"/>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793" name="Shape 8">
          <a:extLst>
            <a:ext uri="{FF2B5EF4-FFF2-40B4-BE49-F238E27FC236}">
              <a16:creationId xmlns:a16="http://schemas.microsoft.com/office/drawing/2014/main" id="{319DCDDF-AF64-4B59-95ED-EB62FB7D73EF}"/>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794" name="Shape 8">
          <a:extLst>
            <a:ext uri="{FF2B5EF4-FFF2-40B4-BE49-F238E27FC236}">
              <a16:creationId xmlns:a16="http://schemas.microsoft.com/office/drawing/2014/main" id="{D4795FAC-95B9-4860-8BB4-DFBABCA57F3A}"/>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795" name="Shape 7">
          <a:extLst>
            <a:ext uri="{FF2B5EF4-FFF2-40B4-BE49-F238E27FC236}">
              <a16:creationId xmlns:a16="http://schemas.microsoft.com/office/drawing/2014/main" id="{82C5B8BA-53DE-4CE6-9CAE-000AA87E859B}"/>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796" name="Shape 8">
          <a:extLst>
            <a:ext uri="{FF2B5EF4-FFF2-40B4-BE49-F238E27FC236}">
              <a16:creationId xmlns:a16="http://schemas.microsoft.com/office/drawing/2014/main" id="{0B580EF6-4CF1-449B-BAD4-E57D5F165090}"/>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797" name="Shape 8">
          <a:extLst>
            <a:ext uri="{FF2B5EF4-FFF2-40B4-BE49-F238E27FC236}">
              <a16:creationId xmlns:a16="http://schemas.microsoft.com/office/drawing/2014/main" id="{FF431F2D-0089-471D-9D18-92428C801E4F}"/>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798" name="Shape 7">
          <a:extLst>
            <a:ext uri="{FF2B5EF4-FFF2-40B4-BE49-F238E27FC236}">
              <a16:creationId xmlns:a16="http://schemas.microsoft.com/office/drawing/2014/main" id="{42E69006-BB8D-4A58-A773-E5997EB4002F}"/>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799" name="Shape 8">
          <a:extLst>
            <a:ext uri="{FF2B5EF4-FFF2-40B4-BE49-F238E27FC236}">
              <a16:creationId xmlns:a16="http://schemas.microsoft.com/office/drawing/2014/main" id="{A387C810-8D6C-433C-9F40-32AA8CCDC3C6}"/>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00" name="Shape 8">
          <a:extLst>
            <a:ext uri="{FF2B5EF4-FFF2-40B4-BE49-F238E27FC236}">
              <a16:creationId xmlns:a16="http://schemas.microsoft.com/office/drawing/2014/main" id="{EA4B88FA-84CB-4A1C-BCD0-B56EC7D53FDB}"/>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01" name="Shape 7">
          <a:extLst>
            <a:ext uri="{FF2B5EF4-FFF2-40B4-BE49-F238E27FC236}">
              <a16:creationId xmlns:a16="http://schemas.microsoft.com/office/drawing/2014/main" id="{85F60D9A-309F-4720-923D-5BCC98236058}"/>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02" name="Shape 8">
          <a:extLst>
            <a:ext uri="{FF2B5EF4-FFF2-40B4-BE49-F238E27FC236}">
              <a16:creationId xmlns:a16="http://schemas.microsoft.com/office/drawing/2014/main" id="{3BC27B66-895B-4B97-A191-D31D1A42FC12}"/>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03" name="Shape 8">
          <a:extLst>
            <a:ext uri="{FF2B5EF4-FFF2-40B4-BE49-F238E27FC236}">
              <a16:creationId xmlns:a16="http://schemas.microsoft.com/office/drawing/2014/main" id="{A7F06FA2-BAA8-48EE-88B1-9A90DA3ADCE5}"/>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04" name="Shape 7">
          <a:extLst>
            <a:ext uri="{FF2B5EF4-FFF2-40B4-BE49-F238E27FC236}">
              <a16:creationId xmlns:a16="http://schemas.microsoft.com/office/drawing/2014/main" id="{4F9BC7D0-71D8-415C-B6A1-BCABBBEEBCD6}"/>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05" name="Shape 7">
          <a:extLst>
            <a:ext uri="{FF2B5EF4-FFF2-40B4-BE49-F238E27FC236}">
              <a16:creationId xmlns:a16="http://schemas.microsoft.com/office/drawing/2014/main" id="{6ABF0A9E-F309-490B-BB1D-2C9F597FB0A2}"/>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06" name="Shape 8">
          <a:extLst>
            <a:ext uri="{FF2B5EF4-FFF2-40B4-BE49-F238E27FC236}">
              <a16:creationId xmlns:a16="http://schemas.microsoft.com/office/drawing/2014/main" id="{578FCB2D-2C19-4BDD-8028-39A2C803D94A}"/>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07" name="Shape 8">
          <a:extLst>
            <a:ext uri="{FF2B5EF4-FFF2-40B4-BE49-F238E27FC236}">
              <a16:creationId xmlns:a16="http://schemas.microsoft.com/office/drawing/2014/main" id="{851EC968-9AE6-45AA-8331-1F4404C83D00}"/>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08" name="Shape 7">
          <a:extLst>
            <a:ext uri="{FF2B5EF4-FFF2-40B4-BE49-F238E27FC236}">
              <a16:creationId xmlns:a16="http://schemas.microsoft.com/office/drawing/2014/main" id="{EE35274B-0004-437E-9176-711F3B22BC0C}"/>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09" name="Shape 7">
          <a:extLst>
            <a:ext uri="{FF2B5EF4-FFF2-40B4-BE49-F238E27FC236}">
              <a16:creationId xmlns:a16="http://schemas.microsoft.com/office/drawing/2014/main" id="{1A29A21D-5B85-4592-922A-F5C1F1F537F7}"/>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10" name="Shape 8">
          <a:extLst>
            <a:ext uri="{FF2B5EF4-FFF2-40B4-BE49-F238E27FC236}">
              <a16:creationId xmlns:a16="http://schemas.microsoft.com/office/drawing/2014/main" id="{4CC71418-C4D4-41D3-9004-427269D2FD22}"/>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11" name="Shape 8">
          <a:extLst>
            <a:ext uri="{FF2B5EF4-FFF2-40B4-BE49-F238E27FC236}">
              <a16:creationId xmlns:a16="http://schemas.microsoft.com/office/drawing/2014/main" id="{F197AAF8-367C-413A-8ADD-0ED69C9819A0}"/>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12" name="Shape 7">
          <a:extLst>
            <a:ext uri="{FF2B5EF4-FFF2-40B4-BE49-F238E27FC236}">
              <a16:creationId xmlns:a16="http://schemas.microsoft.com/office/drawing/2014/main" id="{612DD724-8AE4-4F28-A962-DFC0289CA3BE}"/>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13" name="Shape 7">
          <a:extLst>
            <a:ext uri="{FF2B5EF4-FFF2-40B4-BE49-F238E27FC236}">
              <a16:creationId xmlns:a16="http://schemas.microsoft.com/office/drawing/2014/main" id="{91974A57-A2D4-42D7-A9CD-44DCE7303D0A}"/>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14" name="Shape 7">
          <a:extLst>
            <a:ext uri="{FF2B5EF4-FFF2-40B4-BE49-F238E27FC236}">
              <a16:creationId xmlns:a16="http://schemas.microsoft.com/office/drawing/2014/main" id="{6193A27C-EE80-460F-BC7F-7D4D47632DD7}"/>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15" name="Shape 7">
          <a:extLst>
            <a:ext uri="{FF2B5EF4-FFF2-40B4-BE49-F238E27FC236}">
              <a16:creationId xmlns:a16="http://schemas.microsoft.com/office/drawing/2014/main" id="{224C6A39-6CAE-4D36-8A8C-B817BC70FF21}"/>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16" name="Shape 7">
          <a:extLst>
            <a:ext uri="{FF2B5EF4-FFF2-40B4-BE49-F238E27FC236}">
              <a16:creationId xmlns:a16="http://schemas.microsoft.com/office/drawing/2014/main" id="{D0847F35-9DC6-4692-BFA6-902C1E32345D}"/>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17" name="Shape 7">
          <a:extLst>
            <a:ext uri="{FF2B5EF4-FFF2-40B4-BE49-F238E27FC236}">
              <a16:creationId xmlns:a16="http://schemas.microsoft.com/office/drawing/2014/main" id="{EDAC2BDF-3BE3-4F36-A6DA-8E7E436B0C99}"/>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18" name="Shape 7">
          <a:extLst>
            <a:ext uri="{FF2B5EF4-FFF2-40B4-BE49-F238E27FC236}">
              <a16:creationId xmlns:a16="http://schemas.microsoft.com/office/drawing/2014/main" id="{00D2EAF9-D550-45C9-BB20-E420E3E67D40}"/>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19" name="Shape 7">
          <a:extLst>
            <a:ext uri="{FF2B5EF4-FFF2-40B4-BE49-F238E27FC236}">
              <a16:creationId xmlns:a16="http://schemas.microsoft.com/office/drawing/2014/main" id="{36B3AD7B-15D4-4F4D-A2A0-004BD39A84E9}"/>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20" name="Shape 7">
          <a:extLst>
            <a:ext uri="{FF2B5EF4-FFF2-40B4-BE49-F238E27FC236}">
              <a16:creationId xmlns:a16="http://schemas.microsoft.com/office/drawing/2014/main" id="{3529CF77-83B1-4E49-A44E-78DE700CEC94}"/>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21" name="Shape 7">
          <a:extLst>
            <a:ext uri="{FF2B5EF4-FFF2-40B4-BE49-F238E27FC236}">
              <a16:creationId xmlns:a16="http://schemas.microsoft.com/office/drawing/2014/main" id="{3034059C-6EB7-471C-BAFE-D10CEB69A87B}"/>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22" name="Shape 7">
          <a:extLst>
            <a:ext uri="{FF2B5EF4-FFF2-40B4-BE49-F238E27FC236}">
              <a16:creationId xmlns:a16="http://schemas.microsoft.com/office/drawing/2014/main" id="{ADDCE117-4D17-4824-BEB9-4327E4789899}"/>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23" name="Shape 7">
          <a:extLst>
            <a:ext uri="{FF2B5EF4-FFF2-40B4-BE49-F238E27FC236}">
              <a16:creationId xmlns:a16="http://schemas.microsoft.com/office/drawing/2014/main" id="{A27880EE-FE8B-463A-B49D-EB6C37CF8C1A}"/>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24" name="Shape 7">
          <a:extLst>
            <a:ext uri="{FF2B5EF4-FFF2-40B4-BE49-F238E27FC236}">
              <a16:creationId xmlns:a16="http://schemas.microsoft.com/office/drawing/2014/main" id="{13B8A95A-907D-4646-85A0-490EB07ED24D}"/>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25" name="Shape 7">
          <a:extLst>
            <a:ext uri="{FF2B5EF4-FFF2-40B4-BE49-F238E27FC236}">
              <a16:creationId xmlns:a16="http://schemas.microsoft.com/office/drawing/2014/main" id="{90336C35-B9EB-4196-B5DE-FF0A6967FDBF}"/>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26" name="Shape 7">
          <a:extLst>
            <a:ext uri="{FF2B5EF4-FFF2-40B4-BE49-F238E27FC236}">
              <a16:creationId xmlns:a16="http://schemas.microsoft.com/office/drawing/2014/main" id="{A5EE4229-BEE2-4BEC-8BE2-C085F0228639}"/>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27" name="Shape 7">
          <a:extLst>
            <a:ext uri="{FF2B5EF4-FFF2-40B4-BE49-F238E27FC236}">
              <a16:creationId xmlns:a16="http://schemas.microsoft.com/office/drawing/2014/main" id="{D8D4D3B7-4F7B-484C-BE5F-F414EC93C1E1}"/>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28" name="Shape 7">
          <a:extLst>
            <a:ext uri="{FF2B5EF4-FFF2-40B4-BE49-F238E27FC236}">
              <a16:creationId xmlns:a16="http://schemas.microsoft.com/office/drawing/2014/main" id="{51DD3C1A-976B-4758-857B-92CB29E51637}"/>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29" name="Shape 8">
          <a:extLst>
            <a:ext uri="{FF2B5EF4-FFF2-40B4-BE49-F238E27FC236}">
              <a16:creationId xmlns:a16="http://schemas.microsoft.com/office/drawing/2014/main" id="{3AB29F3F-5068-481F-ADC6-4068325851DA}"/>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30" name="Shape 7">
          <a:extLst>
            <a:ext uri="{FF2B5EF4-FFF2-40B4-BE49-F238E27FC236}">
              <a16:creationId xmlns:a16="http://schemas.microsoft.com/office/drawing/2014/main" id="{85E34884-7A63-4D21-953E-FE5F753A139B}"/>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31" name="Shape 8">
          <a:extLst>
            <a:ext uri="{FF2B5EF4-FFF2-40B4-BE49-F238E27FC236}">
              <a16:creationId xmlns:a16="http://schemas.microsoft.com/office/drawing/2014/main" id="{9F3081B6-E34A-46A6-A8B9-6D8D7D78E517}"/>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32" name="Shape 7">
          <a:extLst>
            <a:ext uri="{FF2B5EF4-FFF2-40B4-BE49-F238E27FC236}">
              <a16:creationId xmlns:a16="http://schemas.microsoft.com/office/drawing/2014/main" id="{7477E007-2FD2-4276-BB3A-13750D0BE60E}"/>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33" name="Shape 8">
          <a:extLst>
            <a:ext uri="{FF2B5EF4-FFF2-40B4-BE49-F238E27FC236}">
              <a16:creationId xmlns:a16="http://schemas.microsoft.com/office/drawing/2014/main" id="{A5379588-263A-4977-BC0B-D16331F446D0}"/>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34" name="Shape 8">
          <a:extLst>
            <a:ext uri="{FF2B5EF4-FFF2-40B4-BE49-F238E27FC236}">
              <a16:creationId xmlns:a16="http://schemas.microsoft.com/office/drawing/2014/main" id="{463CDF9C-E8BB-46E2-9AEE-F131CCA1B0AF}"/>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35" name="Shape 7">
          <a:extLst>
            <a:ext uri="{FF2B5EF4-FFF2-40B4-BE49-F238E27FC236}">
              <a16:creationId xmlns:a16="http://schemas.microsoft.com/office/drawing/2014/main" id="{6E2CE197-43B5-4D58-BF95-C4CAC3E01218}"/>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36" name="Shape 8">
          <a:extLst>
            <a:ext uri="{FF2B5EF4-FFF2-40B4-BE49-F238E27FC236}">
              <a16:creationId xmlns:a16="http://schemas.microsoft.com/office/drawing/2014/main" id="{FAC0D09C-386D-4BD6-9EAD-D038F0FEFE76}"/>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37" name="Shape 8">
          <a:extLst>
            <a:ext uri="{FF2B5EF4-FFF2-40B4-BE49-F238E27FC236}">
              <a16:creationId xmlns:a16="http://schemas.microsoft.com/office/drawing/2014/main" id="{0F9B906C-CD3A-4235-8B6F-3CFF7D317805}"/>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38" name="Shape 7">
          <a:extLst>
            <a:ext uri="{FF2B5EF4-FFF2-40B4-BE49-F238E27FC236}">
              <a16:creationId xmlns:a16="http://schemas.microsoft.com/office/drawing/2014/main" id="{4704B489-C127-4A8C-8339-BEFAEB6D10C5}"/>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39" name="Shape 8">
          <a:extLst>
            <a:ext uri="{FF2B5EF4-FFF2-40B4-BE49-F238E27FC236}">
              <a16:creationId xmlns:a16="http://schemas.microsoft.com/office/drawing/2014/main" id="{4088213F-ED12-4FB9-A63C-59D30F1AA801}"/>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40" name="Shape 8">
          <a:extLst>
            <a:ext uri="{FF2B5EF4-FFF2-40B4-BE49-F238E27FC236}">
              <a16:creationId xmlns:a16="http://schemas.microsoft.com/office/drawing/2014/main" id="{F8D87331-C886-4DA0-A5D8-F5E3CCCDE482}"/>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41" name="Shape 7">
          <a:extLst>
            <a:ext uri="{FF2B5EF4-FFF2-40B4-BE49-F238E27FC236}">
              <a16:creationId xmlns:a16="http://schemas.microsoft.com/office/drawing/2014/main" id="{8656DB16-B2D1-4D6F-9206-536B830D0EDC}"/>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42" name="Shape 8">
          <a:extLst>
            <a:ext uri="{FF2B5EF4-FFF2-40B4-BE49-F238E27FC236}">
              <a16:creationId xmlns:a16="http://schemas.microsoft.com/office/drawing/2014/main" id="{CADD841A-1146-4637-9232-8977F66D5483}"/>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43" name="Shape 8">
          <a:extLst>
            <a:ext uri="{FF2B5EF4-FFF2-40B4-BE49-F238E27FC236}">
              <a16:creationId xmlns:a16="http://schemas.microsoft.com/office/drawing/2014/main" id="{BACE7E2A-5FE8-4755-9E69-6AE7FF72E8BB}"/>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44" name="Shape 7">
          <a:extLst>
            <a:ext uri="{FF2B5EF4-FFF2-40B4-BE49-F238E27FC236}">
              <a16:creationId xmlns:a16="http://schemas.microsoft.com/office/drawing/2014/main" id="{0E0C6493-D235-4C71-828E-47C71163F067}"/>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45" name="Shape 8">
          <a:extLst>
            <a:ext uri="{FF2B5EF4-FFF2-40B4-BE49-F238E27FC236}">
              <a16:creationId xmlns:a16="http://schemas.microsoft.com/office/drawing/2014/main" id="{BBEE03BE-8998-4FDB-8E98-37EE3F452043}"/>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46" name="Shape 8">
          <a:extLst>
            <a:ext uri="{FF2B5EF4-FFF2-40B4-BE49-F238E27FC236}">
              <a16:creationId xmlns:a16="http://schemas.microsoft.com/office/drawing/2014/main" id="{C99B03D5-5973-4802-AAA3-983A31ADAE98}"/>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47" name="Shape 7">
          <a:extLst>
            <a:ext uri="{FF2B5EF4-FFF2-40B4-BE49-F238E27FC236}">
              <a16:creationId xmlns:a16="http://schemas.microsoft.com/office/drawing/2014/main" id="{D7774515-8B5B-4F9D-ACC2-130C8B76D502}"/>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48" name="Shape 7">
          <a:extLst>
            <a:ext uri="{FF2B5EF4-FFF2-40B4-BE49-F238E27FC236}">
              <a16:creationId xmlns:a16="http://schemas.microsoft.com/office/drawing/2014/main" id="{7F6F5E32-454E-4AC1-8126-5186CC552353}"/>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49" name="Shape 8">
          <a:extLst>
            <a:ext uri="{FF2B5EF4-FFF2-40B4-BE49-F238E27FC236}">
              <a16:creationId xmlns:a16="http://schemas.microsoft.com/office/drawing/2014/main" id="{0DFC49C3-0D39-43B0-ADFE-F0C484F8171A}"/>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50" name="Shape 8">
          <a:extLst>
            <a:ext uri="{FF2B5EF4-FFF2-40B4-BE49-F238E27FC236}">
              <a16:creationId xmlns:a16="http://schemas.microsoft.com/office/drawing/2014/main" id="{6D538D42-1B79-4A79-8362-488302A6D27E}"/>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51" name="Shape 7">
          <a:extLst>
            <a:ext uri="{FF2B5EF4-FFF2-40B4-BE49-F238E27FC236}">
              <a16:creationId xmlns:a16="http://schemas.microsoft.com/office/drawing/2014/main" id="{917B3F8E-0E1F-479D-A95E-B0328D2549DA}"/>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52" name="Shape 7">
          <a:extLst>
            <a:ext uri="{FF2B5EF4-FFF2-40B4-BE49-F238E27FC236}">
              <a16:creationId xmlns:a16="http://schemas.microsoft.com/office/drawing/2014/main" id="{9BD53BE0-3EEE-4D14-A5FE-457B978B4664}"/>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53" name="Shape 7">
          <a:extLst>
            <a:ext uri="{FF2B5EF4-FFF2-40B4-BE49-F238E27FC236}">
              <a16:creationId xmlns:a16="http://schemas.microsoft.com/office/drawing/2014/main" id="{43CBD109-CE63-44B3-8349-99FE384AA529}"/>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54" name="Shape 7">
          <a:extLst>
            <a:ext uri="{FF2B5EF4-FFF2-40B4-BE49-F238E27FC236}">
              <a16:creationId xmlns:a16="http://schemas.microsoft.com/office/drawing/2014/main" id="{FB7C76AE-EE36-4BE2-A263-B676ACD03194}"/>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55" name="Shape 7">
          <a:extLst>
            <a:ext uri="{FF2B5EF4-FFF2-40B4-BE49-F238E27FC236}">
              <a16:creationId xmlns:a16="http://schemas.microsoft.com/office/drawing/2014/main" id="{58E8CA7F-E3F7-4E29-A2A0-B013158089CB}"/>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56" name="Shape 7">
          <a:extLst>
            <a:ext uri="{FF2B5EF4-FFF2-40B4-BE49-F238E27FC236}">
              <a16:creationId xmlns:a16="http://schemas.microsoft.com/office/drawing/2014/main" id="{109B86B5-BDE3-47A6-A8BA-204B8D5DDCC0}"/>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57" name="Shape 7">
          <a:extLst>
            <a:ext uri="{FF2B5EF4-FFF2-40B4-BE49-F238E27FC236}">
              <a16:creationId xmlns:a16="http://schemas.microsoft.com/office/drawing/2014/main" id="{DA959EEC-9696-41AE-8016-A23ABFD27D3C}"/>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58" name="Shape 7">
          <a:extLst>
            <a:ext uri="{FF2B5EF4-FFF2-40B4-BE49-F238E27FC236}">
              <a16:creationId xmlns:a16="http://schemas.microsoft.com/office/drawing/2014/main" id="{1CDE66FA-3720-48FC-9F82-909E8ED337F9}"/>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59" name="Shape 7">
          <a:extLst>
            <a:ext uri="{FF2B5EF4-FFF2-40B4-BE49-F238E27FC236}">
              <a16:creationId xmlns:a16="http://schemas.microsoft.com/office/drawing/2014/main" id="{7CAD3EB9-5CC2-4D36-91EF-C9252FBAF521}"/>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60" name="Shape 7">
          <a:extLst>
            <a:ext uri="{FF2B5EF4-FFF2-40B4-BE49-F238E27FC236}">
              <a16:creationId xmlns:a16="http://schemas.microsoft.com/office/drawing/2014/main" id="{47A09BCE-75A6-416C-AABE-AEFA6A7CD37F}"/>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61" name="Shape 7">
          <a:extLst>
            <a:ext uri="{FF2B5EF4-FFF2-40B4-BE49-F238E27FC236}">
              <a16:creationId xmlns:a16="http://schemas.microsoft.com/office/drawing/2014/main" id="{C721B2C8-E385-44A8-BE60-CC0E52DDE99C}"/>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62" name="Shape 7">
          <a:extLst>
            <a:ext uri="{FF2B5EF4-FFF2-40B4-BE49-F238E27FC236}">
              <a16:creationId xmlns:a16="http://schemas.microsoft.com/office/drawing/2014/main" id="{288FF274-DEAA-49C4-BD34-66F8FA3A0DBF}"/>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63" name="Shape 7">
          <a:extLst>
            <a:ext uri="{FF2B5EF4-FFF2-40B4-BE49-F238E27FC236}">
              <a16:creationId xmlns:a16="http://schemas.microsoft.com/office/drawing/2014/main" id="{F92EA37E-F5CF-4F8E-8FA3-6818D2F7BAF6}"/>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64" name="Shape 7">
          <a:extLst>
            <a:ext uri="{FF2B5EF4-FFF2-40B4-BE49-F238E27FC236}">
              <a16:creationId xmlns:a16="http://schemas.microsoft.com/office/drawing/2014/main" id="{A55591C4-47D4-4934-8135-59A596F6B811}"/>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65" name="Shape 7">
          <a:extLst>
            <a:ext uri="{FF2B5EF4-FFF2-40B4-BE49-F238E27FC236}">
              <a16:creationId xmlns:a16="http://schemas.microsoft.com/office/drawing/2014/main" id="{42CA5E8B-AB76-4675-A4CE-E5A7EFD3B1CC}"/>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66" name="Shape 7">
          <a:extLst>
            <a:ext uri="{FF2B5EF4-FFF2-40B4-BE49-F238E27FC236}">
              <a16:creationId xmlns:a16="http://schemas.microsoft.com/office/drawing/2014/main" id="{86CB4C14-FEE2-4993-ACDE-EB0DEA0C37AC}"/>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67" name="Shape 7">
          <a:extLst>
            <a:ext uri="{FF2B5EF4-FFF2-40B4-BE49-F238E27FC236}">
              <a16:creationId xmlns:a16="http://schemas.microsoft.com/office/drawing/2014/main" id="{0C27B367-6DD5-445B-822E-D870B8949BCE}"/>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868" name="Shape 7">
          <a:extLst>
            <a:ext uri="{FF2B5EF4-FFF2-40B4-BE49-F238E27FC236}">
              <a16:creationId xmlns:a16="http://schemas.microsoft.com/office/drawing/2014/main" id="{47417AB0-7C7D-44D4-BC85-FEE6A751C41C}"/>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69" name="Shape 7">
          <a:extLst>
            <a:ext uri="{FF2B5EF4-FFF2-40B4-BE49-F238E27FC236}">
              <a16:creationId xmlns:a16="http://schemas.microsoft.com/office/drawing/2014/main" id="{A2E86AF1-BE5F-4904-A139-E0A533F0F131}"/>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70" name="Shape 8">
          <a:extLst>
            <a:ext uri="{FF2B5EF4-FFF2-40B4-BE49-F238E27FC236}">
              <a16:creationId xmlns:a16="http://schemas.microsoft.com/office/drawing/2014/main" id="{DB5E5869-D4A7-4202-B644-D34BBA4F5489}"/>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71" name="Shape 7">
          <a:extLst>
            <a:ext uri="{FF2B5EF4-FFF2-40B4-BE49-F238E27FC236}">
              <a16:creationId xmlns:a16="http://schemas.microsoft.com/office/drawing/2014/main" id="{78350F01-FBB0-4BF9-BF58-0BF35C591778}"/>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72" name="Shape 8">
          <a:extLst>
            <a:ext uri="{FF2B5EF4-FFF2-40B4-BE49-F238E27FC236}">
              <a16:creationId xmlns:a16="http://schemas.microsoft.com/office/drawing/2014/main" id="{56A29670-D10B-45BE-B982-1CBB3BF75442}"/>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73" name="Shape 7">
          <a:extLst>
            <a:ext uri="{FF2B5EF4-FFF2-40B4-BE49-F238E27FC236}">
              <a16:creationId xmlns:a16="http://schemas.microsoft.com/office/drawing/2014/main" id="{31A635E8-7646-41FD-91AF-8C747CB925E3}"/>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74" name="Shape 8">
          <a:extLst>
            <a:ext uri="{FF2B5EF4-FFF2-40B4-BE49-F238E27FC236}">
              <a16:creationId xmlns:a16="http://schemas.microsoft.com/office/drawing/2014/main" id="{535AF1EE-E3F9-4377-9C28-AB609D445AD1}"/>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75" name="Shape 8">
          <a:extLst>
            <a:ext uri="{FF2B5EF4-FFF2-40B4-BE49-F238E27FC236}">
              <a16:creationId xmlns:a16="http://schemas.microsoft.com/office/drawing/2014/main" id="{B5208086-906D-4811-9DFA-E2C91ECF80F6}"/>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76" name="Shape 7">
          <a:extLst>
            <a:ext uri="{FF2B5EF4-FFF2-40B4-BE49-F238E27FC236}">
              <a16:creationId xmlns:a16="http://schemas.microsoft.com/office/drawing/2014/main" id="{9CAD06BB-9171-43F5-860A-D7AC3791E075}"/>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77" name="Shape 8">
          <a:extLst>
            <a:ext uri="{FF2B5EF4-FFF2-40B4-BE49-F238E27FC236}">
              <a16:creationId xmlns:a16="http://schemas.microsoft.com/office/drawing/2014/main" id="{74D8A774-776C-46A8-9761-4DD0CF1C25C6}"/>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78" name="Shape 8">
          <a:extLst>
            <a:ext uri="{FF2B5EF4-FFF2-40B4-BE49-F238E27FC236}">
              <a16:creationId xmlns:a16="http://schemas.microsoft.com/office/drawing/2014/main" id="{F5F03E04-B342-4476-A417-292D81DA6FD0}"/>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79" name="Shape 7">
          <a:extLst>
            <a:ext uri="{FF2B5EF4-FFF2-40B4-BE49-F238E27FC236}">
              <a16:creationId xmlns:a16="http://schemas.microsoft.com/office/drawing/2014/main" id="{08FBE170-9F31-4A47-86B0-40C2B9B68F3B}"/>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80" name="Shape 8">
          <a:extLst>
            <a:ext uri="{FF2B5EF4-FFF2-40B4-BE49-F238E27FC236}">
              <a16:creationId xmlns:a16="http://schemas.microsoft.com/office/drawing/2014/main" id="{A30F5D94-E6F3-4C2C-8336-DA94663322F0}"/>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81" name="Shape 8">
          <a:extLst>
            <a:ext uri="{FF2B5EF4-FFF2-40B4-BE49-F238E27FC236}">
              <a16:creationId xmlns:a16="http://schemas.microsoft.com/office/drawing/2014/main" id="{9C0A6A0C-0919-43AB-8AB8-9664E60D369E}"/>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82" name="Shape 7">
          <a:extLst>
            <a:ext uri="{FF2B5EF4-FFF2-40B4-BE49-F238E27FC236}">
              <a16:creationId xmlns:a16="http://schemas.microsoft.com/office/drawing/2014/main" id="{47B3546B-A297-4302-9AEF-C1BE0518264C}"/>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83" name="Shape 8">
          <a:extLst>
            <a:ext uri="{FF2B5EF4-FFF2-40B4-BE49-F238E27FC236}">
              <a16:creationId xmlns:a16="http://schemas.microsoft.com/office/drawing/2014/main" id="{DF82D2EB-B074-4F36-A63C-8EBAAE5452C5}"/>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84" name="Shape 8">
          <a:extLst>
            <a:ext uri="{FF2B5EF4-FFF2-40B4-BE49-F238E27FC236}">
              <a16:creationId xmlns:a16="http://schemas.microsoft.com/office/drawing/2014/main" id="{E83DF802-5293-4386-A0CA-45B00033E6F7}"/>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85" name="Shape 7">
          <a:extLst>
            <a:ext uri="{FF2B5EF4-FFF2-40B4-BE49-F238E27FC236}">
              <a16:creationId xmlns:a16="http://schemas.microsoft.com/office/drawing/2014/main" id="{D1D67FAC-FEDF-4EC2-AA7F-CCB98978B028}"/>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86" name="Shape 8">
          <a:extLst>
            <a:ext uri="{FF2B5EF4-FFF2-40B4-BE49-F238E27FC236}">
              <a16:creationId xmlns:a16="http://schemas.microsoft.com/office/drawing/2014/main" id="{689E957F-DF07-420E-B4D8-5DED946CD81C}"/>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87" name="Shape 8">
          <a:extLst>
            <a:ext uri="{FF2B5EF4-FFF2-40B4-BE49-F238E27FC236}">
              <a16:creationId xmlns:a16="http://schemas.microsoft.com/office/drawing/2014/main" id="{72364C47-37DE-4FD1-BC3F-19D3F73302ED}"/>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88" name="Shape 7">
          <a:extLst>
            <a:ext uri="{FF2B5EF4-FFF2-40B4-BE49-F238E27FC236}">
              <a16:creationId xmlns:a16="http://schemas.microsoft.com/office/drawing/2014/main" id="{1B8D530C-D5E5-400D-82F6-445959C6E310}"/>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89" name="Shape 7">
          <a:extLst>
            <a:ext uri="{FF2B5EF4-FFF2-40B4-BE49-F238E27FC236}">
              <a16:creationId xmlns:a16="http://schemas.microsoft.com/office/drawing/2014/main" id="{32B134D5-8FE2-4B23-9E51-FF533832794B}"/>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90" name="Shape 8">
          <a:extLst>
            <a:ext uri="{FF2B5EF4-FFF2-40B4-BE49-F238E27FC236}">
              <a16:creationId xmlns:a16="http://schemas.microsoft.com/office/drawing/2014/main" id="{06345D55-AE21-4A25-810F-2335CB62E8A5}"/>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91" name="Shape 8">
          <a:extLst>
            <a:ext uri="{FF2B5EF4-FFF2-40B4-BE49-F238E27FC236}">
              <a16:creationId xmlns:a16="http://schemas.microsoft.com/office/drawing/2014/main" id="{F32DF5DE-6E73-41E1-9780-BF242260031D}"/>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92" name="Shape 7">
          <a:extLst>
            <a:ext uri="{FF2B5EF4-FFF2-40B4-BE49-F238E27FC236}">
              <a16:creationId xmlns:a16="http://schemas.microsoft.com/office/drawing/2014/main" id="{3F4DBDC9-2126-45BF-8A6A-78A653DFD852}"/>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93" name="Shape 7">
          <a:extLst>
            <a:ext uri="{FF2B5EF4-FFF2-40B4-BE49-F238E27FC236}">
              <a16:creationId xmlns:a16="http://schemas.microsoft.com/office/drawing/2014/main" id="{72C22B1D-744B-4C1E-A1BA-B0F40AF7E62F}"/>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94" name="Shape 8">
          <a:extLst>
            <a:ext uri="{FF2B5EF4-FFF2-40B4-BE49-F238E27FC236}">
              <a16:creationId xmlns:a16="http://schemas.microsoft.com/office/drawing/2014/main" id="{96C60C84-B8E6-4795-BE25-C3A558752BDE}"/>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742950</xdr:colOff>
      <xdr:row>23</xdr:row>
      <xdr:rowOff>0</xdr:rowOff>
    </xdr:from>
    <xdr:to>
      <xdr:col>15</xdr:col>
      <xdr:colOff>123825</xdr:colOff>
      <xdr:row>23</xdr:row>
      <xdr:rowOff>38100</xdr:rowOff>
    </xdr:to>
    <xdr:sp macro="" textlink="">
      <xdr:nvSpPr>
        <xdr:cNvPr id="895" name="Shape 8">
          <a:extLst>
            <a:ext uri="{FF2B5EF4-FFF2-40B4-BE49-F238E27FC236}">
              <a16:creationId xmlns:a16="http://schemas.microsoft.com/office/drawing/2014/main" id="{804B0619-B3DD-46A8-8C16-4CCB3E45D214}"/>
            </a:ext>
          </a:extLst>
        </xdr:cNvPr>
        <xdr:cNvSpPr>
          <a:spLocks noChangeArrowheads="1"/>
        </xdr:cNvSpPr>
      </xdr:nvSpPr>
      <xdr:spPr bwMode="auto">
        <a:xfrm>
          <a:off x="11953875" y="185070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96" name="Shape 7">
          <a:extLst>
            <a:ext uri="{FF2B5EF4-FFF2-40B4-BE49-F238E27FC236}">
              <a16:creationId xmlns:a16="http://schemas.microsoft.com/office/drawing/2014/main" id="{13B37503-3D80-4701-BAD9-419A90BABC25}"/>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97" name="Shape 8">
          <a:extLst>
            <a:ext uri="{FF2B5EF4-FFF2-40B4-BE49-F238E27FC236}">
              <a16:creationId xmlns:a16="http://schemas.microsoft.com/office/drawing/2014/main" id="{FCA81B37-2050-49AF-A667-444BCC033D37}"/>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898" name="Shape 7">
          <a:extLst>
            <a:ext uri="{FF2B5EF4-FFF2-40B4-BE49-F238E27FC236}">
              <a16:creationId xmlns:a16="http://schemas.microsoft.com/office/drawing/2014/main" id="{898B0032-BF66-44C9-A282-BECC34A3D641}"/>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899" name="Shape 8">
          <a:extLst>
            <a:ext uri="{FF2B5EF4-FFF2-40B4-BE49-F238E27FC236}">
              <a16:creationId xmlns:a16="http://schemas.microsoft.com/office/drawing/2014/main" id="{10C115C6-9ACD-4DB4-B4C8-F98271D94A68}"/>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00" name="Shape 7">
          <a:extLst>
            <a:ext uri="{FF2B5EF4-FFF2-40B4-BE49-F238E27FC236}">
              <a16:creationId xmlns:a16="http://schemas.microsoft.com/office/drawing/2014/main" id="{D1BCABEA-BE67-4978-9A38-4340991BD81C}"/>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01" name="Shape 8">
          <a:extLst>
            <a:ext uri="{FF2B5EF4-FFF2-40B4-BE49-F238E27FC236}">
              <a16:creationId xmlns:a16="http://schemas.microsoft.com/office/drawing/2014/main" id="{865343A0-A4C9-463B-8856-1E4C05FEA049}"/>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02" name="Shape 8">
          <a:extLst>
            <a:ext uri="{FF2B5EF4-FFF2-40B4-BE49-F238E27FC236}">
              <a16:creationId xmlns:a16="http://schemas.microsoft.com/office/drawing/2014/main" id="{C4B08A08-1617-40F7-A34F-9CD5694B2E0F}"/>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03" name="Shape 7">
          <a:extLst>
            <a:ext uri="{FF2B5EF4-FFF2-40B4-BE49-F238E27FC236}">
              <a16:creationId xmlns:a16="http://schemas.microsoft.com/office/drawing/2014/main" id="{EB66F464-F2B7-4B30-8254-AC9D06D68393}"/>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04" name="Shape 8">
          <a:extLst>
            <a:ext uri="{FF2B5EF4-FFF2-40B4-BE49-F238E27FC236}">
              <a16:creationId xmlns:a16="http://schemas.microsoft.com/office/drawing/2014/main" id="{C29E4E85-2CBD-4FCB-B051-6444CF5F0EF4}"/>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05" name="Shape 8">
          <a:extLst>
            <a:ext uri="{FF2B5EF4-FFF2-40B4-BE49-F238E27FC236}">
              <a16:creationId xmlns:a16="http://schemas.microsoft.com/office/drawing/2014/main" id="{A0EC5EF2-D362-4F60-91F5-716EBC2A4D35}"/>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06" name="Shape 7">
          <a:extLst>
            <a:ext uri="{FF2B5EF4-FFF2-40B4-BE49-F238E27FC236}">
              <a16:creationId xmlns:a16="http://schemas.microsoft.com/office/drawing/2014/main" id="{63DCC7A1-6A6F-4441-9F65-504297498D0A}"/>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07" name="Shape 8">
          <a:extLst>
            <a:ext uri="{FF2B5EF4-FFF2-40B4-BE49-F238E27FC236}">
              <a16:creationId xmlns:a16="http://schemas.microsoft.com/office/drawing/2014/main" id="{D5C87586-FD4A-48C5-B65A-4B8C8E736EC4}"/>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08" name="Shape 8">
          <a:extLst>
            <a:ext uri="{FF2B5EF4-FFF2-40B4-BE49-F238E27FC236}">
              <a16:creationId xmlns:a16="http://schemas.microsoft.com/office/drawing/2014/main" id="{6271DD54-6C7C-4B8F-A43E-4C92487EEA93}"/>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09" name="Shape 7">
          <a:extLst>
            <a:ext uri="{FF2B5EF4-FFF2-40B4-BE49-F238E27FC236}">
              <a16:creationId xmlns:a16="http://schemas.microsoft.com/office/drawing/2014/main" id="{BA9F33A9-07D9-450B-ABB1-71862FDAD14F}"/>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10" name="Shape 8">
          <a:extLst>
            <a:ext uri="{FF2B5EF4-FFF2-40B4-BE49-F238E27FC236}">
              <a16:creationId xmlns:a16="http://schemas.microsoft.com/office/drawing/2014/main" id="{AAA42FBF-7E15-45CA-9A41-256027C20AB4}"/>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11" name="Shape 8">
          <a:extLst>
            <a:ext uri="{FF2B5EF4-FFF2-40B4-BE49-F238E27FC236}">
              <a16:creationId xmlns:a16="http://schemas.microsoft.com/office/drawing/2014/main" id="{C7E062D4-FC87-4E31-B32E-49498C0EA074}"/>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12" name="Shape 7">
          <a:extLst>
            <a:ext uri="{FF2B5EF4-FFF2-40B4-BE49-F238E27FC236}">
              <a16:creationId xmlns:a16="http://schemas.microsoft.com/office/drawing/2014/main" id="{3CA0AB1B-0265-42E1-9603-E85639106AB3}"/>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13" name="Shape 8">
          <a:extLst>
            <a:ext uri="{FF2B5EF4-FFF2-40B4-BE49-F238E27FC236}">
              <a16:creationId xmlns:a16="http://schemas.microsoft.com/office/drawing/2014/main" id="{28F99554-B14D-4D25-93DB-9FC0EB25D02C}"/>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14" name="Shape 8">
          <a:extLst>
            <a:ext uri="{FF2B5EF4-FFF2-40B4-BE49-F238E27FC236}">
              <a16:creationId xmlns:a16="http://schemas.microsoft.com/office/drawing/2014/main" id="{4E0CC4B3-74DC-4890-B975-A9255DC75D9C}"/>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15" name="Shape 7">
          <a:extLst>
            <a:ext uri="{FF2B5EF4-FFF2-40B4-BE49-F238E27FC236}">
              <a16:creationId xmlns:a16="http://schemas.microsoft.com/office/drawing/2014/main" id="{6B18A1CF-4A2F-4A5D-9E21-D3AB62A18CE8}"/>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16" name="Shape 7">
          <a:extLst>
            <a:ext uri="{FF2B5EF4-FFF2-40B4-BE49-F238E27FC236}">
              <a16:creationId xmlns:a16="http://schemas.microsoft.com/office/drawing/2014/main" id="{9F15A263-6C0E-4A03-AA37-1F71F76E32CA}"/>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17" name="Shape 8">
          <a:extLst>
            <a:ext uri="{FF2B5EF4-FFF2-40B4-BE49-F238E27FC236}">
              <a16:creationId xmlns:a16="http://schemas.microsoft.com/office/drawing/2014/main" id="{25E7DEC7-9AAB-44C3-BE25-02DAFBA7F683}"/>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18" name="Shape 8">
          <a:extLst>
            <a:ext uri="{FF2B5EF4-FFF2-40B4-BE49-F238E27FC236}">
              <a16:creationId xmlns:a16="http://schemas.microsoft.com/office/drawing/2014/main" id="{4B788B57-7720-424E-807D-FC07809EF968}"/>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19" name="Shape 7">
          <a:extLst>
            <a:ext uri="{FF2B5EF4-FFF2-40B4-BE49-F238E27FC236}">
              <a16:creationId xmlns:a16="http://schemas.microsoft.com/office/drawing/2014/main" id="{BD490128-5B0C-48DF-A5C1-432CE96BB64D}"/>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20" name="Shape 7">
          <a:extLst>
            <a:ext uri="{FF2B5EF4-FFF2-40B4-BE49-F238E27FC236}">
              <a16:creationId xmlns:a16="http://schemas.microsoft.com/office/drawing/2014/main" id="{662A13CF-2352-4DC2-A134-9385D87BB05D}"/>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21" name="Shape 8">
          <a:extLst>
            <a:ext uri="{FF2B5EF4-FFF2-40B4-BE49-F238E27FC236}">
              <a16:creationId xmlns:a16="http://schemas.microsoft.com/office/drawing/2014/main" id="{8E3AE8BE-3950-486D-9BE5-C371B0F9D60A}"/>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22" name="Shape 8">
          <a:extLst>
            <a:ext uri="{FF2B5EF4-FFF2-40B4-BE49-F238E27FC236}">
              <a16:creationId xmlns:a16="http://schemas.microsoft.com/office/drawing/2014/main" id="{9B3EBC95-49AC-4BA8-B493-36BEBFE230F1}"/>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23" name="Shape 7">
          <a:extLst>
            <a:ext uri="{FF2B5EF4-FFF2-40B4-BE49-F238E27FC236}">
              <a16:creationId xmlns:a16="http://schemas.microsoft.com/office/drawing/2014/main" id="{BCF923A4-334C-4811-A377-F3F8F248EAA4}"/>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24" name="Shape 7">
          <a:extLst>
            <a:ext uri="{FF2B5EF4-FFF2-40B4-BE49-F238E27FC236}">
              <a16:creationId xmlns:a16="http://schemas.microsoft.com/office/drawing/2014/main" id="{8E1194CE-67AF-4BB5-BAC0-38D3A2EBA758}"/>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25" name="Shape 7">
          <a:extLst>
            <a:ext uri="{FF2B5EF4-FFF2-40B4-BE49-F238E27FC236}">
              <a16:creationId xmlns:a16="http://schemas.microsoft.com/office/drawing/2014/main" id="{79A92FAA-E049-4FB6-9259-E8C9E1F5233B}"/>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26" name="Shape 7">
          <a:extLst>
            <a:ext uri="{FF2B5EF4-FFF2-40B4-BE49-F238E27FC236}">
              <a16:creationId xmlns:a16="http://schemas.microsoft.com/office/drawing/2014/main" id="{3BD8485A-A6D1-4A8F-8EF3-6DD24CA84C11}"/>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27" name="Shape 7">
          <a:extLst>
            <a:ext uri="{FF2B5EF4-FFF2-40B4-BE49-F238E27FC236}">
              <a16:creationId xmlns:a16="http://schemas.microsoft.com/office/drawing/2014/main" id="{63080E3E-5289-4336-980A-A4756D640C23}"/>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28" name="Shape 7">
          <a:extLst>
            <a:ext uri="{FF2B5EF4-FFF2-40B4-BE49-F238E27FC236}">
              <a16:creationId xmlns:a16="http://schemas.microsoft.com/office/drawing/2014/main" id="{A098CC44-AA38-4379-900C-B81AF2ED21F3}"/>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29" name="Shape 7">
          <a:extLst>
            <a:ext uri="{FF2B5EF4-FFF2-40B4-BE49-F238E27FC236}">
              <a16:creationId xmlns:a16="http://schemas.microsoft.com/office/drawing/2014/main" id="{1572DA5C-8EA2-4579-B7F7-72F179D5C10C}"/>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30" name="Shape 7">
          <a:extLst>
            <a:ext uri="{FF2B5EF4-FFF2-40B4-BE49-F238E27FC236}">
              <a16:creationId xmlns:a16="http://schemas.microsoft.com/office/drawing/2014/main" id="{B9403324-162F-465F-9F41-53E2717BDFAE}"/>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31" name="Shape 7">
          <a:extLst>
            <a:ext uri="{FF2B5EF4-FFF2-40B4-BE49-F238E27FC236}">
              <a16:creationId xmlns:a16="http://schemas.microsoft.com/office/drawing/2014/main" id="{A97F189C-04B5-4F92-BEE0-15E1608282A4}"/>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32" name="Shape 7">
          <a:extLst>
            <a:ext uri="{FF2B5EF4-FFF2-40B4-BE49-F238E27FC236}">
              <a16:creationId xmlns:a16="http://schemas.microsoft.com/office/drawing/2014/main" id="{20860E93-A983-42F6-9C2D-525516839C77}"/>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33" name="Shape 7">
          <a:extLst>
            <a:ext uri="{FF2B5EF4-FFF2-40B4-BE49-F238E27FC236}">
              <a16:creationId xmlns:a16="http://schemas.microsoft.com/office/drawing/2014/main" id="{34DE4DFB-94C8-402B-A754-79084498E166}"/>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34" name="Shape 7">
          <a:extLst>
            <a:ext uri="{FF2B5EF4-FFF2-40B4-BE49-F238E27FC236}">
              <a16:creationId xmlns:a16="http://schemas.microsoft.com/office/drawing/2014/main" id="{550499AF-4811-4FC5-8B21-588EC615BC55}"/>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35" name="Shape 7">
          <a:extLst>
            <a:ext uri="{FF2B5EF4-FFF2-40B4-BE49-F238E27FC236}">
              <a16:creationId xmlns:a16="http://schemas.microsoft.com/office/drawing/2014/main" id="{3734B5D8-3B80-45CA-B2A3-68D5800F25B6}"/>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36" name="Shape 7">
          <a:extLst>
            <a:ext uri="{FF2B5EF4-FFF2-40B4-BE49-F238E27FC236}">
              <a16:creationId xmlns:a16="http://schemas.microsoft.com/office/drawing/2014/main" id="{6AA0AAFC-5435-421C-A49C-B0406F574DDB}"/>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37" name="Shape 7">
          <a:extLst>
            <a:ext uri="{FF2B5EF4-FFF2-40B4-BE49-F238E27FC236}">
              <a16:creationId xmlns:a16="http://schemas.microsoft.com/office/drawing/2014/main" id="{33CF0CF0-CA97-44C2-BA9F-D5C0FFD46AA7}"/>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38" name="Shape 7">
          <a:extLst>
            <a:ext uri="{FF2B5EF4-FFF2-40B4-BE49-F238E27FC236}">
              <a16:creationId xmlns:a16="http://schemas.microsoft.com/office/drawing/2014/main" id="{46C829A0-1754-475C-B912-8DC0E77ABC95}"/>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39" name="Shape 7">
          <a:extLst>
            <a:ext uri="{FF2B5EF4-FFF2-40B4-BE49-F238E27FC236}">
              <a16:creationId xmlns:a16="http://schemas.microsoft.com/office/drawing/2014/main" id="{7BDD6D12-FD85-4BDB-9161-02EF6565E0AF}"/>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40" name="Shape 8">
          <a:extLst>
            <a:ext uri="{FF2B5EF4-FFF2-40B4-BE49-F238E27FC236}">
              <a16:creationId xmlns:a16="http://schemas.microsoft.com/office/drawing/2014/main" id="{C4BCD227-BE26-4DE7-A418-421CE643AF5B}"/>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41" name="Shape 7">
          <a:extLst>
            <a:ext uri="{FF2B5EF4-FFF2-40B4-BE49-F238E27FC236}">
              <a16:creationId xmlns:a16="http://schemas.microsoft.com/office/drawing/2014/main" id="{57C8033B-F626-4E74-A653-86D523536C62}"/>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42" name="Shape 8">
          <a:extLst>
            <a:ext uri="{FF2B5EF4-FFF2-40B4-BE49-F238E27FC236}">
              <a16:creationId xmlns:a16="http://schemas.microsoft.com/office/drawing/2014/main" id="{6AD966DA-C73F-45E7-BFE6-C4972603D3CB}"/>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43" name="Shape 7">
          <a:extLst>
            <a:ext uri="{FF2B5EF4-FFF2-40B4-BE49-F238E27FC236}">
              <a16:creationId xmlns:a16="http://schemas.microsoft.com/office/drawing/2014/main" id="{49ECE390-61E7-468B-8C98-F403B1FF6DEC}"/>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44" name="Shape 8">
          <a:extLst>
            <a:ext uri="{FF2B5EF4-FFF2-40B4-BE49-F238E27FC236}">
              <a16:creationId xmlns:a16="http://schemas.microsoft.com/office/drawing/2014/main" id="{6EF85254-76D3-48F1-ADF4-372945C2A9FB}"/>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45" name="Shape 8">
          <a:extLst>
            <a:ext uri="{FF2B5EF4-FFF2-40B4-BE49-F238E27FC236}">
              <a16:creationId xmlns:a16="http://schemas.microsoft.com/office/drawing/2014/main" id="{06DFB66F-2172-4945-8813-1D75991A30E4}"/>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46" name="Shape 7">
          <a:extLst>
            <a:ext uri="{FF2B5EF4-FFF2-40B4-BE49-F238E27FC236}">
              <a16:creationId xmlns:a16="http://schemas.microsoft.com/office/drawing/2014/main" id="{121B7881-5A54-49BB-AB51-2A17002F3FAC}"/>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47" name="Shape 8">
          <a:extLst>
            <a:ext uri="{FF2B5EF4-FFF2-40B4-BE49-F238E27FC236}">
              <a16:creationId xmlns:a16="http://schemas.microsoft.com/office/drawing/2014/main" id="{6B0CBFD9-CAA3-458C-800D-A69BCA7FBD15}"/>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48" name="Shape 8">
          <a:extLst>
            <a:ext uri="{FF2B5EF4-FFF2-40B4-BE49-F238E27FC236}">
              <a16:creationId xmlns:a16="http://schemas.microsoft.com/office/drawing/2014/main" id="{3B678759-1EC7-4373-9875-45E97C800CE0}"/>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49" name="Shape 7">
          <a:extLst>
            <a:ext uri="{FF2B5EF4-FFF2-40B4-BE49-F238E27FC236}">
              <a16:creationId xmlns:a16="http://schemas.microsoft.com/office/drawing/2014/main" id="{8A191408-3518-499F-9AE7-C2A82696A041}"/>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50" name="Shape 8">
          <a:extLst>
            <a:ext uri="{FF2B5EF4-FFF2-40B4-BE49-F238E27FC236}">
              <a16:creationId xmlns:a16="http://schemas.microsoft.com/office/drawing/2014/main" id="{C22772F6-B3BB-4D64-8140-943D4A1FB248}"/>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51" name="Shape 8">
          <a:extLst>
            <a:ext uri="{FF2B5EF4-FFF2-40B4-BE49-F238E27FC236}">
              <a16:creationId xmlns:a16="http://schemas.microsoft.com/office/drawing/2014/main" id="{BFBAD349-C3CA-429B-99E5-2068B540374E}"/>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52" name="Shape 7">
          <a:extLst>
            <a:ext uri="{FF2B5EF4-FFF2-40B4-BE49-F238E27FC236}">
              <a16:creationId xmlns:a16="http://schemas.microsoft.com/office/drawing/2014/main" id="{D06D0E2A-2603-450E-AE26-76606E3C4A62}"/>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53" name="Shape 8">
          <a:extLst>
            <a:ext uri="{FF2B5EF4-FFF2-40B4-BE49-F238E27FC236}">
              <a16:creationId xmlns:a16="http://schemas.microsoft.com/office/drawing/2014/main" id="{814AC3F3-8FDC-4B00-A341-A34FEA57D7C1}"/>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54" name="Shape 8">
          <a:extLst>
            <a:ext uri="{FF2B5EF4-FFF2-40B4-BE49-F238E27FC236}">
              <a16:creationId xmlns:a16="http://schemas.microsoft.com/office/drawing/2014/main" id="{0DD689C6-A3FE-4159-B551-1EED9EDC96DE}"/>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55" name="Shape 7">
          <a:extLst>
            <a:ext uri="{FF2B5EF4-FFF2-40B4-BE49-F238E27FC236}">
              <a16:creationId xmlns:a16="http://schemas.microsoft.com/office/drawing/2014/main" id="{7CFC004D-592D-4932-A812-AA6658B7CFB4}"/>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56" name="Shape 8">
          <a:extLst>
            <a:ext uri="{FF2B5EF4-FFF2-40B4-BE49-F238E27FC236}">
              <a16:creationId xmlns:a16="http://schemas.microsoft.com/office/drawing/2014/main" id="{B3AC2860-FF26-4304-BEC4-ACDF1E79CC07}"/>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57" name="Shape 8">
          <a:extLst>
            <a:ext uri="{FF2B5EF4-FFF2-40B4-BE49-F238E27FC236}">
              <a16:creationId xmlns:a16="http://schemas.microsoft.com/office/drawing/2014/main" id="{00DA3B74-B60A-417E-B6C7-82DD9360596A}"/>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58" name="Shape 7">
          <a:extLst>
            <a:ext uri="{FF2B5EF4-FFF2-40B4-BE49-F238E27FC236}">
              <a16:creationId xmlns:a16="http://schemas.microsoft.com/office/drawing/2014/main" id="{2F422FB5-0C21-4979-A76A-821C5A5F0542}"/>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59" name="Shape 7">
          <a:extLst>
            <a:ext uri="{FF2B5EF4-FFF2-40B4-BE49-F238E27FC236}">
              <a16:creationId xmlns:a16="http://schemas.microsoft.com/office/drawing/2014/main" id="{7DE3EE28-8BA6-4195-B8E9-E32896723107}"/>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60" name="Shape 8">
          <a:extLst>
            <a:ext uri="{FF2B5EF4-FFF2-40B4-BE49-F238E27FC236}">
              <a16:creationId xmlns:a16="http://schemas.microsoft.com/office/drawing/2014/main" id="{C97AD7F2-A3F9-4C45-975B-8F555D1136F5}"/>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61" name="Shape 8">
          <a:extLst>
            <a:ext uri="{FF2B5EF4-FFF2-40B4-BE49-F238E27FC236}">
              <a16:creationId xmlns:a16="http://schemas.microsoft.com/office/drawing/2014/main" id="{E890162D-6FCE-449F-86F7-EE3B5873EBAD}"/>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62" name="Shape 7">
          <a:extLst>
            <a:ext uri="{FF2B5EF4-FFF2-40B4-BE49-F238E27FC236}">
              <a16:creationId xmlns:a16="http://schemas.microsoft.com/office/drawing/2014/main" id="{CBDF5E34-502B-49EB-97E4-61494C90B1AA}"/>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63" name="Shape 7">
          <a:extLst>
            <a:ext uri="{FF2B5EF4-FFF2-40B4-BE49-F238E27FC236}">
              <a16:creationId xmlns:a16="http://schemas.microsoft.com/office/drawing/2014/main" id="{E2919662-DCAC-4248-AD5E-4442806527AD}"/>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64" name="Shape 7">
          <a:extLst>
            <a:ext uri="{FF2B5EF4-FFF2-40B4-BE49-F238E27FC236}">
              <a16:creationId xmlns:a16="http://schemas.microsoft.com/office/drawing/2014/main" id="{808CD9F1-B593-44EC-AE75-FDCFFB2524FD}"/>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65" name="Shape 7">
          <a:extLst>
            <a:ext uri="{FF2B5EF4-FFF2-40B4-BE49-F238E27FC236}">
              <a16:creationId xmlns:a16="http://schemas.microsoft.com/office/drawing/2014/main" id="{4D3EAE3B-A90F-48C7-A670-E4E5F8D9E863}"/>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66" name="Shape 7">
          <a:extLst>
            <a:ext uri="{FF2B5EF4-FFF2-40B4-BE49-F238E27FC236}">
              <a16:creationId xmlns:a16="http://schemas.microsoft.com/office/drawing/2014/main" id="{04BD45EF-529D-41FF-8934-656CCED4ABA1}"/>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67" name="Shape 7">
          <a:extLst>
            <a:ext uri="{FF2B5EF4-FFF2-40B4-BE49-F238E27FC236}">
              <a16:creationId xmlns:a16="http://schemas.microsoft.com/office/drawing/2014/main" id="{96B9F19F-CE1E-41DE-A6C8-DC7994D2772D}"/>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68" name="Shape 7">
          <a:extLst>
            <a:ext uri="{FF2B5EF4-FFF2-40B4-BE49-F238E27FC236}">
              <a16:creationId xmlns:a16="http://schemas.microsoft.com/office/drawing/2014/main" id="{6CAD94D1-7FED-4561-BB8A-204D9B5D4A0E}"/>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69" name="Shape 7">
          <a:extLst>
            <a:ext uri="{FF2B5EF4-FFF2-40B4-BE49-F238E27FC236}">
              <a16:creationId xmlns:a16="http://schemas.microsoft.com/office/drawing/2014/main" id="{12D27DA6-D807-43AA-8ABD-6A7C016D1E28}"/>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70" name="Shape 7">
          <a:extLst>
            <a:ext uri="{FF2B5EF4-FFF2-40B4-BE49-F238E27FC236}">
              <a16:creationId xmlns:a16="http://schemas.microsoft.com/office/drawing/2014/main" id="{F4360C40-0BBC-473C-9D6D-C9630A7CC4F5}"/>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71" name="Shape 7">
          <a:extLst>
            <a:ext uri="{FF2B5EF4-FFF2-40B4-BE49-F238E27FC236}">
              <a16:creationId xmlns:a16="http://schemas.microsoft.com/office/drawing/2014/main" id="{6B4C56EC-7B43-4667-A474-FE2944E92BE2}"/>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72" name="Shape 7">
          <a:extLst>
            <a:ext uri="{FF2B5EF4-FFF2-40B4-BE49-F238E27FC236}">
              <a16:creationId xmlns:a16="http://schemas.microsoft.com/office/drawing/2014/main" id="{08F2BE15-27E7-4A2A-95D9-20596FDE2A20}"/>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73" name="Shape 7">
          <a:extLst>
            <a:ext uri="{FF2B5EF4-FFF2-40B4-BE49-F238E27FC236}">
              <a16:creationId xmlns:a16="http://schemas.microsoft.com/office/drawing/2014/main" id="{611CC989-6376-471A-8916-29EB1D6DE1AB}"/>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74" name="Shape 7">
          <a:extLst>
            <a:ext uri="{FF2B5EF4-FFF2-40B4-BE49-F238E27FC236}">
              <a16:creationId xmlns:a16="http://schemas.microsoft.com/office/drawing/2014/main" id="{1AA4951A-B835-4E95-8279-F920DDAD04CE}"/>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75" name="Shape 7">
          <a:extLst>
            <a:ext uri="{FF2B5EF4-FFF2-40B4-BE49-F238E27FC236}">
              <a16:creationId xmlns:a16="http://schemas.microsoft.com/office/drawing/2014/main" id="{A2523696-8352-469B-A761-99834DE660C5}"/>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76" name="Shape 7">
          <a:extLst>
            <a:ext uri="{FF2B5EF4-FFF2-40B4-BE49-F238E27FC236}">
              <a16:creationId xmlns:a16="http://schemas.microsoft.com/office/drawing/2014/main" id="{C8312BCB-7EAF-4848-97EA-900AD50EFBDC}"/>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77" name="Shape 7">
          <a:extLst>
            <a:ext uri="{FF2B5EF4-FFF2-40B4-BE49-F238E27FC236}">
              <a16:creationId xmlns:a16="http://schemas.microsoft.com/office/drawing/2014/main" id="{9C0F156E-7A7C-4669-84F2-EE3D5EC4DE08}"/>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78" name="Shape 7">
          <a:extLst>
            <a:ext uri="{FF2B5EF4-FFF2-40B4-BE49-F238E27FC236}">
              <a16:creationId xmlns:a16="http://schemas.microsoft.com/office/drawing/2014/main" id="{C8F97DDC-BFF6-4093-88A4-D979F5F4BF39}"/>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979" name="Shape 7">
          <a:extLst>
            <a:ext uri="{FF2B5EF4-FFF2-40B4-BE49-F238E27FC236}">
              <a16:creationId xmlns:a16="http://schemas.microsoft.com/office/drawing/2014/main" id="{15FED1A3-E27C-49BB-B148-8252929525A0}"/>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80" name="Shape 7">
          <a:extLst>
            <a:ext uri="{FF2B5EF4-FFF2-40B4-BE49-F238E27FC236}">
              <a16:creationId xmlns:a16="http://schemas.microsoft.com/office/drawing/2014/main" id="{28F8B5B2-A5AD-441D-B1F4-784BF2532E61}"/>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81" name="Shape 8">
          <a:extLst>
            <a:ext uri="{FF2B5EF4-FFF2-40B4-BE49-F238E27FC236}">
              <a16:creationId xmlns:a16="http://schemas.microsoft.com/office/drawing/2014/main" id="{BDA64D1B-2E33-4255-8ECD-68936C61CC90}"/>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82" name="Shape 7">
          <a:extLst>
            <a:ext uri="{FF2B5EF4-FFF2-40B4-BE49-F238E27FC236}">
              <a16:creationId xmlns:a16="http://schemas.microsoft.com/office/drawing/2014/main" id="{B77D754C-4151-4BD6-A761-7EBB5EA82407}"/>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83" name="Shape 8">
          <a:extLst>
            <a:ext uri="{FF2B5EF4-FFF2-40B4-BE49-F238E27FC236}">
              <a16:creationId xmlns:a16="http://schemas.microsoft.com/office/drawing/2014/main" id="{72904991-CA85-4964-A321-DC808D378F11}"/>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84" name="Shape 7">
          <a:extLst>
            <a:ext uri="{FF2B5EF4-FFF2-40B4-BE49-F238E27FC236}">
              <a16:creationId xmlns:a16="http://schemas.microsoft.com/office/drawing/2014/main" id="{4AE96B98-E166-43CE-BC31-7BCD032B8A9C}"/>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85" name="Shape 8">
          <a:extLst>
            <a:ext uri="{FF2B5EF4-FFF2-40B4-BE49-F238E27FC236}">
              <a16:creationId xmlns:a16="http://schemas.microsoft.com/office/drawing/2014/main" id="{C51E978D-58DC-4EFD-8C0D-1FA03982E076}"/>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86" name="Shape 8">
          <a:extLst>
            <a:ext uri="{FF2B5EF4-FFF2-40B4-BE49-F238E27FC236}">
              <a16:creationId xmlns:a16="http://schemas.microsoft.com/office/drawing/2014/main" id="{270799BB-2F08-4420-82AB-3426B4BE1D0D}"/>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87" name="Shape 7">
          <a:extLst>
            <a:ext uri="{FF2B5EF4-FFF2-40B4-BE49-F238E27FC236}">
              <a16:creationId xmlns:a16="http://schemas.microsoft.com/office/drawing/2014/main" id="{A22CDC95-4BD8-4BCE-A207-50827BB00771}"/>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88" name="Shape 8">
          <a:extLst>
            <a:ext uri="{FF2B5EF4-FFF2-40B4-BE49-F238E27FC236}">
              <a16:creationId xmlns:a16="http://schemas.microsoft.com/office/drawing/2014/main" id="{09F8C5ED-DD7E-4063-8CF7-2D26FE7141A5}"/>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89" name="Shape 8">
          <a:extLst>
            <a:ext uri="{FF2B5EF4-FFF2-40B4-BE49-F238E27FC236}">
              <a16:creationId xmlns:a16="http://schemas.microsoft.com/office/drawing/2014/main" id="{0D11972C-9A1B-4B10-9D9B-0D13CF56601F}"/>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90" name="Shape 7">
          <a:extLst>
            <a:ext uri="{FF2B5EF4-FFF2-40B4-BE49-F238E27FC236}">
              <a16:creationId xmlns:a16="http://schemas.microsoft.com/office/drawing/2014/main" id="{3A79EC19-0712-40FF-BC58-9A29C8CBFF57}"/>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91" name="Shape 8">
          <a:extLst>
            <a:ext uri="{FF2B5EF4-FFF2-40B4-BE49-F238E27FC236}">
              <a16:creationId xmlns:a16="http://schemas.microsoft.com/office/drawing/2014/main" id="{AA1C424C-390E-471E-AB27-40CF1E5A5947}"/>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92" name="Shape 8">
          <a:extLst>
            <a:ext uri="{FF2B5EF4-FFF2-40B4-BE49-F238E27FC236}">
              <a16:creationId xmlns:a16="http://schemas.microsoft.com/office/drawing/2014/main" id="{35501E62-5385-4893-B0DF-95C568818EB8}"/>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93" name="Shape 7">
          <a:extLst>
            <a:ext uri="{FF2B5EF4-FFF2-40B4-BE49-F238E27FC236}">
              <a16:creationId xmlns:a16="http://schemas.microsoft.com/office/drawing/2014/main" id="{6E26A390-E9B9-4BC9-8EF7-98C815F68EB2}"/>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94" name="Shape 8">
          <a:extLst>
            <a:ext uri="{FF2B5EF4-FFF2-40B4-BE49-F238E27FC236}">
              <a16:creationId xmlns:a16="http://schemas.microsoft.com/office/drawing/2014/main" id="{C0FBC4DB-70F5-48BA-9A98-36401775CE8C}"/>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95" name="Shape 8">
          <a:extLst>
            <a:ext uri="{FF2B5EF4-FFF2-40B4-BE49-F238E27FC236}">
              <a16:creationId xmlns:a16="http://schemas.microsoft.com/office/drawing/2014/main" id="{B3FB6CFB-083B-4043-B7A8-0DF18822A99D}"/>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96" name="Shape 7">
          <a:extLst>
            <a:ext uri="{FF2B5EF4-FFF2-40B4-BE49-F238E27FC236}">
              <a16:creationId xmlns:a16="http://schemas.microsoft.com/office/drawing/2014/main" id="{6973FF59-23A9-4E28-9478-2ACA654EB238}"/>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97" name="Shape 8">
          <a:extLst>
            <a:ext uri="{FF2B5EF4-FFF2-40B4-BE49-F238E27FC236}">
              <a16:creationId xmlns:a16="http://schemas.microsoft.com/office/drawing/2014/main" id="{F01519AA-D870-4E5D-AC82-F54816FFB0D4}"/>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998" name="Shape 8">
          <a:extLst>
            <a:ext uri="{FF2B5EF4-FFF2-40B4-BE49-F238E27FC236}">
              <a16:creationId xmlns:a16="http://schemas.microsoft.com/office/drawing/2014/main" id="{3634AA11-F94B-4903-9C38-650EA0F44B9C}"/>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999" name="Shape 7">
          <a:extLst>
            <a:ext uri="{FF2B5EF4-FFF2-40B4-BE49-F238E27FC236}">
              <a16:creationId xmlns:a16="http://schemas.microsoft.com/office/drawing/2014/main" id="{651D18A9-1134-4FE5-BB5D-FC64575C815C}"/>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00" name="Shape 7">
          <a:extLst>
            <a:ext uri="{FF2B5EF4-FFF2-40B4-BE49-F238E27FC236}">
              <a16:creationId xmlns:a16="http://schemas.microsoft.com/office/drawing/2014/main" id="{87EE6F6B-3E3C-4B2D-AAA4-D3BA5BBE7CF9}"/>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01" name="Shape 8">
          <a:extLst>
            <a:ext uri="{FF2B5EF4-FFF2-40B4-BE49-F238E27FC236}">
              <a16:creationId xmlns:a16="http://schemas.microsoft.com/office/drawing/2014/main" id="{04E823E8-59A5-423C-83E8-0D346540117D}"/>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02" name="Shape 8">
          <a:extLst>
            <a:ext uri="{FF2B5EF4-FFF2-40B4-BE49-F238E27FC236}">
              <a16:creationId xmlns:a16="http://schemas.microsoft.com/office/drawing/2014/main" id="{0FBC2285-E380-4853-ACAB-9F095661BA5B}"/>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03" name="Shape 7">
          <a:extLst>
            <a:ext uri="{FF2B5EF4-FFF2-40B4-BE49-F238E27FC236}">
              <a16:creationId xmlns:a16="http://schemas.microsoft.com/office/drawing/2014/main" id="{8D01811D-95FC-4756-9788-F2A81274A79D}"/>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04" name="Shape 7">
          <a:extLst>
            <a:ext uri="{FF2B5EF4-FFF2-40B4-BE49-F238E27FC236}">
              <a16:creationId xmlns:a16="http://schemas.microsoft.com/office/drawing/2014/main" id="{91BA63AE-4489-4647-A3AF-887F862E1C3E}"/>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05" name="Shape 8">
          <a:extLst>
            <a:ext uri="{FF2B5EF4-FFF2-40B4-BE49-F238E27FC236}">
              <a16:creationId xmlns:a16="http://schemas.microsoft.com/office/drawing/2014/main" id="{898EF9A7-61C0-439D-87A8-508C6135F9B6}"/>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06" name="Shape 7">
          <a:extLst>
            <a:ext uri="{FF2B5EF4-FFF2-40B4-BE49-F238E27FC236}">
              <a16:creationId xmlns:a16="http://schemas.microsoft.com/office/drawing/2014/main" id="{62703EA5-7206-4866-8084-665091D07795}"/>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07" name="Shape 8">
          <a:extLst>
            <a:ext uri="{FF2B5EF4-FFF2-40B4-BE49-F238E27FC236}">
              <a16:creationId xmlns:a16="http://schemas.microsoft.com/office/drawing/2014/main" id="{6F816129-6F50-442F-9A3E-118A209B921B}"/>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08" name="Shape 7">
          <a:extLst>
            <a:ext uri="{FF2B5EF4-FFF2-40B4-BE49-F238E27FC236}">
              <a16:creationId xmlns:a16="http://schemas.microsoft.com/office/drawing/2014/main" id="{C96E4863-B82F-40E7-A6EA-A492EC5BDE5F}"/>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09" name="Shape 8">
          <a:extLst>
            <a:ext uri="{FF2B5EF4-FFF2-40B4-BE49-F238E27FC236}">
              <a16:creationId xmlns:a16="http://schemas.microsoft.com/office/drawing/2014/main" id="{CA33CF01-1D81-4004-9D99-B4FE7D4D649D}"/>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10" name="Shape 7">
          <a:extLst>
            <a:ext uri="{FF2B5EF4-FFF2-40B4-BE49-F238E27FC236}">
              <a16:creationId xmlns:a16="http://schemas.microsoft.com/office/drawing/2014/main" id="{D7A16419-FCD7-482A-B19A-02BE93282E24}"/>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11" name="Shape 8">
          <a:extLst>
            <a:ext uri="{FF2B5EF4-FFF2-40B4-BE49-F238E27FC236}">
              <a16:creationId xmlns:a16="http://schemas.microsoft.com/office/drawing/2014/main" id="{926799F8-24AD-4CA2-BE53-D6AAC5A23CA7}"/>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12" name="Shape 8">
          <a:extLst>
            <a:ext uri="{FF2B5EF4-FFF2-40B4-BE49-F238E27FC236}">
              <a16:creationId xmlns:a16="http://schemas.microsoft.com/office/drawing/2014/main" id="{A4A73E83-0BA1-4242-8CE3-AF8C4A84F179}"/>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13" name="Shape 7">
          <a:extLst>
            <a:ext uri="{FF2B5EF4-FFF2-40B4-BE49-F238E27FC236}">
              <a16:creationId xmlns:a16="http://schemas.microsoft.com/office/drawing/2014/main" id="{C2B65702-CD71-42A8-A32A-DB41E9FFA0F1}"/>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14" name="Shape 8">
          <a:extLst>
            <a:ext uri="{FF2B5EF4-FFF2-40B4-BE49-F238E27FC236}">
              <a16:creationId xmlns:a16="http://schemas.microsoft.com/office/drawing/2014/main" id="{9E19C757-38EB-4564-8C29-F31DAC91004C}"/>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15" name="Shape 8">
          <a:extLst>
            <a:ext uri="{FF2B5EF4-FFF2-40B4-BE49-F238E27FC236}">
              <a16:creationId xmlns:a16="http://schemas.microsoft.com/office/drawing/2014/main" id="{274A8A5B-E8FE-49AC-8564-C8E562C04898}"/>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16" name="Shape 7">
          <a:extLst>
            <a:ext uri="{FF2B5EF4-FFF2-40B4-BE49-F238E27FC236}">
              <a16:creationId xmlns:a16="http://schemas.microsoft.com/office/drawing/2014/main" id="{39E2807D-749B-42A6-9CE7-8EDF1984308B}"/>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17" name="Shape 8">
          <a:extLst>
            <a:ext uri="{FF2B5EF4-FFF2-40B4-BE49-F238E27FC236}">
              <a16:creationId xmlns:a16="http://schemas.microsoft.com/office/drawing/2014/main" id="{DA81A4ED-0E00-4D5A-8B80-311F68B43998}"/>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18" name="Shape 8">
          <a:extLst>
            <a:ext uri="{FF2B5EF4-FFF2-40B4-BE49-F238E27FC236}">
              <a16:creationId xmlns:a16="http://schemas.microsoft.com/office/drawing/2014/main" id="{32B0414F-0D39-4D41-A0ED-AE7BF6BC9843}"/>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19" name="Shape 7">
          <a:extLst>
            <a:ext uri="{FF2B5EF4-FFF2-40B4-BE49-F238E27FC236}">
              <a16:creationId xmlns:a16="http://schemas.microsoft.com/office/drawing/2014/main" id="{70F02203-CB4E-4DE6-AE56-3AFADE69EDDE}"/>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20" name="Shape 8">
          <a:extLst>
            <a:ext uri="{FF2B5EF4-FFF2-40B4-BE49-F238E27FC236}">
              <a16:creationId xmlns:a16="http://schemas.microsoft.com/office/drawing/2014/main" id="{20931DAF-797C-4C55-BCB7-77B457ACCD34}"/>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21" name="Shape 8">
          <a:extLst>
            <a:ext uri="{FF2B5EF4-FFF2-40B4-BE49-F238E27FC236}">
              <a16:creationId xmlns:a16="http://schemas.microsoft.com/office/drawing/2014/main" id="{91256021-158C-469A-B5EA-6F4CFC4294CA}"/>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22" name="Shape 7">
          <a:extLst>
            <a:ext uri="{FF2B5EF4-FFF2-40B4-BE49-F238E27FC236}">
              <a16:creationId xmlns:a16="http://schemas.microsoft.com/office/drawing/2014/main" id="{0C7A3C62-7F9D-476A-963A-A252B0355497}"/>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23" name="Shape 8">
          <a:extLst>
            <a:ext uri="{FF2B5EF4-FFF2-40B4-BE49-F238E27FC236}">
              <a16:creationId xmlns:a16="http://schemas.microsoft.com/office/drawing/2014/main" id="{130AE5E8-FD37-4E32-BD5A-9F8CF63D008C}"/>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24" name="Shape 8">
          <a:extLst>
            <a:ext uri="{FF2B5EF4-FFF2-40B4-BE49-F238E27FC236}">
              <a16:creationId xmlns:a16="http://schemas.microsoft.com/office/drawing/2014/main" id="{D79F4C6E-F68E-4AF5-A317-729BEB2A1660}"/>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25" name="Shape 7">
          <a:extLst>
            <a:ext uri="{FF2B5EF4-FFF2-40B4-BE49-F238E27FC236}">
              <a16:creationId xmlns:a16="http://schemas.microsoft.com/office/drawing/2014/main" id="{9BAC0407-4746-4449-B125-07A8E998C207}"/>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26" name="Shape 7">
          <a:extLst>
            <a:ext uri="{FF2B5EF4-FFF2-40B4-BE49-F238E27FC236}">
              <a16:creationId xmlns:a16="http://schemas.microsoft.com/office/drawing/2014/main" id="{124B0E5B-5043-4E68-AB47-CF8FBDCF94D6}"/>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27" name="Shape 8">
          <a:extLst>
            <a:ext uri="{FF2B5EF4-FFF2-40B4-BE49-F238E27FC236}">
              <a16:creationId xmlns:a16="http://schemas.microsoft.com/office/drawing/2014/main" id="{DF107541-BD5A-413E-BB8A-C1EAE0B16746}"/>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28" name="Shape 8">
          <a:extLst>
            <a:ext uri="{FF2B5EF4-FFF2-40B4-BE49-F238E27FC236}">
              <a16:creationId xmlns:a16="http://schemas.microsoft.com/office/drawing/2014/main" id="{56D6B2EC-2424-44C7-92F4-CB808CB583D4}"/>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29" name="Shape 7">
          <a:extLst>
            <a:ext uri="{FF2B5EF4-FFF2-40B4-BE49-F238E27FC236}">
              <a16:creationId xmlns:a16="http://schemas.microsoft.com/office/drawing/2014/main" id="{50179DA8-8A4B-48D0-B0A9-45AE665C5D98}"/>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30" name="Shape 7">
          <a:extLst>
            <a:ext uri="{FF2B5EF4-FFF2-40B4-BE49-F238E27FC236}">
              <a16:creationId xmlns:a16="http://schemas.microsoft.com/office/drawing/2014/main" id="{200CBBCC-3AC7-4C88-9E91-99092CF7DAC4}"/>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31" name="Shape 8">
          <a:extLst>
            <a:ext uri="{FF2B5EF4-FFF2-40B4-BE49-F238E27FC236}">
              <a16:creationId xmlns:a16="http://schemas.microsoft.com/office/drawing/2014/main" id="{3B7ECC15-04E7-4B23-8DB1-A5A612F49BF8}"/>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32" name="Shape 8">
          <a:extLst>
            <a:ext uri="{FF2B5EF4-FFF2-40B4-BE49-F238E27FC236}">
              <a16:creationId xmlns:a16="http://schemas.microsoft.com/office/drawing/2014/main" id="{DEB8DE2D-5053-43D9-8186-58130F5828D3}"/>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33" name="Shape 7">
          <a:extLst>
            <a:ext uri="{FF2B5EF4-FFF2-40B4-BE49-F238E27FC236}">
              <a16:creationId xmlns:a16="http://schemas.microsoft.com/office/drawing/2014/main" id="{BE7D3F88-87D3-40AC-A673-36A422BE6CE2}"/>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34" name="Shape 7">
          <a:extLst>
            <a:ext uri="{FF2B5EF4-FFF2-40B4-BE49-F238E27FC236}">
              <a16:creationId xmlns:a16="http://schemas.microsoft.com/office/drawing/2014/main" id="{DB171F44-DB1D-46F3-AA7E-E4EA8FD1B263}"/>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35" name="Shape 7">
          <a:extLst>
            <a:ext uri="{FF2B5EF4-FFF2-40B4-BE49-F238E27FC236}">
              <a16:creationId xmlns:a16="http://schemas.microsoft.com/office/drawing/2014/main" id="{03A99FDF-5928-4FD0-97FA-DD0B81217869}"/>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36" name="Shape 7">
          <a:extLst>
            <a:ext uri="{FF2B5EF4-FFF2-40B4-BE49-F238E27FC236}">
              <a16:creationId xmlns:a16="http://schemas.microsoft.com/office/drawing/2014/main" id="{99DCF660-DF2C-47FE-8799-C346DAB199EB}"/>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37" name="Shape 7">
          <a:extLst>
            <a:ext uri="{FF2B5EF4-FFF2-40B4-BE49-F238E27FC236}">
              <a16:creationId xmlns:a16="http://schemas.microsoft.com/office/drawing/2014/main" id="{D9C5AA30-CA20-4DFB-983C-38F984C87396}"/>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38" name="Shape 7">
          <a:extLst>
            <a:ext uri="{FF2B5EF4-FFF2-40B4-BE49-F238E27FC236}">
              <a16:creationId xmlns:a16="http://schemas.microsoft.com/office/drawing/2014/main" id="{C88E5F1F-DBE5-4DFF-93DA-ABA45D2FA6A8}"/>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39" name="Shape 7">
          <a:extLst>
            <a:ext uri="{FF2B5EF4-FFF2-40B4-BE49-F238E27FC236}">
              <a16:creationId xmlns:a16="http://schemas.microsoft.com/office/drawing/2014/main" id="{B5DE9B54-A5CF-4626-9484-0217DDD1A36F}"/>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40" name="Shape 7">
          <a:extLst>
            <a:ext uri="{FF2B5EF4-FFF2-40B4-BE49-F238E27FC236}">
              <a16:creationId xmlns:a16="http://schemas.microsoft.com/office/drawing/2014/main" id="{8A60E78C-CA35-4E3F-A02E-8B08348FDAFE}"/>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41" name="Shape 7">
          <a:extLst>
            <a:ext uri="{FF2B5EF4-FFF2-40B4-BE49-F238E27FC236}">
              <a16:creationId xmlns:a16="http://schemas.microsoft.com/office/drawing/2014/main" id="{B3DB7987-47FD-4C72-9926-BD53A791AA2B}"/>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42" name="Shape 7">
          <a:extLst>
            <a:ext uri="{FF2B5EF4-FFF2-40B4-BE49-F238E27FC236}">
              <a16:creationId xmlns:a16="http://schemas.microsoft.com/office/drawing/2014/main" id="{234E0D3A-89BE-4F3C-A1EF-3145FB229B2B}"/>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43" name="Shape 7">
          <a:extLst>
            <a:ext uri="{FF2B5EF4-FFF2-40B4-BE49-F238E27FC236}">
              <a16:creationId xmlns:a16="http://schemas.microsoft.com/office/drawing/2014/main" id="{006B4CB8-07B7-4F9B-B187-15096EBF1FE2}"/>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44" name="Shape 7">
          <a:extLst>
            <a:ext uri="{FF2B5EF4-FFF2-40B4-BE49-F238E27FC236}">
              <a16:creationId xmlns:a16="http://schemas.microsoft.com/office/drawing/2014/main" id="{889F2580-8E74-428B-939E-1D68D7EAED51}"/>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45" name="Shape 7">
          <a:extLst>
            <a:ext uri="{FF2B5EF4-FFF2-40B4-BE49-F238E27FC236}">
              <a16:creationId xmlns:a16="http://schemas.microsoft.com/office/drawing/2014/main" id="{4F76839C-D6D6-412A-A9E6-379FA600A5C9}"/>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46" name="Shape 7">
          <a:extLst>
            <a:ext uri="{FF2B5EF4-FFF2-40B4-BE49-F238E27FC236}">
              <a16:creationId xmlns:a16="http://schemas.microsoft.com/office/drawing/2014/main" id="{40C51B1F-FBD5-4C67-B7F1-94EB76CC4D2F}"/>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47" name="Shape 7">
          <a:extLst>
            <a:ext uri="{FF2B5EF4-FFF2-40B4-BE49-F238E27FC236}">
              <a16:creationId xmlns:a16="http://schemas.microsoft.com/office/drawing/2014/main" id="{597F61AA-E01F-4992-96F7-6410BE580086}"/>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48" name="Shape 7">
          <a:extLst>
            <a:ext uri="{FF2B5EF4-FFF2-40B4-BE49-F238E27FC236}">
              <a16:creationId xmlns:a16="http://schemas.microsoft.com/office/drawing/2014/main" id="{A0F830B8-9896-43B3-9501-FA996F9BD2BE}"/>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49" name="Shape 7">
          <a:extLst>
            <a:ext uri="{FF2B5EF4-FFF2-40B4-BE49-F238E27FC236}">
              <a16:creationId xmlns:a16="http://schemas.microsoft.com/office/drawing/2014/main" id="{660DDBD6-DEEB-46E9-9842-5A8A2D301653}"/>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50" name="Shape 8">
          <a:extLst>
            <a:ext uri="{FF2B5EF4-FFF2-40B4-BE49-F238E27FC236}">
              <a16:creationId xmlns:a16="http://schemas.microsoft.com/office/drawing/2014/main" id="{DB411FCE-445B-4E15-8E0A-C069C9A506E7}"/>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51" name="Shape 7">
          <a:extLst>
            <a:ext uri="{FF2B5EF4-FFF2-40B4-BE49-F238E27FC236}">
              <a16:creationId xmlns:a16="http://schemas.microsoft.com/office/drawing/2014/main" id="{99B1ED01-0FFE-483B-916D-3A06E6C3FCDF}"/>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52" name="Shape 8">
          <a:extLst>
            <a:ext uri="{FF2B5EF4-FFF2-40B4-BE49-F238E27FC236}">
              <a16:creationId xmlns:a16="http://schemas.microsoft.com/office/drawing/2014/main" id="{4266CDEB-FC45-42A2-A017-23EE058ACD56}"/>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53" name="Shape 7">
          <a:extLst>
            <a:ext uri="{FF2B5EF4-FFF2-40B4-BE49-F238E27FC236}">
              <a16:creationId xmlns:a16="http://schemas.microsoft.com/office/drawing/2014/main" id="{4A5031F6-37A0-462A-B6A8-A28EB4519512}"/>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54" name="Shape 8">
          <a:extLst>
            <a:ext uri="{FF2B5EF4-FFF2-40B4-BE49-F238E27FC236}">
              <a16:creationId xmlns:a16="http://schemas.microsoft.com/office/drawing/2014/main" id="{49419E37-974A-4F89-B3AC-49279B660734}"/>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55" name="Shape 8">
          <a:extLst>
            <a:ext uri="{FF2B5EF4-FFF2-40B4-BE49-F238E27FC236}">
              <a16:creationId xmlns:a16="http://schemas.microsoft.com/office/drawing/2014/main" id="{40476061-7A27-41EC-8228-DA833866276B}"/>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56" name="Shape 7">
          <a:extLst>
            <a:ext uri="{FF2B5EF4-FFF2-40B4-BE49-F238E27FC236}">
              <a16:creationId xmlns:a16="http://schemas.microsoft.com/office/drawing/2014/main" id="{EF27741D-EA96-493B-BFE0-6EC0DD572020}"/>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57" name="Shape 8">
          <a:extLst>
            <a:ext uri="{FF2B5EF4-FFF2-40B4-BE49-F238E27FC236}">
              <a16:creationId xmlns:a16="http://schemas.microsoft.com/office/drawing/2014/main" id="{E0BB8873-DAE5-4D9F-AC7F-1B7209B55507}"/>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58" name="Shape 8">
          <a:extLst>
            <a:ext uri="{FF2B5EF4-FFF2-40B4-BE49-F238E27FC236}">
              <a16:creationId xmlns:a16="http://schemas.microsoft.com/office/drawing/2014/main" id="{064A25FB-FE8F-4585-9A19-E5AA9D80F2F3}"/>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59" name="Shape 7">
          <a:extLst>
            <a:ext uri="{FF2B5EF4-FFF2-40B4-BE49-F238E27FC236}">
              <a16:creationId xmlns:a16="http://schemas.microsoft.com/office/drawing/2014/main" id="{C3FB6916-2965-401A-A95A-5600B9EA24D8}"/>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60" name="Shape 8">
          <a:extLst>
            <a:ext uri="{FF2B5EF4-FFF2-40B4-BE49-F238E27FC236}">
              <a16:creationId xmlns:a16="http://schemas.microsoft.com/office/drawing/2014/main" id="{79610172-97D1-44C1-8181-379EFF90911A}"/>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61" name="Shape 8">
          <a:extLst>
            <a:ext uri="{FF2B5EF4-FFF2-40B4-BE49-F238E27FC236}">
              <a16:creationId xmlns:a16="http://schemas.microsoft.com/office/drawing/2014/main" id="{7BC02E06-DD89-4C4A-AE18-8767DDE28695}"/>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62" name="Shape 7">
          <a:extLst>
            <a:ext uri="{FF2B5EF4-FFF2-40B4-BE49-F238E27FC236}">
              <a16:creationId xmlns:a16="http://schemas.microsoft.com/office/drawing/2014/main" id="{F3B5244B-62BA-4738-B033-0A0B718C06FD}"/>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63" name="Shape 8">
          <a:extLst>
            <a:ext uri="{FF2B5EF4-FFF2-40B4-BE49-F238E27FC236}">
              <a16:creationId xmlns:a16="http://schemas.microsoft.com/office/drawing/2014/main" id="{F3A4463B-527C-4D56-BECD-54D3DEF5F4E8}"/>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64" name="Shape 8">
          <a:extLst>
            <a:ext uri="{FF2B5EF4-FFF2-40B4-BE49-F238E27FC236}">
              <a16:creationId xmlns:a16="http://schemas.microsoft.com/office/drawing/2014/main" id="{BB75FDEE-B6C3-4AB3-A778-E7E693057839}"/>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65" name="Shape 7">
          <a:extLst>
            <a:ext uri="{FF2B5EF4-FFF2-40B4-BE49-F238E27FC236}">
              <a16:creationId xmlns:a16="http://schemas.microsoft.com/office/drawing/2014/main" id="{8C20DB87-31FA-4F19-9943-D586EA25648B}"/>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66" name="Shape 8">
          <a:extLst>
            <a:ext uri="{FF2B5EF4-FFF2-40B4-BE49-F238E27FC236}">
              <a16:creationId xmlns:a16="http://schemas.microsoft.com/office/drawing/2014/main" id="{55FA7C75-0DC0-4A7E-A73A-014BF75748EF}"/>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67" name="Shape 8">
          <a:extLst>
            <a:ext uri="{FF2B5EF4-FFF2-40B4-BE49-F238E27FC236}">
              <a16:creationId xmlns:a16="http://schemas.microsoft.com/office/drawing/2014/main" id="{6431D2C0-FD12-44DE-9D96-CFB2FE5A4972}"/>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68" name="Shape 7">
          <a:extLst>
            <a:ext uri="{FF2B5EF4-FFF2-40B4-BE49-F238E27FC236}">
              <a16:creationId xmlns:a16="http://schemas.microsoft.com/office/drawing/2014/main" id="{6D4EC737-0F22-4EC9-82C1-255B30BF8DA4}"/>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69" name="Shape 7">
          <a:extLst>
            <a:ext uri="{FF2B5EF4-FFF2-40B4-BE49-F238E27FC236}">
              <a16:creationId xmlns:a16="http://schemas.microsoft.com/office/drawing/2014/main" id="{8B0652EE-BC10-4241-999B-3580A3BC8B58}"/>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70" name="Shape 8">
          <a:extLst>
            <a:ext uri="{FF2B5EF4-FFF2-40B4-BE49-F238E27FC236}">
              <a16:creationId xmlns:a16="http://schemas.microsoft.com/office/drawing/2014/main" id="{72144473-CBB7-4D13-81CF-62C3625540A0}"/>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71" name="Shape 8">
          <a:extLst>
            <a:ext uri="{FF2B5EF4-FFF2-40B4-BE49-F238E27FC236}">
              <a16:creationId xmlns:a16="http://schemas.microsoft.com/office/drawing/2014/main" id="{500F3AD3-CE57-4800-A833-DF384D9FDDF7}"/>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72" name="Shape 7">
          <a:extLst>
            <a:ext uri="{FF2B5EF4-FFF2-40B4-BE49-F238E27FC236}">
              <a16:creationId xmlns:a16="http://schemas.microsoft.com/office/drawing/2014/main" id="{71459409-9EAE-4AB4-92E1-A8CE3C12F788}"/>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73" name="Shape 7">
          <a:extLst>
            <a:ext uri="{FF2B5EF4-FFF2-40B4-BE49-F238E27FC236}">
              <a16:creationId xmlns:a16="http://schemas.microsoft.com/office/drawing/2014/main" id="{64BC1FD3-035F-4008-8415-6E7C9ADA5B48}"/>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74" name="Shape 8">
          <a:extLst>
            <a:ext uri="{FF2B5EF4-FFF2-40B4-BE49-F238E27FC236}">
              <a16:creationId xmlns:a16="http://schemas.microsoft.com/office/drawing/2014/main" id="{3797BEB1-4B02-446F-8B46-F93703032CE4}"/>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75" name="Shape 8">
          <a:extLst>
            <a:ext uri="{FF2B5EF4-FFF2-40B4-BE49-F238E27FC236}">
              <a16:creationId xmlns:a16="http://schemas.microsoft.com/office/drawing/2014/main" id="{712A474E-3608-4878-B6C6-E07784D617B1}"/>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76" name="Shape 7">
          <a:extLst>
            <a:ext uri="{FF2B5EF4-FFF2-40B4-BE49-F238E27FC236}">
              <a16:creationId xmlns:a16="http://schemas.microsoft.com/office/drawing/2014/main" id="{10E7701B-A69A-4B51-96E0-B7756089AFF4}"/>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77" name="Shape 7">
          <a:extLst>
            <a:ext uri="{FF2B5EF4-FFF2-40B4-BE49-F238E27FC236}">
              <a16:creationId xmlns:a16="http://schemas.microsoft.com/office/drawing/2014/main" id="{522A6BE1-8303-46D3-BE4C-131357ACB44A}"/>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78" name="Shape 7">
          <a:extLst>
            <a:ext uri="{FF2B5EF4-FFF2-40B4-BE49-F238E27FC236}">
              <a16:creationId xmlns:a16="http://schemas.microsoft.com/office/drawing/2014/main" id="{9594A910-F6C6-47ED-924D-0FDA4C841F1E}"/>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79" name="Shape 7">
          <a:extLst>
            <a:ext uri="{FF2B5EF4-FFF2-40B4-BE49-F238E27FC236}">
              <a16:creationId xmlns:a16="http://schemas.microsoft.com/office/drawing/2014/main" id="{9A84E525-35C3-4214-923C-92F5AEE7E510}"/>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80" name="Shape 7">
          <a:extLst>
            <a:ext uri="{FF2B5EF4-FFF2-40B4-BE49-F238E27FC236}">
              <a16:creationId xmlns:a16="http://schemas.microsoft.com/office/drawing/2014/main" id="{32A06CC8-5F99-4317-941C-802E10843853}"/>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81" name="Shape 7">
          <a:extLst>
            <a:ext uri="{FF2B5EF4-FFF2-40B4-BE49-F238E27FC236}">
              <a16:creationId xmlns:a16="http://schemas.microsoft.com/office/drawing/2014/main" id="{FE942BC1-55B2-4B71-804A-611A5629FD70}"/>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82" name="Shape 7">
          <a:extLst>
            <a:ext uri="{FF2B5EF4-FFF2-40B4-BE49-F238E27FC236}">
              <a16:creationId xmlns:a16="http://schemas.microsoft.com/office/drawing/2014/main" id="{23D8B75D-9122-405C-B7D6-597598953FB9}"/>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83" name="Shape 7">
          <a:extLst>
            <a:ext uri="{FF2B5EF4-FFF2-40B4-BE49-F238E27FC236}">
              <a16:creationId xmlns:a16="http://schemas.microsoft.com/office/drawing/2014/main" id="{29A142A8-F867-4DDD-9787-EC9294FB44CF}"/>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84" name="Shape 7">
          <a:extLst>
            <a:ext uri="{FF2B5EF4-FFF2-40B4-BE49-F238E27FC236}">
              <a16:creationId xmlns:a16="http://schemas.microsoft.com/office/drawing/2014/main" id="{BDEBE040-497C-4E89-8F6E-19AE9015AA18}"/>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85" name="Shape 7">
          <a:extLst>
            <a:ext uri="{FF2B5EF4-FFF2-40B4-BE49-F238E27FC236}">
              <a16:creationId xmlns:a16="http://schemas.microsoft.com/office/drawing/2014/main" id="{11736DBF-83BE-4281-902C-7AAA9205A8A8}"/>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86" name="Shape 7">
          <a:extLst>
            <a:ext uri="{FF2B5EF4-FFF2-40B4-BE49-F238E27FC236}">
              <a16:creationId xmlns:a16="http://schemas.microsoft.com/office/drawing/2014/main" id="{C507C0FB-5E6E-42F9-AB62-B48F449821FA}"/>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87" name="Shape 7">
          <a:extLst>
            <a:ext uri="{FF2B5EF4-FFF2-40B4-BE49-F238E27FC236}">
              <a16:creationId xmlns:a16="http://schemas.microsoft.com/office/drawing/2014/main" id="{86250F07-068C-460C-893E-D57BFC55B18D}"/>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88" name="Shape 7">
          <a:extLst>
            <a:ext uri="{FF2B5EF4-FFF2-40B4-BE49-F238E27FC236}">
              <a16:creationId xmlns:a16="http://schemas.microsoft.com/office/drawing/2014/main" id="{B9B5CD7C-0B5B-4810-A4E1-A735B5960902}"/>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89" name="Shape 7">
          <a:extLst>
            <a:ext uri="{FF2B5EF4-FFF2-40B4-BE49-F238E27FC236}">
              <a16:creationId xmlns:a16="http://schemas.microsoft.com/office/drawing/2014/main" id="{6D98C151-34AC-43AC-9083-9FA81987D9C4}"/>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90" name="Shape 7">
          <a:extLst>
            <a:ext uri="{FF2B5EF4-FFF2-40B4-BE49-F238E27FC236}">
              <a16:creationId xmlns:a16="http://schemas.microsoft.com/office/drawing/2014/main" id="{7CA1F02F-E026-40B7-BF26-C43B737C2FBF}"/>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091" name="Shape 7">
          <a:extLst>
            <a:ext uri="{FF2B5EF4-FFF2-40B4-BE49-F238E27FC236}">
              <a16:creationId xmlns:a16="http://schemas.microsoft.com/office/drawing/2014/main" id="{623FADB6-70E4-4096-881B-3C3F7705793B}"/>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92" name="Shape 7">
          <a:extLst>
            <a:ext uri="{FF2B5EF4-FFF2-40B4-BE49-F238E27FC236}">
              <a16:creationId xmlns:a16="http://schemas.microsoft.com/office/drawing/2014/main" id="{F62C77CB-C53C-428B-BEF7-EEDD8986B553}"/>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93" name="Shape 8">
          <a:extLst>
            <a:ext uri="{FF2B5EF4-FFF2-40B4-BE49-F238E27FC236}">
              <a16:creationId xmlns:a16="http://schemas.microsoft.com/office/drawing/2014/main" id="{5ABB01B4-BC8C-4F64-B75D-AB60D8764106}"/>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94" name="Shape 7">
          <a:extLst>
            <a:ext uri="{FF2B5EF4-FFF2-40B4-BE49-F238E27FC236}">
              <a16:creationId xmlns:a16="http://schemas.microsoft.com/office/drawing/2014/main" id="{60B4ED4F-A42A-46E5-82FC-F3937BE0A8A4}"/>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95" name="Shape 8">
          <a:extLst>
            <a:ext uri="{FF2B5EF4-FFF2-40B4-BE49-F238E27FC236}">
              <a16:creationId xmlns:a16="http://schemas.microsoft.com/office/drawing/2014/main" id="{6FD9E73C-2785-4376-8424-2463CBC2ACE7}"/>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96" name="Shape 7">
          <a:extLst>
            <a:ext uri="{FF2B5EF4-FFF2-40B4-BE49-F238E27FC236}">
              <a16:creationId xmlns:a16="http://schemas.microsoft.com/office/drawing/2014/main" id="{A05ED816-47D0-4E16-89BA-B4D81260A201}"/>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97" name="Shape 8">
          <a:extLst>
            <a:ext uri="{FF2B5EF4-FFF2-40B4-BE49-F238E27FC236}">
              <a16:creationId xmlns:a16="http://schemas.microsoft.com/office/drawing/2014/main" id="{9634A23D-56FA-4AEA-A1F8-09932D73F4A4}"/>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098" name="Shape 8">
          <a:extLst>
            <a:ext uri="{FF2B5EF4-FFF2-40B4-BE49-F238E27FC236}">
              <a16:creationId xmlns:a16="http://schemas.microsoft.com/office/drawing/2014/main" id="{6808C6DA-A7DB-47DB-AF2B-5C0A18BBDE8A}"/>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099" name="Shape 7">
          <a:extLst>
            <a:ext uri="{FF2B5EF4-FFF2-40B4-BE49-F238E27FC236}">
              <a16:creationId xmlns:a16="http://schemas.microsoft.com/office/drawing/2014/main" id="{E2FEFE32-A2A9-4FF0-8CF8-FECD108D9C87}"/>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00" name="Shape 8">
          <a:extLst>
            <a:ext uri="{FF2B5EF4-FFF2-40B4-BE49-F238E27FC236}">
              <a16:creationId xmlns:a16="http://schemas.microsoft.com/office/drawing/2014/main" id="{54716755-2240-4F32-8003-BFCD09A151EA}"/>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01" name="Shape 8">
          <a:extLst>
            <a:ext uri="{FF2B5EF4-FFF2-40B4-BE49-F238E27FC236}">
              <a16:creationId xmlns:a16="http://schemas.microsoft.com/office/drawing/2014/main" id="{D3C57017-8979-495E-9EB9-4FF6C3819B0E}"/>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02" name="Shape 7">
          <a:extLst>
            <a:ext uri="{FF2B5EF4-FFF2-40B4-BE49-F238E27FC236}">
              <a16:creationId xmlns:a16="http://schemas.microsoft.com/office/drawing/2014/main" id="{378FF200-AA4A-40B0-AC8D-0E9275201C9A}"/>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03" name="Shape 8">
          <a:extLst>
            <a:ext uri="{FF2B5EF4-FFF2-40B4-BE49-F238E27FC236}">
              <a16:creationId xmlns:a16="http://schemas.microsoft.com/office/drawing/2014/main" id="{A5725E25-8156-4CA8-B128-7D5DBB1B77E1}"/>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04" name="Shape 8">
          <a:extLst>
            <a:ext uri="{FF2B5EF4-FFF2-40B4-BE49-F238E27FC236}">
              <a16:creationId xmlns:a16="http://schemas.microsoft.com/office/drawing/2014/main" id="{457C5539-2DE7-4480-86A8-246D5B67FDDD}"/>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05" name="Shape 7">
          <a:extLst>
            <a:ext uri="{FF2B5EF4-FFF2-40B4-BE49-F238E27FC236}">
              <a16:creationId xmlns:a16="http://schemas.microsoft.com/office/drawing/2014/main" id="{2EFBFD72-E798-4EDA-9DF4-8F849F2E3AEC}"/>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06" name="Shape 8">
          <a:extLst>
            <a:ext uri="{FF2B5EF4-FFF2-40B4-BE49-F238E27FC236}">
              <a16:creationId xmlns:a16="http://schemas.microsoft.com/office/drawing/2014/main" id="{C7B71CD2-5A19-48BC-9B44-B3756F93918E}"/>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07" name="Shape 8">
          <a:extLst>
            <a:ext uri="{FF2B5EF4-FFF2-40B4-BE49-F238E27FC236}">
              <a16:creationId xmlns:a16="http://schemas.microsoft.com/office/drawing/2014/main" id="{03CDBCAC-9416-4023-9A78-7C19B0047FE3}"/>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08" name="Shape 7">
          <a:extLst>
            <a:ext uri="{FF2B5EF4-FFF2-40B4-BE49-F238E27FC236}">
              <a16:creationId xmlns:a16="http://schemas.microsoft.com/office/drawing/2014/main" id="{A6A6CC41-1359-4802-B2AC-3F01B0AA2220}"/>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09" name="Shape 8">
          <a:extLst>
            <a:ext uri="{FF2B5EF4-FFF2-40B4-BE49-F238E27FC236}">
              <a16:creationId xmlns:a16="http://schemas.microsoft.com/office/drawing/2014/main" id="{C073CDF7-8535-48F2-B957-D4439A8D21EF}"/>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10" name="Shape 8">
          <a:extLst>
            <a:ext uri="{FF2B5EF4-FFF2-40B4-BE49-F238E27FC236}">
              <a16:creationId xmlns:a16="http://schemas.microsoft.com/office/drawing/2014/main" id="{FC988FDD-3CC1-45BA-9980-F4F0F286458C}"/>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11" name="Shape 7">
          <a:extLst>
            <a:ext uri="{FF2B5EF4-FFF2-40B4-BE49-F238E27FC236}">
              <a16:creationId xmlns:a16="http://schemas.microsoft.com/office/drawing/2014/main" id="{6BD96719-0485-4EC0-A8B3-DB755938F074}"/>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12" name="Shape 7">
          <a:extLst>
            <a:ext uri="{FF2B5EF4-FFF2-40B4-BE49-F238E27FC236}">
              <a16:creationId xmlns:a16="http://schemas.microsoft.com/office/drawing/2014/main" id="{77A41772-2B78-464A-BCAD-40472EC37783}"/>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13" name="Shape 8">
          <a:extLst>
            <a:ext uri="{FF2B5EF4-FFF2-40B4-BE49-F238E27FC236}">
              <a16:creationId xmlns:a16="http://schemas.microsoft.com/office/drawing/2014/main" id="{E08C6CDC-D542-4419-8607-FC57F6B7F5DF}"/>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14" name="Shape 8">
          <a:extLst>
            <a:ext uri="{FF2B5EF4-FFF2-40B4-BE49-F238E27FC236}">
              <a16:creationId xmlns:a16="http://schemas.microsoft.com/office/drawing/2014/main" id="{60DB1C92-9DE5-4145-BFD7-E81D17C02211}"/>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15" name="Shape 7">
          <a:extLst>
            <a:ext uri="{FF2B5EF4-FFF2-40B4-BE49-F238E27FC236}">
              <a16:creationId xmlns:a16="http://schemas.microsoft.com/office/drawing/2014/main" id="{E1FC12DF-9D6B-48D3-9F6C-D0B97EB0D982}"/>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16" name="Shape 7">
          <a:extLst>
            <a:ext uri="{FF2B5EF4-FFF2-40B4-BE49-F238E27FC236}">
              <a16:creationId xmlns:a16="http://schemas.microsoft.com/office/drawing/2014/main" id="{DD14C7C4-1CB3-45EF-BC14-9FAF0B807B7B}"/>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17" name="Shape 8">
          <a:extLst>
            <a:ext uri="{FF2B5EF4-FFF2-40B4-BE49-F238E27FC236}">
              <a16:creationId xmlns:a16="http://schemas.microsoft.com/office/drawing/2014/main" id="{33E33BAD-5AD1-45E1-BE21-8EC3F3A7BD4E}"/>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18" name="Shape 8">
          <a:extLst>
            <a:ext uri="{FF2B5EF4-FFF2-40B4-BE49-F238E27FC236}">
              <a16:creationId xmlns:a16="http://schemas.microsoft.com/office/drawing/2014/main" id="{5F0B8854-BF8F-40B8-9703-923DD93E7C68}"/>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19" name="Shape 7">
          <a:extLst>
            <a:ext uri="{FF2B5EF4-FFF2-40B4-BE49-F238E27FC236}">
              <a16:creationId xmlns:a16="http://schemas.microsoft.com/office/drawing/2014/main" id="{4ABCC1A1-1699-4036-B6E0-F8BC65AE4B05}"/>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20" name="Shape 7">
          <a:extLst>
            <a:ext uri="{FF2B5EF4-FFF2-40B4-BE49-F238E27FC236}">
              <a16:creationId xmlns:a16="http://schemas.microsoft.com/office/drawing/2014/main" id="{7D87451B-EC99-4155-8BC5-9992BAD59A67}"/>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21" name="Shape 7">
          <a:extLst>
            <a:ext uri="{FF2B5EF4-FFF2-40B4-BE49-F238E27FC236}">
              <a16:creationId xmlns:a16="http://schemas.microsoft.com/office/drawing/2014/main" id="{3436BED9-A9FA-42AA-A0B7-2CC1E3620D1B}"/>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22" name="Shape 7">
          <a:extLst>
            <a:ext uri="{FF2B5EF4-FFF2-40B4-BE49-F238E27FC236}">
              <a16:creationId xmlns:a16="http://schemas.microsoft.com/office/drawing/2014/main" id="{DD9EADFA-8E13-4858-8018-9654FCB41BCA}"/>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23" name="Shape 7">
          <a:extLst>
            <a:ext uri="{FF2B5EF4-FFF2-40B4-BE49-F238E27FC236}">
              <a16:creationId xmlns:a16="http://schemas.microsoft.com/office/drawing/2014/main" id="{F6ED0DBC-FF9F-4B49-9FBC-97B8925E59FE}"/>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24" name="Shape 7">
          <a:extLst>
            <a:ext uri="{FF2B5EF4-FFF2-40B4-BE49-F238E27FC236}">
              <a16:creationId xmlns:a16="http://schemas.microsoft.com/office/drawing/2014/main" id="{C24E4E51-DE12-4069-8994-DE6285EAEC00}"/>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25" name="Shape 7">
          <a:extLst>
            <a:ext uri="{FF2B5EF4-FFF2-40B4-BE49-F238E27FC236}">
              <a16:creationId xmlns:a16="http://schemas.microsoft.com/office/drawing/2014/main" id="{2646C03A-79C0-42C5-804C-4DB2F1E08885}"/>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26" name="Shape 7">
          <a:extLst>
            <a:ext uri="{FF2B5EF4-FFF2-40B4-BE49-F238E27FC236}">
              <a16:creationId xmlns:a16="http://schemas.microsoft.com/office/drawing/2014/main" id="{D877BB5D-6D85-4B17-9559-95023D8CCC82}"/>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27" name="Shape 7">
          <a:extLst>
            <a:ext uri="{FF2B5EF4-FFF2-40B4-BE49-F238E27FC236}">
              <a16:creationId xmlns:a16="http://schemas.microsoft.com/office/drawing/2014/main" id="{0024CE8F-ED17-48BF-8AF6-A425340F7E02}"/>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28" name="Shape 7">
          <a:extLst>
            <a:ext uri="{FF2B5EF4-FFF2-40B4-BE49-F238E27FC236}">
              <a16:creationId xmlns:a16="http://schemas.microsoft.com/office/drawing/2014/main" id="{BBC6F799-D740-4D3A-869F-991B3DB18ABC}"/>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29" name="Shape 7">
          <a:extLst>
            <a:ext uri="{FF2B5EF4-FFF2-40B4-BE49-F238E27FC236}">
              <a16:creationId xmlns:a16="http://schemas.microsoft.com/office/drawing/2014/main" id="{5ED660C7-32FF-4749-85DB-A42AA35582BB}"/>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30" name="Shape 7">
          <a:extLst>
            <a:ext uri="{FF2B5EF4-FFF2-40B4-BE49-F238E27FC236}">
              <a16:creationId xmlns:a16="http://schemas.microsoft.com/office/drawing/2014/main" id="{FB1E6D07-68E6-4A74-A993-CACD3DF41B92}"/>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31" name="Shape 7">
          <a:extLst>
            <a:ext uri="{FF2B5EF4-FFF2-40B4-BE49-F238E27FC236}">
              <a16:creationId xmlns:a16="http://schemas.microsoft.com/office/drawing/2014/main" id="{DE79B90B-E4DB-489C-9ADA-07B9192B24D8}"/>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32" name="Shape 7">
          <a:extLst>
            <a:ext uri="{FF2B5EF4-FFF2-40B4-BE49-F238E27FC236}">
              <a16:creationId xmlns:a16="http://schemas.microsoft.com/office/drawing/2014/main" id="{33F3F885-EEAF-4167-B700-386AD8E2B79A}"/>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33" name="Shape 7">
          <a:extLst>
            <a:ext uri="{FF2B5EF4-FFF2-40B4-BE49-F238E27FC236}">
              <a16:creationId xmlns:a16="http://schemas.microsoft.com/office/drawing/2014/main" id="{6253478B-C5DF-4DC4-B554-A9E067E30238}"/>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134" name="Shape 7">
          <a:extLst>
            <a:ext uri="{FF2B5EF4-FFF2-40B4-BE49-F238E27FC236}">
              <a16:creationId xmlns:a16="http://schemas.microsoft.com/office/drawing/2014/main" id="{4FF36524-E7EE-4DDC-AF96-03804DF6B4C8}"/>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35" name="Shape 7">
          <a:extLst>
            <a:ext uri="{FF2B5EF4-FFF2-40B4-BE49-F238E27FC236}">
              <a16:creationId xmlns:a16="http://schemas.microsoft.com/office/drawing/2014/main" id="{B6A1EC97-A6DB-4C9B-A918-F5003117EE29}"/>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36" name="Shape 8">
          <a:extLst>
            <a:ext uri="{FF2B5EF4-FFF2-40B4-BE49-F238E27FC236}">
              <a16:creationId xmlns:a16="http://schemas.microsoft.com/office/drawing/2014/main" id="{B04025B7-8D6D-48F0-BC06-283D761F745F}"/>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37" name="Shape 7">
          <a:extLst>
            <a:ext uri="{FF2B5EF4-FFF2-40B4-BE49-F238E27FC236}">
              <a16:creationId xmlns:a16="http://schemas.microsoft.com/office/drawing/2014/main" id="{2C2BC7BC-1D29-4450-8031-ED53D162BA90}"/>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38" name="Shape 8">
          <a:extLst>
            <a:ext uri="{FF2B5EF4-FFF2-40B4-BE49-F238E27FC236}">
              <a16:creationId xmlns:a16="http://schemas.microsoft.com/office/drawing/2014/main" id="{D1FAE90D-7C36-44B2-97FE-59EF4E28A230}"/>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39" name="Shape 7">
          <a:extLst>
            <a:ext uri="{FF2B5EF4-FFF2-40B4-BE49-F238E27FC236}">
              <a16:creationId xmlns:a16="http://schemas.microsoft.com/office/drawing/2014/main" id="{81B2B43E-D250-4BCE-95E2-2C5E843CCD8C}"/>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40" name="Shape 8">
          <a:extLst>
            <a:ext uri="{FF2B5EF4-FFF2-40B4-BE49-F238E27FC236}">
              <a16:creationId xmlns:a16="http://schemas.microsoft.com/office/drawing/2014/main" id="{423C6473-7700-4090-BF1E-AB2243AFACFA}"/>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41" name="Shape 8">
          <a:extLst>
            <a:ext uri="{FF2B5EF4-FFF2-40B4-BE49-F238E27FC236}">
              <a16:creationId xmlns:a16="http://schemas.microsoft.com/office/drawing/2014/main" id="{BD941E16-E63B-4E9A-A35C-70B320F5D206}"/>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42" name="Shape 7">
          <a:extLst>
            <a:ext uri="{FF2B5EF4-FFF2-40B4-BE49-F238E27FC236}">
              <a16:creationId xmlns:a16="http://schemas.microsoft.com/office/drawing/2014/main" id="{22133F8C-8FC2-4A20-9C74-F869982F1972}"/>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43" name="Shape 8">
          <a:extLst>
            <a:ext uri="{FF2B5EF4-FFF2-40B4-BE49-F238E27FC236}">
              <a16:creationId xmlns:a16="http://schemas.microsoft.com/office/drawing/2014/main" id="{99A6BA4F-D7C9-4CFE-9652-C73DAAB7CCBC}"/>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44" name="Shape 8">
          <a:extLst>
            <a:ext uri="{FF2B5EF4-FFF2-40B4-BE49-F238E27FC236}">
              <a16:creationId xmlns:a16="http://schemas.microsoft.com/office/drawing/2014/main" id="{0A30DCA2-149F-4A98-97B3-37A26378101C}"/>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45" name="Shape 7">
          <a:extLst>
            <a:ext uri="{FF2B5EF4-FFF2-40B4-BE49-F238E27FC236}">
              <a16:creationId xmlns:a16="http://schemas.microsoft.com/office/drawing/2014/main" id="{76D7BF01-051D-489E-AA59-BAB93B423B00}"/>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46" name="Shape 8">
          <a:extLst>
            <a:ext uri="{FF2B5EF4-FFF2-40B4-BE49-F238E27FC236}">
              <a16:creationId xmlns:a16="http://schemas.microsoft.com/office/drawing/2014/main" id="{08D3FF94-50D5-4FE5-AE04-DF939A282E34}"/>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47" name="Shape 8">
          <a:extLst>
            <a:ext uri="{FF2B5EF4-FFF2-40B4-BE49-F238E27FC236}">
              <a16:creationId xmlns:a16="http://schemas.microsoft.com/office/drawing/2014/main" id="{7FCAEFBA-8143-4042-BB0E-D3842354DECD}"/>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48" name="Shape 7">
          <a:extLst>
            <a:ext uri="{FF2B5EF4-FFF2-40B4-BE49-F238E27FC236}">
              <a16:creationId xmlns:a16="http://schemas.microsoft.com/office/drawing/2014/main" id="{50AEF307-F4C5-48A7-A6FB-C94C7E50B120}"/>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49" name="Shape 8">
          <a:extLst>
            <a:ext uri="{FF2B5EF4-FFF2-40B4-BE49-F238E27FC236}">
              <a16:creationId xmlns:a16="http://schemas.microsoft.com/office/drawing/2014/main" id="{87915E83-DB54-44AC-B1D8-613F035B2D78}"/>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50" name="Shape 8">
          <a:extLst>
            <a:ext uri="{FF2B5EF4-FFF2-40B4-BE49-F238E27FC236}">
              <a16:creationId xmlns:a16="http://schemas.microsoft.com/office/drawing/2014/main" id="{3B4FDD95-CF35-46A3-B06A-1F9F5691DE62}"/>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51" name="Shape 7">
          <a:extLst>
            <a:ext uri="{FF2B5EF4-FFF2-40B4-BE49-F238E27FC236}">
              <a16:creationId xmlns:a16="http://schemas.microsoft.com/office/drawing/2014/main" id="{DD3A5F61-012A-4B35-9F51-9F1F2B9280DF}"/>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52" name="Shape 8">
          <a:extLst>
            <a:ext uri="{FF2B5EF4-FFF2-40B4-BE49-F238E27FC236}">
              <a16:creationId xmlns:a16="http://schemas.microsoft.com/office/drawing/2014/main" id="{678D5ADB-BD4C-4D31-8478-886E31EE704A}"/>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53" name="Shape 8">
          <a:extLst>
            <a:ext uri="{FF2B5EF4-FFF2-40B4-BE49-F238E27FC236}">
              <a16:creationId xmlns:a16="http://schemas.microsoft.com/office/drawing/2014/main" id="{AD4CCB2F-DD7E-480A-8C08-9273D0BCC30A}"/>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54" name="Shape 7">
          <a:extLst>
            <a:ext uri="{FF2B5EF4-FFF2-40B4-BE49-F238E27FC236}">
              <a16:creationId xmlns:a16="http://schemas.microsoft.com/office/drawing/2014/main" id="{8F4D49B9-4D09-49EA-A76E-B962C51D91F5}"/>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55" name="Shape 7">
          <a:extLst>
            <a:ext uri="{FF2B5EF4-FFF2-40B4-BE49-F238E27FC236}">
              <a16:creationId xmlns:a16="http://schemas.microsoft.com/office/drawing/2014/main" id="{11A5EC46-7426-48FB-BBFA-98E1D68905A1}"/>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56" name="Shape 8">
          <a:extLst>
            <a:ext uri="{FF2B5EF4-FFF2-40B4-BE49-F238E27FC236}">
              <a16:creationId xmlns:a16="http://schemas.microsoft.com/office/drawing/2014/main" id="{2CF1760B-53B5-41A1-9285-59288E29A686}"/>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57" name="Shape 8">
          <a:extLst>
            <a:ext uri="{FF2B5EF4-FFF2-40B4-BE49-F238E27FC236}">
              <a16:creationId xmlns:a16="http://schemas.microsoft.com/office/drawing/2014/main" id="{A6E583D4-5C25-4A3F-9813-2FB7CD7299EA}"/>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58" name="Shape 7">
          <a:extLst>
            <a:ext uri="{FF2B5EF4-FFF2-40B4-BE49-F238E27FC236}">
              <a16:creationId xmlns:a16="http://schemas.microsoft.com/office/drawing/2014/main" id="{DE361F07-C26C-4DAC-B786-E9D231CC3E21}"/>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59" name="Shape 7">
          <a:extLst>
            <a:ext uri="{FF2B5EF4-FFF2-40B4-BE49-F238E27FC236}">
              <a16:creationId xmlns:a16="http://schemas.microsoft.com/office/drawing/2014/main" id="{DC173430-1E86-4B16-8290-AFAAF14FC9C5}"/>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60" name="Shape 8">
          <a:extLst>
            <a:ext uri="{FF2B5EF4-FFF2-40B4-BE49-F238E27FC236}">
              <a16:creationId xmlns:a16="http://schemas.microsoft.com/office/drawing/2014/main" id="{05CAA734-4648-47F6-A802-02F818508C2A}"/>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61" name="Shape 7">
          <a:extLst>
            <a:ext uri="{FF2B5EF4-FFF2-40B4-BE49-F238E27FC236}">
              <a16:creationId xmlns:a16="http://schemas.microsoft.com/office/drawing/2014/main" id="{B4A5E550-DE58-4A17-A18D-B031411EC7D8}"/>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62" name="Shape 8">
          <a:extLst>
            <a:ext uri="{FF2B5EF4-FFF2-40B4-BE49-F238E27FC236}">
              <a16:creationId xmlns:a16="http://schemas.microsoft.com/office/drawing/2014/main" id="{C5E4C0A6-1566-437A-8646-A6D129F1563F}"/>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63" name="Shape 7">
          <a:extLst>
            <a:ext uri="{FF2B5EF4-FFF2-40B4-BE49-F238E27FC236}">
              <a16:creationId xmlns:a16="http://schemas.microsoft.com/office/drawing/2014/main" id="{8049D933-3CC5-4136-AE96-333304721056}"/>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64" name="Shape 8">
          <a:extLst>
            <a:ext uri="{FF2B5EF4-FFF2-40B4-BE49-F238E27FC236}">
              <a16:creationId xmlns:a16="http://schemas.microsoft.com/office/drawing/2014/main" id="{62410A6B-42DA-4C0F-8EBA-0F01FAE1E484}"/>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65" name="Shape 7">
          <a:extLst>
            <a:ext uri="{FF2B5EF4-FFF2-40B4-BE49-F238E27FC236}">
              <a16:creationId xmlns:a16="http://schemas.microsoft.com/office/drawing/2014/main" id="{221A6130-7406-4CEE-B7FF-270D36CFE82C}"/>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66" name="Shape 8">
          <a:extLst>
            <a:ext uri="{FF2B5EF4-FFF2-40B4-BE49-F238E27FC236}">
              <a16:creationId xmlns:a16="http://schemas.microsoft.com/office/drawing/2014/main" id="{312BA9A8-A8A7-4C2E-878E-486C5B4FBEB3}"/>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67" name="Shape 8">
          <a:extLst>
            <a:ext uri="{FF2B5EF4-FFF2-40B4-BE49-F238E27FC236}">
              <a16:creationId xmlns:a16="http://schemas.microsoft.com/office/drawing/2014/main" id="{245AA5BD-4166-4A03-A718-B40E002942B8}"/>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68" name="Shape 7">
          <a:extLst>
            <a:ext uri="{FF2B5EF4-FFF2-40B4-BE49-F238E27FC236}">
              <a16:creationId xmlns:a16="http://schemas.microsoft.com/office/drawing/2014/main" id="{BD37364D-4B68-4277-97EA-20470B5BE98F}"/>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69" name="Shape 8">
          <a:extLst>
            <a:ext uri="{FF2B5EF4-FFF2-40B4-BE49-F238E27FC236}">
              <a16:creationId xmlns:a16="http://schemas.microsoft.com/office/drawing/2014/main" id="{68FE547E-B6CA-4156-B3EE-6FABDF0F3EB7}"/>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70" name="Shape 8">
          <a:extLst>
            <a:ext uri="{FF2B5EF4-FFF2-40B4-BE49-F238E27FC236}">
              <a16:creationId xmlns:a16="http://schemas.microsoft.com/office/drawing/2014/main" id="{CC2D8F91-8EB9-4CF4-AC87-02E943C98C36}"/>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71" name="Shape 7">
          <a:extLst>
            <a:ext uri="{FF2B5EF4-FFF2-40B4-BE49-F238E27FC236}">
              <a16:creationId xmlns:a16="http://schemas.microsoft.com/office/drawing/2014/main" id="{0C8229A2-9DF3-4BAB-9636-F89C2A95F3D2}"/>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72" name="Shape 8">
          <a:extLst>
            <a:ext uri="{FF2B5EF4-FFF2-40B4-BE49-F238E27FC236}">
              <a16:creationId xmlns:a16="http://schemas.microsoft.com/office/drawing/2014/main" id="{3FF435A9-E94C-4939-B049-0D0592AED2FD}"/>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73" name="Shape 8">
          <a:extLst>
            <a:ext uri="{FF2B5EF4-FFF2-40B4-BE49-F238E27FC236}">
              <a16:creationId xmlns:a16="http://schemas.microsoft.com/office/drawing/2014/main" id="{76A3D3A1-2C2F-4831-87CE-FE67337E677C}"/>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74" name="Shape 7">
          <a:extLst>
            <a:ext uri="{FF2B5EF4-FFF2-40B4-BE49-F238E27FC236}">
              <a16:creationId xmlns:a16="http://schemas.microsoft.com/office/drawing/2014/main" id="{ED379491-4942-4E8B-80F8-9CCEFBEA6919}"/>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75" name="Shape 8">
          <a:extLst>
            <a:ext uri="{FF2B5EF4-FFF2-40B4-BE49-F238E27FC236}">
              <a16:creationId xmlns:a16="http://schemas.microsoft.com/office/drawing/2014/main" id="{2B0810C8-7600-4A99-AB9C-388FE459CAD8}"/>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76" name="Shape 8">
          <a:extLst>
            <a:ext uri="{FF2B5EF4-FFF2-40B4-BE49-F238E27FC236}">
              <a16:creationId xmlns:a16="http://schemas.microsoft.com/office/drawing/2014/main" id="{A7E8E032-8E64-4B39-BCA3-D843DFDF88B3}"/>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77" name="Shape 7">
          <a:extLst>
            <a:ext uri="{FF2B5EF4-FFF2-40B4-BE49-F238E27FC236}">
              <a16:creationId xmlns:a16="http://schemas.microsoft.com/office/drawing/2014/main" id="{B80E6D0B-B7A9-4CE9-B898-41BC233BDBFF}"/>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78" name="Shape 8">
          <a:extLst>
            <a:ext uri="{FF2B5EF4-FFF2-40B4-BE49-F238E27FC236}">
              <a16:creationId xmlns:a16="http://schemas.microsoft.com/office/drawing/2014/main" id="{44C58A07-B424-4AF6-B6F9-8C5EC279085D}"/>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79" name="Shape 8">
          <a:extLst>
            <a:ext uri="{FF2B5EF4-FFF2-40B4-BE49-F238E27FC236}">
              <a16:creationId xmlns:a16="http://schemas.microsoft.com/office/drawing/2014/main" id="{7471A343-9F34-4EFC-88EA-0A910BF80A95}"/>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80" name="Shape 7">
          <a:extLst>
            <a:ext uri="{FF2B5EF4-FFF2-40B4-BE49-F238E27FC236}">
              <a16:creationId xmlns:a16="http://schemas.microsoft.com/office/drawing/2014/main" id="{3003672B-1DA4-4124-ACCF-C891EC035A8F}"/>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81" name="Shape 7">
          <a:extLst>
            <a:ext uri="{FF2B5EF4-FFF2-40B4-BE49-F238E27FC236}">
              <a16:creationId xmlns:a16="http://schemas.microsoft.com/office/drawing/2014/main" id="{8BC95132-5DE0-49B4-8D94-16E44453B96A}"/>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82" name="Shape 8">
          <a:extLst>
            <a:ext uri="{FF2B5EF4-FFF2-40B4-BE49-F238E27FC236}">
              <a16:creationId xmlns:a16="http://schemas.microsoft.com/office/drawing/2014/main" id="{12DADAF7-F22C-4150-BE4A-35999B71E78A}"/>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83" name="Shape 8">
          <a:extLst>
            <a:ext uri="{FF2B5EF4-FFF2-40B4-BE49-F238E27FC236}">
              <a16:creationId xmlns:a16="http://schemas.microsoft.com/office/drawing/2014/main" id="{B0ABB072-FFCD-4C50-A7EB-1FF60D6A7FC2}"/>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84" name="Shape 7">
          <a:extLst>
            <a:ext uri="{FF2B5EF4-FFF2-40B4-BE49-F238E27FC236}">
              <a16:creationId xmlns:a16="http://schemas.microsoft.com/office/drawing/2014/main" id="{0CFC0CD0-08AD-40B9-8245-40C5503FA557}"/>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85" name="Shape 7">
          <a:extLst>
            <a:ext uri="{FF2B5EF4-FFF2-40B4-BE49-F238E27FC236}">
              <a16:creationId xmlns:a16="http://schemas.microsoft.com/office/drawing/2014/main" id="{D059D661-E8D4-4A00-98A8-7B6DB6210CEB}"/>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86" name="Shape 8">
          <a:extLst>
            <a:ext uri="{FF2B5EF4-FFF2-40B4-BE49-F238E27FC236}">
              <a16:creationId xmlns:a16="http://schemas.microsoft.com/office/drawing/2014/main" id="{E7A13EC4-FD29-4780-8FC3-7D505A9F9F3F}"/>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87" name="Shape 7">
          <a:extLst>
            <a:ext uri="{FF2B5EF4-FFF2-40B4-BE49-F238E27FC236}">
              <a16:creationId xmlns:a16="http://schemas.microsoft.com/office/drawing/2014/main" id="{1C513C95-74D5-4B49-A232-C46FBD279C7D}"/>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88" name="Shape 8">
          <a:extLst>
            <a:ext uri="{FF2B5EF4-FFF2-40B4-BE49-F238E27FC236}">
              <a16:creationId xmlns:a16="http://schemas.microsoft.com/office/drawing/2014/main" id="{A8069C88-BAC9-4686-A6C1-661961E39250}"/>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89" name="Shape 7">
          <a:extLst>
            <a:ext uri="{FF2B5EF4-FFF2-40B4-BE49-F238E27FC236}">
              <a16:creationId xmlns:a16="http://schemas.microsoft.com/office/drawing/2014/main" id="{D29FAB2F-1BBD-4244-AAC8-5958A359CC77}"/>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90" name="Shape 8">
          <a:extLst>
            <a:ext uri="{FF2B5EF4-FFF2-40B4-BE49-F238E27FC236}">
              <a16:creationId xmlns:a16="http://schemas.microsoft.com/office/drawing/2014/main" id="{9A7C4172-D7C5-4E6F-85D3-147EFE9E313E}"/>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91" name="Shape 7">
          <a:extLst>
            <a:ext uri="{FF2B5EF4-FFF2-40B4-BE49-F238E27FC236}">
              <a16:creationId xmlns:a16="http://schemas.microsoft.com/office/drawing/2014/main" id="{ECAB397C-BF0C-48FA-96B1-B887DFE03C82}"/>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92" name="Shape 8">
          <a:extLst>
            <a:ext uri="{FF2B5EF4-FFF2-40B4-BE49-F238E27FC236}">
              <a16:creationId xmlns:a16="http://schemas.microsoft.com/office/drawing/2014/main" id="{66FF4083-F11E-4018-910B-DB3AD07F8E48}"/>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93" name="Shape 8">
          <a:extLst>
            <a:ext uri="{FF2B5EF4-FFF2-40B4-BE49-F238E27FC236}">
              <a16:creationId xmlns:a16="http://schemas.microsoft.com/office/drawing/2014/main" id="{574735DF-6935-4F86-9D00-D46EAA5C585C}"/>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94" name="Shape 7">
          <a:extLst>
            <a:ext uri="{FF2B5EF4-FFF2-40B4-BE49-F238E27FC236}">
              <a16:creationId xmlns:a16="http://schemas.microsoft.com/office/drawing/2014/main" id="{4B95AEF4-FF37-46E5-A188-0DE1FF58BF50}"/>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95" name="Shape 8">
          <a:extLst>
            <a:ext uri="{FF2B5EF4-FFF2-40B4-BE49-F238E27FC236}">
              <a16:creationId xmlns:a16="http://schemas.microsoft.com/office/drawing/2014/main" id="{01D67EC6-2217-48CA-836C-3CD17C4195A3}"/>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96" name="Shape 8">
          <a:extLst>
            <a:ext uri="{FF2B5EF4-FFF2-40B4-BE49-F238E27FC236}">
              <a16:creationId xmlns:a16="http://schemas.microsoft.com/office/drawing/2014/main" id="{1BE5345C-541D-40F0-9411-34DCB50F094E}"/>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197" name="Shape 7">
          <a:extLst>
            <a:ext uri="{FF2B5EF4-FFF2-40B4-BE49-F238E27FC236}">
              <a16:creationId xmlns:a16="http://schemas.microsoft.com/office/drawing/2014/main" id="{857EF584-3073-4CD5-B819-65027EC1600B}"/>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98" name="Shape 8">
          <a:extLst>
            <a:ext uri="{FF2B5EF4-FFF2-40B4-BE49-F238E27FC236}">
              <a16:creationId xmlns:a16="http://schemas.microsoft.com/office/drawing/2014/main" id="{C1D91E36-2DD6-44E4-BEB1-E83AC326398C}"/>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199" name="Shape 8">
          <a:extLst>
            <a:ext uri="{FF2B5EF4-FFF2-40B4-BE49-F238E27FC236}">
              <a16:creationId xmlns:a16="http://schemas.microsoft.com/office/drawing/2014/main" id="{3775900D-B1D8-4933-B1A3-2B553A1D404B}"/>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00" name="Shape 7">
          <a:extLst>
            <a:ext uri="{FF2B5EF4-FFF2-40B4-BE49-F238E27FC236}">
              <a16:creationId xmlns:a16="http://schemas.microsoft.com/office/drawing/2014/main" id="{6817E6F2-AE60-40EB-99FB-DBE7FC6845CD}"/>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01" name="Shape 8">
          <a:extLst>
            <a:ext uri="{FF2B5EF4-FFF2-40B4-BE49-F238E27FC236}">
              <a16:creationId xmlns:a16="http://schemas.microsoft.com/office/drawing/2014/main" id="{022F9BEA-25AC-4154-A187-DD07C54D6969}"/>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02" name="Shape 8">
          <a:extLst>
            <a:ext uri="{FF2B5EF4-FFF2-40B4-BE49-F238E27FC236}">
              <a16:creationId xmlns:a16="http://schemas.microsoft.com/office/drawing/2014/main" id="{54D2EE00-84D1-4581-B55E-D171BD60A41D}"/>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03" name="Shape 7">
          <a:extLst>
            <a:ext uri="{FF2B5EF4-FFF2-40B4-BE49-F238E27FC236}">
              <a16:creationId xmlns:a16="http://schemas.microsoft.com/office/drawing/2014/main" id="{58AEFED6-5804-4AED-9152-62397693471E}"/>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04" name="Shape 8">
          <a:extLst>
            <a:ext uri="{FF2B5EF4-FFF2-40B4-BE49-F238E27FC236}">
              <a16:creationId xmlns:a16="http://schemas.microsoft.com/office/drawing/2014/main" id="{E19C0C5D-1DD7-41C3-A341-880162889E03}"/>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05" name="Shape 8">
          <a:extLst>
            <a:ext uri="{FF2B5EF4-FFF2-40B4-BE49-F238E27FC236}">
              <a16:creationId xmlns:a16="http://schemas.microsoft.com/office/drawing/2014/main" id="{79879F70-77F0-45D6-B030-B2634A1C3D58}"/>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06" name="Shape 7">
          <a:extLst>
            <a:ext uri="{FF2B5EF4-FFF2-40B4-BE49-F238E27FC236}">
              <a16:creationId xmlns:a16="http://schemas.microsoft.com/office/drawing/2014/main" id="{10080423-540D-42EC-A4F6-08A00AAB817D}"/>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07" name="Shape 7">
          <a:extLst>
            <a:ext uri="{FF2B5EF4-FFF2-40B4-BE49-F238E27FC236}">
              <a16:creationId xmlns:a16="http://schemas.microsoft.com/office/drawing/2014/main" id="{CB9BD4F5-BD53-4FEE-AFB2-D26F2BB21445}"/>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08" name="Shape 8">
          <a:extLst>
            <a:ext uri="{FF2B5EF4-FFF2-40B4-BE49-F238E27FC236}">
              <a16:creationId xmlns:a16="http://schemas.microsoft.com/office/drawing/2014/main" id="{EBCDD3F7-09CD-433F-BA32-454DE3EB5D3C}"/>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09" name="Shape 8">
          <a:extLst>
            <a:ext uri="{FF2B5EF4-FFF2-40B4-BE49-F238E27FC236}">
              <a16:creationId xmlns:a16="http://schemas.microsoft.com/office/drawing/2014/main" id="{230ACD0E-C2C4-47BD-8BC2-D13E57E220AC}"/>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10" name="Shape 7">
          <a:extLst>
            <a:ext uri="{FF2B5EF4-FFF2-40B4-BE49-F238E27FC236}">
              <a16:creationId xmlns:a16="http://schemas.microsoft.com/office/drawing/2014/main" id="{F9E874E5-B3BE-463A-8D24-5FC9FF71C8C8}"/>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11" name="Shape 7">
          <a:extLst>
            <a:ext uri="{FF2B5EF4-FFF2-40B4-BE49-F238E27FC236}">
              <a16:creationId xmlns:a16="http://schemas.microsoft.com/office/drawing/2014/main" id="{E08A7BBB-F4FC-4F41-A959-D1A70385C1AF}"/>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12" name="Shape 8">
          <a:extLst>
            <a:ext uri="{FF2B5EF4-FFF2-40B4-BE49-F238E27FC236}">
              <a16:creationId xmlns:a16="http://schemas.microsoft.com/office/drawing/2014/main" id="{4B682594-BE2B-4A95-A6D9-CAB43C50E872}"/>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13" name="Shape 7">
          <a:extLst>
            <a:ext uri="{FF2B5EF4-FFF2-40B4-BE49-F238E27FC236}">
              <a16:creationId xmlns:a16="http://schemas.microsoft.com/office/drawing/2014/main" id="{7A4F4A6E-CDEB-419E-B415-26B82C1415A9}"/>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14" name="Shape 8">
          <a:extLst>
            <a:ext uri="{FF2B5EF4-FFF2-40B4-BE49-F238E27FC236}">
              <a16:creationId xmlns:a16="http://schemas.microsoft.com/office/drawing/2014/main" id="{51216349-284D-489E-9BA2-37772EED544C}"/>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15" name="Shape 7">
          <a:extLst>
            <a:ext uri="{FF2B5EF4-FFF2-40B4-BE49-F238E27FC236}">
              <a16:creationId xmlns:a16="http://schemas.microsoft.com/office/drawing/2014/main" id="{BC9654A7-2D6D-4C71-9ACF-458664C1527F}"/>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16" name="Shape 8">
          <a:extLst>
            <a:ext uri="{FF2B5EF4-FFF2-40B4-BE49-F238E27FC236}">
              <a16:creationId xmlns:a16="http://schemas.microsoft.com/office/drawing/2014/main" id="{61B0F2CC-C968-48F1-95FD-58CCCE4ED396}"/>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17" name="Shape 7">
          <a:extLst>
            <a:ext uri="{FF2B5EF4-FFF2-40B4-BE49-F238E27FC236}">
              <a16:creationId xmlns:a16="http://schemas.microsoft.com/office/drawing/2014/main" id="{564F431B-2652-4F12-8B10-AA23B8D5FC79}"/>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18" name="Shape 8">
          <a:extLst>
            <a:ext uri="{FF2B5EF4-FFF2-40B4-BE49-F238E27FC236}">
              <a16:creationId xmlns:a16="http://schemas.microsoft.com/office/drawing/2014/main" id="{8C7BC989-6BE5-4CF8-B19D-D571699C8831}"/>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19" name="Shape 8">
          <a:extLst>
            <a:ext uri="{FF2B5EF4-FFF2-40B4-BE49-F238E27FC236}">
              <a16:creationId xmlns:a16="http://schemas.microsoft.com/office/drawing/2014/main" id="{598CE02E-7D23-4A86-BB95-A39BF8C05172}"/>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20" name="Shape 7">
          <a:extLst>
            <a:ext uri="{FF2B5EF4-FFF2-40B4-BE49-F238E27FC236}">
              <a16:creationId xmlns:a16="http://schemas.microsoft.com/office/drawing/2014/main" id="{ACF1E934-41F1-4A71-BEC7-9451E1D47E25}"/>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21" name="Shape 8">
          <a:extLst>
            <a:ext uri="{FF2B5EF4-FFF2-40B4-BE49-F238E27FC236}">
              <a16:creationId xmlns:a16="http://schemas.microsoft.com/office/drawing/2014/main" id="{761F91A1-8F5A-4E3F-8C79-30187A33B23F}"/>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22" name="Shape 8">
          <a:extLst>
            <a:ext uri="{FF2B5EF4-FFF2-40B4-BE49-F238E27FC236}">
              <a16:creationId xmlns:a16="http://schemas.microsoft.com/office/drawing/2014/main" id="{15524346-43D5-4E9E-A4A5-E45BEEBC7CE7}"/>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23" name="Shape 7">
          <a:extLst>
            <a:ext uri="{FF2B5EF4-FFF2-40B4-BE49-F238E27FC236}">
              <a16:creationId xmlns:a16="http://schemas.microsoft.com/office/drawing/2014/main" id="{39D581E9-080F-45DA-8903-76250764B951}"/>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24" name="Shape 8">
          <a:extLst>
            <a:ext uri="{FF2B5EF4-FFF2-40B4-BE49-F238E27FC236}">
              <a16:creationId xmlns:a16="http://schemas.microsoft.com/office/drawing/2014/main" id="{50855949-6C19-4591-9E6D-4358E8DA6B2A}"/>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25" name="Shape 8">
          <a:extLst>
            <a:ext uri="{FF2B5EF4-FFF2-40B4-BE49-F238E27FC236}">
              <a16:creationId xmlns:a16="http://schemas.microsoft.com/office/drawing/2014/main" id="{96601ADA-2C3A-4951-A215-9365D05D0AD9}"/>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26" name="Shape 7">
          <a:extLst>
            <a:ext uri="{FF2B5EF4-FFF2-40B4-BE49-F238E27FC236}">
              <a16:creationId xmlns:a16="http://schemas.microsoft.com/office/drawing/2014/main" id="{2E4C0BB2-EE41-4DA9-842A-DEFBCCEBB4E2}"/>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27" name="Shape 8">
          <a:extLst>
            <a:ext uri="{FF2B5EF4-FFF2-40B4-BE49-F238E27FC236}">
              <a16:creationId xmlns:a16="http://schemas.microsoft.com/office/drawing/2014/main" id="{95DAFC45-E2D3-4C64-8829-970E5C372DE5}"/>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28" name="Shape 8">
          <a:extLst>
            <a:ext uri="{FF2B5EF4-FFF2-40B4-BE49-F238E27FC236}">
              <a16:creationId xmlns:a16="http://schemas.microsoft.com/office/drawing/2014/main" id="{1CC18C0F-0595-4E99-9D7B-6446A592B2D6}"/>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29" name="Shape 7">
          <a:extLst>
            <a:ext uri="{FF2B5EF4-FFF2-40B4-BE49-F238E27FC236}">
              <a16:creationId xmlns:a16="http://schemas.microsoft.com/office/drawing/2014/main" id="{0819163D-7E09-418F-87D1-47EB1AA01BE7}"/>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30" name="Shape 8">
          <a:extLst>
            <a:ext uri="{FF2B5EF4-FFF2-40B4-BE49-F238E27FC236}">
              <a16:creationId xmlns:a16="http://schemas.microsoft.com/office/drawing/2014/main" id="{093475FF-913D-4A69-B5C9-FEFCC74927A6}"/>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31" name="Shape 8">
          <a:extLst>
            <a:ext uri="{FF2B5EF4-FFF2-40B4-BE49-F238E27FC236}">
              <a16:creationId xmlns:a16="http://schemas.microsoft.com/office/drawing/2014/main" id="{823D1CDB-9957-446E-ADC1-8E9F42713870}"/>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32" name="Shape 7">
          <a:extLst>
            <a:ext uri="{FF2B5EF4-FFF2-40B4-BE49-F238E27FC236}">
              <a16:creationId xmlns:a16="http://schemas.microsoft.com/office/drawing/2014/main" id="{4BC8103B-EC0A-47BA-8C91-94913EC52167}"/>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33" name="Shape 7">
          <a:extLst>
            <a:ext uri="{FF2B5EF4-FFF2-40B4-BE49-F238E27FC236}">
              <a16:creationId xmlns:a16="http://schemas.microsoft.com/office/drawing/2014/main" id="{83F0B475-5F47-4289-BA20-DDE6153E3AA5}"/>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34" name="Shape 8">
          <a:extLst>
            <a:ext uri="{FF2B5EF4-FFF2-40B4-BE49-F238E27FC236}">
              <a16:creationId xmlns:a16="http://schemas.microsoft.com/office/drawing/2014/main" id="{18025D75-6160-4B9C-98A9-B9F1F8DCC9C0}"/>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35" name="Shape 8">
          <a:extLst>
            <a:ext uri="{FF2B5EF4-FFF2-40B4-BE49-F238E27FC236}">
              <a16:creationId xmlns:a16="http://schemas.microsoft.com/office/drawing/2014/main" id="{66AE4271-3639-477F-81D0-50EFAF05733F}"/>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36" name="Shape 7">
          <a:extLst>
            <a:ext uri="{FF2B5EF4-FFF2-40B4-BE49-F238E27FC236}">
              <a16:creationId xmlns:a16="http://schemas.microsoft.com/office/drawing/2014/main" id="{E39BB1F0-D862-4727-A94F-872BFEE48DF0}"/>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37" name="Shape 7">
          <a:extLst>
            <a:ext uri="{FF2B5EF4-FFF2-40B4-BE49-F238E27FC236}">
              <a16:creationId xmlns:a16="http://schemas.microsoft.com/office/drawing/2014/main" id="{06ABA97A-2A6C-4B05-970B-CB03847A1350}"/>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38" name="Shape 8">
          <a:extLst>
            <a:ext uri="{FF2B5EF4-FFF2-40B4-BE49-F238E27FC236}">
              <a16:creationId xmlns:a16="http://schemas.microsoft.com/office/drawing/2014/main" id="{2308B5FC-EAB3-4EBB-8819-7564330E2CBF}"/>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39" name="Shape 7">
          <a:extLst>
            <a:ext uri="{FF2B5EF4-FFF2-40B4-BE49-F238E27FC236}">
              <a16:creationId xmlns:a16="http://schemas.microsoft.com/office/drawing/2014/main" id="{5E51D6AB-65A1-48BA-967B-CA53540AB291}"/>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40" name="Shape 8">
          <a:extLst>
            <a:ext uri="{FF2B5EF4-FFF2-40B4-BE49-F238E27FC236}">
              <a16:creationId xmlns:a16="http://schemas.microsoft.com/office/drawing/2014/main" id="{11ABF5AB-E492-413D-82C5-83042EC1465B}"/>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41" name="Shape 7">
          <a:extLst>
            <a:ext uri="{FF2B5EF4-FFF2-40B4-BE49-F238E27FC236}">
              <a16:creationId xmlns:a16="http://schemas.microsoft.com/office/drawing/2014/main" id="{4A796DAB-FD6E-4A04-8E30-5E1F43B6343B}"/>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42" name="Shape 8">
          <a:extLst>
            <a:ext uri="{FF2B5EF4-FFF2-40B4-BE49-F238E27FC236}">
              <a16:creationId xmlns:a16="http://schemas.microsoft.com/office/drawing/2014/main" id="{E9F1ED64-C63F-4269-8B0F-6E96D110993F}"/>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43" name="Shape 7">
          <a:extLst>
            <a:ext uri="{FF2B5EF4-FFF2-40B4-BE49-F238E27FC236}">
              <a16:creationId xmlns:a16="http://schemas.microsoft.com/office/drawing/2014/main" id="{E5BD233B-3492-4D89-8B91-770B8F9EFF13}"/>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44" name="Shape 8">
          <a:extLst>
            <a:ext uri="{FF2B5EF4-FFF2-40B4-BE49-F238E27FC236}">
              <a16:creationId xmlns:a16="http://schemas.microsoft.com/office/drawing/2014/main" id="{6F82F9E5-8742-4FEF-A146-E0AF50BDA513}"/>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45" name="Shape 8">
          <a:extLst>
            <a:ext uri="{FF2B5EF4-FFF2-40B4-BE49-F238E27FC236}">
              <a16:creationId xmlns:a16="http://schemas.microsoft.com/office/drawing/2014/main" id="{7AABB389-2B75-49A4-BC7A-1921AF216008}"/>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46" name="Shape 7">
          <a:extLst>
            <a:ext uri="{FF2B5EF4-FFF2-40B4-BE49-F238E27FC236}">
              <a16:creationId xmlns:a16="http://schemas.microsoft.com/office/drawing/2014/main" id="{C04847FF-9024-4F84-8EB8-664532CF25F5}"/>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47" name="Shape 8">
          <a:extLst>
            <a:ext uri="{FF2B5EF4-FFF2-40B4-BE49-F238E27FC236}">
              <a16:creationId xmlns:a16="http://schemas.microsoft.com/office/drawing/2014/main" id="{74E69D24-DD63-4AE6-892A-D11014B4AEF0}"/>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48" name="Shape 8">
          <a:extLst>
            <a:ext uri="{FF2B5EF4-FFF2-40B4-BE49-F238E27FC236}">
              <a16:creationId xmlns:a16="http://schemas.microsoft.com/office/drawing/2014/main" id="{CDD055B8-C4A7-4DD1-A118-ED56C910B38D}"/>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49" name="Shape 7">
          <a:extLst>
            <a:ext uri="{FF2B5EF4-FFF2-40B4-BE49-F238E27FC236}">
              <a16:creationId xmlns:a16="http://schemas.microsoft.com/office/drawing/2014/main" id="{3D92372E-AF34-4FFA-B911-2F51404D69F3}"/>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50" name="Shape 8">
          <a:extLst>
            <a:ext uri="{FF2B5EF4-FFF2-40B4-BE49-F238E27FC236}">
              <a16:creationId xmlns:a16="http://schemas.microsoft.com/office/drawing/2014/main" id="{E8F53A8A-8011-4604-8DD7-6ECE53352B7F}"/>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51" name="Shape 8">
          <a:extLst>
            <a:ext uri="{FF2B5EF4-FFF2-40B4-BE49-F238E27FC236}">
              <a16:creationId xmlns:a16="http://schemas.microsoft.com/office/drawing/2014/main" id="{0191C961-40B8-4652-8CDD-41B56BF3DFE0}"/>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52" name="Shape 7">
          <a:extLst>
            <a:ext uri="{FF2B5EF4-FFF2-40B4-BE49-F238E27FC236}">
              <a16:creationId xmlns:a16="http://schemas.microsoft.com/office/drawing/2014/main" id="{D2785B90-FD49-4E3C-8FDB-E159E52A4998}"/>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53" name="Shape 8">
          <a:extLst>
            <a:ext uri="{FF2B5EF4-FFF2-40B4-BE49-F238E27FC236}">
              <a16:creationId xmlns:a16="http://schemas.microsoft.com/office/drawing/2014/main" id="{7B71C845-5707-4DBC-B2F3-69DF76B06F37}"/>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54" name="Shape 8">
          <a:extLst>
            <a:ext uri="{FF2B5EF4-FFF2-40B4-BE49-F238E27FC236}">
              <a16:creationId xmlns:a16="http://schemas.microsoft.com/office/drawing/2014/main" id="{C81920C2-12F9-4E2E-A6AD-B1947565D78F}"/>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55" name="Shape 7">
          <a:extLst>
            <a:ext uri="{FF2B5EF4-FFF2-40B4-BE49-F238E27FC236}">
              <a16:creationId xmlns:a16="http://schemas.microsoft.com/office/drawing/2014/main" id="{8A4313AB-3FA4-49CD-9778-A63765C6A47D}"/>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56" name="Shape 8">
          <a:extLst>
            <a:ext uri="{FF2B5EF4-FFF2-40B4-BE49-F238E27FC236}">
              <a16:creationId xmlns:a16="http://schemas.microsoft.com/office/drawing/2014/main" id="{485236D2-20AF-42CA-A29C-2AB7352DE2D6}"/>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57" name="Shape 8">
          <a:extLst>
            <a:ext uri="{FF2B5EF4-FFF2-40B4-BE49-F238E27FC236}">
              <a16:creationId xmlns:a16="http://schemas.microsoft.com/office/drawing/2014/main" id="{9F6CDA4E-16DB-4996-8186-AEE97B53F588}"/>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58" name="Shape 7">
          <a:extLst>
            <a:ext uri="{FF2B5EF4-FFF2-40B4-BE49-F238E27FC236}">
              <a16:creationId xmlns:a16="http://schemas.microsoft.com/office/drawing/2014/main" id="{63790969-86E7-49CB-AC89-55B9C1C01B39}"/>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59" name="Shape 7">
          <a:extLst>
            <a:ext uri="{FF2B5EF4-FFF2-40B4-BE49-F238E27FC236}">
              <a16:creationId xmlns:a16="http://schemas.microsoft.com/office/drawing/2014/main" id="{5B49C457-BD98-432C-8BC4-9C7200299CD3}"/>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60" name="Shape 8">
          <a:extLst>
            <a:ext uri="{FF2B5EF4-FFF2-40B4-BE49-F238E27FC236}">
              <a16:creationId xmlns:a16="http://schemas.microsoft.com/office/drawing/2014/main" id="{50DF65CA-63D6-41E8-87AB-506D1C0861F3}"/>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61" name="Shape 8">
          <a:extLst>
            <a:ext uri="{FF2B5EF4-FFF2-40B4-BE49-F238E27FC236}">
              <a16:creationId xmlns:a16="http://schemas.microsoft.com/office/drawing/2014/main" id="{B607F413-8C13-45B2-8736-9AB1749141D8}"/>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62" name="Shape 7">
          <a:extLst>
            <a:ext uri="{FF2B5EF4-FFF2-40B4-BE49-F238E27FC236}">
              <a16:creationId xmlns:a16="http://schemas.microsoft.com/office/drawing/2014/main" id="{38C56572-251B-4059-B22C-AEBDA6DC3728}"/>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63" name="Shape 7">
          <a:extLst>
            <a:ext uri="{FF2B5EF4-FFF2-40B4-BE49-F238E27FC236}">
              <a16:creationId xmlns:a16="http://schemas.microsoft.com/office/drawing/2014/main" id="{E8010300-167E-4DB4-B7BC-2FC63815AE60}"/>
            </a:ext>
          </a:extLst>
        </xdr:cNvPr>
        <xdr:cNvSpPr>
          <a:spLocks noChangeArrowheads="1"/>
        </xdr:cNvSpPr>
      </xdr:nvSpPr>
      <xdr:spPr bwMode="auto">
        <a:xfrm>
          <a:off x="11210925"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64" name="Shape 8">
          <a:extLst>
            <a:ext uri="{FF2B5EF4-FFF2-40B4-BE49-F238E27FC236}">
              <a16:creationId xmlns:a16="http://schemas.microsoft.com/office/drawing/2014/main" id="{5137EF32-906B-4FBB-9F5C-CF51FDB4752B}"/>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65" name="Shape 8">
          <a:extLst>
            <a:ext uri="{FF2B5EF4-FFF2-40B4-BE49-F238E27FC236}">
              <a16:creationId xmlns:a16="http://schemas.microsoft.com/office/drawing/2014/main" id="{B03DC3E3-473B-4490-8F77-C7F83B141293}"/>
            </a:ext>
          </a:extLst>
        </xdr:cNvPr>
        <xdr:cNvSpPr>
          <a:spLocks noChangeArrowheads="1"/>
        </xdr:cNvSpPr>
      </xdr:nvSpPr>
      <xdr:spPr bwMode="auto">
        <a:xfrm>
          <a:off x="11944350" y="102393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66" name="Shape 7">
          <a:extLst>
            <a:ext uri="{FF2B5EF4-FFF2-40B4-BE49-F238E27FC236}">
              <a16:creationId xmlns:a16="http://schemas.microsoft.com/office/drawing/2014/main" id="{9BF4AA40-E552-4FCA-9746-B20C4B8C7B1E}"/>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67" name="Shape 7">
          <a:extLst>
            <a:ext uri="{FF2B5EF4-FFF2-40B4-BE49-F238E27FC236}">
              <a16:creationId xmlns:a16="http://schemas.microsoft.com/office/drawing/2014/main" id="{C43332E9-ECA2-46C1-B0AC-10BC59FE3761}"/>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68" name="Shape 7">
          <a:extLst>
            <a:ext uri="{FF2B5EF4-FFF2-40B4-BE49-F238E27FC236}">
              <a16:creationId xmlns:a16="http://schemas.microsoft.com/office/drawing/2014/main" id="{B9FACFE9-7785-446D-855C-619BB22170E8}"/>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69" name="Shape 7">
          <a:extLst>
            <a:ext uri="{FF2B5EF4-FFF2-40B4-BE49-F238E27FC236}">
              <a16:creationId xmlns:a16="http://schemas.microsoft.com/office/drawing/2014/main" id="{A072D3DD-E634-412C-B3D8-86180063E11A}"/>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70" name="Shape 7">
          <a:extLst>
            <a:ext uri="{FF2B5EF4-FFF2-40B4-BE49-F238E27FC236}">
              <a16:creationId xmlns:a16="http://schemas.microsoft.com/office/drawing/2014/main" id="{DF7C974E-08B0-4499-AC3E-4DBFA0685629}"/>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71" name="Shape 7">
          <a:extLst>
            <a:ext uri="{FF2B5EF4-FFF2-40B4-BE49-F238E27FC236}">
              <a16:creationId xmlns:a16="http://schemas.microsoft.com/office/drawing/2014/main" id="{2C29A263-BEAB-4F98-AFE5-64F7A9A78414}"/>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72" name="Shape 7">
          <a:extLst>
            <a:ext uri="{FF2B5EF4-FFF2-40B4-BE49-F238E27FC236}">
              <a16:creationId xmlns:a16="http://schemas.microsoft.com/office/drawing/2014/main" id="{4FE463C9-F5F8-4A03-9256-820D2AADE443}"/>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73" name="Shape 7">
          <a:extLst>
            <a:ext uri="{FF2B5EF4-FFF2-40B4-BE49-F238E27FC236}">
              <a16:creationId xmlns:a16="http://schemas.microsoft.com/office/drawing/2014/main" id="{08C8A2CF-44E5-4A71-A543-5F7EAF3EBE18}"/>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74" name="Shape 7">
          <a:extLst>
            <a:ext uri="{FF2B5EF4-FFF2-40B4-BE49-F238E27FC236}">
              <a16:creationId xmlns:a16="http://schemas.microsoft.com/office/drawing/2014/main" id="{12066D94-EFF8-438C-9F36-58A239C2B28E}"/>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75" name="Shape 7">
          <a:extLst>
            <a:ext uri="{FF2B5EF4-FFF2-40B4-BE49-F238E27FC236}">
              <a16:creationId xmlns:a16="http://schemas.microsoft.com/office/drawing/2014/main" id="{7A8A2CA5-9918-45F6-92D4-940C7F6B8463}"/>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76" name="Shape 7">
          <a:extLst>
            <a:ext uri="{FF2B5EF4-FFF2-40B4-BE49-F238E27FC236}">
              <a16:creationId xmlns:a16="http://schemas.microsoft.com/office/drawing/2014/main" id="{6BA2BD51-BA12-4421-8B00-CE468FC898CF}"/>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77" name="Shape 7">
          <a:extLst>
            <a:ext uri="{FF2B5EF4-FFF2-40B4-BE49-F238E27FC236}">
              <a16:creationId xmlns:a16="http://schemas.microsoft.com/office/drawing/2014/main" id="{C2080B8A-787F-4D58-B93E-1D2EC8F4147A}"/>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78" name="Shape 7">
          <a:extLst>
            <a:ext uri="{FF2B5EF4-FFF2-40B4-BE49-F238E27FC236}">
              <a16:creationId xmlns:a16="http://schemas.microsoft.com/office/drawing/2014/main" id="{0F7AC8F0-0B9B-4895-A0D1-4A96988BC7B1}"/>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79" name="Shape 7">
          <a:extLst>
            <a:ext uri="{FF2B5EF4-FFF2-40B4-BE49-F238E27FC236}">
              <a16:creationId xmlns:a16="http://schemas.microsoft.com/office/drawing/2014/main" id="{6DAFAFFC-045A-4D8D-8B7A-A7136F52F033}"/>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80" name="Shape 7">
          <a:extLst>
            <a:ext uri="{FF2B5EF4-FFF2-40B4-BE49-F238E27FC236}">
              <a16:creationId xmlns:a16="http://schemas.microsoft.com/office/drawing/2014/main" id="{07A6F251-D502-463E-A935-2CF964134917}"/>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281" name="Shape 7">
          <a:extLst>
            <a:ext uri="{FF2B5EF4-FFF2-40B4-BE49-F238E27FC236}">
              <a16:creationId xmlns:a16="http://schemas.microsoft.com/office/drawing/2014/main" id="{E780F815-B705-4F0F-861B-EA37FFEF3579}"/>
            </a:ext>
          </a:extLst>
        </xdr:cNvPr>
        <xdr:cNvSpPr>
          <a:spLocks noChangeArrowheads="1"/>
        </xdr:cNvSpPr>
      </xdr:nvSpPr>
      <xdr:spPr bwMode="auto">
        <a:xfrm>
          <a:off x="12534900" y="102393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82" name="Shape 7">
          <a:extLst>
            <a:ext uri="{FF2B5EF4-FFF2-40B4-BE49-F238E27FC236}">
              <a16:creationId xmlns:a16="http://schemas.microsoft.com/office/drawing/2014/main" id="{E54D33C4-8461-4BD4-9D2C-7060D2F95D7A}"/>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83" name="Shape 8">
          <a:extLst>
            <a:ext uri="{FF2B5EF4-FFF2-40B4-BE49-F238E27FC236}">
              <a16:creationId xmlns:a16="http://schemas.microsoft.com/office/drawing/2014/main" id="{FEF662BA-DBF3-4BC8-8398-08F6C55E4765}"/>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84" name="Shape 7">
          <a:extLst>
            <a:ext uri="{FF2B5EF4-FFF2-40B4-BE49-F238E27FC236}">
              <a16:creationId xmlns:a16="http://schemas.microsoft.com/office/drawing/2014/main" id="{82000BC1-5987-4053-B146-6CC8FC3D5B73}"/>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85" name="Shape 8">
          <a:extLst>
            <a:ext uri="{FF2B5EF4-FFF2-40B4-BE49-F238E27FC236}">
              <a16:creationId xmlns:a16="http://schemas.microsoft.com/office/drawing/2014/main" id="{88B8EA49-6EE4-45B5-B7C8-BBC9C39EF89B}"/>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86" name="Shape 7">
          <a:extLst>
            <a:ext uri="{FF2B5EF4-FFF2-40B4-BE49-F238E27FC236}">
              <a16:creationId xmlns:a16="http://schemas.microsoft.com/office/drawing/2014/main" id="{7307D2E5-1D5F-4A22-90AE-BFBC487BB6FD}"/>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87" name="Shape 8">
          <a:extLst>
            <a:ext uri="{FF2B5EF4-FFF2-40B4-BE49-F238E27FC236}">
              <a16:creationId xmlns:a16="http://schemas.microsoft.com/office/drawing/2014/main" id="{EF2F9776-1F97-4497-A89C-7FEB75274935}"/>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88" name="Shape 8">
          <a:extLst>
            <a:ext uri="{FF2B5EF4-FFF2-40B4-BE49-F238E27FC236}">
              <a16:creationId xmlns:a16="http://schemas.microsoft.com/office/drawing/2014/main" id="{86211BC3-177B-43B6-ABBF-77C58DF141ED}"/>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89" name="Shape 7">
          <a:extLst>
            <a:ext uri="{FF2B5EF4-FFF2-40B4-BE49-F238E27FC236}">
              <a16:creationId xmlns:a16="http://schemas.microsoft.com/office/drawing/2014/main" id="{9024A1E7-CCED-4737-B527-03C9D56467A0}"/>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90" name="Shape 8">
          <a:extLst>
            <a:ext uri="{FF2B5EF4-FFF2-40B4-BE49-F238E27FC236}">
              <a16:creationId xmlns:a16="http://schemas.microsoft.com/office/drawing/2014/main" id="{06BD10B1-09AD-457F-86E7-FEC7BACAAD82}"/>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91" name="Shape 8">
          <a:extLst>
            <a:ext uri="{FF2B5EF4-FFF2-40B4-BE49-F238E27FC236}">
              <a16:creationId xmlns:a16="http://schemas.microsoft.com/office/drawing/2014/main" id="{685E7F0B-EEEA-41A7-8687-B9C5B32E07CC}"/>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92" name="Shape 7">
          <a:extLst>
            <a:ext uri="{FF2B5EF4-FFF2-40B4-BE49-F238E27FC236}">
              <a16:creationId xmlns:a16="http://schemas.microsoft.com/office/drawing/2014/main" id="{1F780106-2D3E-4FFF-937F-1BF1C2CAFEA8}"/>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93" name="Shape 8">
          <a:extLst>
            <a:ext uri="{FF2B5EF4-FFF2-40B4-BE49-F238E27FC236}">
              <a16:creationId xmlns:a16="http://schemas.microsoft.com/office/drawing/2014/main" id="{E7450A79-E31C-4E3A-8F3C-EDB99F0C5555}"/>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94" name="Shape 8">
          <a:extLst>
            <a:ext uri="{FF2B5EF4-FFF2-40B4-BE49-F238E27FC236}">
              <a16:creationId xmlns:a16="http://schemas.microsoft.com/office/drawing/2014/main" id="{EAC78039-F412-4769-A1E9-0D801A541705}"/>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95" name="Shape 7">
          <a:extLst>
            <a:ext uri="{FF2B5EF4-FFF2-40B4-BE49-F238E27FC236}">
              <a16:creationId xmlns:a16="http://schemas.microsoft.com/office/drawing/2014/main" id="{C7299EAC-CD4C-4DD4-9486-86A52EEDC056}"/>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96" name="Shape 8">
          <a:extLst>
            <a:ext uri="{FF2B5EF4-FFF2-40B4-BE49-F238E27FC236}">
              <a16:creationId xmlns:a16="http://schemas.microsoft.com/office/drawing/2014/main" id="{B31E88E1-C784-4EAC-B7AB-80F9F2D6BA91}"/>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97" name="Shape 8">
          <a:extLst>
            <a:ext uri="{FF2B5EF4-FFF2-40B4-BE49-F238E27FC236}">
              <a16:creationId xmlns:a16="http://schemas.microsoft.com/office/drawing/2014/main" id="{A1D1E1C9-02F5-4C14-837C-BBCAA0CBF7A7}"/>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298" name="Shape 7">
          <a:extLst>
            <a:ext uri="{FF2B5EF4-FFF2-40B4-BE49-F238E27FC236}">
              <a16:creationId xmlns:a16="http://schemas.microsoft.com/office/drawing/2014/main" id="{5726B365-E0DC-411E-93D8-FCA0ADA31C9A}"/>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299" name="Shape 8">
          <a:extLst>
            <a:ext uri="{FF2B5EF4-FFF2-40B4-BE49-F238E27FC236}">
              <a16:creationId xmlns:a16="http://schemas.microsoft.com/office/drawing/2014/main" id="{0E6E93BC-9FD4-4136-91D7-6EC34A983615}"/>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00" name="Shape 8">
          <a:extLst>
            <a:ext uri="{FF2B5EF4-FFF2-40B4-BE49-F238E27FC236}">
              <a16:creationId xmlns:a16="http://schemas.microsoft.com/office/drawing/2014/main" id="{B5A41A46-CCF3-48B8-B282-A5E7E298FD13}"/>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01" name="Shape 7">
          <a:extLst>
            <a:ext uri="{FF2B5EF4-FFF2-40B4-BE49-F238E27FC236}">
              <a16:creationId xmlns:a16="http://schemas.microsoft.com/office/drawing/2014/main" id="{A0B38C6E-54F4-47E5-8E28-BB74C05C62E6}"/>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02" name="Shape 7">
          <a:extLst>
            <a:ext uri="{FF2B5EF4-FFF2-40B4-BE49-F238E27FC236}">
              <a16:creationId xmlns:a16="http://schemas.microsoft.com/office/drawing/2014/main" id="{68F5D0F1-4E78-4785-A1A3-FF6E71793592}"/>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03" name="Shape 8">
          <a:extLst>
            <a:ext uri="{FF2B5EF4-FFF2-40B4-BE49-F238E27FC236}">
              <a16:creationId xmlns:a16="http://schemas.microsoft.com/office/drawing/2014/main" id="{760D14D3-867E-47D1-AAA4-6FD36FCD1A91}"/>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04" name="Shape 8">
          <a:extLst>
            <a:ext uri="{FF2B5EF4-FFF2-40B4-BE49-F238E27FC236}">
              <a16:creationId xmlns:a16="http://schemas.microsoft.com/office/drawing/2014/main" id="{A4D74D9A-7141-41EA-93E5-59D03EBAE685}"/>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05" name="Shape 7">
          <a:extLst>
            <a:ext uri="{FF2B5EF4-FFF2-40B4-BE49-F238E27FC236}">
              <a16:creationId xmlns:a16="http://schemas.microsoft.com/office/drawing/2014/main" id="{266D61A1-9B4C-4719-B374-07F0E90F95D4}"/>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06" name="Shape 7">
          <a:extLst>
            <a:ext uri="{FF2B5EF4-FFF2-40B4-BE49-F238E27FC236}">
              <a16:creationId xmlns:a16="http://schemas.microsoft.com/office/drawing/2014/main" id="{AFA93B83-3590-4C99-9741-0723C267F58C}"/>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07" name="Shape 7">
          <a:extLst>
            <a:ext uri="{FF2B5EF4-FFF2-40B4-BE49-F238E27FC236}">
              <a16:creationId xmlns:a16="http://schemas.microsoft.com/office/drawing/2014/main" id="{D001DBB9-0947-402A-8895-9B5DB4D36817}"/>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08" name="Shape 7">
          <a:extLst>
            <a:ext uri="{FF2B5EF4-FFF2-40B4-BE49-F238E27FC236}">
              <a16:creationId xmlns:a16="http://schemas.microsoft.com/office/drawing/2014/main" id="{1DB5E69F-E135-4888-8FE8-2754A41A67E1}"/>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09" name="Shape 7">
          <a:extLst>
            <a:ext uri="{FF2B5EF4-FFF2-40B4-BE49-F238E27FC236}">
              <a16:creationId xmlns:a16="http://schemas.microsoft.com/office/drawing/2014/main" id="{1DB9F1BE-F26E-420A-8588-DD7B0CD1D09E}"/>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10" name="Shape 7">
          <a:extLst>
            <a:ext uri="{FF2B5EF4-FFF2-40B4-BE49-F238E27FC236}">
              <a16:creationId xmlns:a16="http://schemas.microsoft.com/office/drawing/2014/main" id="{2D462E11-3C76-4BDD-B63C-F435D02EDC1F}"/>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11" name="Shape 7">
          <a:extLst>
            <a:ext uri="{FF2B5EF4-FFF2-40B4-BE49-F238E27FC236}">
              <a16:creationId xmlns:a16="http://schemas.microsoft.com/office/drawing/2014/main" id="{5845F25D-AE0A-41A9-97E1-BB217971A0E8}"/>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12" name="Shape 7">
          <a:extLst>
            <a:ext uri="{FF2B5EF4-FFF2-40B4-BE49-F238E27FC236}">
              <a16:creationId xmlns:a16="http://schemas.microsoft.com/office/drawing/2014/main" id="{2F73DDD4-6B25-4B0A-B391-37AB015E7990}"/>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13" name="Shape 7">
          <a:extLst>
            <a:ext uri="{FF2B5EF4-FFF2-40B4-BE49-F238E27FC236}">
              <a16:creationId xmlns:a16="http://schemas.microsoft.com/office/drawing/2014/main" id="{4469B9FA-2695-41B3-B192-526F20AFE55B}"/>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14" name="Shape 7">
          <a:extLst>
            <a:ext uri="{FF2B5EF4-FFF2-40B4-BE49-F238E27FC236}">
              <a16:creationId xmlns:a16="http://schemas.microsoft.com/office/drawing/2014/main" id="{C94E748F-A818-4DB0-911B-85ACB7657498}"/>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15" name="Shape 7">
          <a:extLst>
            <a:ext uri="{FF2B5EF4-FFF2-40B4-BE49-F238E27FC236}">
              <a16:creationId xmlns:a16="http://schemas.microsoft.com/office/drawing/2014/main" id="{BF7BCDFA-9AED-4BA5-9EEE-15E3D089CFC2}"/>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16" name="Shape 7">
          <a:extLst>
            <a:ext uri="{FF2B5EF4-FFF2-40B4-BE49-F238E27FC236}">
              <a16:creationId xmlns:a16="http://schemas.microsoft.com/office/drawing/2014/main" id="{A601EF2F-E66A-42A7-B4E7-4374515D4FBE}"/>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17" name="Shape 7">
          <a:extLst>
            <a:ext uri="{FF2B5EF4-FFF2-40B4-BE49-F238E27FC236}">
              <a16:creationId xmlns:a16="http://schemas.microsoft.com/office/drawing/2014/main" id="{C2A661EC-83E3-4D6E-8EBF-D8584668EDD9}"/>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18" name="Shape 7">
          <a:extLst>
            <a:ext uri="{FF2B5EF4-FFF2-40B4-BE49-F238E27FC236}">
              <a16:creationId xmlns:a16="http://schemas.microsoft.com/office/drawing/2014/main" id="{CF9574E3-C512-4607-9B73-0617FDEA859F}"/>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19" name="Shape 7">
          <a:extLst>
            <a:ext uri="{FF2B5EF4-FFF2-40B4-BE49-F238E27FC236}">
              <a16:creationId xmlns:a16="http://schemas.microsoft.com/office/drawing/2014/main" id="{4C1041E9-6DEB-4639-9109-9263392754C3}"/>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20" name="Shape 7">
          <a:extLst>
            <a:ext uri="{FF2B5EF4-FFF2-40B4-BE49-F238E27FC236}">
              <a16:creationId xmlns:a16="http://schemas.microsoft.com/office/drawing/2014/main" id="{18BCD4D4-9FFB-427E-BCA6-C07815B3165F}"/>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21" name="Shape 7">
          <a:extLst>
            <a:ext uri="{FF2B5EF4-FFF2-40B4-BE49-F238E27FC236}">
              <a16:creationId xmlns:a16="http://schemas.microsoft.com/office/drawing/2014/main" id="{36F7F400-F1C5-4639-9E8F-EB9A86DB17A6}"/>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22" name="Shape 7">
          <a:extLst>
            <a:ext uri="{FF2B5EF4-FFF2-40B4-BE49-F238E27FC236}">
              <a16:creationId xmlns:a16="http://schemas.microsoft.com/office/drawing/2014/main" id="{75AA685F-EFC7-47E0-B775-5C8256BDD4B9}"/>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23" name="Shape 7">
          <a:extLst>
            <a:ext uri="{FF2B5EF4-FFF2-40B4-BE49-F238E27FC236}">
              <a16:creationId xmlns:a16="http://schemas.microsoft.com/office/drawing/2014/main" id="{A2D63230-F125-4B84-A01C-9EAFEA56DB7F}"/>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24" name="Shape 8">
          <a:extLst>
            <a:ext uri="{FF2B5EF4-FFF2-40B4-BE49-F238E27FC236}">
              <a16:creationId xmlns:a16="http://schemas.microsoft.com/office/drawing/2014/main" id="{5569C9F5-F2AF-4105-A8AA-024182B49E79}"/>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25" name="Shape 7">
          <a:extLst>
            <a:ext uri="{FF2B5EF4-FFF2-40B4-BE49-F238E27FC236}">
              <a16:creationId xmlns:a16="http://schemas.microsoft.com/office/drawing/2014/main" id="{32CB79D6-82FA-40FB-8DA7-548CF0D5750F}"/>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26" name="Shape 8">
          <a:extLst>
            <a:ext uri="{FF2B5EF4-FFF2-40B4-BE49-F238E27FC236}">
              <a16:creationId xmlns:a16="http://schemas.microsoft.com/office/drawing/2014/main" id="{E72306B0-C473-4C80-B716-F4F6D7D4B1D7}"/>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27" name="Shape 7">
          <a:extLst>
            <a:ext uri="{FF2B5EF4-FFF2-40B4-BE49-F238E27FC236}">
              <a16:creationId xmlns:a16="http://schemas.microsoft.com/office/drawing/2014/main" id="{11D303D9-0A4B-4CAB-BD03-3EF1D104CB02}"/>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28" name="Shape 8">
          <a:extLst>
            <a:ext uri="{FF2B5EF4-FFF2-40B4-BE49-F238E27FC236}">
              <a16:creationId xmlns:a16="http://schemas.microsoft.com/office/drawing/2014/main" id="{F1E9BF86-0E03-429E-99F6-3B05616F9858}"/>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29" name="Shape 8">
          <a:extLst>
            <a:ext uri="{FF2B5EF4-FFF2-40B4-BE49-F238E27FC236}">
              <a16:creationId xmlns:a16="http://schemas.microsoft.com/office/drawing/2014/main" id="{2755752E-27B2-4901-ADEE-73943A5B265E}"/>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30" name="Shape 7">
          <a:extLst>
            <a:ext uri="{FF2B5EF4-FFF2-40B4-BE49-F238E27FC236}">
              <a16:creationId xmlns:a16="http://schemas.microsoft.com/office/drawing/2014/main" id="{4BCEF2E2-A215-447C-A7D1-9735E2712829}"/>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31" name="Shape 8">
          <a:extLst>
            <a:ext uri="{FF2B5EF4-FFF2-40B4-BE49-F238E27FC236}">
              <a16:creationId xmlns:a16="http://schemas.microsoft.com/office/drawing/2014/main" id="{96E85813-D04F-422A-ADBA-B39984838968}"/>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32" name="Shape 8">
          <a:extLst>
            <a:ext uri="{FF2B5EF4-FFF2-40B4-BE49-F238E27FC236}">
              <a16:creationId xmlns:a16="http://schemas.microsoft.com/office/drawing/2014/main" id="{4804F5CA-1FC7-42D6-9308-58B02B4F742F}"/>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33" name="Shape 7">
          <a:extLst>
            <a:ext uri="{FF2B5EF4-FFF2-40B4-BE49-F238E27FC236}">
              <a16:creationId xmlns:a16="http://schemas.microsoft.com/office/drawing/2014/main" id="{36F8641A-5EE5-45CE-947E-7B7046FA1D6C}"/>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34" name="Shape 8">
          <a:extLst>
            <a:ext uri="{FF2B5EF4-FFF2-40B4-BE49-F238E27FC236}">
              <a16:creationId xmlns:a16="http://schemas.microsoft.com/office/drawing/2014/main" id="{691424A7-3B51-432C-B86C-576473B20230}"/>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35" name="Shape 8">
          <a:extLst>
            <a:ext uri="{FF2B5EF4-FFF2-40B4-BE49-F238E27FC236}">
              <a16:creationId xmlns:a16="http://schemas.microsoft.com/office/drawing/2014/main" id="{2BF5401B-1840-476B-B9CD-5890B2F2452E}"/>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36" name="Shape 7">
          <a:extLst>
            <a:ext uri="{FF2B5EF4-FFF2-40B4-BE49-F238E27FC236}">
              <a16:creationId xmlns:a16="http://schemas.microsoft.com/office/drawing/2014/main" id="{23F57D3A-4C21-4C8A-9906-1037D1EF27E7}"/>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37" name="Shape 8">
          <a:extLst>
            <a:ext uri="{FF2B5EF4-FFF2-40B4-BE49-F238E27FC236}">
              <a16:creationId xmlns:a16="http://schemas.microsoft.com/office/drawing/2014/main" id="{73E6DF25-0CBC-4101-9414-E46056DED606}"/>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38" name="Shape 8">
          <a:extLst>
            <a:ext uri="{FF2B5EF4-FFF2-40B4-BE49-F238E27FC236}">
              <a16:creationId xmlns:a16="http://schemas.microsoft.com/office/drawing/2014/main" id="{B19B97A2-BAA3-49BA-B1DF-9307AA8D197E}"/>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39" name="Shape 7">
          <a:extLst>
            <a:ext uri="{FF2B5EF4-FFF2-40B4-BE49-F238E27FC236}">
              <a16:creationId xmlns:a16="http://schemas.microsoft.com/office/drawing/2014/main" id="{57125E3D-8B32-43C4-82E3-E5C13726ACD2}"/>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40" name="Shape 8">
          <a:extLst>
            <a:ext uri="{FF2B5EF4-FFF2-40B4-BE49-F238E27FC236}">
              <a16:creationId xmlns:a16="http://schemas.microsoft.com/office/drawing/2014/main" id="{AFAC623D-0192-46BA-99CE-AD355F276940}"/>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41" name="Shape 8">
          <a:extLst>
            <a:ext uri="{FF2B5EF4-FFF2-40B4-BE49-F238E27FC236}">
              <a16:creationId xmlns:a16="http://schemas.microsoft.com/office/drawing/2014/main" id="{713C26D7-0503-4FA9-BC56-189F31280C78}"/>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42" name="Shape 7">
          <a:extLst>
            <a:ext uri="{FF2B5EF4-FFF2-40B4-BE49-F238E27FC236}">
              <a16:creationId xmlns:a16="http://schemas.microsoft.com/office/drawing/2014/main" id="{6E03305A-C586-41E4-87B4-7F3BF6423ECA}"/>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43" name="Shape 7">
          <a:extLst>
            <a:ext uri="{FF2B5EF4-FFF2-40B4-BE49-F238E27FC236}">
              <a16:creationId xmlns:a16="http://schemas.microsoft.com/office/drawing/2014/main" id="{306D9353-5869-4160-923E-244C67168060}"/>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44" name="Shape 8">
          <a:extLst>
            <a:ext uri="{FF2B5EF4-FFF2-40B4-BE49-F238E27FC236}">
              <a16:creationId xmlns:a16="http://schemas.microsoft.com/office/drawing/2014/main" id="{C3C3097E-A80A-48F8-8B78-E34CAE21D4B6}"/>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45" name="Shape 8">
          <a:extLst>
            <a:ext uri="{FF2B5EF4-FFF2-40B4-BE49-F238E27FC236}">
              <a16:creationId xmlns:a16="http://schemas.microsoft.com/office/drawing/2014/main" id="{845FB639-22A1-4378-A18E-E324D43CDB30}"/>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46" name="Shape 7">
          <a:extLst>
            <a:ext uri="{FF2B5EF4-FFF2-40B4-BE49-F238E27FC236}">
              <a16:creationId xmlns:a16="http://schemas.microsoft.com/office/drawing/2014/main" id="{173E63A9-A056-4735-8650-1CA839DFD98F}"/>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47" name="Shape 7">
          <a:extLst>
            <a:ext uri="{FF2B5EF4-FFF2-40B4-BE49-F238E27FC236}">
              <a16:creationId xmlns:a16="http://schemas.microsoft.com/office/drawing/2014/main" id="{D7ABE775-A53B-457A-80C2-AF8DE3EF7A28}"/>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48" name="Shape 8">
          <a:extLst>
            <a:ext uri="{FF2B5EF4-FFF2-40B4-BE49-F238E27FC236}">
              <a16:creationId xmlns:a16="http://schemas.microsoft.com/office/drawing/2014/main" id="{EB6FF400-C090-4ADB-9CD5-C404417263A4}"/>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49" name="Shape 7">
          <a:extLst>
            <a:ext uri="{FF2B5EF4-FFF2-40B4-BE49-F238E27FC236}">
              <a16:creationId xmlns:a16="http://schemas.microsoft.com/office/drawing/2014/main" id="{A18547B1-D067-47AE-9648-F3636A3833F1}"/>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50" name="Shape 8">
          <a:extLst>
            <a:ext uri="{FF2B5EF4-FFF2-40B4-BE49-F238E27FC236}">
              <a16:creationId xmlns:a16="http://schemas.microsoft.com/office/drawing/2014/main" id="{A1974798-972B-406D-89BB-FFCD58F5DF34}"/>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51" name="Shape 7">
          <a:extLst>
            <a:ext uri="{FF2B5EF4-FFF2-40B4-BE49-F238E27FC236}">
              <a16:creationId xmlns:a16="http://schemas.microsoft.com/office/drawing/2014/main" id="{FE14F777-6308-465F-8748-70402D64F564}"/>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52" name="Shape 8">
          <a:extLst>
            <a:ext uri="{FF2B5EF4-FFF2-40B4-BE49-F238E27FC236}">
              <a16:creationId xmlns:a16="http://schemas.microsoft.com/office/drawing/2014/main" id="{F2B60C12-2F6D-4CFF-929F-58217EF71F4D}"/>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53" name="Shape 7">
          <a:extLst>
            <a:ext uri="{FF2B5EF4-FFF2-40B4-BE49-F238E27FC236}">
              <a16:creationId xmlns:a16="http://schemas.microsoft.com/office/drawing/2014/main" id="{181747D8-EF78-47F1-8CCC-255B06E8BBCC}"/>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54" name="Shape 8">
          <a:extLst>
            <a:ext uri="{FF2B5EF4-FFF2-40B4-BE49-F238E27FC236}">
              <a16:creationId xmlns:a16="http://schemas.microsoft.com/office/drawing/2014/main" id="{4743A4C5-843E-4BE6-BE4F-D9A5F64B4091}"/>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55" name="Shape 8">
          <a:extLst>
            <a:ext uri="{FF2B5EF4-FFF2-40B4-BE49-F238E27FC236}">
              <a16:creationId xmlns:a16="http://schemas.microsoft.com/office/drawing/2014/main" id="{3E4C1EAB-5478-4FA4-AB4D-1CF1002CFA55}"/>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56" name="Shape 7">
          <a:extLst>
            <a:ext uri="{FF2B5EF4-FFF2-40B4-BE49-F238E27FC236}">
              <a16:creationId xmlns:a16="http://schemas.microsoft.com/office/drawing/2014/main" id="{23474A18-1ACA-49E3-AF6D-9072A7EC4D27}"/>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57" name="Shape 8">
          <a:extLst>
            <a:ext uri="{FF2B5EF4-FFF2-40B4-BE49-F238E27FC236}">
              <a16:creationId xmlns:a16="http://schemas.microsoft.com/office/drawing/2014/main" id="{5F847F60-5473-4423-957C-1B090F2E2550}"/>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58" name="Shape 8">
          <a:extLst>
            <a:ext uri="{FF2B5EF4-FFF2-40B4-BE49-F238E27FC236}">
              <a16:creationId xmlns:a16="http://schemas.microsoft.com/office/drawing/2014/main" id="{F982D127-20AA-430E-A522-BEC35C92D9F5}"/>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59" name="Shape 7">
          <a:extLst>
            <a:ext uri="{FF2B5EF4-FFF2-40B4-BE49-F238E27FC236}">
              <a16:creationId xmlns:a16="http://schemas.microsoft.com/office/drawing/2014/main" id="{57E7DAB1-F974-413A-9708-BC948EFCD6A8}"/>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60" name="Shape 8">
          <a:extLst>
            <a:ext uri="{FF2B5EF4-FFF2-40B4-BE49-F238E27FC236}">
              <a16:creationId xmlns:a16="http://schemas.microsoft.com/office/drawing/2014/main" id="{668F19E2-198D-4962-A730-E4036264A552}"/>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61" name="Shape 8">
          <a:extLst>
            <a:ext uri="{FF2B5EF4-FFF2-40B4-BE49-F238E27FC236}">
              <a16:creationId xmlns:a16="http://schemas.microsoft.com/office/drawing/2014/main" id="{2A36327D-C385-4A39-AA97-B06F855BFF67}"/>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62" name="Shape 7">
          <a:extLst>
            <a:ext uri="{FF2B5EF4-FFF2-40B4-BE49-F238E27FC236}">
              <a16:creationId xmlns:a16="http://schemas.microsoft.com/office/drawing/2014/main" id="{3E12A979-D74F-41B3-B197-59EE8C37AF4A}"/>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63" name="Shape 8">
          <a:extLst>
            <a:ext uri="{FF2B5EF4-FFF2-40B4-BE49-F238E27FC236}">
              <a16:creationId xmlns:a16="http://schemas.microsoft.com/office/drawing/2014/main" id="{FDD36453-9B42-44D7-B461-A992CAFD6DF3}"/>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64" name="Shape 8">
          <a:extLst>
            <a:ext uri="{FF2B5EF4-FFF2-40B4-BE49-F238E27FC236}">
              <a16:creationId xmlns:a16="http://schemas.microsoft.com/office/drawing/2014/main" id="{568FE6AD-2B86-433C-AEF0-7E16E221DDB4}"/>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65" name="Shape 7">
          <a:extLst>
            <a:ext uri="{FF2B5EF4-FFF2-40B4-BE49-F238E27FC236}">
              <a16:creationId xmlns:a16="http://schemas.microsoft.com/office/drawing/2014/main" id="{B4E71898-82AE-4BDE-92A0-77E6C97BE36A}"/>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66" name="Shape 8">
          <a:extLst>
            <a:ext uri="{FF2B5EF4-FFF2-40B4-BE49-F238E27FC236}">
              <a16:creationId xmlns:a16="http://schemas.microsoft.com/office/drawing/2014/main" id="{805637E1-DBF3-4570-B2FE-4D0945E118E2}"/>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67" name="Shape 8">
          <a:extLst>
            <a:ext uri="{FF2B5EF4-FFF2-40B4-BE49-F238E27FC236}">
              <a16:creationId xmlns:a16="http://schemas.microsoft.com/office/drawing/2014/main" id="{AEF9FC8E-215D-44BC-B3BD-478A876CD244}"/>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68" name="Shape 7">
          <a:extLst>
            <a:ext uri="{FF2B5EF4-FFF2-40B4-BE49-F238E27FC236}">
              <a16:creationId xmlns:a16="http://schemas.microsoft.com/office/drawing/2014/main" id="{7E4931AB-6EEA-4BF2-A1F7-7551D6FBD989}"/>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69" name="Shape 7">
          <a:extLst>
            <a:ext uri="{FF2B5EF4-FFF2-40B4-BE49-F238E27FC236}">
              <a16:creationId xmlns:a16="http://schemas.microsoft.com/office/drawing/2014/main" id="{89703A2F-AB33-4418-AFD7-DCF201CEA6CD}"/>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70" name="Shape 8">
          <a:extLst>
            <a:ext uri="{FF2B5EF4-FFF2-40B4-BE49-F238E27FC236}">
              <a16:creationId xmlns:a16="http://schemas.microsoft.com/office/drawing/2014/main" id="{BBE6C693-1A52-4F4E-AE95-B3CF5B173FED}"/>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71" name="Shape 8">
          <a:extLst>
            <a:ext uri="{FF2B5EF4-FFF2-40B4-BE49-F238E27FC236}">
              <a16:creationId xmlns:a16="http://schemas.microsoft.com/office/drawing/2014/main" id="{38656110-4E3A-4165-8F86-D297AB79FAB4}"/>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72" name="Shape 7">
          <a:extLst>
            <a:ext uri="{FF2B5EF4-FFF2-40B4-BE49-F238E27FC236}">
              <a16:creationId xmlns:a16="http://schemas.microsoft.com/office/drawing/2014/main" id="{3AD1D6BB-786C-411C-9165-A024B7D164A7}"/>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73" name="Shape 7">
          <a:extLst>
            <a:ext uri="{FF2B5EF4-FFF2-40B4-BE49-F238E27FC236}">
              <a16:creationId xmlns:a16="http://schemas.microsoft.com/office/drawing/2014/main" id="{310D4D8E-A46F-4B87-8948-3CC460DD4731}"/>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74" name="Shape 8">
          <a:extLst>
            <a:ext uri="{FF2B5EF4-FFF2-40B4-BE49-F238E27FC236}">
              <a16:creationId xmlns:a16="http://schemas.microsoft.com/office/drawing/2014/main" id="{10F834C0-F673-4F5F-9C1C-42B7EF3307CD}"/>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75" name="Shape 8">
          <a:extLst>
            <a:ext uri="{FF2B5EF4-FFF2-40B4-BE49-F238E27FC236}">
              <a16:creationId xmlns:a16="http://schemas.microsoft.com/office/drawing/2014/main" id="{984517FE-E2D1-489B-8DBA-137B8616C6CB}"/>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76" name="Shape 7">
          <a:extLst>
            <a:ext uri="{FF2B5EF4-FFF2-40B4-BE49-F238E27FC236}">
              <a16:creationId xmlns:a16="http://schemas.microsoft.com/office/drawing/2014/main" id="{57DABF31-B4DF-4E9D-B8B3-3DFC553F73B0}"/>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77" name="Shape 7">
          <a:extLst>
            <a:ext uri="{FF2B5EF4-FFF2-40B4-BE49-F238E27FC236}">
              <a16:creationId xmlns:a16="http://schemas.microsoft.com/office/drawing/2014/main" id="{8D4A26CE-4808-41D6-A12C-39AAFA59E4A7}"/>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78" name="Shape 7">
          <a:extLst>
            <a:ext uri="{FF2B5EF4-FFF2-40B4-BE49-F238E27FC236}">
              <a16:creationId xmlns:a16="http://schemas.microsoft.com/office/drawing/2014/main" id="{50C8C11E-9FB0-4E9C-ADF3-3BD05D7FC647}"/>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79" name="Shape 7">
          <a:extLst>
            <a:ext uri="{FF2B5EF4-FFF2-40B4-BE49-F238E27FC236}">
              <a16:creationId xmlns:a16="http://schemas.microsoft.com/office/drawing/2014/main" id="{53E661CD-3229-4658-93C7-F1A7777D27E3}"/>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80" name="Shape 7">
          <a:extLst>
            <a:ext uri="{FF2B5EF4-FFF2-40B4-BE49-F238E27FC236}">
              <a16:creationId xmlns:a16="http://schemas.microsoft.com/office/drawing/2014/main" id="{83F651CD-E9DE-4B53-9F01-93C8C9928F66}"/>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81" name="Shape 7">
          <a:extLst>
            <a:ext uri="{FF2B5EF4-FFF2-40B4-BE49-F238E27FC236}">
              <a16:creationId xmlns:a16="http://schemas.microsoft.com/office/drawing/2014/main" id="{1DB80EF9-3DBF-4347-AFD6-FC32BE1B1126}"/>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82" name="Shape 7">
          <a:extLst>
            <a:ext uri="{FF2B5EF4-FFF2-40B4-BE49-F238E27FC236}">
              <a16:creationId xmlns:a16="http://schemas.microsoft.com/office/drawing/2014/main" id="{EEEB0E2C-F865-49DE-BAF8-BE2ED73D0E93}"/>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83" name="Shape 7">
          <a:extLst>
            <a:ext uri="{FF2B5EF4-FFF2-40B4-BE49-F238E27FC236}">
              <a16:creationId xmlns:a16="http://schemas.microsoft.com/office/drawing/2014/main" id="{299699CF-CEFC-42E4-846D-B79A8F02D270}"/>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84" name="Shape 7">
          <a:extLst>
            <a:ext uri="{FF2B5EF4-FFF2-40B4-BE49-F238E27FC236}">
              <a16:creationId xmlns:a16="http://schemas.microsoft.com/office/drawing/2014/main" id="{14FC6900-0279-4216-8ACC-596AFB80A9FD}"/>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85" name="Shape 7">
          <a:extLst>
            <a:ext uri="{FF2B5EF4-FFF2-40B4-BE49-F238E27FC236}">
              <a16:creationId xmlns:a16="http://schemas.microsoft.com/office/drawing/2014/main" id="{38E4C579-5450-411F-925C-76FD1CCB9C4F}"/>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86" name="Shape 7">
          <a:extLst>
            <a:ext uri="{FF2B5EF4-FFF2-40B4-BE49-F238E27FC236}">
              <a16:creationId xmlns:a16="http://schemas.microsoft.com/office/drawing/2014/main" id="{0EEA215E-FEAA-4166-A2D8-5BF7B302D0E8}"/>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87" name="Shape 7">
          <a:extLst>
            <a:ext uri="{FF2B5EF4-FFF2-40B4-BE49-F238E27FC236}">
              <a16:creationId xmlns:a16="http://schemas.microsoft.com/office/drawing/2014/main" id="{F99F345A-799A-4DFA-A41F-59349375C9CE}"/>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88" name="Shape 7">
          <a:extLst>
            <a:ext uri="{FF2B5EF4-FFF2-40B4-BE49-F238E27FC236}">
              <a16:creationId xmlns:a16="http://schemas.microsoft.com/office/drawing/2014/main" id="{AE66F781-39DD-4A3A-8ACE-B2648172C75A}"/>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89" name="Shape 7">
          <a:extLst>
            <a:ext uri="{FF2B5EF4-FFF2-40B4-BE49-F238E27FC236}">
              <a16:creationId xmlns:a16="http://schemas.microsoft.com/office/drawing/2014/main" id="{5F35C0D0-A9A6-49D9-8C49-F4402E37F800}"/>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90" name="Shape 7">
          <a:extLst>
            <a:ext uri="{FF2B5EF4-FFF2-40B4-BE49-F238E27FC236}">
              <a16:creationId xmlns:a16="http://schemas.microsoft.com/office/drawing/2014/main" id="{D2FD6898-F1B2-4ADE-AF5E-659CE31504C7}"/>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391" name="Shape 7">
          <a:extLst>
            <a:ext uri="{FF2B5EF4-FFF2-40B4-BE49-F238E27FC236}">
              <a16:creationId xmlns:a16="http://schemas.microsoft.com/office/drawing/2014/main" id="{E53F8A7F-302F-4FFC-817C-DBBD6FB12C7C}"/>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92" name="Shape 7">
          <a:extLst>
            <a:ext uri="{FF2B5EF4-FFF2-40B4-BE49-F238E27FC236}">
              <a16:creationId xmlns:a16="http://schemas.microsoft.com/office/drawing/2014/main" id="{099D9CE0-0833-4B1E-838A-0EDA26E2114E}"/>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93" name="Shape 8">
          <a:extLst>
            <a:ext uri="{FF2B5EF4-FFF2-40B4-BE49-F238E27FC236}">
              <a16:creationId xmlns:a16="http://schemas.microsoft.com/office/drawing/2014/main" id="{56FBEF8B-BCD9-49EC-A83F-FECC2C2B2EE1}"/>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94" name="Shape 7">
          <a:extLst>
            <a:ext uri="{FF2B5EF4-FFF2-40B4-BE49-F238E27FC236}">
              <a16:creationId xmlns:a16="http://schemas.microsoft.com/office/drawing/2014/main" id="{71842223-815F-486E-9C74-3916AC763DB5}"/>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95" name="Shape 8">
          <a:extLst>
            <a:ext uri="{FF2B5EF4-FFF2-40B4-BE49-F238E27FC236}">
              <a16:creationId xmlns:a16="http://schemas.microsoft.com/office/drawing/2014/main" id="{109F9131-4E66-4485-8183-9AE8339D8140}"/>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96" name="Shape 7">
          <a:extLst>
            <a:ext uri="{FF2B5EF4-FFF2-40B4-BE49-F238E27FC236}">
              <a16:creationId xmlns:a16="http://schemas.microsoft.com/office/drawing/2014/main" id="{A094841A-6290-4933-AE4B-EB19068A8517}"/>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97" name="Shape 8">
          <a:extLst>
            <a:ext uri="{FF2B5EF4-FFF2-40B4-BE49-F238E27FC236}">
              <a16:creationId xmlns:a16="http://schemas.microsoft.com/office/drawing/2014/main" id="{7BC9ABE9-A017-4094-85B5-EE06925F425F}"/>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398" name="Shape 8">
          <a:extLst>
            <a:ext uri="{FF2B5EF4-FFF2-40B4-BE49-F238E27FC236}">
              <a16:creationId xmlns:a16="http://schemas.microsoft.com/office/drawing/2014/main" id="{D2C30089-5248-49BE-B60C-93EFFA8CF17C}"/>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399" name="Shape 7">
          <a:extLst>
            <a:ext uri="{FF2B5EF4-FFF2-40B4-BE49-F238E27FC236}">
              <a16:creationId xmlns:a16="http://schemas.microsoft.com/office/drawing/2014/main" id="{657D373C-E30F-4F91-8857-06BBADB5ECAF}"/>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00" name="Shape 8">
          <a:extLst>
            <a:ext uri="{FF2B5EF4-FFF2-40B4-BE49-F238E27FC236}">
              <a16:creationId xmlns:a16="http://schemas.microsoft.com/office/drawing/2014/main" id="{05ECB3B3-1337-438B-AABB-7694208CE946}"/>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01" name="Shape 8">
          <a:extLst>
            <a:ext uri="{FF2B5EF4-FFF2-40B4-BE49-F238E27FC236}">
              <a16:creationId xmlns:a16="http://schemas.microsoft.com/office/drawing/2014/main" id="{490FB80D-6771-4145-9CE4-AF6C146A4BFD}"/>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02" name="Shape 7">
          <a:extLst>
            <a:ext uri="{FF2B5EF4-FFF2-40B4-BE49-F238E27FC236}">
              <a16:creationId xmlns:a16="http://schemas.microsoft.com/office/drawing/2014/main" id="{F54E7DF0-9635-4346-8FA8-B4712108E06F}"/>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03" name="Shape 8">
          <a:extLst>
            <a:ext uri="{FF2B5EF4-FFF2-40B4-BE49-F238E27FC236}">
              <a16:creationId xmlns:a16="http://schemas.microsoft.com/office/drawing/2014/main" id="{B0AB4810-243C-42AB-B01C-6C960B765279}"/>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04" name="Shape 8">
          <a:extLst>
            <a:ext uri="{FF2B5EF4-FFF2-40B4-BE49-F238E27FC236}">
              <a16:creationId xmlns:a16="http://schemas.microsoft.com/office/drawing/2014/main" id="{808D94AB-7A2A-4E61-913F-1C338021502A}"/>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05" name="Shape 7">
          <a:extLst>
            <a:ext uri="{FF2B5EF4-FFF2-40B4-BE49-F238E27FC236}">
              <a16:creationId xmlns:a16="http://schemas.microsoft.com/office/drawing/2014/main" id="{FD56D7BA-BA07-4F84-93D0-D2CDB7625DB1}"/>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06" name="Shape 8">
          <a:extLst>
            <a:ext uri="{FF2B5EF4-FFF2-40B4-BE49-F238E27FC236}">
              <a16:creationId xmlns:a16="http://schemas.microsoft.com/office/drawing/2014/main" id="{DEEFEDF2-7D5B-410A-AC45-E9002E447C4E}"/>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07" name="Shape 8">
          <a:extLst>
            <a:ext uri="{FF2B5EF4-FFF2-40B4-BE49-F238E27FC236}">
              <a16:creationId xmlns:a16="http://schemas.microsoft.com/office/drawing/2014/main" id="{83C606F9-0E89-4DAD-824E-FA0722738802}"/>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08" name="Shape 7">
          <a:extLst>
            <a:ext uri="{FF2B5EF4-FFF2-40B4-BE49-F238E27FC236}">
              <a16:creationId xmlns:a16="http://schemas.microsoft.com/office/drawing/2014/main" id="{7E859B4D-19BD-40AE-BF07-7A06D1D4A4A9}"/>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09" name="Shape 8">
          <a:extLst>
            <a:ext uri="{FF2B5EF4-FFF2-40B4-BE49-F238E27FC236}">
              <a16:creationId xmlns:a16="http://schemas.microsoft.com/office/drawing/2014/main" id="{6254E27C-625A-4049-83DD-DF8D8F2F564F}"/>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10" name="Shape 8">
          <a:extLst>
            <a:ext uri="{FF2B5EF4-FFF2-40B4-BE49-F238E27FC236}">
              <a16:creationId xmlns:a16="http://schemas.microsoft.com/office/drawing/2014/main" id="{DFFFADDA-DD5C-480C-BACB-F4DD6A80105E}"/>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11" name="Shape 7">
          <a:extLst>
            <a:ext uri="{FF2B5EF4-FFF2-40B4-BE49-F238E27FC236}">
              <a16:creationId xmlns:a16="http://schemas.microsoft.com/office/drawing/2014/main" id="{227CD31C-16BB-4185-9BE3-A455A58B4489}"/>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12" name="Shape 7">
          <a:extLst>
            <a:ext uri="{FF2B5EF4-FFF2-40B4-BE49-F238E27FC236}">
              <a16:creationId xmlns:a16="http://schemas.microsoft.com/office/drawing/2014/main" id="{8AB0E668-BAB0-416C-A08D-E5852483063D}"/>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13" name="Shape 8">
          <a:extLst>
            <a:ext uri="{FF2B5EF4-FFF2-40B4-BE49-F238E27FC236}">
              <a16:creationId xmlns:a16="http://schemas.microsoft.com/office/drawing/2014/main" id="{9E6C6186-DE34-4737-8E15-ACA72529857E}"/>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14" name="Shape 8">
          <a:extLst>
            <a:ext uri="{FF2B5EF4-FFF2-40B4-BE49-F238E27FC236}">
              <a16:creationId xmlns:a16="http://schemas.microsoft.com/office/drawing/2014/main" id="{2AC2B53B-2476-4B34-9279-420F6BF948B6}"/>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15" name="Shape 7">
          <a:extLst>
            <a:ext uri="{FF2B5EF4-FFF2-40B4-BE49-F238E27FC236}">
              <a16:creationId xmlns:a16="http://schemas.microsoft.com/office/drawing/2014/main" id="{627DA0D6-6D57-4029-AAB8-09FA2A4C1101}"/>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16" name="Shape 7">
          <a:extLst>
            <a:ext uri="{FF2B5EF4-FFF2-40B4-BE49-F238E27FC236}">
              <a16:creationId xmlns:a16="http://schemas.microsoft.com/office/drawing/2014/main" id="{5D98917F-50A2-4039-BF16-0A7F80B816F1}"/>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17" name="Shape 7">
          <a:extLst>
            <a:ext uri="{FF2B5EF4-FFF2-40B4-BE49-F238E27FC236}">
              <a16:creationId xmlns:a16="http://schemas.microsoft.com/office/drawing/2014/main" id="{748E6669-5489-4980-9E7E-90BEEF2EE74C}"/>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18" name="Shape 7">
          <a:extLst>
            <a:ext uri="{FF2B5EF4-FFF2-40B4-BE49-F238E27FC236}">
              <a16:creationId xmlns:a16="http://schemas.microsoft.com/office/drawing/2014/main" id="{9D904FD1-A768-42E5-A27E-77154095FD35}"/>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19" name="Shape 7">
          <a:extLst>
            <a:ext uri="{FF2B5EF4-FFF2-40B4-BE49-F238E27FC236}">
              <a16:creationId xmlns:a16="http://schemas.microsoft.com/office/drawing/2014/main" id="{3F4863BA-409E-4822-A57F-1E48D029E94E}"/>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20" name="Shape 7">
          <a:extLst>
            <a:ext uri="{FF2B5EF4-FFF2-40B4-BE49-F238E27FC236}">
              <a16:creationId xmlns:a16="http://schemas.microsoft.com/office/drawing/2014/main" id="{8712AA7A-A50F-42F9-BFDE-0105542DBC6D}"/>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21" name="Shape 7">
          <a:extLst>
            <a:ext uri="{FF2B5EF4-FFF2-40B4-BE49-F238E27FC236}">
              <a16:creationId xmlns:a16="http://schemas.microsoft.com/office/drawing/2014/main" id="{43D8D9B2-0072-4277-8FF7-D15DDCEBDF17}"/>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22" name="Shape 7">
          <a:extLst>
            <a:ext uri="{FF2B5EF4-FFF2-40B4-BE49-F238E27FC236}">
              <a16:creationId xmlns:a16="http://schemas.microsoft.com/office/drawing/2014/main" id="{44177D5A-8AC3-44F5-ABD4-C9B6DD34D421}"/>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23" name="Shape 7">
          <a:extLst>
            <a:ext uri="{FF2B5EF4-FFF2-40B4-BE49-F238E27FC236}">
              <a16:creationId xmlns:a16="http://schemas.microsoft.com/office/drawing/2014/main" id="{23FD1323-B1A5-4E81-B26F-CAF08471D561}"/>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24" name="Shape 7">
          <a:extLst>
            <a:ext uri="{FF2B5EF4-FFF2-40B4-BE49-F238E27FC236}">
              <a16:creationId xmlns:a16="http://schemas.microsoft.com/office/drawing/2014/main" id="{62C9D8DA-F7D9-43BC-8AFD-C6BF31D5BAD0}"/>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25" name="Shape 7">
          <a:extLst>
            <a:ext uri="{FF2B5EF4-FFF2-40B4-BE49-F238E27FC236}">
              <a16:creationId xmlns:a16="http://schemas.microsoft.com/office/drawing/2014/main" id="{66EAD81C-BA35-4411-B9F8-EACAC19E00D3}"/>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26" name="Shape 7">
          <a:extLst>
            <a:ext uri="{FF2B5EF4-FFF2-40B4-BE49-F238E27FC236}">
              <a16:creationId xmlns:a16="http://schemas.microsoft.com/office/drawing/2014/main" id="{9105BDAD-726C-45F4-B8A4-25EEC018650C}"/>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27" name="Shape 7">
          <a:extLst>
            <a:ext uri="{FF2B5EF4-FFF2-40B4-BE49-F238E27FC236}">
              <a16:creationId xmlns:a16="http://schemas.microsoft.com/office/drawing/2014/main" id="{3BBD7F27-D760-4BD9-B5D5-394D379D72E7}"/>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28" name="Shape 7">
          <a:extLst>
            <a:ext uri="{FF2B5EF4-FFF2-40B4-BE49-F238E27FC236}">
              <a16:creationId xmlns:a16="http://schemas.microsoft.com/office/drawing/2014/main" id="{1728A036-7845-4DAC-ABB2-2A4A173F93BA}"/>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29" name="Shape 7">
          <a:extLst>
            <a:ext uri="{FF2B5EF4-FFF2-40B4-BE49-F238E27FC236}">
              <a16:creationId xmlns:a16="http://schemas.microsoft.com/office/drawing/2014/main" id="{27BD7884-780C-4CAF-9005-E14270914877}"/>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30" name="Shape 7">
          <a:extLst>
            <a:ext uri="{FF2B5EF4-FFF2-40B4-BE49-F238E27FC236}">
              <a16:creationId xmlns:a16="http://schemas.microsoft.com/office/drawing/2014/main" id="{4D46EE6E-43BE-4E78-BD20-888032F59301}"/>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31" name="Shape 7">
          <a:extLst>
            <a:ext uri="{FF2B5EF4-FFF2-40B4-BE49-F238E27FC236}">
              <a16:creationId xmlns:a16="http://schemas.microsoft.com/office/drawing/2014/main" id="{0D469637-B58B-4B32-8E76-2323282CF3B3}"/>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32" name="Shape 7">
          <a:extLst>
            <a:ext uri="{FF2B5EF4-FFF2-40B4-BE49-F238E27FC236}">
              <a16:creationId xmlns:a16="http://schemas.microsoft.com/office/drawing/2014/main" id="{21A35033-88C5-48F0-974A-97B833F1D713}"/>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33" name="Shape 7">
          <a:extLst>
            <a:ext uri="{FF2B5EF4-FFF2-40B4-BE49-F238E27FC236}">
              <a16:creationId xmlns:a16="http://schemas.microsoft.com/office/drawing/2014/main" id="{90F6E460-5009-4ECE-85D5-3185AAD31D92}"/>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34" name="Shape 8">
          <a:extLst>
            <a:ext uri="{FF2B5EF4-FFF2-40B4-BE49-F238E27FC236}">
              <a16:creationId xmlns:a16="http://schemas.microsoft.com/office/drawing/2014/main" id="{65BA2F70-F228-4591-97AA-0ADF0B627FA5}"/>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35" name="Shape 7">
          <a:extLst>
            <a:ext uri="{FF2B5EF4-FFF2-40B4-BE49-F238E27FC236}">
              <a16:creationId xmlns:a16="http://schemas.microsoft.com/office/drawing/2014/main" id="{A79212BE-C643-4870-806D-DE7CCA4119BF}"/>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36" name="Shape 8">
          <a:extLst>
            <a:ext uri="{FF2B5EF4-FFF2-40B4-BE49-F238E27FC236}">
              <a16:creationId xmlns:a16="http://schemas.microsoft.com/office/drawing/2014/main" id="{4B0BB9F8-52F2-418E-8D57-D52FCA7CA4E3}"/>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37" name="Shape 7">
          <a:extLst>
            <a:ext uri="{FF2B5EF4-FFF2-40B4-BE49-F238E27FC236}">
              <a16:creationId xmlns:a16="http://schemas.microsoft.com/office/drawing/2014/main" id="{57246AFB-CC6C-4A5E-93ED-F70B00F517F8}"/>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38" name="Shape 8">
          <a:extLst>
            <a:ext uri="{FF2B5EF4-FFF2-40B4-BE49-F238E27FC236}">
              <a16:creationId xmlns:a16="http://schemas.microsoft.com/office/drawing/2014/main" id="{45A2D66D-B2FC-4579-9BAF-B18F803AD97F}"/>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39" name="Shape 8">
          <a:extLst>
            <a:ext uri="{FF2B5EF4-FFF2-40B4-BE49-F238E27FC236}">
              <a16:creationId xmlns:a16="http://schemas.microsoft.com/office/drawing/2014/main" id="{DF26E27E-7F68-419A-9EED-31AC30C0B5C0}"/>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40" name="Shape 7">
          <a:extLst>
            <a:ext uri="{FF2B5EF4-FFF2-40B4-BE49-F238E27FC236}">
              <a16:creationId xmlns:a16="http://schemas.microsoft.com/office/drawing/2014/main" id="{B6982A13-32A9-417B-A1FE-BC6FEEFED6CF}"/>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41" name="Shape 8">
          <a:extLst>
            <a:ext uri="{FF2B5EF4-FFF2-40B4-BE49-F238E27FC236}">
              <a16:creationId xmlns:a16="http://schemas.microsoft.com/office/drawing/2014/main" id="{326AE072-587D-40E6-BE6D-CD0D1F7403C8}"/>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42" name="Shape 8">
          <a:extLst>
            <a:ext uri="{FF2B5EF4-FFF2-40B4-BE49-F238E27FC236}">
              <a16:creationId xmlns:a16="http://schemas.microsoft.com/office/drawing/2014/main" id="{12682A02-FB5E-4D72-919E-BE6B46724B5A}"/>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43" name="Shape 7">
          <a:extLst>
            <a:ext uri="{FF2B5EF4-FFF2-40B4-BE49-F238E27FC236}">
              <a16:creationId xmlns:a16="http://schemas.microsoft.com/office/drawing/2014/main" id="{7ACC3BEB-1D64-43FA-ACEC-48E14DD630CE}"/>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44" name="Shape 8">
          <a:extLst>
            <a:ext uri="{FF2B5EF4-FFF2-40B4-BE49-F238E27FC236}">
              <a16:creationId xmlns:a16="http://schemas.microsoft.com/office/drawing/2014/main" id="{CAB41392-7750-48C6-89D3-CC51E1BF6EAB}"/>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45" name="Shape 8">
          <a:extLst>
            <a:ext uri="{FF2B5EF4-FFF2-40B4-BE49-F238E27FC236}">
              <a16:creationId xmlns:a16="http://schemas.microsoft.com/office/drawing/2014/main" id="{7867BB06-F931-4D8C-8634-F15023A27524}"/>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46" name="Shape 7">
          <a:extLst>
            <a:ext uri="{FF2B5EF4-FFF2-40B4-BE49-F238E27FC236}">
              <a16:creationId xmlns:a16="http://schemas.microsoft.com/office/drawing/2014/main" id="{D0AF7234-3CD3-43F9-B645-BE349BEDD4ED}"/>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47" name="Shape 8">
          <a:extLst>
            <a:ext uri="{FF2B5EF4-FFF2-40B4-BE49-F238E27FC236}">
              <a16:creationId xmlns:a16="http://schemas.microsoft.com/office/drawing/2014/main" id="{8CE5CAC9-EE87-4932-A31B-0628A8AD4A40}"/>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48" name="Shape 8">
          <a:extLst>
            <a:ext uri="{FF2B5EF4-FFF2-40B4-BE49-F238E27FC236}">
              <a16:creationId xmlns:a16="http://schemas.microsoft.com/office/drawing/2014/main" id="{795FB440-FF8F-4412-A6F3-659CA7479A6D}"/>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49" name="Shape 7">
          <a:extLst>
            <a:ext uri="{FF2B5EF4-FFF2-40B4-BE49-F238E27FC236}">
              <a16:creationId xmlns:a16="http://schemas.microsoft.com/office/drawing/2014/main" id="{2437B850-E77A-46A1-BDEB-4B6CB7518660}"/>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50" name="Shape 8">
          <a:extLst>
            <a:ext uri="{FF2B5EF4-FFF2-40B4-BE49-F238E27FC236}">
              <a16:creationId xmlns:a16="http://schemas.microsoft.com/office/drawing/2014/main" id="{C4FD1ABF-E9CB-469C-A351-13E9C171290E}"/>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51" name="Shape 8">
          <a:extLst>
            <a:ext uri="{FF2B5EF4-FFF2-40B4-BE49-F238E27FC236}">
              <a16:creationId xmlns:a16="http://schemas.microsoft.com/office/drawing/2014/main" id="{C52832CC-0D7B-4FF2-92D8-01990ADE2E19}"/>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52" name="Shape 7">
          <a:extLst>
            <a:ext uri="{FF2B5EF4-FFF2-40B4-BE49-F238E27FC236}">
              <a16:creationId xmlns:a16="http://schemas.microsoft.com/office/drawing/2014/main" id="{C7A18F02-D6EA-403F-AE1F-BD9845FDDBD6}"/>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53" name="Shape 7">
          <a:extLst>
            <a:ext uri="{FF2B5EF4-FFF2-40B4-BE49-F238E27FC236}">
              <a16:creationId xmlns:a16="http://schemas.microsoft.com/office/drawing/2014/main" id="{36899D76-02C1-4813-A627-92E38F659000}"/>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54" name="Shape 8">
          <a:extLst>
            <a:ext uri="{FF2B5EF4-FFF2-40B4-BE49-F238E27FC236}">
              <a16:creationId xmlns:a16="http://schemas.microsoft.com/office/drawing/2014/main" id="{91DF3002-C26F-4F38-BA56-52940CF147BD}"/>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55" name="Shape 8">
          <a:extLst>
            <a:ext uri="{FF2B5EF4-FFF2-40B4-BE49-F238E27FC236}">
              <a16:creationId xmlns:a16="http://schemas.microsoft.com/office/drawing/2014/main" id="{1AC03F46-507A-4247-9F8F-1FCBD426B891}"/>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56" name="Shape 7">
          <a:extLst>
            <a:ext uri="{FF2B5EF4-FFF2-40B4-BE49-F238E27FC236}">
              <a16:creationId xmlns:a16="http://schemas.microsoft.com/office/drawing/2014/main" id="{32DD7D8E-65FA-4B4E-9518-B44FD2D2FA4E}"/>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57" name="Shape 7">
          <a:extLst>
            <a:ext uri="{FF2B5EF4-FFF2-40B4-BE49-F238E27FC236}">
              <a16:creationId xmlns:a16="http://schemas.microsoft.com/office/drawing/2014/main" id="{B36C1DEF-2695-4964-8AFC-9AC2BB257E5C}"/>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58" name="Shape 8">
          <a:extLst>
            <a:ext uri="{FF2B5EF4-FFF2-40B4-BE49-F238E27FC236}">
              <a16:creationId xmlns:a16="http://schemas.microsoft.com/office/drawing/2014/main" id="{224064F0-1EB2-4AE5-A455-83B9A24DE8AE}"/>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59" name="Shape 7">
          <a:extLst>
            <a:ext uri="{FF2B5EF4-FFF2-40B4-BE49-F238E27FC236}">
              <a16:creationId xmlns:a16="http://schemas.microsoft.com/office/drawing/2014/main" id="{C68CE052-4452-4B4E-9CDB-0658E3B5B65D}"/>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60" name="Shape 8">
          <a:extLst>
            <a:ext uri="{FF2B5EF4-FFF2-40B4-BE49-F238E27FC236}">
              <a16:creationId xmlns:a16="http://schemas.microsoft.com/office/drawing/2014/main" id="{9F273044-6C77-40BF-975E-567F8F2ECB15}"/>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61" name="Shape 7">
          <a:extLst>
            <a:ext uri="{FF2B5EF4-FFF2-40B4-BE49-F238E27FC236}">
              <a16:creationId xmlns:a16="http://schemas.microsoft.com/office/drawing/2014/main" id="{91DC246F-97A5-4020-AC0D-5B003538D700}"/>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62" name="Shape 8">
          <a:extLst>
            <a:ext uri="{FF2B5EF4-FFF2-40B4-BE49-F238E27FC236}">
              <a16:creationId xmlns:a16="http://schemas.microsoft.com/office/drawing/2014/main" id="{B7F8F237-0B4C-4300-819D-9A8F2693D77B}"/>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63" name="Shape 7">
          <a:extLst>
            <a:ext uri="{FF2B5EF4-FFF2-40B4-BE49-F238E27FC236}">
              <a16:creationId xmlns:a16="http://schemas.microsoft.com/office/drawing/2014/main" id="{2B69C3CA-9E92-4CD8-BFC3-0093CF98403D}"/>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64" name="Shape 8">
          <a:extLst>
            <a:ext uri="{FF2B5EF4-FFF2-40B4-BE49-F238E27FC236}">
              <a16:creationId xmlns:a16="http://schemas.microsoft.com/office/drawing/2014/main" id="{88DF8428-1AA2-4362-904C-B7921CFDBB97}"/>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65" name="Shape 8">
          <a:extLst>
            <a:ext uri="{FF2B5EF4-FFF2-40B4-BE49-F238E27FC236}">
              <a16:creationId xmlns:a16="http://schemas.microsoft.com/office/drawing/2014/main" id="{4E4C0762-FFAE-439B-BEF1-0FB63C992DF0}"/>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66" name="Shape 7">
          <a:extLst>
            <a:ext uri="{FF2B5EF4-FFF2-40B4-BE49-F238E27FC236}">
              <a16:creationId xmlns:a16="http://schemas.microsoft.com/office/drawing/2014/main" id="{CD1FB397-BAA9-42F8-8644-5E88FB0F2825}"/>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67" name="Shape 8">
          <a:extLst>
            <a:ext uri="{FF2B5EF4-FFF2-40B4-BE49-F238E27FC236}">
              <a16:creationId xmlns:a16="http://schemas.microsoft.com/office/drawing/2014/main" id="{7F4EB614-2D9B-4971-9EF3-E2C50A70A601}"/>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68" name="Shape 8">
          <a:extLst>
            <a:ext uri="{FF2B5EF4-FFF2-40B4-BE49-F238E27FC236}">
              <a16:creationId xmlns:a16="http://schemas.microsoft.com/office/drawing/2014/main" id="{8EF45414-638D-495E-8D70-D7888141702B}"/>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69" name="Shape 7">
          <a:extLst>
            <a:ext uri="{FF2B5EF4-FFF2-40B4-BE49-F238E27FC236}">
              <a16:creationId xmlns:a16="http://schemas.microsoft.com/office/drawing/2014/main" id="{0BBBBEF8-76B6-4E9C-8815-C72733944F64}"/>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70" name="Shape 8">
          <a:extLst>
            <a:ext uri="{FF2B5EF4-FFF2-40B4-BE49-F238E27FC236}">
              <a16:creationId xmlns:a16="http://schemas.microsoft.com/office/drawing/2014/main" id="{76AA114D-7329-4ED5-A9BA-370F7BCDD227}"/>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71" name="Shape 8">
          <a:extLst>
            <a:ext uri="{FF2B5EF4-FFF2-40B4-BE49-F238E27FC236}">
              <a16:creationId xmlns:a16="http://schemas.microsoft.com/office/drawing/2014/main" id="{D42D8F94-B919-4B52-80BC-EB2DFCE9186E}"/>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72" name="Shape 7">
          <a:extLst>
            <a:ext uri="{FF2B5EF4-FFF2-40B4-BE49-F238E27FC236}">
              <a16:creationId xmlns:a16="http://schemas.microsoft.com/office/drawing/2014/main" id="{BCEB0B01-FE2E-41D0-9E65-8A0D28FD307A}"/>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73" name="Shape 8">
          <a:extLst>
            <a:ext uri="{FF2B5EF4-FFF2-40B4-BE49-F238E27FC236}">
              <a16:creationId xmlns:a16="http://schemas.microsoft.com/office/drawing/2014/main" id="{11BEDA0A-9F76-43F9-A6C7-54460419312F}"/>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74" name="Shape 8">
          <a:extLst>
            <a:ext uri="{FF2B5EF4-FFF2-40B4-BE49-F238E27FC236}">
              <a16:creationId xmlns:a16="http://schemas.microsoft.com/office/drawing/2014/main" id="{047BF7BE-D664-4FBD-97C3-9BA964566E93}"/>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75" name="Shape 7">
          <a:extLst>
            <a:ext uri="{FF2B5EF4-FFF2-40B4-BE49-F238E27FC236}">
              <a16:creationId xmlns:a16="http://schemas.microsoft.com/office/drawing/2014/main" id="{64FC5455-8B21-495E-A6FE-65F1310F7A7C}"/>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76" name="Shape 8">
          <a:extLst>
            <a:ext uri="{FF2B5EF4-FFF2-40B4-BE49-F238E27FC236}">
              <a16:creationId xmlns:a16="http://schemas.microsoft.com/office/drawing/2014/main" id="{9483AF36-17E7-4571-879E-DEE7C9299B02}"/>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77" name="Shape 8">
          <a:extLst>
            <a:ext uri="{FF2B5EF4-FFF2-40B4-BE49-F238E27FC236}">
              <a16:creationId xmlns:a16="http://schemas.microsoft.com/office/drawing/2014/main" id="{2AC44CBD-19DA-4D0C-BA2C-360E4C79A4AC}"/>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78" name="Shape 7">
          <a:extLst>
            <a:ext uri="{FF2B5EF4-FFF2-40B4-BE49-F238E27FC236}">
              <a16:creationId xmlns:a16="http://schemas.microsoft.com/office/drawing/2014/main" id="{56687420-D4E0-4FF4-9B23-215E4BDDF339}"/>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79" name="Shape 7">
          <a:extLst>
            <a:ext uri="{FF2B5EF4-FFF2-40B4-BE49-F238E27FC236}">
              <a16:creationId xmlns:a16="http://schemas.microsoft.com/office/drawing/2014/main" id="{A9101D66-38CF-4ED5-93A7-83ACF7C3831C}"/>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80" name="Shape 8">
          <a:extLst>
            <a:ext uri="{FF2B5EF4-FFF2-40B4-BE49-F238E27FC236}">
              <a16:creationId xmlns:a16="http://schemas.microsoft.com/office/drawing/2014/main" id="{D27FC60F-CFA8-475F-B615-ACD0600152F5}"/>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81" name="Shape 8">
          <a:extLst>
            <a:ext uri="{FF2B5EF4-FFF2-40B4-BE49-F238E27FC236}">
              <a16:creationId xmlns:a16="http://schemas.microsoft.com/office/drawing/2014/main" id="{A28268B2-1805-4B62-942D-7CA8D1CD81C6}"/>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82" name="Shape 7">
          <a:extLst>
            <a:ext uri="{FF2B5EF4-FFF2-40B4-BE49-F238E27FC236}">
              <a16:creationId xmlns:a16="http://schemas.microsoft.com/office/drawing/2014/main" id="{A9F08FE0-A751-47A1-BCD1-DEDD02DC42F2}"/>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483" name="Shape 7">
          <a:extLst>
            <a:ext uri="{FF2B5EF4-FFF2-40B4-BE49-F238E27FC236}">
              <a16:creationId xmlns:a16="http://schemas.microsoft.com/office/drawing/2014/main" id="{8F0A123E-3B54-4EF9-B750-149A16A5F878}"/>
            </a:ext>
          </a:extLst>
        </xdr:cNvPr>
        <xdr:cNvSpPr>
          <a:spLocks noChangeArrowheads="1"/>
        </xdr:cNvSpPr>
      </xdr:nvSpPr>
      <xdr:spPr bwMode="auto">
        <a:xfrm>
          <a:off x="11210925"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84" name="Shape 8">
          <a:extLst>
            <a:ext uri="{FF2B5EF4-FFF2-40B4-BE49-F238E27FC236}">
              <a16:creationId xmlns:a16="http://schemas.microsoft.com/office/drawing/2014/main" id="{90A66707-FEDE-4D8C-BD64-67E43A8F8FF0}"/>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485" name="Shape 8">
          <a:extLst>
            <a:ext uri="{FF2B5EF4-FFF2-40B4-BE49-F238E27FC236}">
              <a16:creationId xmlns:a16="http://schemas.microsoft.com/office/drawing/2014/main" id="{378E2AB5-DFE6-4A88-BFA1-2A1F86AB1075}"/>
            </a:ext>
          </a:extLst>
        </xdr:cNvPr>
        <xdr:cNvSpPr>
          <a:spLocks noChangeArrowheads="1"/>
        </xdr:cNvSpPr>
      </xdr:nvSpPr>
      <xdr:spPr bwMode="auto">
        <a:xfrm>
          <a:off x="11944350" y="97536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86" name="Shape 7">
          <a:extLst>
            <a:ext uri="{FF2B5EF4-FFF2-40B4-BE49-F238E27FC236}">
              <a16:creationId xmlns:a16="http://schemas.microsoft.com/office/drawing/2014/main" id="{893A506D-1D19-4CBA-AD7E-8AC9CABA65C0}"/>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87" name="Shape 7">
          <a:extLst>
            <a:ext uri="{FF2B5EF4-FFF2-40B4-BE49-F238E27FC236}">
              <a16:creationId xmlns:a16="http://schemas.microsoft.com/office/drawing/2014/main" id="{B01372F8-934B-4CE9-8B43-F5F74929947D}"/>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88" name="Shape 7">
          <a:extLst>
            <a:ext uri="{FF2B5EF4-FFF2-40B4-BE49-F238E27FC236}">
              <a16:creationId xmlns:a16="http://schemas.microsoft.com/office/drawing/2014/main" id="{1C600E10-A190-4D29-9558-8DB3B3F4D93E}"/>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89" name="Shape 7">
          <a:extLst>
            <a:ext uri="{FF2B5EF4-FFF2-40B4-BE49-F238E27FC236}">
              <a16:creationId xmlns:a16="http://schemas.microsoft.com/office/drawing/2014/main" id="{C5540771-700C-4330-AA42-42A773A38AF3}"/>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90" name="Shape 7">
          <a:extLst>
            <a:ext uri="{FF2B5EF4-FFF2-40B4-BE49-F238E27FC236}">
              <a16:creationId xmlns:a16="http://schemas.microsoft.com/office/drawing/2014/main" id="{2FEEC9CD-05A9-4289-8153-E0D94346971F}"/>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91" name="Shape 7">
          <a:extLst>
            <a:ext uri="{FF2B5EF4-FFF2-40B4-BE49-F238E27FC236}">
              <a16:creationId xmlns:a16="http://schemas.microsoft.com/office/drawing/2014/main" id="{4B6344F6-F84E-4187-95EE-B47443613859}"/>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92" name="Shape 7">
          <a:extLst>
            <a:ext uri="{FF2B5EF4-FFF2-40B4-BE49-F238E27FC236}">
              <a16:creationId xmlns:a16="http://schemas.microsoft.com/office/drawing/2014/main" id="{C2EC229A-1293-4563-95DF-80E8400E26F7}"/>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93" name="Shape 7">
          <a:extLst>
            <a:ext uri="{FF2B5EF4-FFF2-40B4-BE49-F238E27FC236}">
              <a16:creationId xmlns:a16="http://schemas.microsoft.com/office/drawing/2014/main" id="{A0E6E5A8-39E8-47A6-9599-C7E03995848D}"/>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94" name="Shape 7">
          <a:extLst>
            <a:ext uri="{FF2B5EF4-FFF2-40B4-BE49-F238E27FC236}">
              <a16:creationId xmlns:a16="http://schemas.microsoft.com/office/drawing/2014/main" id="{26D1D618-2688-497D-94B1-FED26DE04A59}"/>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95" name="Shape 7">
          <a:extLst>
            <a:ext uri="{FF2B5EF4-FFF2-40B4-BE49-F238E27FC236}">
              <a16:creationId xmlns:a16="http://schemas.microsoft.com/office/drawing/2014/main" id="{7369A48B-A657-4C94-8082-654CBAEDF59B}"/>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96" name="Shape 7">
          <a:extLst>
            <a:ext uri="{FF2B5EF4-FFF2-40B4-BE49-F238E27FC236}">
              <a16:creationId xmlns:a16="http://schemas.microsoft.com/office/drawing/2014/main" id="{3E819D2D-98C6-4AF4-9F86-6D06F13BF4F2}"/>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97" name="Shape 7">
          <a:extLst>
            <a:ext uri="{FF2B5EF4-FFF2-40B4-BE49-F238E27FC236}">
              <a16:creationId xmlns:a16="http://schemas.microsoft.com/office/drawing/2014/main" id="{0B20B6E6-6E54-4EDD-A036-C0EB8499D74E}"/>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98" name="Shape 7">
          <a:extLst>
            <a:ext uri="{FF2B5EF4-FFF2-40B4-BE49-F238E27FC236}">
              <a16:creationId xmlns:a16="http://schemas.microsoft.com/office/drawing/2014/main" id="{ED2CA0BE-A663-48D2-962E-558C8F8BDCF0}"/>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499" name="Shape 7">
          <a:extLst>
            <a:ext uri="{FF2B5EF4-FFF2-40B4-BE49-F238E27FC236}">
              <a16:creationId xmlns:a16="http://schemas.microsoft.com/office/drawing/2014/main" id="{B8EA1DCB-3EBE-410A-AAA8-76822617BB97}"/>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00" name="Shape 7">
          <a:extLst>
            <a:ext uri="{FF2B5EF4-FFF2-40B4-BE49-F238E27FC236}">
              <a16:creationId xmlns:a16="http://schemas.microsoft.com/office/drawing/2014/main" id="{597D3DCF-E77C-48FE-9A28-1CA509B222B0}"/>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01" name="Shape 7">
          <a:extLst>
            <a:ext uri="{FF2B5EF4-FFF2-40B4-BE49-F238E27FC236}">
              <a16:creationId xmlns:a16="http://schemas.microsoft.com/office/drawing/2014/main" id="{F4A721A2-3E50-41E9-B0D7-1EC003B48409}"/>
            </a:ext>
          </a:extLst>
        </xdr:cNvPr>
        <xdr:cNvSpPr>
          <a:spLocks noChangeArrowheads="1"/>
        </xdr:cNvSpPr>
      </xdr:nvSpPr>
      <xdr:spPr bwMode="auto">
        <a:xfrm>
          <a:off x="12534900" y="97536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02" name="Shape 7">
          <a:extLst>
            <a:ext uri="{FF2B5EF4-FFF2-40B4-BE49-F238E27FC236}">
              <a16:creationId xmlns:a16="http://schemas.microsoft.com/office/drawing/2014/main" id="{16CE467F-E9AB-4015-9C74-524B968808DE}"/>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03" name="Shape 8">
          <a:extLst>
            <a:ext uri="{FF2B5EF4-FFF2-40B4-BE49-F238E27FC236}">
              <a16:creationId xmlns:a16="http://schemas.microsoft.com/office/drawing/2014/main" id="{C7BC4A62-CB0E-4FB1-9B6D-A5839256857D}"/>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04" name="Shape 7">
          <a:extLst>
            <a:ext uri="{FF2B5EF4-FFF2-40B4-BE49-F238E27FC236}">
              <a16:creationId xmlns:a16="http://schemas.microsoft.com/office/drawing/2014/main" id="{D6CBA852-EDBB-4333-9EE6-B2530E21955A}"/>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05" name="Shape 8">
          <a:extLst>
            <a:ext uri="{FF2B5EF4-FFF2-40B4-BE49-F238E27FC236}">
              <a16:creationId xmlns:a16="http://schemas.microsoft.com/office/drawing/2014/main" id="{6B3802A1-1FA4-4A53-8E3B-B1068234201C}"/>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06" name="Shape 7">
          <a:extLst>
            <a:ext uri="{FF2B5EF4-FFF2-40B4-BE49-F238E27FC236}">
              <a16:creationId xmlns:a16="http://schemas.microsoft.com/office/drawing/2014/main" id="{E3D3D98F-DF84-4DBC-AF0C-BE2973FDD7EB}"/>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07" name="Shape 8">
          <a:extLst>
            <a:ext uri="{FF2B5EF4-FFF2-40B4-BE49-F238E27FC236}">
              <a16:creationId xmlns:a16="http://schemas.microsoft.com/office/drawing/2014/main" id="{59EC2E6D-CB79-4C26-B07D-3BDBA9D0C4BF}"/>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08" name="Shape 8">
          <a:extLst>
            <a:ext uri="{FF2B5EF4-FFF2-40B4-BE49-F238E27FC236}">
              <a16:creationId xmlns:a16="http://schemas.microsoft.com/office/drawing/2014/main" id="{2AED46EA-CAEC-467E-8ED0-14A64FCAE548}"/>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09" name="Shape 7">
          <a:extLst>
            <a:ext uri="{FF2B5EF4-FFF2-40B4-BE49-F238E27FC236}">
              <a16:creationId xmlns:a16="http://schemas.microsoft.com/office/drawing/2014/main" id="{814BC8E9-29AA-41CE-BF4B-07969EF04C23}"/>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10" name="Shape 8">
          <a:extLst>
            <a:ext uri="{FF2B5EF4-FFF2-40B4-BE49-F238E27FC236}">
              <a16:creationId xmlns:a16="http://schemas.microsoft.com/office/drawing/2014/main" id="{8973CA91-0016-4553-A5C0-9E68A672BB1F}"/>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11" name="Shape 8">
          <a:extLst>
            <a:ext uri="{FF2B5EF4-FFF2-40B4-BE49-F238E27FC236}">
              <a16:creationId xmlns:a16="http://schemas.microsoft.com/office/drawing/2014/main" id="{5085B2EE-0712-427C-9A37-3D20F205A476}"/>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12" name="Shape 7">
          <a:extLst>
            <a:ext uri="{FF2B5EF4-FFF2-40B4-BE49-F238E27FC236}">
              <a16:creationId xmlns:a16="http://schemas.microsoft.com/office/drawing/2014/main" id="{2901E2F4-F19C-4DDD-9419-1D533627D988}"/>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13" name="Shape 8">
          <a:extLst>
            <a:ext uri="{FF2B5EF4-FFF2-40B4-BE49-F238E27FC236}">
              <a16:creationId xmlns:a16="http://schemas.microsoft.com/office/drawing/2014/main" id="{B36AC614-C1D0-423A-AD71-7871C6758922}"/>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14" name="Shape 8">
          <a:extLst>
            <a:ext uri="{FF2B5EF4-FFF2-40B4-BE49-F238E27FC236}">
              <a16:creationId xmlns:a16="http://schemas.microsoft.com/office/drawing/2014/main" id="{3691C50F-3CBE-4122-8E5E-C880D75CF763}"/>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15" name="Shape 7">
          <a:extLst>
            <a:ext uri="{FF2B5EF4-FFF2-40B4-BE49-F238E27FC236}">
              <a16:creationId xmlns:a16="http://schemas.microsoft.com/office/drawing/2014/main" id="{0AA02FA7-1F1B-40E2-984D-1DEF689B484B}"/>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16" name="Shape 8">
          <a:extLst>
            <a:ext uri="{FF2B5EF4-FFF2-40B4-BE49-F238E27FC236}">
              <a16:creationId xmlns:a16="http://schemas.microsoft.com/office/drawing/2014/main" id="{D290A9E4-7CB9-4804-8D16-855FD6FD43F6}"/>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17" name="Shape 8">
          <a:extLst>
            <a:ext uri="{FF2B5EF4-FFF2-40B4-BE49-F238E27FC236}">
              <a16:creationId xmlns:a16="http://schemas.microsoft.com/office/drawing/2014/main" id="{C0F9F406-5B17-428E-AFAB-68B631BD89BB}"/>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18" name="Shape 7">
          <a:extLst>
            <a:ext uri="{FF2B5EF4-FFF2-40B4-BE49-F238E27FC236}">
              <a16:creationId xmlns:a16="http://schemas.microsoft.com/office/drawing/2014/main" id="{4C7D13F4-EDDA-48EA-BF55-67EC97CD30DE}"/>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19" name="Shape 8">
          <a:extLst>
            <a:ext uri="{FF2B5EF4-FFF2-40B4-BE49-F238E27FC236}">
              <a16:creationId xmlns:a16="http://schemas.microsoft.com/office/drawing/2014/main" id="{68ED7A0C-5E26-417E-92A7-808D3482F4CD}"/>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20" name="Shape 8">
          <a:extLst>
            <a:ext uri="{FF2B5EF4-FFF2-40B4-BE49-F238E27FC236}">
              <a16:creationId xmlns:a16="http://schemas.microsoft.com/office/drawing/2014/main" id="{F8E60054-9774-4C00-AA10-458A35FD9CCB}"/>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21" name="Shape 7">
          <a:extLst>
            <a:ext uri="{FF2B5EF4-FFF2-40B4-BE49-F238E27FC236}">
              <a16:creationId xmlns:a16="http://schemas.microsoft.com/office/drawing/2014/main" id="{B0A7CE13-0810-42FD-A60D-AE798AC1013F}"/>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22" name="Shape 7">
          <a:extLst>
            <a:ext uri="{FF2B5EF4-FFF2-40B4-BE49-F238E27FC236}">
              <a16:creationId xmlns:a16="http://schemas.microsoft.com/office/drawing/2014/main" id="{4D7854CD-ACD1-4797-B124-D962B821085D}"/>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23" name="Shape 8">
          <a:extLst>
            <a:ext uri="{FF2B5EF4-FFF2-40B4-BE49-F238E27FC236}">
              <a16:creationId xmlns:a16="http://schemas.microsoft.com/office/drawing/2014/main" id="{5C5407FD-37CA-4CA5-A4DC-D820A4C128A3}"/>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24" name="Shape 8">
          <a:extLst>
            <a:ext uri="{FF2B5EF4-FFF2-40B4-BE49-F238E27FC236}">
              <a16:creationId xmlns:a16="http://schemas.microsoft.com/office/drawing/2014/main" id="{8ED55331-8677-4249-8622-E8D0A985C139}"/>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25" name="Shape 7">
          <a:extLst>
            <a:ext uri="{FF2B5EF4-FFF2-40B4-BE49-F238E27FC236}">
              <a16:creationId xmlns:a16="http://schemas.microsoft.com/office/drawing/2014/main" id="{89E5DAC7-79AF-49EE-9170-DA78C74DFAC8}"/>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26" name="Shape 7">
          <a:extLst>
            <a:ext uri="{FF2B5EF4-FFF2-40B4-BE49-F238E27FC236}">
              <a16:creationId xmlns:a16="http://schemas.microsoft.com/office/drawing/2014/main" id="{53968A49-C52D-4897-AED4-D86FBDAE85D1}"/>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27" name="Shape 8">
          <a:extLst>
            <a:ext uri="{FF2B5EF4-FFF2-40B4-BE49-F238E27FC236}">
              <a16:creationId xmlns:a16="http://schemas.microsoft.com/office/drawing/2014/main" id="{7558B812-DBD4-4153-BCAA-E61C4F3B49D0}"/>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28" name="Shape 8">
          <a:extLst>
            <a:ext uri="{FF2B5EF4-FFF2-40B4-BE49-F238E27FC236}">
              <a16:creationId xmlns:a16="http://schemas.microsoft.com/office/drawing/2014/main" id="{D9E1AA79-448E-4148-952A-A26D428E6832}"/>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29" name="Shape 7">
          <a:extLst>
            <a:ext uri="{FF2B5EF4-FFF2-40B4-BE49-F238E27FC236}">
              <a16:creationId xmlns:a16="http://schemas.microsoft.com/office/drawing/2014/main" id="{6A58CB6F-D1C6-4B39-863B-8B4C99B67E3E}"/>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30" name="Shape 7">
          <a:extLst>
            <a:ext uri="{FF2B5EF4-FFF2-40B4-BE49-F238E27FC236}">
              <a16:creationId xmlns:a16="http://schemas.microsoft.com/office/drawing/2014/main" id="{38E8887A-FCEF-493D-97CE-0C9AEFD6A92A}"/>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31" name="Shape 7">
          <a:extLst>
            <a:ext uri="{FF2B5EF4-FFF2-40B4-BE49-F238E27FC236}">
              <a16:creationId xmlns:a16="http://schemas.microsoft.com/office/drawing/2014/main" id="{E0C99A23-CEA9-4FEF-8C2B-65150057E3E3}"/>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32" name="Shape 7">
          <a:extLst>
            <a:ext uri="{FF2B5EF4-FFF2-40B4-BE49-F238E27FC236}">
              <a16:creationId xmlns:a16="http://schemas.microsoft.com/office/drawing/2014/main" id="{96B8759C-AD74-46BB-96FE-18EC3891919D}"/>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33" name="Shape 7">
          <a:extLst>
            <a:ext uri="{FF2B5EF4-FFF2-40B4-BE49-F238E27FC236}">
              <a16:creationId xmlns:a16="http://schemas.microsoft.com/office/drawing/2014/main" id="{175AFDBC-60F4-4D2D-94FB-83E7F100E483}"/>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34" name="Shape 7">
          <a:extLst>
            <a:ext uri="{FF2B5EF4-FFF2-40B4-BE49-F238E27FC236}">
              <a16:creationId xmlns:a16="http://schemas.microsoft.com/office/drawing/2014/main" id="{9E98B80C-7CB6-4BB1-AFC7-32E52C0D1C8A}"/>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35" name="Shape 7">
          <a:extLst>
            <a:ext uri="{FF2B5EF4-FFF2-40B4-BE49-F238E27FC236}">
              <a16:creationId xmlns:a16="http://schemas.microsoft.com/office/drawing/2014/main" id="{CE8345F7-ACAB-4E2B-8168-D38B91A2D07C}"/>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36" name="Shape 7">
          <a:extLst>
            <a:ext uri="{FF2B5EF4-FFF2-40B4-BE49-F238E27FC236}">
              <a16:creationId xmlns:a16="http://schemas.microsoft.com/office/drawing/2014/main" id="{A944401C-DA34-4556-8920-4CCE90B74730}"/>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37" name="Shape 7">
          <a:extLst>
            <a:ext uri="{FF2B5EF4-FFF2-40B4-BE49-F238E27FC236}">
              <a16:creationId xmlns:a16="http://schemas.microsoft.com/office/drawing/2014/main" id="{6D0F4135-787D-4F6D-9944-60895D5CA308}"/>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38" name="Shape 7">
          <a:extLst>
            <a:ext uri="{FF2B5EF4-FFF2-40B4-BE49-F238E27FC236}">
              <a16:creationId xmlns:a16="http://schemas.microsoft.com/office/drawing/2014/main" id="{02968B64-B1D6-44FC-9E8D-0CF02BAE631B}"/>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39" name="Shape 7">
          <a:extLst>
            <a:ext uri="{FF2B5EF4-FFF2-40B4-BE49-F238E27FC236}">
              <a16:creationId xmlns:a16="http://schemas.microsoft.com/office/drawing/2014/main" id="{9AD3F583-D919-406C-AC09-EE6B57F0C9C5}"/>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40" name="Shape 7">
          <a:extLst>
            <a:ext uri="{FF2B5EF4-FFF2-40B4-BE49-F238E27FC236}">
              <a16:creationId xmlns:a16="http://schemas.microsoft.com/office/drawing/2014/main" id="{C9FB1375-9FAC-4D58-9302-714DD5F34B5B}"/>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41" name="Shape 7">
          <a:extLst>
            <a:ext uri="{FF2B5EF4-FFF2-40B4-BE49-F238E27FC236}">
              <a16:creationId xmlns:a16="http://schemas.microsoft.com/office/drawing/2014/main" id="{A29FD41E-A649-4C52-946E-373D34DABA12}"/>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42" name="Shape 7">
          <a:extLst>
            <a:ext uri="{FF2B5EF4-FFF2-40B4-BE49-F238E27FC236}">
              <a16:creationId xmlns:a16="http://schemas.microsoft.com/office/drawing/2014/main" id="{816F3C40-3380-4E59-9216-6A94ED398B72}"/>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43" name="Shape 7">
          <a:extLst>
            <a:ext uri="{FF2B5EF4-FFF2-40B4-BE49-F238E27FC236}">
              <a16:creationId xmlns:a16="http://schemas.microsoft.com/office/drawing/2014/main" id="{EC359415-34BF-4DEF-9DD5-EC2ACF4FEB28}"/>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44" name="Shape 7">
          <a:extLst>
            <a:ext uri="{FF2B5EF4-FFF2-40B4-BE49-F238E27FC236}">
              <a16:creationId xmlns:a16="http://schemas.microsoft.com/office/drawing/2014/main" id="{326235D5-141D-40DF-A3C2-A35048801F81}"/>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45" name="Shape 7">
          <a:extLst>
            <a:ext uri="{FF2B5EF4-FFF2-40B4-BE49-F238E27FC236}">
              <a16:creationId xmlns:a16="http://schemas.microsoft.com/office/drawing/2014/main" id="{C5CF5059-46A3-411B-B437-BA7DE9C11ADC}"/>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46" name="Shape 8">
          <a:extLst>
            <a:ext uri="{FF2B5EF4-FFF2-40B4-BE49-F238E27FC236}">
              <a16:creationId xmlns:a16="http://schemas.microsoft.com/office/drawing/2014/main" id="{11BB9D58-3F49-49EF-8623-0F8E6BAB566D}"/>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47" name="Shape 7">
          <a:extLst>
            <a:ext uri="{FF2B5EF4-FFF2-40B4-BE49-F238E27FC236}">
              <a16:creationId xmlns:a16="http://schemas.microsoft.com/office/drawing/2014/main" id="{4790A219-C6F0-4963-B730-B56C0DA6FF77}"/>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48" name="Shape 8">
          <a:extLst>
            <a:ext uri="{FF2B5EF4-FFF2-40B4-BE49-F238E27FC236}">
              <a16:creationId xmlns:a16="http://schemas.microsoft.com/office/drawing/2014/main" id="{52E0132C-5608-4A08-8A84-2EED5C66E74D}"/>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49" name="Shape 7">
          <a:extLst>
            <a:ext uri="{FF2B5EF4-FFF2-40B4-BE49-F238E27FC236}">
              <a16:creationId xmlns:a16="http://schemas.microsoft.com/office/drawing/2014/main" id="{C43F7166-558E-4D77-99FD-8C815822D925}"/>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50" name="Shape 8">
          <a:extLst>
            <a:ext uri="{FF2B5EF4-FFF2-40B4-BE49-F238E27FC236}">
              <a16:creationId xmlns:a16="http://schemas.microsoft.com/office/drawing/2014/main" id="{9F98605F-0949-4849-B2D6-D0CB9ED6AB60}"/>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51" name="Shape 8">
          <a:extLst>
            <a:ext uri="{FF2B5EF4-FFF2-40B4-BE49-F238E27FC236}">
              <a16:creationId xmlns:a16="http://schemas.microsoft.com/office/drawing/2014/main" id="{445345A9-3E31-4178-AD93-D873FD38A918}"/>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52" name="Shape 7">
          <a:extLst>
            <a:ext uri="{FF2B5EF4-FFF2-40B4-BE49-F238E27FC236}">
              <a16:creationId xmlns:a16="http://schemas.microsoft.com/office/drawing/2014/main" id="{ADE0693C-C7DA-47A5-930B-1CB9FBB9907C}"/>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53" name="Shape 8">
          <a:extLst>
            <a:ext uri="{FF2B5EF4-FFF2-40B4-BE49-F238E27FC236}">
              <a16:creationId xmlns:a16="http://schemas.microsoft.com/office/drawing/2014/main" id="{F8C42C4D-52D3-405D-860D-C7DB04BFDFD2}"/>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54" name="Shape 8">
          <a:extLst>
            <a:ext uri="{FF2B5EF4-FFF2-40B4-BE49-F238E27FC236}">
              <a16:creationId xmlns:a16="http://schemas.microsoft.com/office/drawing/2014/main" id="{855EC04C-24B1-4002-BB81-49D2571C3EE1}"/>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55" name="Shape 7">
          <a:extLst>
            <a:ext uri="{FF2B5EF4-FFF2-40B4-BE49-F238E27FC236}">
              <a16:creationId xmlns:a16="http://schemas.microsoft.com/office/drawing/2014/main" id="{50065154-1208-4018-96DE-5842C3BC95AC}"/>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56" name="Shape 8">
          <a:extLst>
            <a:ext uri="{FF2B5EF4-FFF2-40B4-BE49-F238E27FC236}">
              <a16:creationId xmlns:a16="http://schemas.microsoft.com/office/drawing/2014/main" id="{0C6C2AB3-DE06-4827-B2EF-17B390734AEB}"/>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57" name="Shape 8">
          <a:extLst>
            <a:ext uri="{FF2B5EF4-FFF2-40B4-BE49-F238E27FC236}">
              <a16:creationId xmlns:a16="http://schemas.microsoft.com/office/drawing/2014/main" id="{83F97EB5-CA24-4583-ADD8-A11F927C2B2D}"/>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58" name="Shape 7">
          <a:extLst>
            <a:ext uri="{FF2B5EF4-FFF2-40B4-BE49-F238E27FC236}">
              <a16:creationId xmlns:a16="http://schemas.microsoft.com/office/drawing/2014/main" id="{DE297CE4-C04B-423A-950F-D224BBBFD59F}"/>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59" name="Shape 8">
          <a:extLst>
            <a:ext uri="{FF2B5EF4-FFF2-40B4-BE49-F238E27FC236}">
              <a16:creationId xmlns:a16="http://schemas.microsoft.com/office/drawing/2014/main" id="{8594F0AD-0771-44DA-A935-5410C1152013}"/>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60" name="Shape 8">
          <a:extLst>
            <a:ext uri="{FF2B5EF4-FFF2-40B4-BE49-F238E27FC236}">
              <a16:creationId xmlns:a16="http://schemas.microsoft.com/office/drawing/2014/main" id="{92F1971B-4CCA-43ED-A52C-4330DDB1319F}"/>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61" name="Shape 7">
          <a:extLst>
            <a:ext uri="{FF2B5EF4-FFF2-40B4-BE49-F238E27FC236}">
              <a16:creationId xmlns:a16="http://schemas.microsoft.com/office/drawing/2014/main" id="{37B54A76-DF82-461C-8232-C91AF7BB81CB}"/>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62" name="Shape 8">
          <a:extLst>
            <a:ext uri="{FF2B5EF4-FFF2-40B4-BE49-F238E27FC236}">
              <a16:creationId xmlns:a16="http://schemas.microsoft.com/office/drawing/2014/main" id="{E3E5347C-7A48-4885-BE82-499CDCF62FBE}"/>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63" name="Shape 8">
          <a:extLst>
            <a:ext uri="{FF2B5EF4-FFF2-40B4-BE49-F238E27FC236}">
              <a16:creationId xmlns:a16="http://schemas.microsoft.com/office/drawing/2014/main" id="{F9528C16-AD24-4D21-8103-3EF0865BAF78}"/>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64" name="Shape 7">
          <a:extLst>
            <a:ext uri="{FF2B5EF4-FFF2-40B4-BE49-F238E27FC236}">
              <a16:creationId xmlns:a16="http://schemas.microsoft.com/office/drawing/2014/main" id="{85032C77-B5CD-43BC-89CD-D30C87D11269}"/>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65" name="Shape 7">
          <a:extLst>
            <a:ext uri="{FF2B5EF4-FFF2-40B4-BE49-F238E27FC236}">
              <a16:creationId xmlns:a16="http://schemas.microsoft.com/office/drawing/2014/main" id="{081071AF-497E-486D-B8A1-B60D4F30FA77}"/>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66" name="Shape 8">
          <a:extLst>
            <a:ext uri="{FF2B5EF4-FFF2-40B4-BE49-F238E27FC236}">
              <a16:creationId xmlns:a16="http://schemas.microsoft.com/office/drawing/2014/main" id="{DB277AD1-4B76-4C81-8924-9C6951AFD4D5}"/>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67" name="Shape 8">
          <a:extLst>
            <a:ext uri="{FF2B5EF4-FFF2-40B4-BE49-F238E27FC236}">
              <a16:creationId xmlns:a16="http://schemas.microsoft.com/office/drawing/2014/main" id="{80A0A9F9-C25F-442B-AAA8-3F5E6317211D}"/>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68" name="Shape 7">
          <a:extLst>
            <a:ext uri="{FF2B5EF4-FFF2-40B4-BE49-F238E27FC236}">
              <a16:creationId xmlns:a16="http://schemas.microsoft.com/office/drawing/2014/main" id="{84B89272-0581-4118-940F-B3CD9D50CAB1}"/>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69" name="Shape 7">
          <a:extLst>
            <a:ext uri="{FF2B5EF4-FFF2-40B4-BE49-F238E27FC236}">
              <a16:creationId xmlns:a16="http://schemas.microsoft.com/office/drawing/2014/main" id="{B30AFD1B-C4CC-45E3-A086-DE66711E9A1E}"/>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70" name="Shape 8">
          <a:extLst>
            <a:ext uri="{FF2B5EF4-FFF2-40B4-BE49-F238E27FC236}">
              <a16:creationId xmlns:a16="http://schemas.microsoft.com/office/drawing/2014/main" id="{40D90F2C-169F-4E56-B393-AFBFA9633E86}"/>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71" name="Shape 8">
          <a:extLst>
            <a:ext uri="{FF2B5EF4-FFF2-40B4-BE49-F238E27FC236}">
              <a16:creationId xmlns:a16="http://schemas.microsoft.com/office/drawing/2014/main" id="{5BE96005-41C9-4C2E-A296-16361135EDF5}"/>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72" name="Shape 7">
          <a:extLst>
            <a:ext uri="{FF2B5EF4-FFF2-40B4-BE49-F238E27FC236}">
              <a16:creationId xmlns:a16="http://schemas.microsoft.com/office/drawing/2014/main" id="{265C6587-D861-428E-8DC9-FB4734792029}"/>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73" name="Shape 7">
          <a:extLst>
            <a:ext uri="{FF2B5EF4-FFF2-40B4-BE49-F238E27FC236}">
              <a16:creationId xmlns:a16="http://schemas.microsoft.com/office/drawing/2014/main" id="{0658DC19-E909-48D6-9EE8-900E25073161}"/>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74" name="Shape 7">
          <a:extLst>
            <a:ext uri="{FF2B5EF4-FFF2-40B4-BE49-F238E27FC236}">
              <a16:creationId xmlns:a16="http://schemas.microsoft.com/office/drawing/2014/main" id="{17471B68-FC67-4591-9507-5CBA6BE5B170}"/>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75" name="Shape 7">
          <a:extLst>
            <a:ext uri="{FF2B5EF4-FFF2-40B4-BE49-F238E27FC236}">
              <a16:creationId xmlns:a16="http://schemas.microsoft.com/office/drawing/2014/main" id="{13676F35-1853-4293-8F58-6B64F7897C26}"/>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76" name="Shape 7">
          <a:extLst>
            <a:ext uri="{FF2B5EF4-FFF2-40B4-BE49-F238E27FC236}">
              <a16:creationId xmlns:a16="http://schemas.microsoft.com/office/drawing/2014/main" id="{85AEA159-5282-452F-B491-098C4700E49B}"/>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77" name="Shape 7">
          <a:extLst>
            <a:ext uri="{FF2B5EF4-FFF2-40B4-BE49-F238E27FC236}">
              <a16:creationId xmlns:a16="http://schemas.microsoft.com/office/drawing/2014/main" id="{C2041A47-FACA-49A5-8D79-ECCE216BCC70}"/>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78" name="Shape 7">
          <a:extLst>
            <a:ext uri="{FF2B5EF4-FFF2-40B4-BE49-F238E27FC236}">
              <a16:creationId xmlns:a16="http://schemas.microsoft.com/office/drawing/2014/main" id="{0DCA4752-4944-494F-BD35-535A43F8B4B3}"/>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79" name="Shape 7">
          <a:extLst>
            <a:ext uri="{FF2B5EF4-FFF2-40B4-BE49-F238E27FC236}">
              <a16:creationId xmlns:a16="http://schemas.microsoft.com/office/drawing/2014/main" id="{786E2AD9-016B-4494-897A-02B0099BBBE7}"/>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80" name="Shape 7">
          <a:extLst>
            <a:ext uri="{FF2B5EF4-FFF2-40B4-BE49-F238E27FC236}">
              <a16:creationId xmlns:a16="http://schemas.microsoft.com/office/drawing/2014/main" id="{4C2E35B4-0934-46A8-B6C9-58C3774C886F}"/>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81" name="Shape 7">
          <a:extLst>
            <a:ext uri="{FF2B5EF4-FFF2-40B4-BE49-F238E27FC236}">
              <a16:creationId xmlns:a16="http://schemas.microsoft.com/office/drawing/2014/main" id="{2557DC2B-7B84-4BBA-A55D-C9CBA76C281E}"/>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82" name="Shape 7">
          <a:extLst>
            <a:ext uri="{FF2B5EF4-FFF2-40B4-BE49-F238E27FC236}">
              <a16:creationId xmlns:a16="http://schemas.microsoft.com/office/drawing/2014/main" id="{6DCCC0B1-3074-48F1-A30B-F4C476B53013}"/>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83" name="Shape 7">
          <a:extLst>
            <a:ext uri="{FF2B5EF4-FFF2-40B4-BE49-F238E27FC236}">
              <a16:creationId xmlns:a16="http://schemas.microsoft.com/office/drawing/2014/main" id="{A8DD4CA3-21A0-4C5D-AB03-98E068308F34}"/>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84" name="Shape 7">
          <a:extLst>
            <a:ext uri="{FF2B5EF4-FFF2-40B4-BE49-F238E27FC236}">
              <a16:creationId xmlns:a16="http://schemas.microsoft.com/office/drawing/2014/main" id="{243848B2-E324-440E-84F6-E68E5889F04C}"/>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85" name="Shape 7">
          <a:extLst>
            <a:ext uri="{FF2B5EF4-FFF2-40B4-BE49-F238E27FC236}">
              <a16:creationId xmlns:a16="http://schemas.microsoft.com/office/drawing/2014/main" id="{1631CAEC-CB8F-4FB5-87A9-260A285815C1}"/>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86" name="Shape 7">
          <a:extLst>
            <a:ext uri="{FF2B5EF4-FFF2-40B4-BE49-F238E27FC236}">
              <a16:creationId xmlns:a16="http://schemas.microsoft.com/office/drawing/2014/main" id="{6C8F51A0-DB5D-46D3-93D1-27E0F6C864EA}"/>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587" name="Shape 7">
          <a:extLst>
            <a:ext uri="{FF2B5EF4-FFF2-40B4-BE49-F238E27FC236}">
              <a16:creationId xmlns:a16="http://schemas.microsoft.com/office/drawing/2014/main" id="{C6EF260C-4CB6-4E06-AB1A-1CE5F6C6136F}"/>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88" name="Shape 7">
          <a:extLst>
            <a:ext uri="{FF2B5EF4-FFF2-40B4-BE49-F238E27FC236}">
              <a16:creationId xmlns:a16="http://schemas.microsoft.com/office/drawing/2014/main" id="{EC5D1A9B-0879-41BA-A53F-E643CD45E0EA}"/>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89" name="Shape 8">
          <a:extLst>
            <a:ext uri="{FF2B5EF4-FFF2-40B4-BE49-F238E27FC236}">
              <a16:creationId xmlns:a16="http://schemas.microsoft.com/office/drawing/2014/main" id="{C0797B43-18B0-413A-B887-B4291A17E36E}"/>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90" name="Shape 7">
          <a:extLst>
            <a:ext uri="{FF2B5EF4-FFF2-40B4-BE49-F238E27FC236}">
              <a16:creationId xmlns:a16="http://schemas.microsoft.com/office/drawing/2014/main" id="{90279B79-E902-46AC-A3D1-5F1BCB05AABE}"/>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91" name="Shape 8">
          <a:extLst>
            <a:ext uri="{FF2B5EF4-FFF2-40B4-BE49-F238E27FC236}">
              <a16:creationId xmlns:a16="http://schemas.microsoft.com/office/drawing/2014/main" id="{0C97123E-3F3A-4ABF-9519-820231D741CD}"/>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92" name="Shape 7">
          <a:extLst>
            <a:ext uri="{FF2B5EF4-FFF2-40B4-BE49-F238E27FC236}">
              <a16:creationId xmlns:a16="http://schemas.microsoft.com/office/drawing/2014/main" id="{AD82F90C-418F-43A4-ABEC-386ABF58DD40}"/>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93" name="Shape 8">
          <a:extLst>
            <a:ext uri="{FF2B5EF4-FFF2-40B4-BE49-F238E27FC236}">
              <a16:creationId xmlns:a16="http://schemas.microsoft.com/office/drawing/2014/main" id="{86075BD6-57AC-4656-90C8-F4D24B684B42}"/>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94" name="Shape 8">
          <a:extLst>
            <a:ext uri="{FF2B5EF4-FFF2-40B4-BE49-F238E27FC236}">
              <a16:creationId xmlns:a16="http://schemas.microsoft.com/office/drawing/2014/main" id="{409AA882-470A-48CB-B4F1-015F66A5E8FE}"/>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95" name="Shape 7">
          <a:extLst>
            <a:ext uri="{FF2B5EF4-FFF2-40B4-BE49-F238E27FC236}">
              <a16:creationId xmlns:a16="http://schemas.microsoft.com/office/drawing/2014/main" id="{EF8FA1AB-03EF-4E00-9076-0302E69A6891}"/>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96" name="Shape 8">
          <a:extLst>
            <a:ext uri="{FF2B5EF4-FFF2-40B4-BE49-F238E27FC236}">
              <a16:creationId xmlns:a16="http://schemas.microsoft.com/office/drawing/2014/main" id="{93E29470-0955-4B25-95F0-27D2E0F720EF}"/>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97" name="Shape 8">
          <a:extLst>
            <a:ext uri="{FF2B5EF4-FFF2-40B4-BE49-F238E27FC236}">
              <a16:creationId xmlns:a16="http://schemas.microsoft.com/office/drawing/2014/main" id="{BB398434-8A9D-44BE-816E-B2B0D912FF03}"/>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598" name="Shape 7">
          <a:extLst>
            <a:ext uri="{FF2B5EF4-FFF2-40B4-BE49-F238E27FC236}">
              <a16:creationId xmlns:a16="http://schemas.microsoft.com/office/drawing/2014/main" id="{4992B692-D088-4393-9C4D-8C5B70BF059F}"/>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599" name="Shape 8">
          <a:extLst>
            <a:ext uri="{FF2B5EF4-FFF2-40B4-BE49-F238E27FC236}">
              <a16:creationId xmlns:a16="http://schemas.microsoft.com/office/drawing/2014/main" id="{4CCED63C-51A7-4E0A-A6C5-144973FF53BA}"/>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00" name="Shape 8">
          <a:extLst>
            <a:ext uri="{FF2B5EF4-FFF2-40B4-BE49-F238E27FC236}">
              <a16:creationId xmlns:a16="http://schemas.microsoft.com/office/drawing/2014/main" id="{D994166C-52C4-4C43-ABF4-C152CAF7EE12}"/>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01" name="Shape 7">
          <a:extLst>
            <a:ext uri="{FF2B5EF4-FFF2-40B4-BE49-F238E27FC236}">
              <a16:creationId xmlns:a16="http://schemas.microsoft.com/office/drawing/2014/main" id="{B0B95E9C-DA78-4DF9-B93B-B14275CD4BB0}"/>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02" name="Shape 8">
          <a:extLst>
            <a:ext uri="{FF2B5EF4-FFF2-40B4-BE49-F238E27FC236}">
              <a16:creationId xmlns:a16="http://schemas.microsoft.com/office/drawing/2014/main" id="{E51190E2-B291-429F-90E8-C06FC4FD0328}"/>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03" name="Shape 8">
          <a:extLst>
            <a:ext uri="{FF2B5EF4-FFF2-40B4-BE49-F238E27FC236}">
              <a16:creationId xmlns:a16="http://schemas.microsoft.com/office/drawing/2014/main" id="{1D4546E5-D3C4-4685-8ECE-93423ECEAF34}"/>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04" name="Shape 7">
          <a:extLst>
            <a:ext uri="{FF2B5EF4-FFF2-40B4-BE49-F238E27FC236}">
              <a16:creationId xmlns:a16="http://schemas.microsoft.com/office/drawing/2014/main" id="{B7DF6DAF-6F9F-4ED2-9707-F3EC403B9CDA}"/>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05" name="Shape 8">
          <a:extLst>
            <a:ext uri="{FF2B5EF4-FFF2-40B4-BE49-F238E27FC236}">
              <a16:creationId xmlns:a16="http://schemas.microsoft.com/office/drawing/2014/main" id="{4C3D9478-0BE0-48C4-B0D5-B89D1E06218B}"/>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06" name="Shape 8">
          <a:extLst>
            <a:ext uri="{FF2B5EF4-FFF2-40B4-BE49-F238E27FC236}">
              <a16:creationId xmlns:a16="http://schemas.microsoft.com/office/drawing/2014/main" id="{87CE7CF9-802D-4DD3-B98B-CF9785BC5E95}"/>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07" name="Shape 7">
          <a:extLst>
            <a:ext uri="{FF2B5EF4-FFF2-40B4-BE49-F238E27FC236}">
              <a16:creationId xmlns:a16="http://schemas.microsoft.com/office/drawing/2014/main" id="{81C75564-6114-4B95-A4C7-0D4FD85462AC}"/>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08" name="Shape 7">
          <a:extLst>
            <a:ext uri="{FF2B5EF4-FFF2-40B4-BE49-F238E27FC236}">
              <a16:creationId xmlns:a16="http://schemas.microsoft.com/office/drawing/2014/main" id="{18023B2D-370C-452E-BE25-F9DDE14BEC32}"/>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09" name="Shape 8">
          <a:extLst>
            <a:ext uri="{FF2B5EF4-FFF2-40B4-BE49-F238E27FC236}">
              <a16:creationId xmlns:a16="http://schemas.microsoft.com/office/drawing/2014/main" id="{4D734C69-5BB1-4BC3-8DA3-9DEE6D25A300}"/>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10" name="Shape 8">
          <a:extLst>
            <a:ext uri="{FF2B5EF4-FFF2-40B4-BE49-F238E27FC236}">
              <a16:creationId xmlns:a16="http://schemas.microsoft.com/office/drawing/2014/main" id="{6D561F63-6177-41AB-963B-D3B1041A062C}"/>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11" name="Shape 7">
          <a:extLst>
            <a:ext uri="{FF2B5EF4-FFF2-40B4-BE49-F238E27FC236}">
              <a16:creationId xmlns:a16="http://schemas.microsoft.com/office/drawing/2014/main" id="{115C28C4-CD8A-4F6F-BA88-01B38BC50A0F}"/>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12" name="Shape 7">
          <a:extLst>
            <a:ext uri="{FF2B5EF4-FFF2-40B4-BE49-F238E27FC236}">
              <a16:creationId xmlns:a16="http://schemas.microsoft.com/office/drawing/2014/main" id="{7C32EA77-C922-4574-8755-7B910BA78459}"/>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13" name="Shape 8">
          <a:extLst>
            <a:ext uri="{FF2B5EF4-FFF2-40B4-BE49-F238E27FC236}">
              <a16:creationId xmlns:a16="http://schemas.microsoft.com/office/drawing/2014/main" id="{A722FB38-1D0D-4A3E-98A6-3A6C4C0531E4}"/>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14" name="Shape 7">
          <a:extLst>
            <a:ext uri="{FF2B5EF4-FFF2-40B4-BE49-F238E27FC236}">
              <a16:creationId xmlns:a16="http://schemas.microsoft.com/office/drawing/2014/main" id="{8AC87EF0-FAF7-4FBE-92D7-523D9BD0DF96}"/>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15" name="Shape 8">
          <a:extLst>
            <a:ext uri="{FF2B5EF4-FFF2-40B4-BE49-F238E27FC236}">
              <a16:creationId xmlns:a16="http://schemas.microsoft.com/office/drawing/2014/main" id="{B199D081-5672-4E4D-B96E-10A284E42CE8}"/>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16" name="Shape 7">
          <a:extLst>
            <a:ext uri="{FF2B5EF4-FFF2-40B4-BE49-F238E27FC236}">
              <a16:creationId xmlns:a16="http://schemas.microsoft.com/office/drawing/2014/main" id="{806E58BD-F162-49E7-B5BC-3AB76F479665}"/>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17" name="Shape 8">
          <a:extLst>
            <a:ext uri="{FF2B5EF4-FFF2-40B4-BE49-F238E27FC236}">
              <a16:creationId xmlns:a16="http://schemas.microsoft.com/office/drawing/2014/main" id="{481B1297-1B01-42B1-B6FE-843523860362}"/>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18" name="Shape 7">
          <a:extLst>
            <a:ext uri="{FF2B5EF4-FFF2-40B4-BE49-F238E27FC236}">
              <a16:creationId xmlns:a16="http://schemas.microsoft.com/office/drawing/2014/main" id="{B9A96B74-2B8D-4826-A900-51A334159C72}"/>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19" name="Shape 8">
          <a:extLst>
            <a:ext uri="{FF2B5EF4-FFF2-40B4-BE49-F238E27FC236}">
              <a16:creationId xmlns:a16="http://schemas.microsoft.com/office/drawing/2014/main" id="{2B493640-AC00-4311-9EB1-034AD84B3CDD}"/>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20" name="Shape 8">
          <a:extLst>
            <a:ext uri="{FF2B5EF4-FFF2-40B4-BE49-F238E27FC236}">
              <a16:creationId xmlns:a16="http://schemas.microsoft.com/office/drawing/2014/main" id="{C9949B87-6470-46C0-90EA-CB7F791EC577}"/>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21" name="Shape 7">
          <a:extLst>
            <a:ext uri="{FF2B5EF4-FFF2-40B4-BE49-F238E27FC236}">
              <a16:creationId xmlns:a16="http://schemas.microsoft.com/office/drawing/2014/main" id="{B49D7361-460F-4CCB-849B-E8574E39EA69}"/>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22" name="Shape 8">
          <a:extLst>
            <a:ext uri="{FF2B5EF4-FFF2-40B4-BE49-F238E27FC236}">
              <a16:creationId xmlns:a16="http://schemas.microsoft.com/office/drawing/2014/main" id="{28626FDB-ED7F-420F-BD6E-D5D85E4AF8E5}"/>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23" name="Shape 8">
          <a:extLst>
            <a:ext uri="{FF2B5EF4-FFF2-40B4-BE49-F238E27FC236}">
              <a16:creationId xmlns:a16="http://schemas.microsoft.com/office/drawing/2014/main" id="{5B44C21C-CA0C-4A65-8E1D-14C13F9413FF}"/>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24" name="Shape 7">
          <a:extLst>
            <a:ext uri="{FF2B5EF4-FFF2-40B4-BE49-F238E27FC236}">
              <a16:creationId xmlns:a16="http://schemas.microsoft.com/office/drawing/2014/main" id="{AEF1679F-ED20-4FFD-BC5B-4085ED717E3F}"/>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25" name="Shape 8">
          <a:extLst>
            <a:ext uri="{FF2B5EF4-FFF2-40B4-BE49-F238E27FC236}">
              <a16:creationId xmlns:a16="http://schemas.microsoft.com/office/drawing/2014/main" id="{957FD20A-A908-45EA-9C43-9407F57FA05C}"/>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26" name="Shape 8">
          <a:extLst>
            <a:ext uri="{FF2B5EF4-FFF2-40B4-BE49-F238E27FC236}">
              <a16:creationId xmlns:a16="http://schemas.microsoft.com/office/drawing/2014/main" id="{7D59D786-F45F-4445-8B79-4566AC1B4DF0}"/>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27" name="Shape 7">
          <a:extLst>
            <a:ext uri="{FF2B5EF4-FFF2-40B4-BE49-F238E27FC236}">
              <a16:creationId xmlns:a16="http://schemas.microsoft.com/office/drawing/2014/main" id="{5C2DF381-4426-4219-BAC4-4F6EDC48F6A3}"/>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28" name="Shape 8">
          <a:extLst>
            <a:ext uri="{FF2B5EF4-FFF2-40B4-BE49-F238E27FC236}">
              <a16:creationId xmlns:a16="http://schemas.microsoft.com/office/drawing/2014/main" id="{7D1B9728-322F-4BF5-A005-5C80C139D04C}"/>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29" name="Shape 8">
          <a:extLst>
            <a:ext uri="{FF2B5EF4-FFF2-40B4-BE49-F238E27FC236}">
              <a16:creationId xmlns:a16="http://schemas.microsoft.com/office/drawing/2014/main" id="{3E895F1E-7155-4686-9503-7C147E4F3E16}"/>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30" name="Shape 7">
          <a:extLst>
            <a:ext uri="{FF2B5EF4-FFF2-40B4-BE49-F238E27FC236}">
              <a16:creationId xmlns:a16="http://schemas.microsoft.com/office/drawing/2014/main" id="{CE0ECDB6-AA52-438D-9565-C8652D050221}"/>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31" name="Shape 8">
          <a:extLst>
            <a:ext uri="{FF2B5EF4-FFF2-40B4-BE49-F238E27FC236}">
              <a16:creationId xmlns:a16="http://schemas.microsoft.com/office/drawing/2014/main" id="{286AC71F-C010-43F3-B677-FFF24DEE3BF1}"/>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32" name="Shape 8">
          <a:extLst>
            <a:ext uri="{FF2B5EF4-FFF2-40B4-BE49-F238E27FC236}">
              <a16:creationId xmlns:a16="http://schemas.microsoft.com/office/drawing/2014/main" id="{23A6F2A7-6FF2-4ADF-9171-6A60BE78060C}"/>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33" name="Shape 7">
          <a:extLst>
            <a:ext uri="{FF2B5EF4-FFF2-40B4-BE49-F238E27FC236}">
              <a16:creationId xmlns:a16="http://schemas.microsoft.com/office/drawing/2014/main" id="{8E6652A3-19DA-4954-B4D8-AD21010BDBB8}"/>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34" name="Shape 7">
          <a:extLst>
            <a:ext uri="{FF2B5EF4-FFF2-40B4-BE49-F238E27FC236}">
              <a16:creationId xmlns:a16="http://schemas.microsoft.com/office/drawing/2014/main" id="{C55C07C2-E519-4E96-B8C5-2E902BF577D5}"/>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35" name="Shape 8">
          <a:extLst>
            <a:ext uri="{FF2B5EF4-FFF2-40B4-BE49-F238E27FC236}">
              <a16:creationId xmlns:a16="http://schemas.microsoft.com/office/drawing/2014/main" id="{5B62DEF1-06D9-4E8B-B276-E0F551BAAD52}"/>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36" name="Shape 8">
          <a:extLst>
            <a:ext uri="{FF2B5EF4-FFF2-40B4-BE49-F238E27FC236}">
              <a16:creationId xmlns:a16="http://schemas.microsoft.com/office/drawing/2014/main" id="{C3218C85-5002-4FF2-9CD5-40BBF6CBD851}"/>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37" name="Shape 7">
          <a:extLst>
            <a:ext uri="{FF2B5EF4-FFF2-40B4-BE49-F238E27FC236}">
              <a16:creationId xmlns:a16="http://schemas.microsoft.com/office/drawing/2014/main" id="{36235627-0C2A-4E40-84E1-EDA23E4A8A49}"/>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38" name="Shape 7">
          <a:extLst>
            <a:ext uri="{FF2B5EF4-FFF2-40B4-BE49-F238E27FC236}">
              <a16:creationId xmlns:a16="http://schemas.microsoft.com/office/drawing/2014/main" id="{222EF959-B5B3-4E04-A326-8159C2F5592A}"/>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39" name="Shape 8">
          <a:extLst>
            <a:ext uri="{FF2B5EF4-FFF2-40B4-BE49-F238E27FC236}">
              <a16:creationId xmlns:a16="http://schemas.microsoft.com/office/drawing/2014/main" id="{A4ACCEEC-4F1B-4B42-99C8-FD5B384EE72F}"/>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40" name="Shape 7">
          <a:extLst>
            <a:ext uri="{FF2B5EF4-FFF2-40B4-BE49-F238E27FC236}">
              <a16:creationId xmlns:a16="http://schemas.microsoft.com/office/drawing/2014/main" id="{5F7C7610-B069-40EE-877A-1356D3820388}"/>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41" name="Shape 8">
          <a:extLst>
            <a:ext uri="{FF2B5EF4-FFF2-40B4-BE49-F238E27FC236}">
              <a16:creationId xmlns:a16="http://schemas.microsoft.com/office/drawing/2014/main" id="{40C2E147-EACB-4449-9A11-549BBE9E1D27}"/>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42" name="Shape 7">
          <a:extLst>
            <a:ext uri="{FF2B5EF4-FFF2-40B4-BE49-F238E27FC236}">
              <a16:creationId xmlns:a16="http://schemas.microsoft.com/office/drawing/2014/main" id="{D1AECB98-1565-4359-8277-62DA34417129}"/>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43" name="Shape 8">
          <a:extLst>
            <a:ext uri="{FF2B5EF4-FFF2-40B4-BE49-F238E27FC236}">
              <a16:creationId xmlns:a16="http://schemas.microsoft.com/office/drawing/2014/main" id="{5A2201AE-230A-4415-B45F-0CE1BEBF47AE}"/>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44" name="Shape 7">
          <a:extLst>
            <a:ext uri="{FF2B5EF4-FFF2-40B4-BE49-F238E27FC236}">
              <a16:creationId xmlns:a16="http://schemas.microsoft.com/office/drawing/2014/main" id="{9865DDDC-4070-4F5B-8D1D-84D31574FE16}"/>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45" name="Shape 8">
          <a:extLst>
            <a:ext uri="{FF2B5EF4-FFF2-40B4-BE49-F238E27FC236}">
              <a16:creationId xmlns:a16="http://schemas.microsoft.com/office/drawing/2014/main" id="{36D8CAFD-F7CF-461C-991C-62C6FF45AC48}"/>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46" name="Shape 8">
          <a:extLst>
            <a:ext uri="{FF2B5EF4-FFF2-40B4-BE49-F238E27FC236}">
              <a16:creationId xmlns:a16="http://schemas.microsoft.com/office/drawing/2014/main" id="{674D0AC1-7D1B-4B22-A60D-F9A97B41DFAF}"/>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47" name="Shape 7">
          <a:extLst>
            <a:ext uri="{FF2B5EF4-FFF2-40B4-BE49-F238E27FC236}">
              <a16:creationId xmlns:a16="http://schemas.microsoft.com/office/drawing/2014/main" id="{6455C2C1-758B-426A-97EC-3218148F56D7}"/>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48" name="Shape 8">
          <a:extLst>
            <a:ext uri="{FF2B5EF4-FFF2-40B4-BE49-F238E27FC236}">
              <a16:creationId xmlns:a16="http://schemas.microsoft.com/office/drawing/2014/main" id="{80E426F9-897C-407B-A8C4-AA67E1A69CF6}"/>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49" name="Shape 8">
          <a:extLst>
            <a:ext uri="{FF2B5EF4-FFF2-40B4-BE49-F238E27FC236}">
              <a16:creationId xmlns:a16="http://schemas.microsoft.com/office/drawing/2014/main" id="{94259FD4-AD26-468A-89E8-2C747A561C5C}"/>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50" name="Shape 7">
          <a:extLst>
            <a:ext uri="{FF2B5EF4-FFF2-40B4-BE49-F238E27FC236}">
              <a16:creationId xmlns:a16="http://schemas.microsoft.com/office/drawing/2014/main" id="{4C0B8365-C7F1-4441-BE35-B448D63A8C2D}"/>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51" name="Shape 8">
          <a:extLst>
            <a:ext uri="{FF2B5EF4-FFF2-40B4-BE49-F238E27FC236}">
              <a16:creationId xmlns:a16="http://schemas.microsoft.com/office/drawing/2014/main" id="{7A10B3E2-75E7-4CF2-9FD5-6B08BFE77F7E}"/>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52" name="Shape 8">
          <a:extLst>
            <a:ext uri="{FF2B5EF4-FFF2-40B4-BE49-F238E27FC236}">
              <a16:creationId xmlns:a16="http://schemas.microsoft.com/office/drawing/2014/main" id="{E79458D9-F60E-45D4-9BE6-8A5E23A88529}"/>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53" name="Shape 7">
          <a:extLst>
            <a:ext uri="{FF2B5EF4-FFF2-40B4-BE49-F238E27FC236}">
              <a16:creationId xmlns:a16="http://schemas.microsoft.com/office/drawing/2014/main" id="{8516A54B-39D6-46C0-A191-B8216ED1A6F8}"/>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54" name="Shape 8">
          <a:extLst>
            <a:ext uri="{FF2B5EF4-FFF2-40B4-BE49-F238E27FC236}">
              <a16:creationId xmlns:a16="http://schemas.microsoft.com/office/drawing/2014/main" id="{13F6B0EB-E9FA-4CDD-B31C-EB85AB5098A2}"/>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55" name="Shape 8">
          <a:extLst>
            <a:ext uri="{FF2B5EF4-FFF2-40B4-BE49-F238E27FC236}">
              <a16:creationId xmlns:a16="http://schemas.microsoft.com/office/drawing/2014/main" id="{B596D190-0DDF-48B3-A570-CAA1BA2474FD}"/>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56" name="Shape 7">
          <a:extLst>
            <a:ext uri="{FF2B5EF4-FFF2-40B4-BE49-F238E27FC236}">
              <a16:creationId xmlns:a16="http://schemas.microsoft.com/office/drawing/2014/main" id="{AC4F148C-42EE-4E97-BE28-82D83BE7467B}"/>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57" name="Shape 8">
          <a:extLst>
            <a:ext uri="{FF2B5EF4-FFF2-40B4-BE49-F238E27FC236}">
              <a16:creationId xmlns:a16="http://schemas.microsoft.com/office/drawing/2014/main" id="{9D293A72-C439-4AEF-B06C-F26303952209}"/>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58" name="Shape 8">
          <a:extLst>
            <a:ext uri="{FF2B5EF4-FFF2-40B4-BE49-F238E27FC236}">
              <a16:creationId xmlns:a16="http://schemas.microsoft.com/office/drawing/2014/main" id="{6BF9DF40-1F86-479F-AA08-D4567422501C}"/>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59" name="Shape 7">
          <a:extLst>
            <a:ext uri="{FF2B5EF4-FFF2-40B4-BE49-F238E27FC236}">
              <a16:creationId xmlns:a16="http://schemas.microsoft.com/office/drawing/2014/main" id="{02905A1A-0066-47CB-A82B-85448723AC0C}"/>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60" name="Shape 7">
          <a:extLst>
            <a:ext uri="{FF2B5EF4-FFF2-40B4-BE49-F238E27FC236}">
              <a16:creationId xmlns:a16="http://schemas.microsoft.com/office/drawing/2014/main" id="{C87B9F8A-C18E-409A-884E-7CA3A3267600}"/>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61" name="Shape 8">
          <a:extLst>
            <a:ext uri="{FF2B5EF4-FFF2-40B4-BE49-F238E27FC236}">
              <a16:creationId xmlns:a16="http://schemas.microsoft.com/office/drawing/2014/main" id="{D8E008F0-E552-4204-98D1-55226EE50829}"/>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62" name="Shape 8">
          <a:extLst>
            <a:ext uri="{FF2B5EF4-FFF2-40B4-BE49-F238E27FC236}">
              <a16:creationId xmlns:a16="http://schemas.microsoft.com/office/drawing/2014/main" id="{6005A21E-D6E3-4986-BE35-33EEB112CC3B}"/>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63" name="Shape 7">
          <a:extLst>
            <a:ext uri="{FF2B5EF4-FFF2-40B4-BE49-F238E27FC236}">
              <a16:creationId xmlns:a16="http://schemas.microsoft.com/office/drawing/2014/main" id="{2D196B56-C48E-4610-A6CF-6FA5BEC7F760}"/>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64" name="Shape 7">
          <a:extLst>
            <a:ext uri="{FF2B5EF4-FFF2-40B4-BE49-F238E27FC236}">
              <a16:creationId xmlns:a16="http://schemas.microsoft.com/office/drawing/2014/main" id="{42CF8DDE-05D2-484A-99C1-E3E20D320FFD}"/>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65" name="Shape 8">
          <a:extLst>
            <a:ext uri="{FF2B5EF4-FFF2-40B4-BE49-F238E27FC236}">
              <a16:creationId xmlns:a16="http://schemas.microsoft.com/office/drawing/2014/main" id="{889AE58D-C3BC-497F-A54A-E78121092510}"/>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66" name="Shape 7">
          <a:extLst>
            <a:ext uri="{FF2B5EF4-FFF2-40B4-BE49-F238E27FC236}">
              <a16:creationId xmlns:a16="http://schemas.microsoft.com/office/drawing/2014/main" id="{72492729-E6D7-456D-B2A2-07BFFBE31365}"/>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67" name="Shape 8">
          <a:extLst>
            <a:ext uri="{FF2B5EF4-FFF2-40B4-BE49-F238E27FC236}">
              <a16:creationId xmlns:a16="http://schemas.microsoft.com/office/drawing/2014/main" id="{F6DDFB0F-9FBF-4968-8205-753184CA10E7}"/>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68" name="Shape 7">
          <a:extLst>
            <a:ext uri="{FF2B5EF4-FFF2-40B4-BE49-F238E27FC236}">
              <a16:creationId xmlns:a16="http://schemas.microsoft.com/office/drawing/2014/main" id="{76ABA510-DB5A-4BB9-AEAC-06975616473D}"/>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69" name="Shape 8">
          <a:extLst>
            <a:ext uri="{FF2B5EF4-FFF2-40B4-BE49-F238E27FC236}">
              <a16:creationId xmlns:a16="http://schemas.microsoft.com/office/drawing/2014/main" id="{8E313959-C49F-4F2A-B4F2-5E4399B64287}"/>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70" name="Shape 7">
          <a:extLst>
            <a:ext uri="{FF2B5EF4-FFF2-40B4-BE49-F238E27FC236}">
              <a16:creationId xmlns:a16="http://schemas.microsoft.com/office/drawing/2014/main" id="{1C2BD0F4-D30F-41EC-B8F0-F6BBE7C8589A}"/>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71" name="Shape 8">
          <a:extLst>
            <a:ext uri="{FF2B5EF4-FFF2-40B4-BE49-F238E27FC236}">
              <a16:creationId xmlns:a16="http://schemas.microsoft.com/office/drawing/2014/main" id="{9ABA34FD-D0E8-4565-8A47-B837C0311579}"/>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72" name="Shape 8">
          <a:extLst>
            <a:ext uri="{FF2B5EF4-FFF2-40B4-BE49-F238E27FC236}">
              <a16:creationId xmlns:a16="http://schemas.microsoft.com/office/drawing/2014/main" id="{8FE401EC-1572-4419-B415-EA7F9E34F6D7}"/>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73" name="Shape 7">
          <a:extLst>
            <a:ext uri="{FF2B5EF4-FFF2-40B4-BE49-F238E27FC236}">
              <a16:creationId xmlns:a16="http://schemas.microsoft.com/office/drawing/2014/main" id="{986CD0E0-39CB-41D6-99B2-893D240C81F8}"/>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74" name="Shape 8">
          <a:extLst>
            <a:ext uri="{FF2B5EF4-FFF2-40B4-BE49-F238E27FC236}">
              <a16:creationId xmlns:a16="http://schemas.microsoft.com/office/drawing/2014/main" id="{2DBE83FF-F7C1-4D03-8E5C-FD4333B7F8CA}"/>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75" name="Shape 8">
          <a:extLst>
            <a:ext uri="{FF2B5EF4-FFF2-40B4-BE49-F238E27FC236}">
              <a16:creationId xmlns:a16="http://schemas.microsoft.com/office/drawing/2014/main" id="{6F67E2E8-E01F-4337-B315-032946FCBC5D}"/>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76" name="Shape 7">
          <a:extLst>
            <a:ext uri="{FF2B5EF4-FFF2-40B4-BE49-F238E27FC236}">
              <a16:creationId xmlns:a16="http://schemas.microsoft.com/office/drawing/2014/main" id="{027D938A-63FA-499A-B4EA-8629D9ED20B7}"/>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77" name="Shape 8">
          <a:extLst>
            <a:ext uri="{FF2B5EF4-FFF2-40B4-BE49-F238E27FC236}">
              <a16:creationId xmlns:a16="http://schemas.microsoft.com/office/drawing/2014/main" id="{3A0198B9-D995-4C72-8111-C1A1DD5C9728}"/>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78" name="Shape 8">
          <a:extLst>
            <a:ext uri="{FF2B5EF4-FFF2-40B4-BE49-F238E27FC236}">
              <a16:creationId xmlns:a16="http://schemas.microsoft.com/office/drawing/2014/main" id="{1939D564-962A-4C15-A415-219D400EC53C}"/>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79" name="Shape 7">
          <a:extLst>
            <a:ext uri="{FF2B5EF4-FFF2-40B4-BE49-F238E27FC236}">
              <a16:creationId xmlns:a16="http://schemas.microsoft.com/office/drawing/2014/main" id="{6A3E7CD2-9E80-4663-BE00-0C9782FC908E}"/>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80" name="Shape 8">
          <a:extLst>
            <a:ext uri="{FF2B5EF4-FFF2-40B4-BE49-F238E27FC236}">
              <a16:creationId xmlns:a16="http://schemas.microsoft.com/office/drawing/2014/main" id="{68B19E4E-E18A-4C2B-90FE-2DBA8CAF5DBE}"/>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81" name="Shape 8">
          <a:extLst>
            <a:ext uri="{FF2B5EF4-FFF2-40B4-BE49-F238E27FC236}">
              <a16:creationId xmlns:a16="http://schemas.microsoft.com/office/drawing/2014/main" id="{F70485DA-F4EA-4526-9C3E-29EC0B7F2932}"/>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82" name="Shape 7">
          <a:extLst>
            <a:ext uri="{FF2B5EF4-FFF2-40B4-BE49-F238E27FC236}">
              <a16:creationId xmlns:a16="http://schemas.microsoft.com/office/drawing/2014/main" id="{2F84632E-71D2-44FE-B89B-271FC3480F30}"/>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83" name="Shape 8">
          <a:extLst>
            <a:ext uri="{FF2B5EF4-FFF2-40B4-BE49-F238E27FC236}">
              <a16:creationId xmlns:a16="http://schemas.microsoft.com/office/drawing/2014/main" id="{75D7C6D6-F45D-4159-8510-BA0A58283D56}"/>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84" name="Shape 8">
          <a:extLst>
            <a:ext uri="{FF2B5EF4-FFF2-40B4-BE49-F238E27FC236}">
              <a16:creationId xmlns:a16="http://schemas.microsoft.com/office/drawing/2014/main" id="{BE4C93C2-46CF-4CD5-81AE-DD48712724D4}"/>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85" name="Shape 7">
          <a:extLst>
            <a:ext uri="{FF2B5EF4-FFF2-40B4-BE49-F238E27FC236}">
              <a16:creationId xmlns:a16="http://schemas.microsoft.com/office/drawing/2014/main" id="{F38BECD9-6FF8-45B7-AC63-436420CFC4DD}"/>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86" name="Shape 7">
          <a:extLst>
            <a:ext uri="{FF2B5EF4-FFF2-40B4-BE49-F238E27FC236}">
              <a16:creationId xmlns:a16="http://schemas.microsoft.com/office/drawing/2014/main" id="{D244794A-7704-4DC8-8A59-567C15DB9945}"/>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87" name="Shape 8">
          <a:extLst>
            <a:ext uri="{FF2B5EF4-FFF2-40B4-BE49-F238E27FC236}">
              <a16:creationId xmlns:a16="http://schemas.microsoft.com/office/drawing/2014/main" id="{55E963DD-DE79-435A-9D6E-24CC97A56493}"/>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88" name="Shape 8">
          <a:extLst>
            <a:ext uri="{FF2B5EF4-FFF2-40B4-BE49-F238E27FC236}">
              <a16:creationId xmlns:a16="http://schemas.microsoft.com/office/drawing/2014/main" id="{286D06D1-E371-4055-8BB0-2F950B9B7FE3}"/>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89" name="Shape 7">
          <a:extLst>
            <a:ext uri="{FF2B5EF4-FFF2-40B4-BE49-F238E27FC236}">
              <a16:creationId xmlns:a16="http://schemas.microsoft.com/office/drawing/2014/main" id="{E90D3C24-A403-429E-B6AD-59AD7BF9F9A0}"/>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690" name="Shape 7">
          <a:extLst>
            <a:ext uri="{FF2B5EF4-FFF2-40B4-BE49-F238E27FC236}">
              <a16:creationId xmlns:a16="http://schemas.microsoft.com/office/drawing/2014/main" id="{D0849B23-505A-4431-A7CD-29DF8A0A064D}"/>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691" name="Shape 8">
          <a:extLst>
            <a:ext uri="{FF2B5EF4-FFF2-40B4-BE49-F238E27FC236}">
              <a16:creationId xmlns:a16="http://schemas.microsoft.com/office/drawing/2014/main" id="{3CFEBD10-6C15-4DFC-AA8E-A925F870710F}"/>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692" name="Shape 7">
          <a:extLst>
            <a:ext uri="{FF2B5EF4-FFF2-40B4-BE49-F238E27FC236}">
              <a16:creationId xmlns:a16="http://schemas.microsoft.com/office/drawing/2014/main" id="{49CE1964-7444-49C8-BF27-E88DD7B7DC8D}"/>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693" name="Shape 8">
          <a:extLst>
            <a:ext uri="{FF2B5EF4-FFF2-40B4-BE49-F238E27FC236}">
              <a16:creationId xmlns:a16="http://schemas.microsoft.com/office/drawing/2014/main" id="{F0E27482-CAC6-40CB-A4BA-50781672186E}"/>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694" name="Shape 7">
          <a:extLst>
            <a:ext uri="{FF2B5EF4-FFF2-40B4-BE49-F238E27FC236}">
              <a16:creationId xmlns:a16="http://schemas.microsoft.com/office/drawing/2014/main" id="{463D9358-4ED1-4998-A462-001434951931}"/>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695" name="Shape 8">
          <a:extLst>
            <a:ext uri="{FF2B5EF4-FFF2-40B4-BE49-F238E27FC236}">
              <a16:creationId xmlns:a16="http://schemas.microsoft.com/office/drawing/2014/main" id="{D9560B18-A71E-418E-B507-337ACB946584}"/>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696" name="Shape 7">
          <a:extLst>
            <a:ext uri="{FF2B5EF4-FFF2-40B4-BE49-F238E27FC236}">
              <a16:creationId xmlns:a16="http://schemas.microsoft.com/office/drawing/2014/main" id="{28A0ADAE-5A1F-4471-81AE-4A087A5791BC}"/>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697" name="Shape 8">
          <a:extLst>
            <a:ext uri="{FF2B5EF4-FFF2-40B4-BE49-F238E27FC236}">
              <a16:creationId xmlns:a16="http://schemas.microsoft.com/office/drawing/2014/main" id="{900A9B71-7199-4094-A61F-169CEFDFF730}"/>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698" name="Shape 8">
          <a:extLst>
            <a:ext uri="{FF2B5EF4-FFF2-40B4-BE49-F238E27FC236}">
              <a16:creationId xmlns:a16="http://schemas.microsoft.com/office/drawing/2014/main" id="{DC7C45F1-E5B9-4710-B420-5FAEF0D1A243}"/>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699" name="Shape 7">
          <a:extLst>
            <a:ext uri="{FF2B5EF4-FFF2-40B4-BE49-F238E27FC236}">
              <a16:creationId xmlns:a16="http://schemas.microsoft.com/office/drawing/2014/main" id="{4EC05A1E-8BEB-4DCF-B9E5-2D74516E53AE}"/>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00" name="Shape 8">
          <a:extLst>
            <a:ext uri="{FF2B5EF4-FFF2-40B4-BE49-F238E27FC236}">
              <a16:creationId xmlns:a16="http://schemas.microsoft.com/office/drawing/2014/main" id="{B47C5A6D-138C-4743-BDFF-ABE5CB18E7CA}"/>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01" name="Shape 8">
          <a:extLst>
            <a:ext uri="{FF2B5EF4-FFF2-40B4-BE49-F238E27FC236}">
              <a16:creationId xmlns:a16="http://schemas.microsoft.com/office/drawing/2014/main" id="{068A777E-E8AA-4E3B-9C23-BB4424FD2270}"/>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02" name="Shape 7">
          <a:extLst>
            <a:ext uri="{FF2B5EF4-FFF2-40B4-BE49-F238E27FC236}">
              <a16:creationId xmlns:a16="http://schemas.microsoft.com/office/drawing/2014/main" id="{F8AD5197-C3AB-4951-9021-C25D085F1CCC}"/>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03" name="Shape 8">
          <a:extLst>
            <a:ext uri="{FF2B5EF4-FFF2-40B4-BE49-F238E27FC236}">
              <a16:creationId xmlns:a16="http://schemas.microsoft.com/office/drawing/2014/main" id="{CAB05946-03E9-45C7-AFAD-CC8E6FC6225E}"/>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04" name="Shape 8">
          <a:extLst>
            <a:ext uri="{FF2B5EF4-FFF2-40B4-BE49-F238E27FC236}">
              <a16:creationId xmlns:a16="http://schemas.microsoft.com/office/drawing/2014/main" id="{1A9484DA-87EA-4F2C-A013-6B439529C51D}"/>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05" name="Shape 7">
          <a:extLst>
            <a:ext uri="{FF2B5EF4-FFF2-40B4-BE49-F238E27FC236}">
              <a16:creationId xmlns:a16="http://schemas.microsoft.com/office/drawing/2014/main" id="{A13FDC17-57E7-47E7-9CE4-806849A40D22}"/>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06" name="Shape 8">
          <a:extLst>
            <a:ext uri="{FF2B5EF4-FFF2-40B4-BE49-F238E27FC236}">
              <a16:creationId xmlns:a16="http://schemas.microsoft.com/office/drawing/2014/main" id="{5A15DE2B-418C-4F51-9E51-E772E39D2E57}"/>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07" name="Shape 8">
          <a:extLst>
            <a:ext uri="{FF2B5EF4-FFF2-40B4-BE49-F238E27FC236}">
              <a16:creationId xmlns:a16="http://schemas.microsoft.com/office/drawing/2014/main" id="{D908958B-FABF-4695-B6AE-B1F784A82C11}"/>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08" name="Shape 7">
          <a:extLst>
            <a:ext uri="{FF2B5EF4-FFF2-40B4-BE49-F238E27FC236}">
              <a16:creationId xmlns:a16="http://schemas.microsoft.com/office/drawing/2014/main" id="{6C1C1692-9F06-4875-AFAD-033E246A88C6}"/>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09" name="Shape 8">
          <a:extLst>
            <a:ext uri="{FF2B5EF4-FFF2-40B4-BE49-F238E27FC236}">
              <a16:creationId xmlns:a16="http://schemas.microsoft.com/office/drawing/2014/main" id="{28430515-BCB0-4D62-82FD-9219A9A4EC9A}"/>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10" name="Shape 8">
          <a:extLst>
            <a:ext uri="{FF2B5EF4-FFF2-40B4-BE49-F238E27FC236}">
              <a16:creationId xmlns:a16="http://schemas.microsoft.com/office/drawing/2014/main" id="{87CAC6C1-EE78-4862-936F-A67F77CC6584}"/>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11" name="Shape 7">
          <a:extLst>
            <a:ext uri="{FF2B5EF4-FFF2-40B4-BE49-F238E27FC236}">
              <a16:creationId xmlns:a16="http://schemas.microsoft.com/office/drawing/2014/main" id="{F7378FD4-ABF4-432A-A01E-F2C930038B27}"/>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12" name="Shape 7">
          <a:extLst>
            <a:ext uri="{FF2B5EF4-FFF2-40B4-BE49-F238E27FC236}">
              <a16:creationId xmlns:a16="http://schemas.microsoft.com/office/drawing/2014/main" id="{BA460A4B-8FD3-444B-9983-A8BE2EAA92CC}"/>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13" name="Shape 8">
          <a:extLst>
            <a:ext uri="{FF2B5EF4-FFF2-40B4-BE49-F238E27FC236}">
              <a16:creationId xmlns:a16="http://schemas.microsoft.com/office/drawing/2014/main" id="{36BEE493-3CCC-4DC0-BD19-E68EC08A7342}"/>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14" name="Shape 8">
          <a:extLst>
            <a:ext uri="{FF2B5EF4-FFF2-40B4-BE49-F238E27FC236}">
              <a16:creationId xmlns:a16="http://schemas.microsoft.com/office/drawing/2014/main" id="{D2B23706-FC12-4A2B-8E2F-EC76748DFFBD}"/>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15" name="Shape 7">
          <a:extLst>
            <a:ext uri="{FF2B5EF4-FFF2-40B4-BE49-F238E27FC236}">
              <a16:creationId xmlns:a16="http://schemas.microsoft.com/office/drawing/2014/main" id="{6765A065-C804-405A-BD8D-71704F4AC82D}"/>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16" name="Shape 7">
          <a:extLst>
            <a:ext uri="{FF2B5EF4-FFF2-40B4-BE49-F238E27FC236}">
              <a16:creationId xmlns:a16="http://schemas.microsoft.com/office/drawing/2014/main" id="{942CD995-65B2-426D-8E89-8BAFC017112D}"/>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17" name="Shape 8">
          <a:extLst>
            <a:ext uri="{FF2B5EF4-FFF2-40B4-BE49-F238E27FC236}">
              <a16:creationId xmlns:a16="http://schemas.microsoft.com/office/drawing/2014/main" id="{A930B55C-DBD6-4CDB-8964-C75EEAE9FF12}"/>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18" name="Shape 8">
          <a:extLst>
            <a:ext uri="{FF2B5EF4-FFF2-40B4-BE49-F238E27FC236}">
              <a16:creationId xmlns:a16="http://schemas.microsoft.com/office/drawing/2014/main" id="{89055C21-D837-460B-9BF2-B0B6D802740D}"/>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19" name="Shape 7">
          <a:extLst>
            <a:ext uri="{FF2B5EF4-FFF2-40B4-BE49-F238E27FC236}">
              <a16:creationId xmlns:a16="http://schemas.microsoft.com/office/drawing/2014/main" id="{C8EFF1A1-2076-4421-80E0-D5F30B8227D7}"/>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20" name="Shape 7">
          <a:extLst>
            <a:ext uri="{FF2B5EF4-FFF2-40B4-BE49-F238E27FC236}">
              <a16:creationId xmlns:a16="http://schemas.microsoft.com/office/drawing/2014/main" id="{93809174-8D1C-41B4-8ACC-BBB4442563DE}"/>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21" name="Shape 7">
          <a:extLst>
            <a:ext uri="{FF2B5EF4-FFF2-40B4-BE49-F238E27FC236}">
              <a16:creationId xmlns:a16="http://schemas.microsoft.com/office/drawing/2014/main" id="{EA01C870-9A01-4A2A-83CF-989761C6C333}"/>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22" name="Shape 7">
          <a:extLst>
            <a:ext uri="{FF2B5EF4-FFF2-40B4-BE49-F238E27FC236}">
              <a16:creationId xmlns:a16="http://schemas.microsoft.com/office/drawing/2014/main" id="{4454EB91-72D1-462F-9D59-71A67687BFEE}"/>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23" name="Shape 7">
          <a:extLst>
            <a:ext uri="{FF2B5EF4-FFF2-40B4-BE49-F238E27FC236}">
              <a16:creationId xmlns:a16="http://schemas.microsoft.com/office/drawing/2014/main" id="{86AA2329-365D-4B2D-BE98-F74E3AE9A4A0}"/>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24" name="Shape 7">
          <a:extLst>
            <a:ext uri="{FF2B5EF4-FFF2-40B4-BE49-F238E27FC236}">
              <a16:creationId xmlns:a16="http://schemas.microsoft.com/office/drawing/2014/main" id="{563F5E09-F5DD-493D-AAD7-62CF3EBBE737}"/>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25" name="Shape 7">
          <a:extLst>
            <a:ext uri="{FF2B5EF4-FFF2-40B4-BE49-F238E27FC236}">
              <a16:creationId xmlns:a16="http://schemas.microsoft.com/office/drawing/2014/main" id="{526A2E52-6AC1-49D9-AF47-169016B2F0C2}"/>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26" name="Shape 7">
          <a:extLst>
            <a:ext uri="{FF2B5EF4-FFF2-40B4-BE49-F238E27FC236}">
              <a16:creationId xmlns:a16="http://schemas.microsoft.com/office/drawing/2014/main" id="{058ADFE8-12A6-425A-AE2F-FB6A866DD802}"/>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27" name="Shape 7">
          <a:extLst>
            <a:ext uri="{FF2B5EF4-FFF2-40B4-BE49-F238E27FC236}">
              <a16:creationId xmlns:a16="http://schemas.microsoft.com/office/drawing/2014/main" id="{C93B1893-D511-433B-88A5-3F1043DA337A}"/>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28" name="Shape 7">
          <a:extLst>
            <a:ext uri="{FF2B5EF4-FFF2-40B4-BE49-F238E27FC236}">
              <a16:creationId xmlns:a16="http://schemas.microsoft.com/office/drawing/2014/main" id="{B1676585-790D-4DB4-A5A7-86676F646989}"/>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29" name="Shape 7">
          <a:extLst>
            <a:ext uri="{FF2B5EF4-FFF2-40B4-BE49-F238E27FC236}">
              <a16:creationId xmlns:a16="http://schemas.microsoft.com/office/drawing/2014/main" id="{F46F0BF6-D044-4A3B-A2C6-095E9FD0F503}"/>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30" name="Shape 7">
          <a:extLst>
            <a:ext uri="{FF2B5EF4-FFF2-40B4-BE49-F238E27FC236}">
              <a16:creationId xmlns:a16="http://schemas.microsoft.com/office/drawing/2014/main" id="{01EA0F3E-6AB0-4EDC-BBF1-91F50F3577A9}"/>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31" name="Shape 7">
          <a:extLst>
            <a:ext uri="{FF2B5EF4-FFF2-40B4-BE49-F238E27FC236}">
              <a16:creationId xmlns:a16="http://schemas.microsoft.com/office/drawing/2014/main" id="{010BA4E3-488A-4565-900B-43E87E641142}"/>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32" name="Shape 7">
          <a:extLst>
            <a:ext uri="{FF2B5EF4-FFF2-40B4-BE49-F238E27FC236}">
              <a16:creationId xmlns:a16="http://schemas.microsoft.com/office/drawing/2014/main" id="{3BC9E6FD-563F-458B-83FC-72C727B42D10}"/>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33" name="Shape 7">
          <a:extLst>
            <a:ext uri="{FF2B5EF4-FFF2-40B4-BE49-F238E27FC236}">
              <a16:creationId xmlns:a16="http://schemas.microsoft.com/office/drawing/2014/main" id="{2D4778A7-8575-4D95-81D6-6C233B7444EB}"/>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34" name="Shape 7">
          <a:extLst>
            <a:ext uri="{FF2B5EF4-FFF2-40B4-BE49-F238E27FC236}">
              <a16:creationId xmlns:a16="http://schemas.microsoft.com/office/drawing/2014/main" id="{C3727719-9F09-4A26-8D1C-0CB89FE4EC10}"/>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35" name="Shape 7">
          <a:extLst>
            <a:ext uri="{FF2B5EF4-FFF2-40B4-BE49-F238E27FC236}">
              <a16:creationId xmlns:a16="http://schemas.microsoft.com/office/drawing/2014/main" id="{D947D8DB-C541-4DD5-99C9-EE642B40A154}"/>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36" name="Shape 8">
          <a:extLst>
            <a:ext uri="{FF2B5EF4-FFF2-40B4-BE49-F238E27FC236}">
              <a16:creationId xmlns:a16="http://schemas.microsoft.com/office/drawing/2014/main" id="{7C401462-369F-45DD-B2FB-DAA242EE9594}"/>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37" name="Shape 7">
          <a:extLst>
            <a:ext uri="{FF2B5EF4-FFF2-40B4-BE49-F238E27FC236}">
              <a16:creationId xmlns:a16="http://schemas.microsoft.com/office/drawing/2014/main" id="{D6259446-76B1-451B-9CB5-9DA63BF2E293}"/>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38" name="Shape 8">
          <a:extLst>
            <a:ext uri="{FF2B5EF4-FFF2-40B4-BE49-F238E27FC236}">
              <a16:creationId xmlns:a16="http://schemas.microsoft.com/office/drawing/2014/main" id="{6ADF37D6-FC71-49C4-B38E-F538CA022946}"/>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39" name="Shape 7">
          <a:extLst>
            <a:ext uri="{FF2B5EF4-FFF2-40B4-BE49-F238E27FC236}">
              <a16:creationId xmlns:a16="http://schemas.microsoft.com/office/drawing/2014/main" id="{2BC1242A-1C16-4990-9752-1ED0B90A0688}"/>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40" name="Shape 8">
          <a:extLst>
            <a:ext uri="{FF2B5EF4-FFF2-40B4-BE49-F238E27FC236}">
              <a16:creationId xmlns:a16="http://schemas.microsoft.com/office/drawing/2014/main" id="{6AD5B85F-D80A-46CB-8069-67183252E0D3}"/>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41" name="Shape 8">
          <a:extLst>
            <a:ext uri="{FF2B5EF4-FFF2-40B4-BE49-F238E27FC236}">
              <a16:creationId xmlns:a16="http://schemas.microsoft.com/office/drawing/2014/main" id="{1EE12B75-2869-46E4-AC12-D55C73EF3F95}"/>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42" name="Shape 7">
          <a:extLst>
            <a:ext uri="{FF2B5EF4-FFF2-40B4-BE49-F238E27FC236}">
              <a16:creationId xmlns:a16="http://schemas.microsoft.com/office/drawing/2014/main" id="{9F07F99E-1175-4D52-AA49-6A6C005FC907}"/>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43" name="Shape 8">
          <a:extLst>
            <a:ext uri="{FF2B5EF4-FFF2-40B4-BE49-F238E27FC236}">
              <a16:creationId xmlns:a16="http://schemas.microsoft.com/office/drawing/2014/main" id="{7019FBC3-4206-4D4F-A8C3-B2B30C6436BD}"/>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44" name="Shape 8">
          <a:extLst>
            <a:ext uri="{FF2B5EF4-FFF2-40B4-BE49-F238E27FC236}">
              <a16:creationId xmlns:a16="http://schemas.microsoft.com/office/drawing/2014/main" id="{D1F1D828-ED99-45F6-B9CC-F622C6674FE9}"/>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45" name="Shape 7">
          <a:extLst>
            <a:ext uri="{FF2B5EF4-FFF2-40B4-BE49-F238E27FC236}">
              <a16:creationId xmlns:a16="http://schemas.microsoft.com/office/drawing/2014/main" id="{A41D32B8-3D18-4B91-9419-B51B9E7284ED}"/>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46" name="Shape 8">
          <a:extLst>
            <a:ext uri="{FF2B5EF4-FFF2-40B4-BE49-F238E27FC236}">
              <a16:creationId xmlns:a16="http://schemas.microsoft.com/office/drawing/2014/main" id="{E7221148-8B2A-455B-9487-860061EA4C5A}"/>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47" name="Shape 8">
          <a:extLst>
            <a:ext uri="{FF2B5EF4-FFF2-40B4-BE49-F238E27FC236}">
              <a16:creationId xmlns:a16="http://schemas.microsoft.com/office/drawing/2014/main" id="{7799F98A-7CAF-4A54-83D4-C72CB7101C57}"/>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48" name="Shape 7">
          <a:extLst>
            <a:ext uri="{FF2B5EF4-FFF2-40B4-BE49-F238E27FC236}">
              <a16:creationId xmlns:a16="http://schemas.microsoft.com/office/drawing/2014/main" id="{B746E24E-F17A-4479-9BD4-2316D74E0A01}"/>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49" name="Shape 8">
          <a:extLst>
            <a:ext uri="{FF2B5EF4-FFF2-40B4-BE49-F238E27FC236}">
              <a16:creationId xmlns:a16="http://schemas.microsoft.com/office/drawing/2014/main" id="{E1BAE687-6FA4-4DC2-ABF7-A3E4061B4FC6}"/>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50" name="Shape 8">
          <a:extLst>
            <a:ext uri="{FF2B5EF4-FFF2-40B4-BE49-F238E27FC236}">
              <a16:creationId xmlns:a16="http://schemas.microsoft.com/office/drawing/2014/main" id="{8F0146A1-1142-41D8-9B49-03EDF7E9F73E}"/>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51" name="Shape 7">
          <a:extLst>
            <a:ext uri="{FF2B5EF4-FFF2-40B4-BE49-F238E27FC236}">
              <a16:creationId xmlns:a16="http://schemas.microsoft.com/office/drawing/2014/main" id="{C0DBBF2F-01B0-4F48-81E2-4FC4013842B9}"/>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52" name="Shape 8">
          <a:extLst>
            <a:ext uri="{FF2B5EF4-FFF2-40B4-BE49-F238E27FC236}">
              <a16:creationId xmlns:a16="http://schemas.microsoft.com/office/drawing/2014/main" id="{600BA60A-CDB0-42B0-8F51-DFC99BABC50B}"/>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53" name="Shape 8">
          <a:extLst>
            <a:ext uri="{FF2B5EF4-FFF2-40B4-BE49-F238E27FC236}">
              <a16:creationId xmlns:a16="http://schemas.microsoft.com/office/drawing/2014/main" id="{4E05962F-9E18-406B-A93D-893411EEBAF5}"/>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54" name="Shape 7">
          <a:extLst>
            <a:ext uri="{FF2B5EF4-FFF2-40B4-BE49-F238E27FC236}">
              <a16:creationId xmlns:a16="http://schemas.microsoft.com/office/drawing/2014/main" id="{0D8524DA-D1F9-48C1-A159-5FD4C13E7CCE}"/>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55" name="Shape 7">
          <a:extLst>
            <a:ext uri="{FF2B5EF4-FFF2-40B4-BE49-F238E27FC236}">
              <a16:creationId xmlns:a16="http://schemas.microsoft.com/office/drawing/2014/main" id="{4B130F4C-9644-4FA7-9343-9D95317E94CE}"/>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56" name="Shape 8">
          <a:extLst>
            <a:ext uri="{FF2B5EF4-FFF2-40B4-BE49-F238E27FC236}">
              <a16:creationId xmlns:a16="http://schemas.microsoft.com/office/drawing/2014/main" id="{6098E0C6-F7F0-4F25-BA90-1E97F2FF07FD}"/>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57" name="Shape 8">
          <a:extLst>
            <a:ext uri="{FF2B5EF4-FFF2-40B4-BE49-F238E27FC236}">
              <a16:creationId xmlns:a16="http://schemas.microsoft.com/office/drawing/2014/main" id="{1FFEE4AD-9301-42B2-88C5-63D25A41B4E9}"/>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58" name="Shape 7">
          <a:extLst>
            <a:ext uri="{FF2B5EF4-FFF2-40B4-BE49-F238E27FC236}">
              <a16:creationId xmlns:a16="http://schemas.microsoft.com/office/drawing/2014/main" id="{0F3394A5-5F06-4AD5-B1BB-07E411F36824}"/>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59" name="Shape 7">
          <a:extLst>
            <a:ext uri="{FF2B5EF4-FFF2-40B4-BE49-F238E27FC236}">
              <a16:creationId xmlns:a16="http://schemas.microsoft.com/office/drawing/2014/main" id="{C4C023D8-5345-4C56-9A6C-BB98549A56B0}"/>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60" name="Shape 8">
          <a:extLst>
            <a:ext uri="{FF2B5EF4-FFF2-40B4-BE49-F238E27FC236}">
              <a16:creationId xmlns:a16="http://schemas.microsoft.com/office/drawing/2014/main" id="{7D83CADC-F476-4FBE-91DE-4D34DE46E973}"/>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61" name="Shape 8">
          <a:extLst>
            <a:ext uri="{FF2B5EF4-FFF2-40B4-BE49-F238E27FC236}">
              <a16:creationId xmlns:a16="http://schemas.microsoft.com/office/drawing/2014/main" id="{E49915A1-ACCF-48C9-88D2-4EC45D3BF7CA}"/>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62" name="Shape 7">
          <a:extLst>
            <a:ext uri="{FF2B5EF4-FFF2-40B4-BE49-F238E27FC236}">
              <a16:creationId xmlns:a16="http://schemas.microsoft.com/office/drawing/2014/main" id="{E2D287E6-57BD-406F-B0DF-04E07FB559C3}"/>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63" name="Shape 7">
          <a:extLst>
            <a:ext uri="{FF2B5EF4-FFF2-40B4-BE49-F238E27FC236}">
              <a16:creationId xmlns:a16="http://schemas.microsoft.com/office/drawing/2014/main" id="{D260B08A-5A4B-40A9-85B7-D238D997CDAB}"/>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64" name="Shape 7">
          <a:extLst>
            <a:ext uri="{FF2B5EF4-FFF2-40B4-BE49-F238E27FC236}">
              <a16:creationId xmlns:a16="http://schemas.microsoft.com/office/drawing/2014/main" id="{18042CC6-A773-4311-87F6-328A240FF7B0}"/>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65" name="Shape 7">
          <a:extLst>
            <a:ext uri="{FF2B5EF4-FFF2-40B4-BE49-F238E27FC236}">
              <a16:creationId xmlns:a16="http://schemas.microsoft.com/office/drawing/2014/main" id="{45605F7A-964E-43C1-BBA2-931ED7BE309A}"/>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66" name="Shape 7">
          <a:extLst>
            <a:ext uri="{FF2B5EF4-FFF2-40B4-BE49-F238E27FC236}">
              <a16:creationId xmlns:a16="http://schemas.microsoft.com/office/drawing/2014/main" id="{44208815-6323-4A0A-BBEF-36F1E4FD02CE}"/>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67" name="Shape 7">
          <a:extLst>
            <a:ext uri="{FF2B5EF4-FFF2-40B4-BE49-F238E27FC236}">
              <a16:creationId xmlns:a16="http://schemas.microsoft.com/office/drawing/2014/main" id="{9EC47157-68FA-40E2-BB65-3DD9696350EC}"/>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68" name="Shape 7">
          <a:extLst>
            <a:ext uri="{FF2B5EF4-FFF2-40B4-BE49-F238E27FC236}">
              <a16:creationId xmlns:a16="http://schemas.microsoft.com/office/drawing/2014/main" id="{070D6358-43BC-4125-A42F-4F20B6F09CD5}"/>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69" name="Shape 7">
          <a:extLst>
            <a:ext uri="{FF2B5EF4-FFF2-40B4-BE49-F238E27FC236}">
              <a16:creationId xmlns:a16="http://schemas.microsoft.com/office/drawing/2014/main" id="{DF0E99C3-3BAF-4802-9AE0-42A91D58AEDE}"/>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70" name="Shape 7">
          <a:extLst>
            <a:ext uri="{FF2B5EF4-FFF2-40B4-BE49-F238E27FC236}">
              <a16:creationId xmlns:a16="http://schemas.microsoft.com/office/drawing/2014/main" id="{3A0C1AC1-E60A-45E1-8582-45553832160D}"/>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71" name="Shape 7">
          <a:extLst>
            <a:ext uri="{FF2B5EF4-FFF2-40B4-BE49-F238E27FC236}">
              <a16:creationId xmlns:a16="http://schemas.microsoft.com/office/drawing/2014/main" id="{2740B827-08ED-48AD-89CD-64EFD447EF3E}"/>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72" name="Shape 7">
          <a:extLst>
            <a:ext uri="{FF2B5EF4-FFF2-40B4-BE49-F238E27FC236}">
              <a16:creationId xmlns:a16="http://schemas.microsoft.com/office/drawing/2014/main" id="{6C67F7EC-4E7B-444B-ACEE-9B3D0E05B1E0}"/>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73" name="Shape 7">
          <a:extLst>
            <a:ext uri="{FF2B5EF4-FFF2-40B4-BE49-F238E27FC236}">
              <a16:creationId xmlns:a16="http://schemas.microsoft.com/office/drawing/2014/main" id="{2A048F7D-E320-413A-8EF4-58D536FFCB2B}"/>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74" name="Shape 7">
          <a:extLst>
            <a:ext uri="{FF2B5EF4-FFF2-40B4-BE49-F238E27FC236}">
              <a16:creationId xmlns:a16="http://schemas.microsoft.com/office/drawing/2014/main" id="{3449F45D-1F1D-40D1-A261-A23D7A0CD43C}"/>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75" name="Shape 7">
          <a:extLst>
            <a:ext uri="{FF2B5EF4-FFF2-40B4-BE49-F238E27FC236}">
              <a16:creationId xmlns:a16="http://schemas.microsoft.com/office/drawing/2014/main" id="{DD71C3F7-E3D9-4108-AF03-F722A6F6C3C3}"/>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76" name="Shape 7">
          <a:extLst>
            <a:ext uri="{FF2B5EF4-FFF2-40B4-BE49-F238E27FC236}">
              <a16:creationId xmlns:a16="http://schemas.microsoft.com/office/drawing/2014/main" id="{9EBEE6DF-F061-46B2-87BB-440CD2343834}"/>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777" name="Shape 7">
          <a:extLst>
            <a:ext uri="{FF2B5EF4-FFF2-40B4-BE49-F238E27FC236}">
              <a16:creationId xmlns:a16="http://schemas.microsoft.com/office/drawing/2014/main" id="{D332DDE7-BB2A-4330-88BA-EF6E4B9568DA}"/>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78" name="Shape 7">
          <a:extLst>
            <a:ext uri="{FF2B5EF4-FFF2-40B4-BE49-F238E27FC236}">
              <a16:creationId xmlns:a16="http://schemas.microsoft.com/office/drawing/2014/main" id="{97FE0318-8274-46B8-BCF8-572FC7B83786}"/>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79" name="Shape 8">
          <a:extLst>
            <a:ext uri="{FF2B5EF4-FFF2-40B4-BE49-F238E27FC236}">
              <a16:creationId xmlns:a16="http://schemas.microsoft.com/office/drawing/2014/main" id="{A59E6266-F69C-489F-ADF8-9C597446B0CE}"/>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80" name="Shape 7">
          <a:extLst>
            <a:ext uri="{FF2B5EF4-FFF2-40B4-BE49-F238E27FC236}">
              <a16:creationId xmlns:a16="http://schemas.microsoft.com/office/drawing/2014/main" id="{70F4CF3B-86D2-43EC-8C65-BABAF129C3CA}"/>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81" name="Shape 8">
          <a:extLst>
            <a:ext uri="{FF2B5EF4-FFF2-40B4-BE49-F238E27FC236}">
              <a16:creationId xmlns:a16="http://schemas.microsoft.com/office/drawing/2014/main" id="{E19CD857-C532-45B4-A8E0-669A87D8120B}"/>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82" name="Shape 7">
          <a:extLst>
            <a:ext uri="{FF2B5EF4-FFF2-40B4-BE49-F238E27FC236}">
              <a16:creationId xmlns:a16="http://schemas.microsoft.com/office/drawing/2014/main" id="{99F758B6-576C-4BB2-8766-4CD2D9C8783B}"/>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83" name="Shape 8">
          <a:extLst>
            <a:ext uri="{FF2B5EF4-FFF2-40B4-BE49-F238E27FC236}">
              <a16:creationId xmlns:a16="http://schemas.microsoft.com/office/drawing/2014/main" id="{E9CA9AB1-164B-403F-9293-72BE2681CE74}"/>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84" name="Shape 8">
          <a:extLst>
            <a:ext uri="{FF2B5EF4-FFF2-40B4-BE49-F238E27FC236}">
              <a16:creationId xmlns:a16="http://schemas.microsoft.com/office/drawing/2014/main" id="{402D1752-4EE6-422D-9AC0-055ABAA32433}"/>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85" name="Shape 7">
          <a:extLst>
            <a:ext uri="{FF2B5EF4-FFF2-40B4-BE49-F238E27FC236}">
              <a16:creationId xmlns:a16="http://schemas.microsoft.com/office/drawing/2014/main" id="{0FDAC434-B67D-4C1D-9423-7CCF87F44B27}"/>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86" name="Shape 8">
          <a:extLst>
            <a:ext uri="{FF2B5EF4-FFF2-40B4-BE49-F238E27FC236}">
              <a16:creationId xmlns:a16="http://schemas.microsoft.com/office/drawing/2014/main" id="{09149302-2349-4A1C-9300-BC64647DE368}"/>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87" name="Shape 8">
          <a:extLst>
            <a:ext uri="{FF2B5EF4-FFF2-40B4-BE49-F238E27FC236}">
              <a16:creationId xmlns:a16="http://schemas.microsoft.com/office/drawing/2014/main" id="{71FE5D9C-A5B0-4E9C-81A1-83F806C41A39}"/>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88" name="Shape 7">
          <a:extLst>
            <a:ext uri="{FF2B5EF4-FFF2-40B4-BE49-F238E27FC236}">
              <a16:creationId xmlns:a16="http://schemas.microsoft.com/office/drawing/2014/main" id="{02D47B8E-45F2-4879-B7CC-3AC260397EE8}"/>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89" name="Shape 8">
          <a:extLst>
            <a:ext uri="{FF2B5EF4-FFF2-40B4-BE49-F238E27FC236}">
              <a16:creationId xmlns:a16="http://schemas.microsoft.com/office/drawing/2014/main" id="{A4B40CAA-B3C3-47FD-B2E7-752A9FE9F694}"/>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90" name="Shape 8">
          <a:extLst>
            <a:ext uri="{FF2B5EF4-FFF2-40B4-BE49-F238E27FC236}">
              <a16:creationId xmlns:a16="http://schemas.microsoft.com/office/drawing/2014/main" id="{875CE5B1-5DDC-4E58-8C65-16608CDB959C}"/>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91" name="Shape 7">
          <a:extLst>
            <a:ext uri="{FF2B5EF4-FFF2-40B4-BE49-F238E27FC236}">
              <a16:creationId xmlns:a16="http://schemas.microsoft.com/office/drawing/2014/main" id="{872037CF-4E74-4DAA-B3B5-194FDAAA77EF}"/>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92" name="Shape 8">
          <a:extLst>
            <a:ext uri="{FF2B5EF4-FFF2-40B4-BE49-F238E27FC236}">
              <a16:creationId xmlns:a16="http://schemas.microsoft.com/office/drawing/2014/main" id="{FE27646E-F4D5-4EE0-91E6-372421602454}"/>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93" name="Shape 8">
          <a:extLst>
            <a:ext uri="{FF2B5EF4-FFF2-40B4-BE49-F238E27FC236}">
              <a16:creationId xmlns:a16="http://schemas.microsoft.com/office/drawing/2014/main" id="{271119FC-7CB4-4EAB-BD76-0920D63DFF3F}"/>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94" name="Shape 7">
          <a:extLst>
            <a:ext uri="{FF2B5EF4-FFF2-40B4-BE49-F238E27FC236}">
              <a16:creationId xmlns:a16="http://schemas.microsoft.com/office/drawing/2014/main" id="{B544EE68-3DE3-4863-99C0-F71CA6C4403A}"/>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95" name="Shape 8">
          <a:extLst>
            <a:ext uri="{FF2B5EF4-FFF2-40B4-BE49-F238E27FC236}">
              <a16:creationId xmlns:a16="http://schemas.microsoft.com/office/drawing/2014/main" id="{037B36CB-2B25-4DB1-A883-572F65BD7BA7}"/>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96" name="Shape 8">
          <a:extLst>
            <a:ext uri="{FF2B5EF4-FFF2-40B4-BE49-F238E27FC236}">
              <a16:creationId xmlns:a16="http://schemas.microsoft.com/office/drawing/2014/main" id="{7BDED76A-9265-4940-912C-907C588E906A}"/>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97" name="Shape 7">
          <a:extLst>
            <a:ext uri="{FF2B5EF4-FFF2-40B4-BE49-F238E27FC236}">
              <a16:creationId xmlns:a16="http://schemas.microsoft.com/office/drawing/2014/main" id="{FFB85BC7-89BD-4138-B9AA-62181E29FDFB}"/>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798" name="Shape 7">
          <a:extLst>
            <a:ext uri="{FF2B5EF4-FFF2-40B4-BE49-F238E27FC236}">
              <a16:creationId xmlns:a16="http://schemas.microsoft.com/office/drawing/2014/main" id="{15AC98B0-7392-414B-A47A-22821BD987BB}"/>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799" name="Shape 8">
          <a:extLst>
            <a:ext uri="{FF2B5EF4-FFF2-40B4-BE49-F238E27FC236}">
              <a16:creationId xmlns:a16="http://schemas.microsoft.com/office/drawing/2014/main" id="{2A78D5C5-CD3E-43EC-9ED0-92FEDF97F6DF}"/>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00" name="Shape 8">
          <a:extLst>
            <a:ext uri="{FF2B5EF4-FFF2-40B4-BE49-F238E27FC236}">
              <a16:creationId xmlns:a16="http://schemas.microsoft.com/office/drawing/2014/main" id="{7CD42BE8-0716-41E7-80C0-606892560F3D}"/>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801" name="Shape 7">
          <a:extLst>
            <a:ext uri="{FF2B5EF4-FFF2-40B4-BE49-F238E27FC236}">
              <a16:creationId xmlns:a16="http://schemas.microsoft.com/office/drawing/2014/main" id="{C7C8478E-7BAB-4235-99B9-E9D521E64CF1}"/>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802" name="Shape 7">
          <a:extLst>
            <a:ext uri="{FF2B5EF4-FFF2-40B4-BE49-F238E27FC236}">
              <a16:creationId xmlns:a16="http://schemas.microsoft.com/office/drawing/2014/main" id="{63BF91A8-5140-4F6B-B832-2F0365598989}"/>
            </a:ext>
          </a:extLst>
        </xdr:cNvPr>
        <xdr:cNvSpPr>
          <a:spLocks noChangeArrowheads="1"/>
        </xdr:cNvSpPr>
      </xdr:nvSpPr>
      <xdr:spPr bwMode="auto">
        <a:xfrm>
          <a:off x="11210925"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03" name="Shape 8">
          <a:extLst>
            <a:ext uri="{FF2B5EF4-FFF2-40B4-BE49-F238E27FC236}">
              <a16:creationId xmlns:a16="http://schemas.microsoft.com/office/drawing/2014/main" id="{C3B0C42D-BD12-4E46-BFFB-F4E8DAF9B8C9}"/>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04" name="Shape 8">
          <a:extLst>
            <a:ext uri="{FF2B5EF4-FFF2-40B4-BE49-F238E27FC236}">
              <a16:creationId xmlns:a16="http://schemas.microsoft.com/office/drawing/2014/main" id="{D983ED9F-8558-4925-8B90-B1847C1B2670}"/>
            </a:ext>
          </a:extLst>
        </xdr:cNvPr>
        <xdr:cNvSpPr>
          <a:spLocks noChangeArrowheads="1"/>
        </xdr:cNvSpPr>
      </xdr:nvSpPr>
      <xdr:spPr bwMode="auto">
        <a:xfrm>
          <a:off x="11944350" y="92678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05" name="Shape 7">
          <a:extLst>
            <a:ext uri="{FF2B5EF4-FFF2-40B4-BE49-F238E27FC236}">
              <a16:creationId xmlns:a16="http://schemas.microsoft.com/office/drawing/2014/main" id="{37C37D09-1849-4A3A-A6BC-BE95282007A2}"/>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06" name="Shape 7">
          <a:extLst>
            <a:ext uri="{FF2B5EF4-FFF2-40B4-BE49-F238E27FC236}">
              <a16:creationId xmlns:a16="http://schemas.microsoft.com/office/drawing/2014/main" id="{722D688E-0226-449B-8320-C70782637F2F}"/>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07" name="Shape 7">
          <a:extLst>
            <a:ext uri="{FF2B5EF4-FFF2-40B4-BE49-F238E27FC236}">
              <a16:creationId xmlns:a16="http://schemas.microsoft.com/office/drawing/2014/main" id="{FD508936-D049-4AE6-AACB-8501A94C67A6}"/>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08" name="Shape 7">
          <a:extLst>
            <a:ext uri="{FF2B5EF4-FFF2-40B4-BE49-F238E27FC236}">
              <a16:creationId xmlns:a16="http://schemas.microsoft.com/office/drawing/2014/main" id="{764D5ADE-4889-42E3-BA05-8383D7179F9B}"/>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09" name="Shape 7">
          <a:extLst>
            <a:ext uri="{FF2B5EF4-FFF2-40B4-BE49-F238E27FC236}">
              <a16:creationId xmlns:a16="http://schemas.microsoft.com/office/drawing/2014/main" id="{4746874E-4529-4A2B-95E7-FD43E4B8206D}"/>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10" name="Shape 7">
          <a:extLst>
            <a:ext uri="{FF2B5EF4-FFF2-40B4-BE49-F238E27FC236}">
              <a16:creationId xmlns:a16="http://schemas.microsoft.com/office/drawing/2014/main" id="{6E15AC4C-F6CD-44F7-B8BE-0D3F3A7CBCDF}"/>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11" name="Shape 7">
          <a:extLst>
            <a:ext uri="{FF2B5EF4-FFF2-40B4-BE49-F238E27FC236}">
              <a16:creationId xmlns:a16="http://schemas.microsoft.com/office/drawing/2014/main" id="{6CEB6353-6552-4D6A-9981-A036577CD2B7}"/>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12" name="Shape 7">
          <a:extLst>
            <a:ext uri="{FF2B5EF4-FFF2-40B4-BE49-F238E27FC236}">
              <a16:creationId xmlns:a16="http://schemas.microsoft.com/office/drawing/2014/main" id="{F6292A11-32B5-412F-BC36-C9DE354CE39A}"/>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13" name="Shape 7">
          <a:extLst>
            <a:ext uri="{FF2B5EF4-FFF2-40B4-BE49-F238E27FC236}">
              <a16:creationId xmlns:a16="http://schemas.microsoft.com/office/drawing/2014/main" id="{2C0DC54D-7EB8-4060-8262-BC39F850A796}"/>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14" name="Shape 7">
          <a:extLst>
            <a:ext uri="{FF2B5EF4-FFF2-40B4-BE49-F238E27FC236}">
              <a16:creationId xmlns:a16="http://schemas.microsoft.com/office/drawing/2014/main" id="{31F89293-3E13-4032-B599-B13DA305815F}"/>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15" name="Shape 7">
          <a:extLst>
            <a:ext uri="{FF2B5EF4-FFF2-40B4-BE49-F238E27FC236}">
              <a16:creationId xmlns:a16="http://schemas.microsoft.com/office/drawing/2014/main" id="{AD93E35C-9A38-47BD-9821-7D85BB5EA6EA}"/>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16" name="Shape 7">
          <a:extLst>
            <a:ext uri="{FF2B5EF4-FFF2-40B4-BE49-F238E27FC236}">
              <a16:creationId xmlns:a16="http://schemas.microsoft.com/office/drawing/2014/main" id="{068340F5-9653-4251-8F44-DE7FE204C996}"/>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17" name="Shape 7">
          <a:extLst>
            <a:ext uri="{FF2B5EF4-FFF2-40B4-BE49-F238E27FC236}">
              <a16:creationId xmlns:a16="http://schemas.microsoft.com/office/drawing/2014/main" id="{38C9558A-271B-4FDC-88FA-2670AF929C11}"/>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18" name="Shape 7">
          <a:extLst>
            <a:ext uri="{FF2B5EF4-FFF2-40B4-BE49-F238E27FC236}">
              <a16:creationId xmlns:a16="http://schemas.microsoft.com/office/drawing/2014/main" id="{DAEC0692-5FC8-4E2A-8CCE-0E5EA36ED859}"/>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19" name="Shape 7">
          <a:extLst>
            <a:ext uri="{FF2B5EF4-FFF2-40B4-BE49-F238E27FC236}">
              <a16:creationId xmlns:a16="http://schemas.microsoft.com/office/drawing/2014/main" id="{39B40B05-0769-4B57-A720-E8584643B5B6}"/>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20" name="Shape 7">
          <a:extLst>
            <a:ext uri="{FF2B5EF4-FFF2-40B4-BE49-F238E27FC236}">
              <a16:creationId xmlns:a16="http://schemas.microsoft.com/office/drawing/2014/main" id="{565FAB8D-0D61-4F64-BECB-39EE031C7C9C}"/>
            </a:ext>
          </a:extLst>
        </xdr:cNvPr>
        <xdr:cNvSpPr>
          <a:spLocks noChangeArrowheads="1"/>
        </xdr:cNvSpPr>
      </xdr:nvSpPr>
      <xdr:spPr bwMode="auto">
        <a:xfrm>
          <a:off x="12534900" y="92678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821" name="Shape 7">
          <a:extLst>
            <a:ext uri="{FF2B5EF4-FFF2-40B4-BE49-F238E27FC236}">
              <a16:creationId xmlns:a16="http://schemas.microsoft.com/office/drawing/2014/main" id="{F1F9A4A1-B560-40EA-B09D-21C742363377}"/>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22" name="Shape 8">
          <a:extLst>
            <a:ext uri="{FF2B5EF4-FFF2-40B4-BE49-F238E27FC236}">
              <a16:creationId xmlns:a16="http://schemas.microsoft.com/office/drawing/2014/main" id="{B93399C6-769F-41E5-9D03-7C9CB43B6B20}"/>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823" name="Shape 7">
          <a:extLst>
            <a:ext uri="{FF2B5EF4-FFF2-40B4-BE49-F238E27FC236}">
              <a16:creationId xmlns:a16="http://schemas.microsoft.com/office/drawing/2014/main" id="{F0ACFDD0-0CC1-4CCE-86AB-440A6A6ECABF}"/>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24" name="Shape 8">
          <a:extLst>
            <a:ext uri="{FF2B5EF4-FFF2-40B4-BE49-F238E27FC236}">
              <a16:creationId xmlns:a16="http://schemas.microsoft.com/office/drawing/2014/main" id="{75D6827F-5356-4910-B6B9-5D55203DE5A3}"/>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825" name="Shape 7">
          <a:extLst>
            <a:ext uri="{FF2B5EF4-FFF2-40B4-BE49-F238E27FC236}">
              <a16:creationId xmlns:a16="http://schemas.microsoft.com/office/drawing/2014/main" id="{D31A3671-0189-4A3A-8C1B-D26D3C3D710D}"/>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26" name="Shape 8">
          <a:extLst>
            <a:ext uri="{FF2B5EF4-FFF2-40B4-BE49-F238E27FC236}">
              <a16:creationId xmlns:a16="http://schemas.microsoft.com/office/drawing/2014/main" id="{69A255DA-E9AA-4625-8B06-21ED461345F8}"/>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27" name="Shape 8">
          <a:extLst>
            <a:ext uri="{FF2B5EF4-FFF2-40B4-BE49-F238E27FC236}">
              <a16:creationId xmlns:a16="http://schemas.microsoft.com/office/drawing/2014/main" id="{A6DA5F04-05FF-41DC-B003-56BA31929167}"/>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828" name="Shape 7">
          <a:extLst>
            <a:ext uri="{FF2B5EF4-FFF2-40B4-BE49-F238E27FC236}">
              <a16:creationId xmlns:a16="http://schemas.microsoft.com/office/drawing/2014/main" id="{BE76159F-24C9-46C3-965C-9BDDF9A5CE68}"/>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29" name="Shape 8">
          <a:extLst>
            <a:ext uri="{FF2B5EF4-FFF2-40B4-BE49-F238E27FC236}">
              <a16:creationId xmlns:a16="http://schemas.microsoft.com/office/drawing/2014/main" id="{4F436921-4189-40F8-A7A7-BAA6AA812944}"/>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30" name="Shape 8">
          <a:extLst>
            <a:ext uri="{FF2B5EF4-FFF2-40B4-BE49-F238E27FC236}">
              <a16:creationId xmlns:a16="http://schemas.microsoft.com/office/drawing/2014/main" id="{86FFD9C0-D3C1-48E1-87A0-112EB24F2C53}"/>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831" name="Shape 7">
          <a:extLst>
            <a:ext uri="{FF2B5EF4-FFF2-40B4-BE49-F238E27FC236}">
              <a16:creationId xmlns:a16="http://schemas.microsoft.com/office/drawing/2014/main" id="{AE67C8A4-0915-4D95-89A1-1024B6CCD7B8}"/>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32" name="Shape 8">
          <a:extLst>
            <a:ext uri="{FF2B5EF4-FFF2-40B4-BE49-F238E27FC236}">
              <a16:creationId xmlns:a16="http://schemas.microsoft.com/office/drawing/2014/main" id="{77F84E27-16CB-409D-882C-7F5D0990BD27}"/>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33" name="Shape 8">
          <a:extLst>
            <a:ext uri="{FF2B5EF4-FFF2-40B4-BE49-F238E27FC236}">
              <a16:creationId xmlns:a16="http://schemas.microsoft.com/office/drawing/2014/main" id="{3FB38657-2DC4-4764-9DF6-419ABD6D80DA}"/>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834" name="Shape 7">
          <a:extLst>
            <a:ext uri="{FF2B5EF4-FFF2-40B4-BE49-F238E27FC236}">
              <a16:creationId xmlns:a16="http://schemas.microsoft.com/office/drawing/2014/main" id="{410751D5-10C1-4A65-A6BA-EADE189997E3}"/>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35" name="Shape 8">
          <a:extLst>
            <a:ext uri="{FF2B5EF4-FFF2-40B4-BE49-F238E27FC236}">
              <a16:creationId xmlns:a16="http://schemas.microsoft.com/office/drawing/2014/main" id="{2170865E-8A28-40A2-9800-F9E6CF6A328B}"/>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36" name="Shape 8">
          <a:extLst>
            <a:ext uri="{FF2B5EF4-FFF2-40B4-BE49-F238E27FC236}">
              <a16:creationId xmlns:a16="http://schemas.microsoft.com/office/drawing/2014/main" id="{814C14D7-DD18-4A22-93D4-69A5F3F47874}"/>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837" name="Shape 7">
          <a:extLst>
            <a:ext uri="{FF2B5EF4-FFF2-40B4-BE49-F238E27FC236}">
              <a16:creationId xmlns:a16="http://schemas.microsoft.com/office/drawing/2014/main" id="{5E33F12A-8692-4159-8127-4AFF76E8ECF5}"/>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38" name="Shape 8">
          <a:extLst>
            <a:ext uri="{FF2B5EF4-FFF2-40B4-BE49-F238E27FC236}">
              <a16:creationId xmlns:a16="http://schemas.microsoft.com/office/drawing/2014/main" id="{F7A8D573-44A9-4B9D-B2CF-F0E37DBE3C07}"/>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39" name="Shape 8">
          <a:extLst>
            <a:ext uri="{FF2B5EF4-FFF2-40B4-BE49-F238E27FC236}">
              <a16:creationId xmlns:a16="http://schemas.microsoft.com/office/drawing/2014/main" id="{37DF2A40-62F0-4DF0-AE1F-55AA532A8F8F}"/>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840" name="Shape 7">
          <a:extLst>
            <a:ext uri="{FF2B5EF4-FFF2-40B4-BE49-F238E27FC236}">
              <a16:creationId xmlns:a16="http://schemas.microsoft.com/office/drawing/2014/main" id="{80B8D046-7FE4-405C-8C6E-48B5069027D5}"/>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841" name="Shape 7">
          <a:extLst>
            <a:ext uri="{FF2B5EF4-FFF2-40B4-BE49-F238E27FC236}">
              <a16:creationId xmlns:a16="http://schemas.microsoft.com/office/drawing/2014/main" id="{BBB1B529-9C23-4447-846B-B34089287395}"/>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42" name="Shape 8">
          <a:extLst>
            <a:ext uri="{FF2B5EF4-FFF2-40B4-BE49-F238E27FC236}">
              <a16:creationId xmlns:a16="http://schemas.microsoft.com/office/drawing/2014/main" id="{5C5317AA-0649-493E-8515-DA5D1368A465}"/>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43" name="Shape 8">
          <a:extLst>
            <a:ext uri="{FF2B5EF4-FFF2-40B4-BE49-F238E27FC236}">
              <a16:creationId xmlns:a16="http://schemas.microsoft.com/office/drawing/2014/main" id="{3A90D6EC-DB59-4E8D-B349-5427E972E352}"/>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844" name="Shape 7">
          <a:extLst>
            <a:ext uri="{FF2B5EF4-FFF2-40B4-BE49-F238E27FC236}">
              <a16:creationId xmlns:a16="http://schemas.microsoft.com/office/drawing/2014/main" id="{BC806315-DEB9-4F04-9ED9-7750FAA7F192}"/>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1845" name="Shape 7">
          <a:extLst>
            <a:ext uri="{FF2B5EF4-FFF2-40B4-BE49-F238E27FC236}">
              <a16:creationId xmlns:a16="http://schemas.microsoft.com/office/drawing/2014/main" id="{3F448823-C763-40D6-8135-A671F1FC11FE}"/>
            </a:ext>
          </a:extLst>
        </xdr:cNvPr>
        <xdr:cNvSpPr>
          <a:spLocks noChangeArrowheads="1"/>
        </xdr:cNvSpPr>
      </xdr:nvSpPr>
      <xdr:spPr bwMode="auto">
        <a:xfrm>
          <a:off x="11210925"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46" name="Shape 8">
          <a:extLst>
            <a:ext uri="{FF2B5EF4-FFF2-40B4-BE49-F238E27FC236}">
              <a16:creationId xmlns:a16="http://schemas.microsoft.com/office/drawing/2014/main" id="{0F4C1613-E661-41DC-A95C-800DD7521220}"/>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1847" name="Shape 8">
          <a:extLst>
            <a:ext uri="{FF2B5EF4-FFF2-40B4-BE49-F238E27FC236}">
              <a16:creationId xmlns:a16="http://schemas.microsoft.com/office/drawing/2014/main" id="{1B48F13D-9073-4857-8498-A346E32A5D2C}"/>
            </a:ext>
          </a:extLst>
        </xdr:cNvPr>
        <xdr:cNvSpPr>
          <a:spLocks noChangeArrowheads="1"/>
        </xdr:cNvSpPr>
      </xdr:nvSpPr>
      <xdr:spPr bwMode="auto">
        <a:xfrm>
          <a:off x="11944350" y="8782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48" name="Shape 7">
          <a:extLst>
            <a:ext uri="{FF2B5EF4-FFF2-40B4-BE49-F238E27FC236}">
              <a16:creationId xmlns:a16="http://schemas.microsoft.com/office/drawing/2014/main" id="{D1AD4C6E-2839-4020-8842-947E064C2D36}"/>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49" name="Shape 7">
          <a:extLst>
            <a:ext uri="{FF2B5EF4-FFF2-40B4-BE49-F238E27FC236}">
              <a16:creationId xmlns:a16="http://schemas.microsoft.com/office/drawing/2014/main" id="{A2732DF7-46AE-450A-A39E-8A439A34B4B0}"/>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50" name="Shape 7">
          <a:extLst>
            <a:ext uri="{FF2B5EF4-FFF2-40B4-BE49-F238E27FC236}">
              <a16:creationId xmlns:a16="http://schemas.microsoft.com/office/drawing/2014/main" id="{381B9E38-6BBA-416E-AF29-67F074C043E3}"/>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51" name="Shape 7">
          <a:extLst>
            <a:ext uri="{FF2B5EF4-FFF2-40B4-BE49-F238E27FC236}">
              <a16:creationId xmlns:a16="http://schemas.microsoft.com/office/drawing/2014/main" id="{4F1AD754-5605-424F-82F8-D66DCC7BA5C1}"/>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52" name="Shape 7">
          <a:extLst>
            <a:ext uri="{FF2B5EF4-FFF2-40B4-BE49-F238E27FC236}">
              <a16:creationId xmlns:a16="http://schemas.microsoft.com/office/drawing/2014/main" id="{C460F5FB-B9B5-4FBA-88BD-702859024675}"/>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53" name="Shape 7">
          <a:extLst>
            <a:ext uri="{FF2B5EF4-FFF2-40B4-BE49-F238E27FC236}">
              <a16:creationId xmlns:a16="http://schemas.microsoft.com/office/drawing/2014/main" id="{639F7134-642F-442C-9CFA-D4EEBA14072B}"/>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54" name="Shape 7">
          <a:extLst>
            <a:ext uri="{FF2B5EF4-FFF2-40B4-BE49-F238E27FC236}">
              <a16:creationId xmlns:a16="http://schemas.microsoft.com/office/drawing/2014/main" id="{0D16097C-4D68-4FC2-8CDB-647E86C0D885}"/>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55" name="Shape 7">
          <a:extLst>
            <a:ext uri="{FF2B5EF4-FFF2-40B4-BE49-F238E27FC236}">
              <a16:creationId xmlns:a16="http://schemas.microsoft.com/office/drawing/2014/main" id="{3BD6E95E-593E-4D9A-8078-433EB224A403}"/>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56" name="Shape 7">
          <a:extLst>
            <a:ext uri="{FF2B5EF4-FFF2-40B4-BE49-F238E27FC236}">
              <a16:creationId xmlns:a16="http://schemas.microsoft.com/office/drawing/2014/main" id="{B566E0CB-17DB-4F4C-8A66-AE665FF435A9}"/>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57" name="Shape 7">
          <a:extLst>
            <a:ext uri="{FF2B5EF4-FFF2-40B4-BE49-F238E27FC236}">
              <a16:creationId xmlns:a16="http://schemas.microsoft.com/office/drawing/2014/main" id="{8AC911CD-F09D-44BB-A2CA-A695C27B5B03}"/>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58" name="Shape 7">
          <a:extLst>
            <a:ext uri="{FF2B5EF4-FFF2-40B4-BE49-F238E27FC236}">
              <a16:creationId xmlns:a16="http://schemas.microsoft.com/office/drawing/2014/main" id="{1C97C31E-D7C2-44A3-B748-DAE83AC9A8B9}"/>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59" name="Shape 7">
          <a:extLst>
            <a:ext uri="{FF2B5EF4-FFF2-40B4-BE49-F238E27FC236}">
              <a16:creationId xmlns:a16="http://schemas.microsoft.com/office/drawing/2014/main" id="{B580F8EA-3B69-474D-AB34-1C5F456155C4}"/>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60" name="Shape 7">
          <a:extLst>
            <a:ext uri="{FF2B5EF4-FFF2-40B4-BE49-F238E27FC236}">
              <a16:creationId xmlns:a16="http://schemas.microsoft.com/office/drawing/2014/main" id="{4DB02B0B-EF16-4F45-8C13-F5E6611164F9}"/>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61" name="Shape 7">
          <a:extLst>
            <a:ext uri="{FF2B5EF4-FFF2-40B4-BE49-F238E27FC236}">
              <a16:creationId xmlns:a16="http://schemas.microsoft.com/office/drawing/2014/main" id="{8218FD3F-48C4-4358-97A2-D4F296847179}"/>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62" name="Shape 7">
          <a:extLst>
            <a:ext uri="{FF2B5EF4-FFF2-40B4-BE49-F238E27FC236}">
              <a16:creationId xmlns:a16="http://schemas.microsoft.com/office/drawing/2014/main" id="{FCB25FC5-8CA9-490F-A1F1-CFF2B6F99B0D}"/>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1863" name="Shape 7">
          <a:extLst>
            <a:ext uri="{FF2B5EF4-FFF2-40B4-BE49-F238E27FC236}">
              <a16:creationId xmlns:a16="http://schemas.microsoft.com/office/drawing/2014/main" id="{6C9B60CA-B659-4320-B428-FAFEC7B1A474}"/>
            </a:ext>
          </a:extLst>
        </xdr:cNvPr>
        <xdr:cNvSpPr>
          <a:spLocks noChangeArrowheads="1"/>
        </xdr:cNvSpPr>
      </xdr:nvSpPr>
      <xdr:spPr bwMode="auto">
        <a:xfrm>
          <a:off x="12534900" y="8782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864" name="Shape 7">
          <a:extLst>
            <a:ext uri="{FF2B5EF4-FFF2-40B4-BE49-F238E27FC236}">
              <a16:creationId xmlns:a16="http://schemas.microsoft.com/office/drawing/2014/main" id="{19D95E5A-539D-4B79-A87A-B72DBE542318}"/>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865" name="Shape 8">
          <a:extLst>
            <a:ext uri="{FF2B5EF4-FFF2-40B4-BE49-F238E27FC236}">
              <a16:creationId xmlns:a16="http://schemas.microsoft.com/office/drawing/2014/main" id="{F119D3ED-F112-4DB3-A410-930CE3F21568}"/>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866" name="Shape 7">
          <a:extLst>
            <a:ext uri="{FF2B5EF4-FFF2-40B4-BE49-F238E27FC236}">
              <a16:creationId xmlns:a16="http://schemas.microsoft.com/office/drawing/2014/main" id="{32A6B30F-EBD9-4AC1-A61B-3300F6551977}"/>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867" name="Shape 8">
          <a:extLst>
            <a:ext uri="{FF2B5EF4-FFF2-40B4-BE49-F238E27FC236}">
              <a16:creationId xmlns:a16="http://schemas.microsoft.com/office/drawing/2014/main" id="{AEF5926F-4C32-492D-A9EF-40CC7673EAFC}"/>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868" name="Shape 7">
          <a:extLst>
            <a:ext uri="{FF2B5EF4-FFF2-40B4-BE49-F238E27FC236}">
              <a16:creationId xmlns:a16="http://schemas.microsoft.com/office/drawing/2014/main" id="{C885EE9A-008F-435E-B9AB-28A3BDA9BFB2}"/>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869" name="Shape 8">
          <a:extLst>
            <a:ext uri="{FF2B5EF4-FFF2-40B4-BE49-F238E27FC236}">
              <a16:creationId xmlns:a16="http://schemas.microsoft.com/office/drawing/2014/main" id="{0279C3D1-DA3D-4FB0-A0DF-C256E9A5883D}"/>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870" name="Shape 8">
          <a:extLst>
            <a:ext uri="{FF2B5EF4-FFF2-40B4-BE49-F238E27FC236}">
              <a16:creationId xmlns:a16="http://schemas.microsoft.com/office/drawing/2014/main" id="{4E8E1972-BED7-4E39-960B-FB1E6F37CF4B}"/>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871" name="Shape 7">
          <a:extLst>
            <a:ext uri="{FF2B5EF4-FFF2-40B4-BE49-F238E27FC236}">
              <a16:creationId xmlns:a16="http://schemas.microsoft.com/office/drawing/2014/main" id="{BC751CC6-8E54-4D5D-B2E8-1DEBD0B68F3B}"/>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872" name="Shape 8">
          <a:extLst>
            <a:ext uri="{FF2B5EF4-FFF2-40B4-BE49-F238E27FC236}">
              <a16:creationId xmlns:a16="http://schemas.microsoft.com/office/drawing/2014/main" id="{740D0FF4-5AFA-4EDD-883E-1D054DCF750D}"/>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873" name="Shape 8">
          <a:extLst>
            <a:ext uri="{FF2B5EF4-FFF2-40B4-BE49-F238E27FC236}">
              <a16:creationId xmlns:a16="http://schemas.microsoft.com/office/drawing/2014/main" id="{EF0B2C34-BF01-4669-84C3-C6E68CAE4BAF}"/>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874" name="Shape 7">
          <a:extLst>
            <a:ext uri="{FF2B5EF4-FFF2-40B4-BE49-F238E27FC236}">
              <a16:creationId xmlns:a16="http://schemas.microsoft.com/office/drawing/2014/main" id="{70FBC54B-CC59-40C2-A4FA-E23907585DBF}"/>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875" name="Shape 8">
          <a:extLst>
            <a:ext uri="{FF2B5EF4-FFF2-40B4-BE49-F238E27FC236}">
              <a16:creationId xmlns:a16="http://schemas.microsoft.com/office/drawing/2014/main" id="{BEC680F6-72B5-490F-93C1-A40DE843EFEB}"/>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876" name="Shape 8">
          <a:extLst>
            <a:ext uri="{FF2B5EF4-FFF2-40B4-BE49-F238E27FC236}">
              <a16:creationId xmlns:a16="http://schemas.microsoft.com/office/drawing/2014/main" id="{2D6C39E6-4FD5-48A2-9941-E148D815DB11}"/>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877" name="Shape 7">
          <a:extLst>
            <a:ext uri="{FF2B5EF4-FFF2-40B4-BE49-F238E27FC236}">
              <a16:creationId xmlns:a16="http://schemas.microsoft.com/office/drawing/2014/main" id="{5BFFBB9B-A694-4DA1-8D4C-1DE7AC32C41B}"/>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878" name="Shape 8">
          <a:extLst>
            <a:ext uri="{FF2B5EF4-FFF2-40B4-BE49-F238E27FC236}">
              <a16:creationId xmlns:a16="http://schemas.microsoft.com/office/drawing/2014/main" id="{F51FF444-FD7C-4C44-A21E-D27DA3366043}"/>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879" name="Shape 8">
          <a:extLst>
            <a:ext uri="{FF2B5EF4-FFF2-40B4-BE49-F238E27FC236}">
              <a16:creationId xmlns:a16="http://schemas.microsoft.com/office/drawing/2014/main" id="{947451B3-D14A-4E5C-8FD6-BA972ADE6522}"/>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880" name="Shape 7">
          <a:extLst>
            <a:ext uri="{FF2B5EF4-FFF2-40B4-BE49-F238E27FC236}">
              <a16:creationId xmlns:a16="http://schemas.microsoft.com/office/drawing/2014/main" id="{CC70625B-5832-467A-9575-8224DBA50419}"/>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881" name="Shape 8">
          <a:extLst>
            <a:ext uri="{FF2B5EF4-FFF2-40B4-BE49-F238E27FC236}">
              <a16:creationId xmlns:a16="http://schemas.microsoft.com/office/drawing/2014/main" id="{4BFC27F1-09C9-4083-96F1-4E4E740E7C96}"/>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882" name="Shape 8">
          <a:extLst>
            <a:ext uri="{FF2B5EF4-FFF2-40B4-BE49-F238E27FC236}">
              <a16:creationId xmlns:a16="http://schemas.microsoft.com/office/drawing/2014/main" id="{08792FE3-3189-40F3-9BA6-B45B110F1568}"/>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883" name="Shape 7">
          <a:extLst>
            <a:ext uri="{FF2B5EF4-FFF2-40B4-BE49-F238E27FC236}">
              <a16:creationId xmlns:a16="http://schemas.microsoft.com/office/drawing/2014/main" id="{62D8CE6C-CE55-497C-B306-93105A9D9026}"/>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884" name="Shape 7">
          <a:extLst>
            <a:ext uri="{FF2B5EF4-FFF2-40B4-BE49-F238E27FC236}">
              <a16:creationId xmlns:a16="http://schemas.microsoft.com/office/drawing/2014/main" id="{E2A4F9E3-E7D0-4C5C-B6EB-8C3029BF6A3F}"/>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885" name="Shape 8">
          <a:extLst>
            <a:ext uri="{FF2B5EF4-FFF2-40B4-BE49-F238E27FC236}">
              <a16:creationId xmlns:a16="http://schemas.microsoft.com/office/drawing/2014/main" id="{FB3D5775-5C33-4868-A5D8-3DB7511A4A48}"/>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886" name="Shape 8">
          <a:extLst>
            <a:ext uri="{FF2B5EF4-FFF2-40B4-BE49-F238E27FC236}">
              <a16:creationId xmlns:a16="http://schemas.microsoft.com/office/drawing/2014/main" id="{51C6BC8D-BF5A-43B2-A796-6A5866EEBB33}"/>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887" name="Shape 7">
          <a:extLst>
            <a:ext uri="{FF2B5EF4-FFF2-40B4-BE49-F238E27FC236}">
              <a16:creationId xmlns:a16="http://schemas.microsoft.com/office/drawing/2014/main" id="{B023C062-BF55-46FF-9958-E7132E9D1C69}"/>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888" name="Shape 7">
          <a:extLst>
            <a:ext uri="{FF2B5EF4-FFF2-40B4-BE49-F238E27FC236}">
              <a16:creationId xmlns:a16="http://schemas.microsoft.com/office/drawing/2014/main" id="{8E8ED083-AFB4-42B8-990E-A72DDDB59E9E}"/>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889" name="Shape 7">
          <a:extLst>
            <a:ext uri="{FF2B5EF4-FFF2-40B4-BE49-F238E27FC236}">
              <a16:creationId xmlns:a16="http://schemas.microsoft.com/office/drawing/2014/main" id="{4A74E116-DC1B-4350-A5E8-ACA8874A6977}"/>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890" name="Shape 7">
          <a:extLst>
            <a:ext uri="{FF2B5EF4-FFF2-40B4-BE49-F238E27FC236}">
              <a16:creationId xmlns:a16="http://schemas.microsoft.com/office/drawing/2014/main" id="{5E2118A0-CC1E-4D35-AA0D-766F8389D3DB}"/>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891" name="Shape 7">
          <a:extLst>
            <a:ext uri="{FF2B5EF4-FFF2-40B4-BE49-F238E27FC236}">
              <a16:creationId xmlns:a16="http://schemas.microsoft.com/office/drawing/2014/main" id="{740F4DE5-B8C7-48A1-9C24-E5A98A00DDA3}"/>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892" name="Shape 7">
          <a:extLst>
            <a:ext uri="{FF2B5EF4-FFF2-40B4-BE49-F238E27FC236}">
              <a16:creationId xmlns:a16="http://schemas.microsoft.com/office/drawing/2014/main" id="{69ADFC5B-C1AA-456E-B524-DB8C75EC7237}"/>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893" name="Shape 7">
          <a:extLst>
            <a:ext uri="{FF2B5EF4-FFF2-40B4-BE49-F238E27FC236}">
              <a16:creationId xmlns:a16="http://schemas.microsoft.com/office/drawing/2014/main" id="{B9066720-DEB6-4B88-9A06-0C84D1A765BD}"/>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894" name="Shape 7">
          <a:extLst>
            <a:ext uri="{FF2B5EF4-FFF2-40B4-BE49-F238E27FC236}">
              <a16:creationId xmlns:a16="http://schemas.microsoft.com/office/drawing/2014/main" id="{8278F3A8-1A21-40FD-B8A0-6AB48B229FB7}"/>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895" name="Shape 7">
          <a:extLst>
            <a:ext uri="{FF2B5EF4-FFF2-40B4-BE49-F238E27FC236}">
              <a16:creationId xmlns:a16="http://schemas.microsoft.com/office/drawing/2014/main" id="{D5AF53C9-FFC3-408F-8D18-BD8213EDEA44}"/>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896" name="Shape 7">
          <a:extLst>
            <a:ext uri="{FF2B5EF4-FFF2-40B4-BE49-F238E27FC236}">
              <a16:creationId xmlns:a16="http://schemas.microsoft.com/office/drawing/2014/main" id="{E01AC94B-79E1-415C-8991-46392DCAEBEB}"/>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897" name="Shape 7">
          <a:extLst>
            <a:ext uri="{FF2B5EF4-FFF2-40B4-BE49-F238E27FC236}">
              <a16:creationId xmlns:a16="http://schemas.microsoft.com/office/drawing/2014/main" id="{36FA7B6F-2B17-4BBC-AC1A-865815266EAC}"/>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898" name="Shape 7">
          <a:extLst>
            <a:ext uri="{FF2B5EF4-FFF2-40B4-BE49-F238E27FC236}">
              <a16:creationId xmlns:a16="http://schemas.microsoft.com/office/drawing/2014/main" id="{DC719092-58EE-4027-8B71-C798DD513494}"/>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899" name="Shape 7">
          <a:extLst>
            <a:ext uri="{FF2B5EF4-FFF2-40B4-BE49-F238E27FC236}">
              <a16:creationId xmlns:a16="http://schemas.microsoft.com/office/drawing/2014/main" id="{40DDD922-86D7-41A0-AFEC-48724998E6CE}"/>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00" name="Shape 7">
          <a:extLst>
            <a:ext uri="{FF2B5EF4-FFF2-40B4-BE49-F238E27FC236}">
              <a16:creationId xmlns:a16="http://schemas.microsoft.com/office/drawing/2014/main" id="{3CE832B3-FD4A-4A26-9F02-77B656D74603}"/>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01" name="Shape 7">
          <a:extLst>
            <a:ext uri="{FF2B5EF4-FFF2-40B4-BE49-F238E27FC236}">
              <a16:creationId xmlns:a16="http://schemas.microsoft.com/office/drawing/2014/main" id="{E4BB519E-E467-470E-837A-B4CB32D6749F}"/>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02" name="Shape 7">
          <a:extLst>
            <a:ext uri="{FF2B5EF4-FFF2-40B4-BE49-F238E27FC236}">
              <a16:creationId xmlns:a16="http://schemas.microsoft.com/office/drawing/2014/main" id="{A5DA3122-B6FB-443C-8278-999070D1B640}"/>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03" name="Shape 7">
          <a:extLst>
            <a:ext uri="{FF2B5EF4-FFF2-40B4-BE49-F238E27FC236}">
              <a16:creationId xmlns:a16="http://schemas.microsoft.com/office/drawing/2014/main" id="{6CD78AE5-F11D-44E2-826A-F5A1514F3F6D}"/>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04" name="Shape 7">
          <a:extLst>
            <a:ext uri="{FF2B5EF4-FFF2-40B4-BE49-F238E27FC236}">
              <a16:creationId xmlns:a16="http://schemas.microsoft.com/office/drawing/2014/main" id="{DA433744-7711-42C7-961F-6643B0AA364B}"/>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05" name="Shape 7">
          <a:extLst>
            <a:ext uri="{FF2B5EF4-FFF2-40B4-BE49-F238E27FC236}">
              <a16:creationId xmlns:a16="http://schemas.microsoft.com/office/drawing/2014/main" id="{399E6E3F-38BB-4E0D-AEB2-91E634F897B9}"/>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06" name="Shape 8">
          <a:extLst>
            <a:ext uri="{FF2B5EF4-FFF2-40B4-BE49-F238E27FC236}">
              <a16:creationId xmlns:a16="http://schemas.microsoft.com/office/drawing/2014/main" id="{B767228E-7CA5-4E0E-9874-EEFC2F02BD3B}"/>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07" name="Shape 7">
          <a:extLst>
            <a:ext uri="{FF2B5EF4-FFF2-40B4-BE49-F238E27FC236}">
              <a16:creationId xmlns:a16="http://schemas.microsoft.com/office/drawing/2014/main" id="{B5A6F8FD-EAC3-4644-B014-BDD87336032C}"/>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08" name="Shape 8">
          <a:extLst>
            <a:ext uri="{FF2B5EF4-FFF2-40B4-BE49-F238E27FC236}">
              <a16:creationId xmlns:a16="http://schemas.microsoft.com/office/drawing/2014/main" id="{682C2F19-DA7D-4595-A7A0-3BE1F61D46A1}"/>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09" name="Shape 7">
          <a:extLst>
            <a:ext uri="{FF2B5EF4-FFF2-40B4-BE49-F238E27FC236}">
              <a16:creationId xmlns:a16="http://schemas.microsoft.com/office/drawing/2014/main" id="{5C55B0C4-464F-4BAF-9716-E0092F57CCE0}"/>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10" name="Shape 8">
          <a:extLst>
            <a:ext uri="{FF2B5EF4-FFF2-40B4-BE49-F238E27FC236}">
              <a16:creationId xmlns:a16="http://schemas.microsoft.com/office/drawing/2014/main" id="{C8360563-21A3-4ADA-905B-E9EDD64BA228}"/>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11" name="Shape 8">
          <a:extLst>
            <a:ext uri="{FF2B5EF4-FFF2-40B4-BE49-F238E27FC236}">
              <a16:creationId xmlns:a16="http://schemas.microsoft.com/office/drawing/2014/main" id="{1C9F12FD-AE5D-44A9-8193-7D9F9AF0DE76}"/>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12" name="Shape 7">
          <a:extLst>
            <a:ext uri="{FF2B5EF4-FFF2-40B4-BE49-F238E27FC236}">
              <a16:creationId xmlns:a16="http://schemas.microsoft.com/office/drawing/2014/main" id="{CFFC55F3-1583-443B-B697-3BE9D723D592}"/>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13" name="Shape 8">
          <a:extLst>
            <a:ext uri="{FF2B5EF4-FFF2-40B4-BE49-F238E27FC236}">
              <a16:creationId xmlns:a16="http://schemas.microsoft.com/office/drawing/2014/main" id="{9660581C-5A04-4D6D-BC44-FDE51A658BE2}"/>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14" name="Shape 8">
          <a:extLst>
            <a:ext uri="{FF2B5EF4-FFF2-40B4-BE49-F238E27FC236}">
              <a16:creationId xmlns:a16="http://schemas.microsoft.com/office/drawing/2014/main" id="{AEDBB65C-91AB-4609-9DBB-5A0128E3C452}"/>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15" name="Shape 7">
          <a:extLst>
            <a:ext uri="{FF2B5EF4-FFF2-40B4-BE49-F238E27FC236}">
              <a16:creationId xmlns:a16="http://schemas.microsoft.com/office/drawing/2014/main" id="{9CA7BEE7-E9B5-4912-935F-663C530BF004}"/>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16" name="Shape 8">
          <a:extLst>
            <a:ext uri="{FF2B5EF4-FFF2-40B4-BE49-F238E27FC236}">
              <a16:creationId xmlns:a16="http://schemas.microsoft.com/office/drawing/2014/main" id="{11B3BC62-CCA9-4CA2-8423-E3B487738D40}"/>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17" name="Shape 8">
          <a:extLst>
            <a:ext uri="{FF2B5EF4-FFF2-40B4-BE49-F238E27FC236}">
              <a16:creationId xmlns:a16="http://schemas.microsoft.com/office/drawing/2014/main" id="{9A849CA6-66C7-456B-A893-EC98B3AEF18C}"/>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18" name="Shape 7">
          <a:extLst>
            <a:ext uri="{FF2B5EF4-FFF2-40B4-BE49-F238E27FC236}">
              <a16:creationId xmlns:a16="http://schemas.microsoft.com/office/drawing/2014/main" id="{80E829E8-25B2-4B59-8F01-EE33057D7695}"/>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19" name="Shape 8">
          <a:extLst>
            <a:ext uri="{FF2B5EF4-FFF2-40B4-BE49-F238E27FC236}">
              <a16:creationId xmlns:a16="http://schemas.microsoft.com/office/drawing/2014/main" id="{3E2AC11A-DC28-4B3F-BD8A-8FB4F147DCD8}"/>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20" name="Shape 8">
          <a:extLst>
            <a:ext uri="{FF2B5EF4-FFF2-40B4-BE49-F238E27FC236}">
              <a16:creationId xmlns:a16="http://schemas.microsoft.com/office/drawing/2014/main" id="{F4743857-ED55-4A50-A72C-CE0BB15E9FCB}"/>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21" name="Shape 7">
          <a:extLst>
            <a:ext uri="{FF2B5EF4-FFF2-40B4-BE49-F238E27FC236}">
              <a16:creationId xmlns:a16="http://schemas.microsoft.com/office/drawing/2014/main" id="{53F0497A-4FC7-4875-AAEE-8AC2C64726A8}"/>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22" name="Shape 8">
          <a:extLst>
            <a:ext uri="{FF2B5EF4-FFF2-40B4-BE49-F238E27FC236}">
              <a16:creationId xmlns:a16="http://schemas.microsoft.com/office/drawing/2014/main" id="{EE544BFD-30DD-4E39-9BC4-95314DEC8233}"/>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23" name="Shape 8">
          <a:extLst>
            <a:ext uri="{FF2B5EF4-FFF2-40B4-BE49-F238E27FC236}">
              <a16:creationId xmlns:a16="http://schemas.microsoft.com/office/drawing/2014/main" id="{67AC0EED-591D-4765-A2EA-B896F0A290D8}"/>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24" name="Shape 7">
          <a:extLst>
            <a:ext uri="{FF2B5EF4-FFF2-40B4-BE49-F238E27FC236}">
              <a16:creationId xmlns:a16="http://schemas.microsoft.com/office/drawing/2014/main" id="{996364C7-C2B0-450F-8C9C-0A37370F3539}"/>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25" name="Shape 7">
          <a:extLst>
            <a:ext uri="{FF2B5EF4-FFF2-40B4-BE49-F238E27FC236}">
              <a16:creationId xmlns:a16="http://schemas.microsoft.com/office/drawing/2014/main" id="{BFDF02F4-F4A2-4326-9DE6-3DBD9C11E78D}"/>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26" name="Shape 8">
          <a:extLst>
            <a:ext uri="{FF2B5EF4-FFF2-40B4-BE49-F238E27FC236}">
              <a16:creationId xmlns:a16="http://schemas.microsoft.com/office/drawing/2014/main" id="{8A12162A-CA04-4755-8F6E-55BF971F2F2E}"/>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27" name="Shape 8">
          <a:extLst>
            <a:ext uri="{FF2B5EF4-FFF2-40B4-BE49-F238E27FC236}">
              <a16:creationId xmlns:a16="http://schemas.microsoft.com/office/drawing/2014/main" id="{5743CE06-E1A7-4951-A0BA-EAEEF73FBDBF}"/>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28" name="Shape 7">
          <a:extLst>
            <a:ext uri="{FF2B5EF4-FFF2-40B4-BE49-F238E27FC236}">
              <a16:creationId xmlns:a16="http://schemas.microsoft.com/office/drawing/2014/main" id="{F9B2A885-FD56-49ED-95DD-5CCBC90581F6}"/>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29" name="Shape 7">
          <a:extLst>
            <a:ext uri="{FF2B5EF4-FFF2-40B4-BE49-F238E27FC236}">
              <a16:creationId xmlns:a16="http://schemas.microsoft.com/office/drawing/2014/main" id="{B05F141B-A3A4-48EC-A5BF-98C4D5E5FFAF}"/>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30" name="Shape 8">
          <a:extLst>
            <a:ext uri="{FF2B5EF4-FFF2-40B4-BE49-F238E27FC236}">
              <a16:creationId xmlns:a16="http://schemas.microsoft.com/office/drawing/2014/main" id="{75D89B31-039A-4EF6-9A12-79F038A48E19}"/>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31" name="Shape 7">
          <a:extLst>
            <a:ext uri="{FF2B5EF4-FFF2-40B4-BE49-F238E27FC236}">
              <a16:creationId xmlns:a16="http://schemas.microsoft.com/office/drawing/2014/main" id="{9AFE3F8A-5B29-464E-9ED6-B5B73F7DB20F}"/>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32" name="Shape 8">
          <a:extLst>
            <a:ext uri="{FF2B5EF4-FFF2-40B4-BE49-F238E27FC236}">
              <a16:creationId xmlns:a16="http://schemas.microsoft.com/office/drawing/2014/main" id="{4732AC55-4CCD-41D1-AD29-B258CA8354D7}"/>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33" name="Shape 7">
          <a:extLst>
            <a:ext uri="{FF2B5EF4-FFF2-40B4-BE49-F238E27FC236}">
              <a16:creationId xmlns:a16="http://schemas.microsoft.com/office/drawing/2014/main" id="{0167FC93-DCC2-4C49-B6FC-A14365250C64}"/>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34" name="Shape 8">
          <a:extLst>
            <a:ext uri="{FF2B5EF4-FFF2-40B4-BE49-F238E27FC236}">
              <a16:creationId xmlns:a16="http://schemas.microsoft.com/office/drawing/2014/main" id="{BE1AE3F8-9BCD-4E82-8C35-31BBCC6B3211}"/>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35" name="Shape 7">
          <a:extLst>
            <a:ext uri="{FF2B5EF4-FFF2-40B4-BE49-F238E27FC236}">
              <a16:creationId xmlns:a16="http://schemas.microsoft.com/office/drawing/2014/main" id="{1434DEAD-9BCC-4672-AC41-C820FFFFA44B}"/>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36" name="Shape 8">
          <a:extLst>
            <a:ext uri="{FF2B5EF4-FFF2-40B4-BE49-F238E27FC236}">
              <a16:creationId xmlns:a16="http://schemas.microsoft.com/office/drawing/2014/main" id="{B1AD3B4C-8489-4B20-AC72-F87E078C7DF7}"/>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37" name="Shape 8">
          <a:extLst>
            <a:ext uri="{FF2B5EF4-FFF2-40B4-BE49-F238E27FC236}">
              <a16:creationId xmlns:a16="http://schemas.microsoft.com/office/drawing/2014/main" id="{5CF76D51-095D-4922-AF22-AC73AEE8065F}"/>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38" name="Shape 7">
          <a:extLst>
            <a:ext uri="{FF2B5EF4-FFF2-40B4-BE49-F238E27FC236}">
              <a16:creationId xmlns:a16="http://schemas.microsoft.com/office/drawing/2014/main" id="{94227CA8-B2F8-42D8-8D49-E9D2C00F5C5B}"/>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39" name="Shape 8">
          <a:extLst>
            <a:ext uri="{FF2B5EF4-FFF2-40B4-BE49-F238E27FC236}">
              <a16:creationId xmlns:a16="http://schemas.microsoft.com/office/drawing/2014/main" id="{0BE76D92-EB18-47C0-9F36-369338E7CAFA}"/>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40" name="Shape 8">
          <a:extLst>
            <a:ext uri="{FF2B5EF4-FFF2-40B4-BE49-F238E27FC236}">
              <a16:creationId xmlns:a16="http://schemas.microsoft.com/office/drawing/2014/main" id="{A0D2AB8F-420B-4736-B253-4BA4913133B1}"/>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41" name="Shape 7">
          <a:extLst>
            <a:ext uri="{FF2B5EF4-FFF2-40B4-BE49-F238E27FC236}">
              <a16:creationId xmlns:a16="http://schemas.microsoft.com/office/drawing/2014/main" id="{2A250636-B75C-4D10-BF76-D1F322396D23}"/>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42" name="Shape 8">
          <a:extLst>
            <a:ext uri="{FF2B5EF4-FFF2-40B4-BE49-F238E27FC236}">
              <a16:creationId xmlns:a16="http://schemas.microsoft.com/office/drawing/2014/main" id="{A5999597-EA9E-428B-9514-D4B1E40B4F5A}"/>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43" name="Shape 8">
          <a:extLst>
            <a:ext uri="{FF2B5EF4-FFF2-40B4-BE49-F238E27FC236}">
              <a16:creationId xmlns:a16="http://schemas.microsoft.com/office/drawing/2014/main" id="{FFC23453-1EF2-45A5-A644-8814300709BB}"/>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44" name="Shape 7">
          <a:extLst>
            <a:ext uri="{FF2B5EF4-FFF2-40B4-BE49-F238E27FC236}">
              <a16:creationId xmlns:a16="http://schemas.microsoft.com/office/drawing/2014/main" id="{0514D38A-6815-499D-A72C-D51B83717E83}"/>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45" name="Shape 8">
          <a:extLst>
            <a:ext uri="{FF2B5EF4-FFF2-40B4-BE49-F238E27FC236}">
              <a16:creationId xmlns:a16="http://schemas.microsoft.com/office/drawing/2014/main" id="{515F04C3-ED5D-4B07-8A95-D658E6553262}"/>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46" name="Shape 8">
          <a:extLst>
            <a:ext uri="{FF2B5EF4-FFF2-40B4-BE49-F238E27FC236}">
              <a16:creationId xmlns:a16="http://schemas.microsoft.com/office/drawing/2014/main" id="{0CA35EAB-B5D8-404A-8834-23DED660B608}"/>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47" name="Shape 7">
          <a:extLst>
            <a:ext uri="{FF2B5EF4-FFF2-40B4-BE49-F238E27FC236}">
              <a16:creationId xmlns:a16="http://schemas.microsoft.com/office/drawing/2014/main" id="{36BC7D6D-6291-4CB1-BD66-8A3768A58A8D}"/>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48" name="Shape 8">
          <a:extLst>
            <a:ext uri="{FF2B5EF4-FFF2-40B4-BE49-F238E27FC236}">
              <a16:creationId xmlns:a16="http://schemas.microsoft.com/office/drawing/2014/main" id="{FC8FCB3C-2598-423D-8608-BE6FBCE9B06D}"/>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49" name="Shape 8">
          <a:extLst>
            <a:ext uri="{FF2B5EF4-FFF2-40B4-BE49-F238E27FC236}">
              <a16:creationId xmlns:a16="http://schemas.microsoft.com/office/drawing/2014/main" id="{01B0FD30-7BB7-4A4D-B07B-DAFF7D7447C1}"/>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50" name="Shape 7">
          <a:extLst>
            <a:ext uri="{FF2B5EF4-FFF2-40B4-BE49-F238E27FC236}">
              <a16:creationId xmlns:a16="http://schemas.microsoft.com/office/drawing/2014/main" id="{6C68E890-EE59-491D-B3AE-AF91B821B6A1}"/>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51" name="Shape 7">
          <a:extLst>
            <a:ext uri="{FF2B5EF4-FFF2-40B4-BE49-F238E27FC236}">
              <a16:creationId xmlns:a16="http://schemas.microsoft.com/office/drawing/2014/main" id="{5548F8C0-C1D1-42E7-95CB-E8E593159766}"/>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52" name="Shape 8">
          <a:extLst>
            <a:ext uri="{FF2B5EF4-FFF2-40B4-BE49-F238E27FC236}">
              <a16:creationId xmlns:a16="http://schemas.microsoft.com/office/drawing/2014/main" id="{1D9C3E6C-D6A7-49FA-9D1C-18A9BC1CBF54}"/>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53" name="Shape 8">
          <a:extLst>
            <a:ext uri="{FF2B5EF4-FFF2-40B4-BE49-F238E27FC236}">
              <a16:creationId xmlns:a16="http://schemas.microsoft.com/office/drawing/2014/main" id="{86B65D76-85C3-4603-9D16-4F774D33E129}"/>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54" name="Shape 7">
          <a:extLst>
            <a:ext uri="{FF2B5EF4-FFF2-40B4-BE49-F238E27FC236}">
              <a16:creationId xmlns:a16="http://schemas.microsoft.com/office/drawing/2014/main" id="{9A6296FB-B7B2-4B25-8CBC-F6B7DACEA060}"/>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55" name="Shape 7">
          <a:extLst>
            <a:ext uri="{FF2B5EF4-FFF2-40B4-BE49-F238E27FC236}">
              <a16:creationId xmlns:a16="http://schemas.microsoft.com/office/drawing/2014/main" id="{1C7A75A3-4146-45A3-B635-4430EB8A26E9}"/>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56" name="Shape 8">
          <a:extLst>
            <a:ext uri="{FF2B5EF4-FFF2-40B4-BE49-F238E27FC236}">
              <a16:creationId xmlns:a16="http://schemas.microsoft.com/office/drawing/2014/main" id="{44DA678E-C39E-4383-9CAD-E762EE1C1DD0}"/>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57" name="Shape 8">
          <a:extLst>
            <a:ext uri="{FF2B5EF4-FFF2-40B4-BE49-F238E27FC236}">
              <a16:creationId xmlns:a16="http://schemas.microsoft.com/office/drawing/2014/main" id="{D8F24505-2208-4E03-84D2-78E3A0CBB2E4}"/>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58" name="Shape 7">
          <a:extLst>
            <a:ext uri="{FF2B5EF4-FFF2-40B4-BE49-F238E27FC236}">
              <a16:creationId xmlns:a16="http://schemas.microsoft.com/office/drawing/2014/main" id="{0D19FCEC-ECEA-48FC-B449-E9BC9695C097}"/>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59" name="Shape 7">
          <a:extLst>
            <a:ext uri="{FF2B5EF4-FFF2-40B4-BE49-F238E27FC236}">
              <a16:creationId xmlns:a16="http://schemas.microsoft.com/office/drawing/2014/main" id="{B26E6963-DB53-4CCF-993E-39C21E142685}"/>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60" name="Shape 7">
          <a:extLst>
            <a:ext uri="{FF2B5EF4-FFF2-40B4-BE49-F238E27FC236}">
              <a16:creationId xmlns:a16="http://schemas.microsoft.com/office/drawing/2014/main" id="{297D2CDA-A7E8-421D-8051-F37AB0874C3C}"/>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61" name="Shape 7">
          <a:extLst>
            <a:ext uri="{FF2B5EF4-FFF2-40B4-BE49-F238E27FC236}">
              <a16:creationId xmlns:a16="http://schemas.microsoft.com/office/drawing/2014/main" id="{F1D24765-F02A-4135-89F1-7F90AF617C9D}"/>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62" name="Shape 7">
          <a:extLst>
            <a:ext uri="{FF2B5EF4-FFF2-40B4-BE49-F238E27FC236}">
              <a16:creationId xmlns:a16="http://schemas.microsoft.com/office/drawing/2014/main" id="{6C3E7462-D322-4BFE-8877-4159F525CC61}"/>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63" name="Shape 7">
          <a:extLst>
            <a:ext uri="{FF2B5EF4-FFF2-40B4-BE49-F238E27FC236}">
              <a16:creationId xmlns:a16="http://schemas.microsoft.com/office/drawing/2014/main" id="{EF450D84-8693-463A-BF8E-D0A16159D0BE}"/>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64" name="Shape 7">
          <a:extLst>
            <a:ext uri="{FF2B5EF4-FFF2-40B4-BE49-F238E27FC236}">
              <a16:creationId xmlns:a16="http://schemas.microsoft.com/office/drawing/2014/main" id="{6D343A9E-294A-415E-9F12-113F5DE74177}"/>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65" name="Shape 7">
          <a:extLst>
            <a:ext uri="{FF2B5EF4-FFF2-40B4-BE49-F238E27FC236}">
              <a16:creationId xmlns:a16="http://schemas.microsoft.com/office/drawing/2014/main" id="{E06C4FB0-AD4B-438C-BBDA-499891CD2AAB}"/>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66" name="Shape 7">
          <a:extLst>
            <a:ext uri="{FF2B5EF4-FFF2-40B4-BE49-F238E27FC236}">
              <a16:creationId xmlns:a16="http://schemas.microsoft.com/office/drawing/2014/main" id="{A2BB769E-7B64-46A0-B524-FC30A21DD0A6}"/>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67" name="Shape 7">
          <a:extLst>
            <a:ext uri="{FF2B5EF4-FFF2-40B4-BE49-F238E27FC236}">
              <a16:creationId xmlns:a16="http://schemas.microsoft.com/office/drawing/2014/main" id="{90535DCD-3484-48D5-BBC8-B1EC1CBB13ED}"/>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68" name="Shape 7">
          <a:extLst>
            <a:ext uri="{FF2B5EF4-FFF2-40B4-BE49-F238E27FC236}">
              <a16:creationId xmlns:a16="http://schemas.microsoft.com/office/drawing/2014/main" id="{B5DCF85B-7E88-455B-8FDA-F3F6411BEE76}"/>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69" name="Shape 7">
          <a:extLst>
            <a:ext uri="{FF2B5EF4-FFF2-40B4-BE49-F238E27FC236}">
              <a16:creationId xmlns:a16="http://schemas.microsoft.com/office/drawing/2014/main" id="{3A07BDDE-0B32-4AC0-B60E-4E05E61FBB0A}"/>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70" name="Shape 7">
          <a:extLst>
            <a:ext uri="{FF2B5EF4-FFF2-40B4-BE49-F238E27FC236}">
              <a16:creationId xmlns:a16="http://schemas.microsoft.com/office/drawing/2014/main" id="{2208C960-7B07-48BA-8FC9-9554B08BC1AF}"/>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71" name="Shape 7">
          <a:extLst>
            <a:ext uri="{FF2B5EF4-FFF2-40B4-BE49-F238E27FC236}">
              <a16:creationId xmlns:a16="http://schemas.microsoft.com/office/drawing/2014/main" id="{8B15ABB4-F3C0-4DD0-B3F4-42865373635C}"/>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72" name="Shape 7">
          <a:extLst>
            <a:ext uri="{FF2B5EF4-FFF2-40B4-BE49-F238E27FC236}">
              <a16:creationId xmlns:a16="http://schemas.microsoft.com/office/drawing/2014/main" id="{B1032A46-676B-42A8-9852-85B575532FD0}"/>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73" name="Shape 7">
          <a:extLst>
            <a:ext uri="{FF2B5EF4-FFF2-40B4-BE49-F238E27FC236}">
              <a16:creationId xmlns:a16="http://schemas.microsoft.com/office/drawing/2014/main" id="{C121A679-E6ED-42B7-AA34-C78A6CC0FA01}"/>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74" name="Shape 7">
          <a:extLst>
            <a:ext uri="{FF2B5EF4-FFF2-40B4-BE49-F238E27FC236}">
              <a16:creationId xmlns:a16="http://schemas.microsoft.com/office/drawing/2014/main" id="{7AA6A235-FF1E-49C1-9F70-683CEC67F981}"/>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75" name="Shape 8">
          <a:extLst>
            <a:ext uri="{FF2B5EF4-FFF2-40B4-BE49-F238E27FC236}">
              <a16:creationId xmlns:a16="http://schemas.microsoft.com/office/drawing/2014/main" id="{76435B16-443F-4510-8794-6C9CCE96B4CC}"/>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76" name="Shape 7">
          <a:extLst>
            <a:ext uri="{FF2B5EF4-FFF2-40B4-BE49-F238E27FC236}">
              <a16:creationId xmlns:a16="http://schemas.microsoft.com/office/drawing/2014/main" id="{31EDFA32-7F8B-4400-AAC1-AC41C3C02901}"/>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77" name="Shape 8">
          <a:extLst>
            <a:ext uri="{FF2B5EF4-FFF2-40B4-BE49-F238E27FC236}">
              <a16:creationId xmlns:a16="http://schemas.microsoft.com/office/drawing/2014/main" id="{1DF6A8A6-C16A-4834-B476-59FA6FFDE153}"/>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78" name="Shape 7">
          <a:extLst>
            <a:ext uri="{FF2B5EF4-FFF2-40B4-BE49-F238E27FC236}">
              <a16:creationId xmlns:a16="http://schemas.microsoft.com/office/drawing/2014/main" id="{4707ECD6-23F8-4634-8712-73931C9CB62F}"/>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79" name="Shape 8">
          <a:extLst>
            <a:ext uri="{FF2B5EF4-FFF2-40B4-BE49-F238E27FC236}">
              <a16:creationId xmlns:a16="http://schemas.microsoft.com/office/drawing/2014/main" id="{58C5C81D-00B1-45E0-9D9E-8914F5F42359}"/>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80" name="Shape 8">
          <a:extLst>
            <a:ext uri="{FF2B5EF4-FFF2-40B4-BE49-F238E27FC236}">
              <a16:creationId xmlns:a16="http://schemas.microsoft.com/office/drawing/2014/main" id="{F355823F-2415-4A54-9233-52D0EAEFE4DC}"/>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81" name="Shape 7">
          <a:extLst>
            <a:ext uri="{FF2B5EF4-FFF2-40B4-BE49-F238E27FC236}">
              <a16:creationId xmlns:a16="http://schemas.microsoft.com/office/drawing/2014/main" id="{9AFC04FC-C826-4A80-B535-4E6C028AE57A}"/>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82" name="Shape 8">
          <a:extLst>
            <a:ext uri="{FF2B5EF4-FFF2-40B4-BE49-F238E27FC236}">
              <a16:creationId xmlns:a16="http://schemas.microsoft.com/office/drawing/2014/main" id="{184848F7-7047-462D-8D73-2745710085CC}"/>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83" name="Shape 8">
          <a:extLst>
            <a:ext uri="{FF2B5EF4-FFF2-40B4-BE49-F238E27FC236}">
              <a16:creationId xmlns:a16="http://schemas.microsoft.com/office/drawing/2014/main" id="{2A32EA4A-1043-49EA-94F3-14862E74B784}"/>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84" name="Shape 7">
          <a:extLst>
            <a:ext uri="{FF2B5EF4-FFF2-40B4-BE49-F238E27FC236}">
              <a16:creationId xmlns:a16="http://schemas.microsoft.com/office/drawing/2014/main" id="{06FACA45-0874-4AF1-8257-E1782B583915}"/>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85" name="Shape 8">
          <a:extLst>
            <a:ext uri="{FF2B5EF4-FFF2-40B4-BE49-F238E27FC236}">
              <a16:creationId xmlns:a16="http://schemas.microsoft.com/office/drawing/2014/main" id="{3D643A13-F273-4022-8630-0886795DF402}"/>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86" name="Shape 8">
          <a:extLst>
            <a:ext uri="{FF2B5EF4-FFF2-40B4-BE49-F238E27FC236}">
              <a16:creationId xmlns:a16="http://schemas.microsoft.com/office/drawing/2014/main" id="{396912DF-9CB3-4D19-9CDD-757A73A1327A}"/>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87" name="Shape 7">
          <a:extLst>
            <a:ext uri="{FF2B5EF4-FFF2-40B4-BE49-F238E27FC236}">
              <a16:creationId xmlns:a16="http://schemas.microsoft.com/office/drawing/2014/main" id="{62B5BFC9-661F-4475-A75B-5EA8A4017023}"/>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88" name="Shape 8">
          <a:extLst>
            <a:ext uri="{FF2B5EF4-FFF2-40B4-BE49-F238E27FC236}">
              <a16:creationId xmlns:a16="http://schemas.microsoft.com/office/drawing/2014/main" id="{707E83C9-44E8-47B0-BA0D-949954FBE77F}"/>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89" name="Shape 8">
          <a:extLst>
            <a:ext uri="{FF2B5EF4-FFF2-40B4-BE49-F238E27FC236}">
              <a16:creationId xmlns:a16="http://schemas.microsoft.com/office/drawing/2014/main" id="{6DC0EA3E-1F16-4853-8E5F-F5B2B5319820}"/>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90" name="Shape 7">
          <a:extLst>
            <a:ext uri="{FF2B5EF4-FFF2-40B4-BE49-F238E27FC236}">
              <a16:creationId xmlns:a16="http://schemas.microsoft.com/office/drawing/2014/main" id="{A8532ACA-E012-47D0-B500-EB71E48574C7}"/>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91" name="Shape 8">
          <a:extLst>
            <a:ext uri="{FF2B5EF4-FFF2-40B4-BE49-F238E27FC236}">
              <a16:creationId xmlns:a16="http://schemas.microsoft.com/office/drawing/2014/main" id="{A84E86CC-D951-40CE-9CBF-244D87D61FB6}"/>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92" name="Shape 8">
          <a:extLst>
            <a:ext uri="{FF2B5EF4-FFF2-40B4-BE49-F238E27FC236}">
              <a16:creationId xmlns:a16="http://schemas.microsoft.com/office/drawing/2014/main" id="{E6495BCC-FA4E-44FA-8BF6-58B0D3A7C443}"/>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93" name="Shape 7">
          <a:extLst>
            <a:ext uri="{FF2B5EF4-FFF2-40B4-BE49-F238E27FC236}">
              <a16:creationId xmlns:a16="http://schemas.microsoft.com/office/drawing/2014/main" id="{D66A2CEC-5E6A-4965-97B1-008B888CB472}"/>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94" name="Shape 7">
          <a:extLst>
            <a:ext uri="{FF2B5EF4-FFF2-40B4-BE49-F238E27FC236}">
              <a16:creationId xmlns:a16="http://schemas.microsoft.com/office/drawing/2014/main" id="{5B4DD554-F356-4B70-A5CF-57926C1EC947}"/>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95" name="Shape 8">
          <a:extLst>
            <a:ext uri="{FF2B5EF4-FFF2-40B4-BE49-F238E27FC236}">
              <a16:creationId xmlns:a16="http://schemas.microsoft.com/office/drawing/2014/main" id="{506D3B46-AAF0-43B5-8395-E2D83BD05917}"/>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1996" name="Shape 8">
          <a:extLst>
            <a:ext uri="{FF2B5EF4-FFF2-40B4-BE49-F238E27FC236}">
              <a16:creationId xmlns:a16="http://schemas.microsoft.com/office/drawing/2014/main" id="{445FC76F-CC26-4994-9FA9-B4A64C261098}"/>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97" name="Shape 7">
          <a:extLst>
            <a:ext uri="{FF2B5EF4-FFF2-40B4-BE49-F238E27FC236}">
              <a16:creationId xmlns:a16="http://schemas.microsoft.com/office/drawing/2014/main" id="{4D2D8013-DF80-444C-B640-764C0D8AE9A6}"/>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1998" name="Shape 7">
          <a:extLst>
            <a:ext uri="{FF2B5EF4-FFF2-40B4-BE49-F238E27FC236}">
              <a16:creationId xmlns:a16="http://schemas.microsoft.com/office/drawing/2014/main" id="{F8C493D7-9B28-435A-86BE-880763BF3FE5}"/>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1999" name="Shape 7">
          <a:extLst>
            <a:ext uri="{FF2B5EF4-FFF2-40B4-BE49-F238E27FC236}">
              <a16:creationId xmlns:a16="http://schemas.microsoft.com/office/drawing/2014/main" id="{8EB4FACE-C3F8-4121-9E78-DB4AFAFD2400}"/>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00" name="Shape 7">
          <a:extLst>
            <a:ext uri="{FF2B5EF4-FFF2-40B4-BE49-F238E27FC236}">
              <a16:creationId xmlns:a16="http://schemas.microsoft.com/office/drawing/2014/main" id="{C87E0487-D4BB-4F23-8027-F17356DC837D}"/>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01" name="Shape 7">
          <a:extLst>
            <a:ext uri="{FF2B5EF4-FFF2-40B4-BE49-F238E27FC236}">
              <a16:creationId xmlns:a16="http://schemas.microsoft.com/office/drawing/2014/main" id="{B4009157-7445-4891-AB07-CE15F4A44C58}"/>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02" name="Shape 7">
          <a:extLst>
            <a:ext uri="{FF2B5EF4-FFF2-40B4-BE49-F238E27FC236}">
              <a16:creationId xmlns:a16="http://schemas.microsoft.com/office/drawing/2014/main" id="{A327519B-044E-4567-A348-CA7BDD96BFB1}"/>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03" name="Shape 7">
          <a:extLst>
            <a:ext uri="{FF2B5EF4-FFF2-40B4-BE49-F238E27FC236}">
              <a16:creationId xmlns:a16="http://schemas.microsoft.com/office/drawing/2014/main" id="{135DCC61-3014-43F4-928E-A22EFE6F151E}"/>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04" name="Shape 7">
          <a:extLst>
            <a:ext uri="{FF2B5EF4-FFF2-40B4-BE49-F238E27FC236}">
              <a16:creationId xmlns:a16="http://schemas.microsoft.com/office/drawing/2014/main" id="{57DEBA48-E70B-45C5-9E35-AE35A3AFB578}"/>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05" name="Shape 7">
          <a:extLst>
            <a:ext uri="{FF2B5EF4-FFF2-40B4-BE49-F238E27FC236}">
              <a16:creationId xmlns:a16="http://schemas.microsoft.com/office/drawing/2014/main" id="{0F3B6CAA-5EC8-41EA-9F05-A21CB98B34CE}"/>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06" name="Shape 7">
          <a:extLst>
            <a:ext uri="{FF2B5EF4-FFF2-40B4-BE49-F238E27FC236}">
              <a16:creationId xmlns:a16="http://schemas.microsoft.com/office/drawing/2014/main" id="{2C3698A9-E828-45A2-89F1-AE280C034D3A}"/>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07" name="Shape 7">
          <a:extLst>
            <a:ext uri="{FF2B5EF4-FFF2-40B4-BE49-F238E27FC236}">
              <a16:creationId xmlns:a16="http://schemas.microsoft.com/office/drawing/2014/main" id="{C033EFDE-DC32-4A9F-BED9-A81079B22DDD}"/>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08" name="Shape 7">
          <a:extLst>
            <a:ext uri="{FF2B5EF4-FFF2-40B4-BE49-F238E27FC236}">
              <a16:creationId xmlns:a16="http://schemas.microsoft.com/office/drawing/2014/main" id="{29F4CD98-340D-4B68-9B09-33ECF34A8DEE}"/>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09" name="Shape 7">
          <a:extLst>
            <a:ext uri="{FF2B5EF4-FFF2-40B4-BE49-F238E27FC236}">
              <a16:creationId xmlns:a16="http://schemas.microsoft.com/office/drawing/2014/main" id="{AD17F21E-E927-4E64-BD99-7F98C7EDAA25}"/>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10" name="Shape 7">
          <a:extLst>
            <a:ext uri="{FF2B5EF4-FFF2-40B4-BE49-F238E27FC236}">
              <a16:creationId xmlns:a16="http://schemas.microsoft.com/office/drawing/2014/main" id="{8530B48C-EE89-4326-A1A0-D6040D94AF61}"/>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11" name="Shape 7">
          <a:extLst>
            <a:ext uri="{FF2B5EF4-FFF2-40B4-BE49-F238E27FC236}">
              <a16:creationId xmlns:a16="http://schemas.microsoft.com/office/drawing/2014/main" id="{8EE9E699-BBAA-4632-BACA-DE953BF74FCB}"/>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12" name="Shape 7">
          <a:extLst>
            <a:ext uri="{FF2B5EF4-FFF2-40B4-BE49-F238E27FC236}">
              <a16:creationId xmlns:a16="http://schemas.microsoft.com/office/drawing/2014/main" id="{DB938DE0-83DB-403B-ABA8-6BB010A859E3}"/>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13" name="Shape 7">
          <a:extLst>
            <a:ext uri="{FF2B5EF4-FFF2-40B4-BE49-F238E27FC236}">
              <a16:creationId xmlns:a16="http://schemas.microsoft.com/office/drawing/2014/main" id="{37CE32CB-DFDB-4913-B8DF-90E2B678E11A}"/>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14" name="Shape 7">
          <a:extLst>
            <a:ext uri="{FF2B5EF4-FFF2-40B4-BE49-F238E27FC236}">
              <a16:creationId xmlns:a16="http://schemas.microsoft.com/office/drawing/2014/main" id="{3EF1066A-3609-49A6-9B7B-E60421063FDC}"/>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15" name="Shape 7">
          <a:extLst>
            <a:ext uri="{FF2B5EF4-FFF2-40B4-BE49-F238E27FC236}">
              <a16:creationId xmlns:a16="http://schemas.microsoft.com/office/drawing/2014/main" id="{8B080008-EB67-40D3-8EB5-F87B77F9C174}"/>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16" name="Shape 8">
          <a:extLst>
            <a:ext uri="{FF2B5EF4-FFF2-40B4-BE49-F238E27FC236}">
              <a16:creationId xmlns:a16="http://schemas.microsoft.com/office/drawing/2014/main" id="{BEA0C40F-C58F-4A46-9223-C38D05E503C9}"/>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17" name="Shape 7">
          <a:extLst>
            <a:ext uri="{FF2B5EF4-FFF2-40B4-BE49-F238E27FC236}">
              <a16:creationId xmlns:a16="http://schemas.microsoft.com/office/drawing/2014/main" id="{3E9749EA-141D-4ADB-84D3-2FABD069D8C5}"/>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18" name="Shape 8">
          <a:extLst>
            <a:ext uri="{FF2B5EF4-FFF2-40B4-BE49-F238E27FC236}">
              <a16:creationId xmlns:a16="http://schemas.microsoft.com/office/drawing/2014/main" id="{601F1552-DDDB-4D77-8901-040DB544B09B}"/>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19" name="Shape 7">
          <a:extLst>
            <a:ext uri="{FF2B5EF4-FFF2-40B4-BE49-F238E27FC236}">
              <a16:creationId xmlns:a16="http://schemas.microsoft.com/office/drawing/2014/main" id="{4CC4F42F-2B42-4513-AB82-CEF6CB7251CF}"/>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20" name="Shape 8">
          <a:extLst>
            <a:ext uri="{FF2B5EF4-FFF2-40B4-BE49-F238E27FC236}">
              <a16:creationId xmlns:a16="http://schemas.microsoft.com/office/drawing/2014/main" id="{4973990D-BC09-4195-9008-BCCB121DE243}"/>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21" name="Shape 8">
          <a:extLst>
            <a:ext uri="{FF2B5EF4-FFF2-40B4-BE49-F238E27FC236}">
              <a16:creationId xmlns:a16="http://schemas.microsoft.com/office/drawing/2014/main" id="{C5784A7B-C6AD-4C97-A02F-16B1D8B0AF7C}"/>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22" name="Shape 7">
          <a:extLst>
            <a:ext uri="{FF2B5EF4-FFF2-40B4-BE49-F238E27FC236}">
              <a16:creationId xmlns:a16="http://schemas.microsoft.com/office/drawing/2014/main" id="{50D85BB8-BBB0-465E-B699-25465C64786B}"/>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23" name="Shape 8">
          <a:extLst>
            <a:ext uri="{FF2B5EF4-FFF2-40B4-BE49-F238E27FC236}">
              <a16:creationId xmlns:a16="http://schemas.microsoft.com/office/drawing/2014/main" id="{E3216566-C4B6-4FA8-B695-941A14763902}"/>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24" name="Shape 8">
          <a:extLst>
            <a:ext uri="{FF2B5EF4-FFF2-40B4-BE49-F238E27FC236}">
              <a16:creationId xmlns:a16="http://schemas.microsoft.com/office/drawing/2014/main" id="{431E6EC8-4A55-4B24-86CC-B86A6683D707}"/>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25" name="Shape 7">
          <a:extLst>
            <a:ext uri="{FF2B5EF4-FFF2-40B4-BE49-F238E27FC236}">
              <a16:creationId xmlns:a16="http://schemas.microsoft.com/office/drawing/2014/main" id="{BB5B4DE6-5B2D-42B8-A962-50F9075C840D}"/>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26" name="Shape 8">
          <a:extLst>
            <a:ext uri="{FF2B5EF4-FFF2-40B4-BE49-F238E27FC236}">
              <a16:creationId xmlns:a16="http://schemas.microsoft.com/office/drawing/2014/main" id="{08D43DED-E775-4D27-B3AF-C6E6FDA859E7}"/>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27" name="Shape 8">
          <a:extLst>
            <a:ext uri="{FF2B5EF4-FFF2-40B4-BE49-F238E27FC236}">
              <a16:creationId xmlns:a16="http://schemas.microsoft.com/office/drawing/2014/main" id="{5E3BE400-7E77-4DC2-89C3-ECEB527AF603}"/>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28" name="Shape 7">
          <a:extLst>
            <a:ext uri="{FF2B5EF4-FFF2-40B4-BE49-F238E27FC236}">
              <a16:creationId xmlns:a16="http://schemas.microsoft.com/office/drawing/2014/main" id="{E091425A-7F97-4E43-A122-210C0DF1AAFD}"/>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29" name="Shape 8">
          <a:extLst>
            <a:ext uri="{FF2B5EF4-FFF2-40B4-BE49-F238E27FC236}">
              <a16:creationId xmlns:a16="http://schemas.microsoft.com/office/drawing/2014/main" id="{5F1AD3D0-FC6A-44DB-8357-38AFC61CB588}"/>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30" name="Shape 8">
          <a:extLst>
            <a:ext uri="{FF2B5EF4-FFF2-40B4-BE49-F238E27FC236}">
              <a16:creationId xmlns:a16="http://schemas.microsoft.com/office/drawing/2014/main" id="{DCDBEDC4-A2AF-49AA-B414-84F48CF4069F}"/>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31" name="Shape 7">
          <a:extLst>
            <a:ext uri="{FF2B5EF4-FFF2-40B4-BE49-F238E27FC236}">
              <a16:creationId xmlns:a16="http://schemas.microsoft.com/office/drawing/2014/main" id="{BD93CFE9-F8BD-4E94-9EE2-6A894BB8868F}"/>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32" name="Shape 8">
          <a:extLst>
            <a:ext uri="{FF2B5EF4-FFF2-40B4-BE49-F238E27FC236}">
              <a16:creationId xmlns:a16="http://schemas.microsoft.com/office/drawing/2014/main" id="{1B859E56-8FB4-4996-B62F-F3D66E878D98}"/>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33" name="Shape 8">
          <a:extLst>
            <a:ext uri="{FF2B5EF4-FFF2-40B4-BE49-F238E27FC236}">
              <a16:creationId xmlns:a16="http://schemas.microsoft.com/office/drawing/2014/main" id="{309E417C-661A-4EF5-8E33-5F7D8C7F7281}"/>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34" name="Shape 7">
          <a:extLst>
            <a:ext uri="{FF2B5EF4-FFF2-40B4-BE49-F238E27FC236}">
              <a16:creationId xmlns:a16="http://schemas.microsoft.com/office/drawing/2014/main" id="{ECDE6052-F560-4D88-B858-BA8DAF17CF9B}"/>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35" name="Shape 7">
          <a:extLst>
            <a:ext uri="{FF2B5EF4-FFF2-40B4-BE49-F238E27FC236}">
              <a16:creationId xmlns:a16="http://schemas.microsoft.com/office/drawing/2014/main" id="{40871FC1-ED3D-4E22-89E8-AB0C58D32020}"/>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36" name="Shape 8">
          <a:extLst>
            <a:ext uri="{FF2B5EF4-FFF2-40B4-BE49-F238E27FC236}">
              <a16:creationId xmlns:a16="http://schemas.microsoft.com/office/drawing/2014/main" id="{F8FD95AB-38D0-454C-B606-EAD8F64ECF6D}"/>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37" name="Shape 8">
          <a:extLst>
            <a:ext uri="{FF2B5EF4-FFF2-40B4-BE49-F238E27FC236}">
              <a16:creationId xmlns:a16="http://schemas.microsoft.com/office/drawing/2014/main" id="{F904F310-A858-491C-89D9-7F2DDA7FCBC9}"/>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38" name="Shape 7">
          <a:extLst>
            <a:ext uri="{FF2B5EF4-FFF2-40B4-BE49-F238E27FC236}">
              <a16:creationId xmlns:a16="http://schemas.microsoft.com/office/drawing/2014/main" id="{EA22E58C-3707-499D-BE41-FE71165B9CF6}"/>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39" name="Shape 7">
          <a:extLst>
            <a:ext uri="{FF2B5EF4-FFF2-40B4-BE49-F238E27FC236}">
              <a16:creationId xmlns:a16="http://schemas.microsoft.com/office/drawing/2014/main" id="{CDCF9C03-FB55-43BA-9917-50385F3898ED}"/>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40" name="Shape 8">
          <a:extLst>
            <a:ext uri="{FF2B5EF4-FFF2-40B4-BE49-F238E27FC236}">
              <a16:creationId xmlns:a16="http://schemas.microsoft.com/office/drawing/2014/main" id="{48F5E7BB-1F9B-4FF6-9305-B19517EC07EE}"/>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41" name="Shape 7">
          <a:extLst>
            <a:ext uri="{FF2B5EF4-FFF2-40B4-BE49-F238E27FC236}">
              <a16:creationId xmlns:a16="http://schemas.microsoft.com/office/drawing/2014/main" id="{BA0D3F3A-8279-4E6C-BC33-921DFA1A5520}"/>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42" name="Shape 8">
          <a:extLst>
            <a:ext uri="{FF2B5EF4-FFF2-40B4-BE49-F238E27FC236}">
              <a16:creationId xmlns:a16="http://schemas.microsoft.com/office/drawing/2014/main" id="{21326186-9119-49F3-A388-C7BA4D180B7B}"/>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43" name="Shape 7">
          <a:extLst>
            <a:ext uri="{FF2B5EF4-FFF2-40B4-BE49-F238E27FC236}">
              <a16:creationId xmlns:a16="http://schemas.microsoft.com/office/drawing/2014/main" id="{1F31C4E7-CA89-46AA-B300-AAF7F913EF2D}"/>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44" name="Shape 8">
          <a:extLst>
            <a:ext uri="{FF2B5EF4-FFF2-40B4-BE49-F238E27FC236}">
              <a16:creationId xmlns:a16="http://schemas.microsoft.com/office/drawing/2014/main" id="{30CE3970-0DD1-4B2F-AC50-6D94A035ABFE}"/>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45" name="Shape 7">
          <a:extLst>
            <a:ext uri="{FF2B5EF4-FFF2-40B4-BE49-F238E27FC236}">
              <a16:creationId xmlns:a16="http://schemas.microsoft.com/office/drawing/2014/main" id="{8EEB2562-4F54-4B12-9627-8CA8DA03B0F4}"/>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46" name="Shape 8">
          <a:extLst>
            <a:ext uri="{FF2B5EF4-FFF2-40B4-BE49-F238E27FC236}">
              <a16:creationId xmlns:a16="http://schemas.microsoft.com/office/drawing/2014/main" id="{1886673C-4CEA-44F7-A2BD-95F11DDB49A5}"/>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47" name="Shape 8">
          <a:extLst>
            <a:ext uri="{FF2B5EF4-FFF2-40B4-BE49-F238E27FC236}">
              <a16:creationId xmlns:a16="http://schemas.microsoft.com/office/drawing/2014/main" id="{FF4BC98D-1CD2-4C0C-B5B4-9CD2863A76B2}"/>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48" name="Shape 7">
          <a:extLst>
            <a:ext uri="{FF2B5EF4-FFF2-40B4-BE49-F238E27FC236}">
              <a16:creationId xmlns:a16="http://schemas.microsoft.com/office/drawing/2014/main" id="{A70ABECA-B09C-41E8-A1A6-96ACCFDA573C}"/>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49" name="Shape 8">
          <a:extLst>
            <a:ext uri="{FF2B5EF4-FFF2-40B4-BE49-F238E27FC236}">
              <a16:creationId xmlns:a16="http://schemas.microsoft.com/office/drawing/2014/main" id="{24B58BDF-0463-4B17-85C6-D6BF210B72BF}"/>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50" name="Shape 8">
          <a:extLst>
            <a:ext uri="{FF2B5EF4-FFF2-40B4-BE49-F238E27FC236}">
              <a16:creationId xmlns:a16="http://schemas.microsoft.com/office/drawing/2014/main" id="{A49648C0-77E4-4800-9D3B-ABC1087EBB04}"/>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51" name="Shape 7">
          <a:extLst>
            <a:ext uri="{FF2B5EF4-FFF2-40B4-BE49-F238E27FC236}">
              <a16:creationId xmlns:a16="http://schemas.microsoft.com/office/drawing/2014/main" id="{44FB7A05-A159-484C-8D33-099A4DEF91DF}"/>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52" name="Shape 8">
          <a:extLst>
            <a:ext uri="{FF2B5EF4-FFF2-40B4-BE49-F238E27FC236}">
              <a16:creationId xmlns:a16="http://schemas.microsoft.com/office/drawing/2014/main" id="{63639156-9057-4FAE-B2C5-0B7BD11E4B39}"/>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53" name="Shape 8">
          <a:extLst>
            <a:ext uri="{FF2B5EF4-FFF2-40B4-BE49-F238E27FC236}">
              <a16:creationId xmlns:a16="http://schemas.microsoft.com/office/drawing/2014/main" id="{8F1CD22D-5FD5-4684-A398-CDD4204A903D}"/>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54" name="Shape 7">
          <a:extLst>
            <a:ext uri="{FF2B5EF4-FFF2-40B4-BE49-F238E27FC236}">
              <a16:creationId xmlns:a16="http://schemas.microsoft.com/office/drawing/2014/main" id="{7C8005E3-34B6-4B00-9D5B-825B1EC00E05}"/>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55" name="Shape 8">
          <a:extLst>
            <a:ext uri="{FF2B5EF4-FFF2-40B4-BE49-F238E27FC236}">
              <a16:creationId xmlns:a16="http://schemas.microsoft.com/office/drawing/2014/main" id="{1FDCA91D-11A6-4563-94BF-7438E139BFF3}"/>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56" name="Shape 8">
          <a:extLst>
            <a:ext uri="{FF2B5EF4-FFF2-40B4-BE49-F238E27FC236}">
              <a16:creationId xmlns:a16="http://schemas.microsoft.com/office/drawing/2014/main" id="{94F675DF-1EF9-47B9-8344-E5665B20ACD5}"/>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57" name="Shape 7">
          <a:extLst>
            <a:ext uri="{FF2B5EF4-FFF2-40B4-BE49-F238E27FC236}">
              <a16:creationId xmlns:a16="http://schemas.microsoft.com/office/drawing/2014/main" id="{8381D679-AD54-4610-A168-3AFBEA6C687E}"/>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58" name="Shape 8">
          <a:extLst>
            <a:ext uri="{FF2B5EF4-FFF2-40B4-BE49-F238E27FC236}">
              <a16:creationId xmlns:a16="http://schemas.microsoft.com/office/drawing/2014/main" id="{1FBD169D-56A8-493A-9126-C8F0740D62D0}"/>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59" name="Shape 8">
          <a:extLst>
            <a:ext uri="{FF2B5EF4-FFF2-40B4-BE49-F238E27FC236}">
              <a16:creationId xmlns:a16="http://schemas.microsoft.com/office/drawing/2014/main" id="{D60B7471-07B0-48A9-A574-FA765CFE1AF5}"/>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60" name="Shape 7">
          <a:extLst>
            <a:ext uri="{FF2B5EF4-FFF2-40B4-BE49-F238E27FC236}">
              <a16:creationId xmlns:a16="http://schemas.microsoft.com/office/drawing/2014/main" id="{1ECF0BB5-0674-4C9C-8084-0648BF2D0C6E}"/>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61" name="Shape 7">
          <a:extLst>
            <a:ext uri="{FF2B5EF4-FFF2-40B4-BE49-F238E27FC236}">
              <a16:creationId xmlns:a16="http://schemas.microsoft.com/office/drawing/2014/main" id="{59D8C7FB-C7B2-4484-96AC-EDC9CCC46E95}"/>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62" name="Shape 8">
          <a:extLst>
            <a:ext uri="{FF2B5EF4-FFF2-40B4-BE49-F238E27FC236}">
              <a16:creationId xmlns:a16="http://schemas.microsoft.com/office/drawing/2014/main" id="{69A2370D-C666-4BED-B7BF-96F999421BF4}"/>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63" name="Shape 8">
          <a:extLst>
            <a:ext uri="{FF2B5EF4-FFF2-40B4-BE49-F238E27FC236}">
              <a16:creationId xmlns:a16="http://schemas.microsoft.com/office/drawing/2014/main" id="{1F61B138-5E1D-4B58-8F19-0BF4B44ECDBD}"/>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64" name="Shape 7">
          <a:extLst>
            <a:ext uri="{FF2B5EF4-FFF2-40B4-BE49-F238E27FC236}">
              <a16:creationId xmlns:a16="http://schemas.microsoft.com/office/drawing/2014/main" id="{88620D90-1686-48D2-B569-27A4E57F9DD7}"/>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65" name="Shape 7">
          <a:extLst>
            <a:ext uri="{FF2B5EF4-FFF2-40B4-BE49-F238E27FC236}">
              <a16:creationId xmlns:a16="http://schemas.microsoft.com/office/drawing/2014/main" id="{96C18FB6-193E-4F9E-82EF-444C75E76BA2}"/>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66" name="Shape 8">
          <a:extLst>
            <a:ext uri="{FF2B5EF4-FFF2-40B4-BE49-F238E27FC236}">
              <a16:creationId xmlns:a16="http://schemas.microsoft.com/office/drawing/2014/main" id="{0B5FF919-FC26-4FD7-97E6-C9EACBA4C131}"/>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67" name="Shape 8">
          <a:extLst>
            <a:ext uri="{FF2B5EF4-FFF2-40B4-BE49-F238E27FC236}">
              <a16:creationId xmlns:a16="http://schemas.microsoft.com/office/drawing/2014/main" id="{007E5F1B-9B70-458F-9C91-859F77A1514E}"/>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68" name="Shape 7">
          <a:extLst>
            <a:ext uri="{FF2B5EF4-FFF2-40B4-BE49-F238E27FC236}">
              <a16:creationId xmlns:a16="http://schemas.microsoft.com/office/drawing/2014/main" id="{9DCB5772-D778-4AEE-962B-8061EBB10E9E}"/>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69" name="Shape 7">
          <a:extLst>
            <a:ext uri="{FF2B5EF4-FFF2-40B4-BE49-F238E27FC236}">
              <a16:creationId xmlns:a16="http://schemas.microsoft.com/office/drawing/2014/main" id="{087FE4E0-02CD-43AC-89A7-12FDA11AD338}"/>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70" name="Shape 7">
          <a:extLst>
            <a:ext uri="{FF2B5EF4-FFF2-40B4-BE49-F238E27FC236}">
              <a16:creationId xmlns:a16="http://schemas.microsoft.com/office/drawing/2014/main" id="{8A1D7AFB-AB45-4F86-AA93-7B3E24FCB920}"/>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71" name="Shape 7">
          <a:extLst>
            <a:ext uri="{FF2B5EF4-FFF2-40B4-BE49-F238E27FC236}">
              <a16:creationId xmlns:a16="http://schemas.microsoft.com/office/drawing/2014/main" id="{B64CC165-1137-48AB-BC80-AEFA619C1400}"/>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72" name="Shape 7">
          <a:extLst>
            <a:ext uri="{FF2B5EF4-FFF2-40B4-BE49-F238E27FC236}">
              <a16:creationId xmlns:a16="http://schemas.microsoft.com/office/drawing/2014/main" id="{9BB3BFE8-46F5-493C-B9BE-4A6F1753D006}"/>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73" name="Shape 7">
          <a:extLst>
            <a:ext uri="{FF2B5EF4-FFF2-40B4-BE49-F238E27FC236}">
              <a16:creationId xmlns:a16="http://schemas.microsoft.com/office/drawing/2014/main" id="{D5004265-8591-44B0-AD9D-054BAB79EFE6}"/>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74" name="Shape 7">
          <a:extLst>
            <a:ext uri="{FF2B5EF4-FFF2-40B4-BE49-F238E27FC236}">
              <a16:creationId xmlns:a16="http://schemas.microsoft.com/office/drawing/2014/main" id="{55D62A81-4A13-426B-962F-C61774A512B9}"/>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75" name="Shape 7">
          <a:extLst>
            <a:ext uri="{FF2B5EF4-FFF2-40B4-BE49-F238E27FC236}">
              <a16:creationId xmlns:a16="http://schemas.microsoft.com/office/drawing/2014/main" id="{395079A6-4414-4699-B7D4-FA1DCEF631F2}"/>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76" name="Shape 7">
          <a:extLst>
            <a:ext uri="{FF2B5EF4-FFF2-40B4-BE49-F238E27FC236}">
              <a16:creationId xmlns:a16="http://schemas.microsoft.com/office/drawing/2014/main" id="{5E5FEE6A-ABCC-47D7-AAD4-31AD4BB93148}"/>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77" name="Shape 7">
          <a:extLst>
            <a:ext uri="{FF2B5EF4-FFF2-40B4-BE49-F238E27FC236}">
              <a16:creationId xmlns:a16="http://schemas.microsoft.com/office/drawing/2014/main" id="{B974D61B-3F2D-445B-9832-BE9053ABD20A}"/>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78" name="Shape 7">
          <a:extLst>
            <a:ext uri="{FF2B5EF4-FFF2-40B4-BE49-F238E27FC236}">
              <a16:creationId xmlns:a16="http://schemas.microsoft.com/office/drawing/2014/main" id="{C2AC5B8D-0EBC-4614-ADFE-55D1439497C1}"/>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79" name="Shape 7">
          <a:extLst>
            <a:ext uri="{FF2B5EF4-FFF2-40B4-BE49-F238E27FC236}">
              <a16:creationId xmlns:a16="http://schemas.microsoft.com/office/drawing/2014/main" id="{3E9BF9A8-5021-437C-9E24-2C4F1D179B93}"/>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80" name="Shape 7">
          <a:extLst>
            <a:ext uri="{FF2B5EF4-FFF2-40B4-BE49-F238E27FC236}">
              <a16:creationId xmlns:a16="http://schemas.microsoft.com/office/drawing/2014/main" id="{2286956B-5E0B-43C9-9D84-479B9C8DDBF7}"/>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81" name="Shape 7">
          <a:extLst>
            <a:ext uri="{FF2B5EF4-FFF2-40B4-BE49-F238E27FC236}">
              <a16:creationId xmlns:a16="http://schemas.microsoft.com/office/drawing/2014/main" id="{00602815-8AED-414C-B508-0668688B3193}"/>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82" name="Shape 7">
          <a:extLst>
            <a:ext uri="{FF2B5EF4-FFF2-40B4-BE49-F238E27FC236}">
              <a16:creationId xmlns:a16="http://schemas.microsoft.com/office/drawing/2014/main" id="{97E9CDEC-AB3A-42C0-90E5-F857E17D8E54}"/>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083" name="Shape 7">
          <a:extLst>
            <a:ext uri="{FF2B5EF4-FFF2-40B4-BE49-F238E27FC236}">
              <a16:creationId xmlns:a16="http://schemas.microsoft.com/office/drawing/2014/main" id="{C35ABAF9-6846-48E9-BCDF-9126DF8A7F7B}"/>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84" name="Shape 7">
          <a:extLst>
            <a:ext uri="{FF2B5EF4-FFF2-40B4-BE49-F238E27FC236}">
              <a16:creationId xmlns:a16="http://schemas.microsoft.com/office/drawing/2014/main" id="{1D0EDB42-FBE8-4812-BCD0-07056A7200D1}"/>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85" name="Shape 8">
          <a:extLst>
            <a:ext uri="{FF2B5EF4-FFF2-40B4-BE49-F238E27FC236}">
              <a16:creationId xmlns:a16="http://schemas.microsoft.com/office/drawing/2014/main" id="{24A6185C-7DDB-4873-8FF8-235C960B5D93}"/>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86" name="Shape 7">
          <a:extLst>
            <a:ext uri="{FF2B5EF4-FFF2-40B4-BE49-F238E27FC236}">
              <a16:creationId xmlns:a16="http://schemas.microsoft.com/office/drawing/2014/main" id="{5C1C7BBC-F7AF-428E-8745-A59762738DF1}"/>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87" name="Shape 8">
          <a:extLst>
            <a:ext uri="{FF2B5EF4-FFF2-40B4-BE49-F238E27FC236}">
              <a16:creationId xmlns:a16="http://schemas.microsoft.com/office/drawing/2014/main" id="{2A7A9ED3-FA73-49AD-8DC0-93E3D60E3F90}"/>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88" name="Shape 7">
          <a:extLst>
            <a:ext uri="{FF2B5EF4-FFF2-40B4-BE49-F238E27FC236}">
              <a16:creationId xmlns:a16="http://schemas.microsoft.com/office/drawing/2014/main" id="{000302C5-36EA-4EAE-9490-6C59AF8F9A60}"/>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89" name="Shape 8">
          <a:extLst>
            <a:ext uri="{FF2B5EF4-FFF2-40B4-BE49-F238E27FC236}">
              <a16:creationId xmlns:a16="http://schemas.microsoft.com/office/drawing/2014/main" id="{97AD1644-72BD-4158-838F-D819917DC532}"/>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90" name="Shape 8">
          <a:extLst>
            <a:ext uri="{FF2B5EF4-FFF2-40B4-BE49-F238E27FC236}">
              <a16:creationId xmlns:a16="http://schemas.microsoft.com/office/drawing/2014/main" id="{7F7D44E4-6CFE-4802-811C-584355DD9C60}"/>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91" name="Shape 7">
          <a:extLst>
            <a:ext uri="{FF2B5EF4-FFF2-40B4-BE49-F238E27FC236}">
              <a16:creationId xmlns:a16="http://schemas.microsoft.com/office/drawing/2014/main" id="{B630D977-40A4-44FF-87CA-C0D941357C20}"/>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92" name="Shape 8">
          <a:extLst>
            <a:ext uri="{FF2B5EF4-FFF2-40B4-BE49-F238E27FC236}">
              <a16:creationId xmlns:a16="http://schemas.microsoft.com/office/drawing/2014/main" id="{68BBF564-5D86-4C3F-9C4C-E8BC21958644}"/>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93" name="Shape 8">
          <a:extLst>
            <a:ext uri="{FF2B5EF4-FFF2-40B4-BE49-F238E27FC236}">
              <a16:creationId xmlns:a16="http://schemas.microsoft.com/office/drawing/2014/main" id="{F7ACAF43-27A4-4E38-AF1A-3E5D799B4763}"/>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94" name="Shape 7">
          <a:extLst>
            <a:ext uri="{FF2B5EF4-FFF2-40B4-BE49-F238E27FC236}">
              <a16:creationId xmlns:a16="http://schemas.microsoft.com/office/drawing/2014/main" id="{BAB730EB-009F-483E-A466-DEF39B409581}"/>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95" name="Shape 8">
          <a:extLst>
            <a:ext uri="{FF2B5EF4-FFF2-40B4-BE49-F238E27FC236}">
              <a16:creationId xmlns:a16="http://schemas.microsoft.com/office/drawing/2014/main" id="{8D978AF7-5ED1-4493-83B6-3A14C4FC367D}"/>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96" name="Shape 8">
          <a:extLst>
            <a:ext uri="{FF2B5EF4-FFF2-40B4-BE49-F238E27FC236}">
              <a16:creationId xmlns:a16="http://schemas.microsoft.com/office/drawing/2014/main" id="{75DFFC68-A61C-4492-B64D-CDB920D46A96}"/>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097" name="Shape 7">
          <a:extLst>
            <a:ext uri="{FF2B5EF4-FFF2-40B4-BE49-F238E27FC236}">
              <a16:creationId xmlns:a16="http://schemas.microsoft.com/office/drawing/2014/main" id="{76565103-51E9-40DA-87A0-F82EA3DD52E1}"/>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98" name="Shape 8">
          <a:extLst>
            <a:ext uri="{FF2B5EF4-FFF2-40B4-BE49-F238E27FC236}">
              <a16:creationId xmlns:a16="http://schemas.microsoft.com/office/drawing/2014/main" id="{7BD5FFB7-E6B3-4477-A9A1-2599550A24C4}"/>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099" name="Shape 8">
          <a:extLst>
            <a:ext uri="{FF2B5EF4-FFF2-40B4-BE49-F238E27FC236}">
              <a16:creationId xmlns:a16="http://schemas.microsoft.com/office/drawing/2014/main" id="{6AA3A9BD-7465-4F1F-9B36-5E1F4BF57A82}"/>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00" name="Shape 7">
          <a:extLst>
            <a:ext uri="{FF2B5EF4-FFF2-40B4-BE49-F238E27FC236}">
              <a16:creationId xmlns:a16="http://schemas.microsoft.com/office/drawing/2014/main" id="{85D80549-0B17-4382-9C18-3B9AE585BFC2}"/>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01" name="Shape 8">
          <a:extLst>
            <a:ext uri="{FF2B5EF4-FFF2-40B4-BE49-F238E27FC236}">
              <a16:creationId xmlns:a16="http://schemas.microsoft.com/office/drawing/2014/main" id="{754701E7-A67B-46AB-9F49-51D2702AA00D}"/>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02" name="Shape 8">
          <a:extLst>
            <a:ext uri="{FF2B5EF4-FFF2-40B4-BE49-F238E27FC236}">
              <a16:creationId xmlns:a16="http://schemas.microsoft.com/office/drawing/2014/main" id="{72BFB3F0-D10A-4A01-9A77-00545E823BF5}"/>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03" name="Shape 7">
          <a:extLst>
            <a:ext uri="{FF2B5EF4-FFF2-40B4-BE49-F238E27FC236}">
              <a16:creationId xmlns:a16="http://schemas.microsoft.com/office/drawing/2014/main" id="{E573FAA0-5D94-4FE8-A973-D103D2FDA8AB}"/>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04" name="Shape 7">
          <a:extLst>
            <a:ext uri="{FF2B5EF4-FFF2-40B4-BE49-F238E27FC236}">
              <a16:creationId xmlns:a16="http://schemas.microsoft.com/office/drawing/2014/main" id="{37A1161C-1833-430E-8CD8-14476EF9EDE6}"/>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05" name="Shape 8">
          <a:extLst>
            <a:ext uri="{FF2B5EF4-FFF2-40B4-BE49-F238E27FC236}">
              <a16:creationId xmlns:a16="http://schemas.microsoft.com/office/drawing/2014/main" id="{C9C78745-DF71-49A8-8270-C65F00E532BB}"/>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06" name="Shape 8">
          <a:extLst>
            <a:ext uri="{FF2B5EF4-FFF2-40B4-BE49-F238E27FC236}">
              <a16:creationId xmlns:a16="http://schemas.microsoft.com/office/drawing/2014/main" id="{0BDD090D-7DDF-4E6A-B683-4F5A4901D1AD}"/>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07" name="Shape 7">
          <a:extLst>
            <a:ext uri="{FF2B5EF4-FFF2-40B4-BE49-F238E27FC236}">
              <a16:creationId xmlns:a16="http://schemas.microsoft.com/office/drawing/2014/main" id="{61598932-371E-4890-8B41-E979A7D54B4B}"/>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08" name="Shape 7">
          <a:extLst>
            <a:ext uri="{FF2B5EF4-FFF2-40B4-BE49-F238E27FC236}">
              <a16:creationId xmlns:a16="http://schemas.microsoft.com/office/drawing/2014/main" id="{92D20C7F-F3C2-4DDB-B235-04AFB9F3B299}"/>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09" name="Shape 8">
          <a:extLst>
            <a:ext uri="{FF2B5EF4-FFF2-40B4-BE49-F238E27FC236}">
              <a16:creationId xmlns:a16="http://schemas.microsoft.com/office/drawing/2014/main" id="{A16EDA63-AE69-40F6-B255-DEB9CE3A88B7}"/>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10" name="Shape 8">
          <a:extLst>
            <a:ext uri="{FF2B5EF4-FFF2-40B4-BE49-F238E27FC236}">
              <a16:creationId xmlns:a16="http://schemas.microsoft.com/office/drawing/2014/main" id="{2CD71344-625D-4A6B-AC0E-033164EAA267}"/>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11" name="Shape 7">
          <a:extLst>
            <a:ext uri="{FF2B5EF4-FFF2-40B4-BE49-F238E27FC236}">
              <a16:creationId xmlns:a16="http://schemas.microsoft.com/office/drawing/2014/main" id="{FE053CB2-D5CF-4872-92B4-03EA237842A5}"/>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12" name="Shape 7">
          <a:extLst>
            <a:ext uri="{FF2B5EF4-FFF2-40B4-BE49-F238E27FC236}">
              <a16:creationId xmlns:a16="http://schemas.microsoft.com/office/drawing/2014/main" id="{34ACDAC2-1DEE-4BA8-8FB8-88B958CBB968}"/>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13" name="Shape 7">
          <a:extLst>
            <a:ext uri="{FF2B5EF4-FFF2-40B4-BE49-F238E27FC236}">
              <a16:creationId xmlns:a16="http://schemas.microsoft.com/office/drawing/2014/main" id="{7604D922-2DE9-442B-A55B-501741007A14}"/>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14" name="Shape 7">
          <a:extLst>
            <a:ext uri="{FF2B5EF4-FFF2-40B4-BE49-F238E27FC236}">
              <a16:creationId xmlns:a16="http://schemas.microsoft.com/office/drawing/2014/main" id="{EBC83D8E-B18D-43F4-BAFD-A451E4BDDB1D}"/>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15" name="Shape 7">
          <a:extLst>
            <a:ext uri="{FF2B5EF4-FFF2-40B4-BE49-F238E27FC236}">
              <a16:creationId xmlns:a16="http://schemas.microsoft.com/office/drawing/2014/main" id="{67BFC5D1-FA51-44A3-B636-D715D9CC3CFE}"/>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16" name="Shape 7">
          <a:extLst>
            <a:ext uri="{FF2B5EF4-FFF2-40B4-BE49-F238E27FC236}">
              <a16:creationId xmlns:a16="http://schemas.microsoft.com/office/drawing/2014/main" id="{ABF4D085-90B2-42B3-858F-FAF38B74388F}"/>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17" name="Shape 7">
          <a:extLst>
            <a:ext uri="{FF2B5EF4-FFF2-40B4-BE49-F238E27FC236}">
              <a16:creationId xmlns:a16="http://schemas.microsoft.com/office/drawing/2014/main" id="{F734ACDF-7011-4C5A-A975-D54B8834963E}"/>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18" name="Shape 7">
          <a:extLst>
            <a:ext uri="{FF2B5EF4-FFF2-40B4-BE49-F238E27FC236}">
              <a16:creationId xmlns:a16="http://schemas.microsoft.com/office/drawing/2014/main" id="{2D9E7EF1-273C-4BAD-AC43-0846F2988338}"/>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19" name="Shape 7">
          <a:extLst>
            <a:ext uri="{FF2B5EF4-FFF2-40B4-BE49-F238E27FC236}">
              <a16:creationId xmlns:a16="http://schemas.microsoft.com/office/drawing/2014/main" id="{A5AF640A-3919-4FF5-937D-846375F77B01}"/>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20" name="Shape 7">
          <a:extLst>
            <a:ext uri="{FF2B5EF4-FFF2-40B4-BE49-F238E27FC236}">
              <a16:creationId xmlns:a16="http://schemas.microsoft.com/office/drawing/2014/main" id="{A8B1D846-B9D9-4CBD-82FC-4CE3966009A9}"/>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21" name="Shape 7">
          <a:extLst>
            <a:ext uri="{FF2B5EF4-FFF2-40B4-BE49-F238E27FC236}">
              <a16:creationId xmlns:a16="http://schemas.microsoft.com/office/drawing/2014/main" id="{658560E2-1DF4-4D6C-B7D4-ADDF6F9E9BBC}"/>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22" name="Shape 7">
          <a:extLst>
            <a:ext uri="{FF2B5EF4-FFF2-40B4-BE49-F238E27FC236}">
              <a16:creationId xmlns:a16="http://schemas.microsoft.com/office/drawing/2014/main" id="{8C6D45BA-E555-4298-ACA4-40E646F38606}"/>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23" name="Shape 7">
          <a:extLst>
            <a:ext uri="{FF2B5EF4-FFF2-40B4-BE49-F238E27FC236}">
              <a16:creationId xmlns:a16="http://schemas.microsoft.com/office/drawing/2014/main" id="{B201FD32-E641-4D7B-BD5E-9E174F17F2F4}"/>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24" name="Shape 7">
          <a:extLst>
            <a:ext uri="{FF2B5EF4-FFF2-40B4-BE49-F238E27FC236}">
              <a16:creationId xmlns:a16="http://schemas.microsoft.com/office/drawing/2014/main" id="{A528CD44-4372-4AB9-9198-1DDD41000447}"/>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25" name="Shape 7">
          <a:extLst>
            <a:ext uri="{FF2B5EF4-FFF2-40B4-BE49-F238E27FC236}">
              <a16:creationId xmlns:a16="http://schemas.microsoft.com/office/drawing/2014/main" id="{833F6F95-BBEE-48CF-89B0-DF1A7CC4F73E}"/>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126" name="Shape 7">
          <a:extLst>
            <a:ext uri="{FF2B5EF4-FFF2-40B4-BE49-F238E27FC236}">
              <a16:creationId xmlns:a16="http://schemas.microsoft.com/office/drawing/2014/main" id="{D2F9EC16-5F2E-4BF4-A7EA-9302D7D0F87F}"/>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27" name="Shape 7">
          <a:extLst>
            <a:ext uri="{FF2B5EF4-FFF2-40B4-BE49-F238E27FC236}">
              <a16:creationId xmlns:a16="http://schemas.microsoft.com/office/drawing/2014/main" id="{41D85211-2DFC-4D53-9F67-17AACDD217D9}"/>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28" name="Shape 8">
          <a:extLst>
            <a:ext uri="{FF2B5EF4-FFF2-40B4-BE49-F238E27FC236}">
              <a16:creationId xmlns:a16="http://schemas.microsoft.com/office/drawing/2014/main" id="{6E0AD2AB-D30A-47F8-A40A-419DE80DB88A}"/>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29" name="Shape 7">
          <a:extLst>
            <a:ext uri="{FF2B5EF4-FFF2-40B4-BE49-F238E27FC236}">
              <a16:creationId xmlns:a16="http://schemas.microsoft.com/office/drawing/2014/main" id="{02C2A0C1-3D1B-4F6C-B0B7-89E917486503}"/>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30" name="Shape 8">
          <a:extLst>
            <a:ext uri="{FF2B5EF4-FFF2-40B4-BE49-F238E27FC236}">
              <a16:creationId xmlns:a16="http://schemas.microsoft.com/office/drawing/2014/main" id="{310E9832-38C9-4F9D-9A88-61EED1C999FF}"/>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31" name="Shape 7">
          <a:extLst>
            <a:ext uri="{FF2B5EF4-FFF2-40B4-BE49-F238E27FC236}">
              <a16:creationId xmlns:a16="http://schemas.microsoft.com/office/drawing/2014/main" id="{817062B6-7509-4A51-8AFE-752127C2F884}"/>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32" name="Shape 8">
          <a:extLst>
            <a:ext uri="{FF2B5EF4-FFF2-40B4-BE49-F238E27FC236}">
              <a16:creationId xmlns:a16="http://schemas.microsoft.com/office/drawing/2014/main" id="{E61C178F-DFA5-4432-9D55-4073AAB5E036}"/>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33" name="Shape 8">
          <a:extLst>
            <a:ext uri="{FF2B5EF4-FFF2-40B4-BE49-F238E27FC236}">
              <a16:creationId xmlns:a16="http://schemas.microsoft.com/office/drawing/2014/main" id="{A78A6E49-BBEF-4D46-942F-E2956B35AE35}"/>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34" name="Shape 7">
          <a:extLst>
            <a:ext uri="{FF2B5EF4-FFF2-40B4-BE49-F238E27FC236}">
              <a16:creationId xmlns:a16="http://schemas.microsoft.com/office/drawing/2014/main" id="{6470EB71-5362-4F28-A5E2-37FEE6A5E928}"/>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35" name="Shape 8">
          <a:extLst>
            <a:ext uri="{FF2B5EF4-FFF2-40B4-BE49-F238E27FC236}">
              <a16:creationId xmlns:a16="http://schemas.microsoft.com/office/drawing/2014/main" id="{0ED77D18-2FEF-44D1-98E3-F51E3E5E8B99}"/>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36" name="Shape 8">
          <a:extLst>
            <a:ext uri="{FF2B5EF4-FFF2-40B4-BE49-F238E27FC236}">
              <a16:creationId xmlns:a16="http://schemas.microsoft.com/office/drawing/2014/main" id="{DE3869BD-AB39-47FB-A50B-2B625BEA667C}"/>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37" name="Shape 7">
          <a:extLst>
            <a:ext uri="{FF2B5EF4-FFF2-40B4-BE49-F238E27FC236}">
              <a16:creationId xmlns:a16="http://schemas.microsoft.com/office/drawing/2014/main" id="{9836E97A-F0AB-43B6-9781-0A222901929F}"/>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38" name="Shape 8">
          <a:extLst>
            <a:ext uri="{FF2B5EF4-FFF2-40B4-BE49-F238E27FC236}">
              <a16:creationId xmlns:a16="http://schemas.microsoft.com/office/drawing/2014/main" id="{D2D77BF6-C085-402F-B61E-BA2FC78B9A01}"/>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39" name="Shape 8">
          <a:extLst>
            <a:ext uri="{FF2B5EF4-FFF2-40B4-BE49-F238E27FC236}">
              <a16:creationId xmlns:a16="http://schemas.microsoft.com/office/drawing/2014/main" id="{E190EE9E-04DD-413A-BE41-C30493E7531C}"/>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40" name="Shape 7">
          <a:extLst>
            <a:ext uri="{FF2B5EF4-FFF2-40B4-BE49-F238E27FC236}">
              <a16:creationId xmlns:a16="http://schemas.microsoft.com/office/drawing/2014/main" id="{487E2AA3-606F-4634-91EC-29B52532F3C2}"/>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41" name="Shape 8">
          <a:extLst>
            <a:ext uri="{FF2B5EF4-FFF2-40B4-BE49-F238E27FC236}">
              <a16:creationId xmlns:a16="http://schemas.microsoft.com/office/drawing/2014/main" id="{CFF88ECC-B374-4A67-955C-4B0850310082}"/>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42" name="Shape 8">
          <a:extLst>
            <a:ext uri="{FF2B5EF4-FFF2-40B4-BE49-F238E27FC236}">
              <a16:creationId xmlns:a16="http://schemas.microsoft.com/office/drawing/2014/main" id="{1E73891D-B8CE-4CC9-AA60-FA2608DC1A76}"/>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43" name="Shape 7">
          <a:extLst>
            <a:ext uri="{FF2B5EF4-FFF2-40B4-BE49-F238E27FC236}">
              <a16:creationId xmlns:a16="http://schemas.microsoft.com/office/drawing/2014/main" id="{C263E27D-4E5F-44D9-B4B6-1C899C55DAD9}"/>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44" name="Shape 8">
          <a:extLst>
            <a:ext uri="{FF2B5EF4-FFF2-40B4-BE49-F238E27FC236}">
              <a16:creationId xmlns:a16="http://schemas.microsoft.com/office/drawing/2014/main" id="{D17ADBE6-8AA7-406B-A3F1-33118F83516E}"/>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45" name="Shape 8">
          <a:extLst>
            <a:ext uri="{FF2B5EF4-FFF2-40B4-BE49-F238E27FC236}">
              <a16:creationId xmlns:a16="http://schemas.microsoft.com/office/drawing/2014/main" id="{4FE56239-927A-4FC8-8290-BA48EA8C5996}"/>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46" name="Shape 7">
          <a:extLst>
            <a:ext uri="{FF2B5EF4-FFF2-40B4-BE49-F238E27FC236}">
              <a16:creationId xmlns:a16="http://schemas.microsoft.com/office/drawing/2014/main" id="{45A82DCC-2226-4683-AE54-F603027E61D6}"/>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47" name="Shape 7">
          <a:extLst>
            <a:ext uri="{FF2B5EF4-FFF2-40B4-BE49-F238E27FC236}">
              <a16:creationId xmlns:a16="http://schemas.microsoft.com/office/drawing/2014/main" id="{A619CEF3-4711-4D78-9BE4-78393C853309}"/>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48" name="Shape 8">
          <a:extLst>
            <a:ext uri="{FF2B5EF4-FFF2-40B4-BE49-F238E27FC236}">
              <a16:creationId xmlns:a16="http://schemas.microsoft.com/office/drawing/2014/main" id="{9F61E014-A815-40A4-9B88-D18261B3100A}"/>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49" name="Shape 8">
          <a:extLst>
            <a:ext uri="{FF2B5EF4-FFF2-40B4-BE49-F238E27FC236}">
              <a16:creationId xmlns:a16="http://schemas.microsoft.com/office/drawing/2014/main" id="{3C731B7D-0E34-479C-BD01-3DBA424B7199}"/>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50" name="Shape 7">
          <a:extLst>
            <a:ext uri="{FF2B5EF4-FFF2-40B4-BE49-F238E27FC236}">
              <a16:creationId xmlns:a16="http://schemas.microsoft.com/office/drawing/2014/main" id="{616FB4F2-9698-4995-9726-77ABFC469FDB}"/>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51" name="Shape 7">
          <a:extLst>
            <a:ext uri="{FF2B5EF4-FFF2-40B4-BE49-F238E27FC236}">
              <a16:creationId xmlns:a16="http://schemas.microsoft.com/office/drawing/2014/main" id="{F129BAD4-B989-48C7-A3F2-460F50561869}"/>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52" name="Shape 8">
          <a:extLst>
            <a:ext uri="{FF2B5EF4-FFF2-40B4-BE49-F238E27FC236}">
              <a16:creationId xmlns:a16="http://schemas.microsoft.com/office/drawing/2014/main" id="{247E97DF-318E-4E04-BAFF-EA2290E47C7E}"/>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53" name="Shape 7">
          <a:extLst>
            <a:ext uri="{FF2B5EF4-FFF2-40B4-BE49-F238E27FC236}">
              <a16:creationId xmlns:a16="http://schemas.microsoft.com/office/drawing/2014/main" id="{9BA899DB-9AF6-41F1-B613-BC331C137C77}"/>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54" name="Shape 8">
          <a:extLst>
            <a:ext uri="{FF2B5EF4-FFF2-40B4-BE49-F238E27FC236}">
              <a16:creationId xmlns:a16="http://schemas.microsoft.com/office/drawing/2014/main" id="{AFB31ADB-B2B8-4994-9224-EA5B0A35B6E4}"/>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55" name="Shape 7">
          <a:extLst>
            <a:ext uri="{FF2B5EF4-FFF2-40B4-BE49-F238E27FC236}">
              <a16:creationId xmlns:a16="http://schemas.microsoft.com/office/drawing/2014/main" id="{8D0AE745-DCEC-4B63-862E-9BA89D7F27EF}"/>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56" name="Shape 8">
          <a:extLst>
            <a:ext uri="{FF2B5EF4-FFF2-40B4-BE49-F238E27FC236}">
              <a16:creationId xmlns:a16="http://schemas.microsoft.com/office/drawing/2014/main" id="{A97108B0-572F-45A5-8241-F747AB8E3F2B}"/>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57" name="Shape 7">
          <a:extLst>
            <a:ext uri="{FF2B5EF4-FFF2-40B4-BE49-F238E27FC236}">
              <a16:creationId xmlns:a16="http://schemas.microsoft.com/office/drawing/2014/main" id="{01DE6010-034D-4B8B-9A93-8ECB880BA40F}"/>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58" name="Shape 8">
          <a:extLst>
            <a:ext uri="{FF2B5EF4-FFF2-40B4-BE49-F238E27FC236}">
              <a16:creationId xmlns:a16="http://schemas.microsoft.com/office/drawing/2014/main" id="{18365510-9305-488D-8CD0-80382540F6C8}"/>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59" name="Shape 8">
          <a:extLst>
            <a:ext uri="{FF2B5EF4-FFF2-40B4-BE49-F238E27FC236}">
              <a16:creationId xmlns:a16="http://schemas.microsoft.com/office/drawing/2014/main" id="{045ED079-4506-47CE-9C39-DB002B7A6143}"/>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60" name="Shape 7">
          <a:extLst>
            <a:ext uri="{FF2B5EF4-FFF2-40B4-BE49-F238E27FC236}">
              <a16:creationId xmlns:a16="http://schemas.microsoft.com/office/drawing/2014/main" id="{20E38F48-23B6-48E1-B198-6B71007286B9}"/>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61" name="Shape 8">
          <a:extLst>
            <a:ext uri="{FF2B5EF4-FFF2-40B4-BE49-F238E27FC236}">
              <a16:creationId xmlns:a16="http://schemas.microsoft.com/office/drawing/2014/main" id="{14EAAF00-1787-4F07-B3DA-866F1EEB2F48}"/>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62" name="Shape 8">
          <a:extLst>
            <a:ext uri="{FF2B5EF4-FFF2-40B4-BE49-F238E27FC236}">
              <a16:creationId xmlns:a16="http://schemas.microsoft.com/office/drawing/2014/main" id="{BB13141C-ABE3-4041-B2A2-50258B411F0C}"/>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63" name="Shape 7">
          <a:extLst>
            <a:ext uri="{FF2B5EF4-FFF2-40B4-BE49-F238E27FC236}">
              <a16:creationId xmlns:a16="http://schemas.microsoft.com/office/drawing/2014/main" id="{6617EB29-4650-41CB-A647-DD522DE03F65}"/>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64" name="Shape 8">
          <a:extLst>
            <a:ext uri="{FF2B5EF4-FFF2-40B4-BE49-F238E27FC236}">
              <a16:creationId xmlns:a16="http://schemas.microsoft.com/office/drawing/2014/main" id="{7930AC2D-6C96-47D1-BC13-BCBC9C025D49}"/>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65" name="Shape 8">
          <a:extLst>
            <a:ext uri="{FF2B5EF4-FFF2-40B4-BE49-F238E27FC236}">
              <a16:creationId xmlns:a16="http://schemas.microsoft.com/office/drawing/2014/main" id="{3BA95BDE-258C-44A8-B1EA-5EE3629EB2E9}"/>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66" name="Shape 7">
          <a:extLst>
            <a:ext uri="{FF2B5EF4-FFF2-40B4-BE49-F238E27FC236}">
              <a16:creationId xmlns:a16="http://schemas.microsoft.com/office/drawing/2014/main" id="{8751547C-5A7F-4914-B48C-5BE68C1271E3}"/>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67" name="Shape 8">
          <a:extLst>
            <a:ext uri="{FF2B5EF4-FFF2-40B4-BE49-F238E27FC236}">
              <a16:creationId xmlns:a16="http://schemas.microsoft.com/office/drawing/2014/main" id="{8E5993FA-ED70-4C00-A5D4-91B1FC6B5948}"/>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68" name="Shape 8">
          <a:extLst>
            <a:ext uri="{FF2B5EF4-FFF2-40B4-BE49-F238E27FC236}">
              <a16:creationId xmlns:a16="http://schemas.microsoft.com/office/drawing/2014/main" id="{B62C80D2-1C19-4E32-B0F7-F0A3C5FA5244}"/>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69" name="Shape 7">
          <a:extLst>
            <a:ext uri="{FF2B5EF4-FFF2-40B4-BE49-F238E27FC236}">
              <a16:creationId xmlns:a16="http://schemas.microsoft.com/office/drawing/2014/main" id="{9C97BBEB-6606-4B1A-96C2-C215386E7E8E}"/>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70" name="Shape 8">
          <a:extLst>
            <a:ext uri="{FF2B5EF4-FFF2-40B4-BE49-F238E27FC236}">
              <a16:creationId xmlns:a16="http://schemas.microsoft.com/office/drawing/2014/main" id="{0DCC0841-68F2-4F79-9817-031AFF71CE79}"/>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71" name="Shape 8">
          <a:extLst>
            <a:ext uri="{FF2B5EF4-FFF2-40B4-BE49-F238E27FC236}">
              <a16:creationId xmlns:a16="http://schemas.microsoft.com/office/drawing/2014/main" id="{B11B2BD0-2CBA-4E6C-9115-4C98C9C2BD96}"/>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72" name="Shape 7">
          <a:extLst>
            <a:ext uri="{FF2B5EF4-FFF2-40B4-BE49-F238E27FC236}">
              <a16:creationId xmlns:a16="http://schemas.microsoft.com/office/drawing/2014/main" id="{B732924D-FD4C-4BEF-8386-667682886478}"/>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73" name="Shape 7">
          <a:extLst>
            <a:ext uri="{FF2B5EF4-FFF2-40B4-BE49-F238E27FC236}">
              <a16:creationId xmlns:a16="http://schemas.microsoft.com/office/drawing/2014/main" id="{A1BDEC9E-E8F4-4515-8F20-4C51C7DB7333}"/>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74" name="Shape 8">
          <a:extLst>
            <a:ext uri="{FF2B5EF4-FFF2-40B4-BE49-F238E27FC236}">
              <a16:creationId xmlns:a16="http://schemas.microsoft.com/office/drawing/2014/main" id="{8F712FCC-F002-4E14-B246-8D291CD63836}"/>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75" name="Shape 8">
          <a:extLst>
            <a:ext uri="{FF2B5EF4-FFF2-40B4-BE49-F238E27FC236}">
              <a16:creationId xmlns:a16="http://schemas.microsoft.com/office/drawing/2014/main" id="{F1345B46-1D65-45E3-A36A-EAB4A85672B1}"/>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76" name="Shape 7">
          <a:extLst>
            <a:ext uri="{FF2B5EF4-FFF2-40B4-BE49-F238E27FC236}">
              <a16:creationId xmlns:a16="http://schemas.microsoft.com/office/drawing/2014/main" id="{64D49166-3B62-418E-856F-9337C8BFFE6D}"/>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77" name="Shape 7">
          <a:extLst>
            <a:ext uri="{FF2B5EF4-FFF2-40B4-BE49-F238E27FC236}">
              <a16:creationId xmlns:a16="http://schemas.microsoft.com/office/drawing/2014/main" id="{0D0F8985-01C1-41A4-B462-DF290D1FD0FF}"/>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78" name="Shape 8">
          <a:extLst>
            <a:ext uri="{FF2B5EF4-FFF2-40B4-BE49-F238E27FC236}">
              <a16:creationId xmlns:a16="http://schemas.microsoft.com/office/drawing/2014/main" id="{67878066-B7FE-47A4-B71E-C938A27146EC}"/>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79" name="Shape 7">
          <a:extLst>
            <a:ext uri="{FF2B5EF4-FFF2-40B4-BE49-F238E27FC236}">
              <a16:creationId xmlns:a16="http://schemas.microsoft.com/office/drawing/2014/main" id="{4B64AA5E-BDC5-43DB-AA23-121B48F8573E}"/>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80" name="Shape 8">
          <a:extLst>
            <a:ext uri="{FF2B5EF4-FFF2-40B4-BE49-F238E27FC236}">
              <a16:creationId xmlns:a16="http://schemas.microsoft.com/office/drawing/2014/main" id="{5780ABC4-54B9-46D9-88F0-95328289B3C9}"/>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81" name="Shape 7">
          <a:extLst>
            <a:ext uri="{FF2B5EF4-FFF2-40B4-BE49-F238E27FC236}">
              <a16:creationId xmlns:a16="http://schemas.microsoft.com/office/drawing/2014/main" id="{32D56FBF-106B-4F68-8557-33B61AF49FB0}"/>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82" name="Shape 8">
          <a:extLst>
            <a:ext uri="{FF2B5EF4-FFF2-40B4-BE49-F238E27FC236}">
              <a16:creationId xmlns:a16="http://schemas.microsoft.com/office/drawing/2014/main" id="{4B2FAE8D-2885-485D-9480-C03D0C20AC58}"/>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83" name="Shape 7">
          <a:extLst>
            <a:ext uri="{FF2B5EF4-FFF2-40B4-BE49-F238E27FC236}">
              <a16:creationId xmlns:a16="http://schemas.microsoft.com/office/drawing/2014/main" id="{CC38AF7F-AEAC-44F1-9B28-7545391E2359}"/>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84" name="Shape 8">
          <a:extLst>
            <a:ext uri="{FF2B5EF4-FFF2-40B4-BE49-F238E27FC236}">
              <a16:creationId xmlns:a16="http://schemas.microsoft.com/office/drawing/2014/main" id="{E3C088B7-F277-46E2-B258-AE1344343FBE}"/>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85" name="Shape 8">
          <a:extLst>
            <a:ext uri="{FF2B5EF4-FFF2-40B4-BE49-F238E27FC236}">
              <a16:creationId xmlns:a16="http://schemas.microsoft.com/office/drawing/2014/main" id="{5FF689D1-CB41-417F-98C3-DA8EA61F34C3}"/>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86" name="Shape 7">
          <a:extLst>
            <a:ext uri="{FF2B5EF4-FFF2-40B4-BE49-F238E27FC236}">
              <a16:creationId xmlns:a16="http://schemas.microsoft.com/office/drawing/2014/main" id="{C2B25691-2DA6-424D-9DA9-F630FD8DFC3F}"/>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87" name="Shape 8">
          <a:extLst>
            <a:ext uri="{FF2B5EF4-FFF2-40B4-BE49-F238E27FC236}">
              <a16:creationId xmlns:a16="http://schemas.microsoft.com/office/drawing/2014/main" id="{AC3F1D71-093F-44EF-BDDE-B3D0F4E542B6}"/>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88" name="Shape 8">
          <a:extLst>
            <a:ext uri="{FF2B5EF4-FFF2-40B4-BE49-F238E27FC236}">
              <a16:creationId xmlns:a16="http://schemas.microsoft.com/office/drawing/2014/main" id="{9F2EA22C-7520-4B25-80AA-E1B42974267C}"/>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89" name="Shape 7">
          <a:extLst>
            <a:ext uri="{FF2B5EF4-FFF2-40B4-BE49-F238E27FC236}">
              <a16:creationId xmlns:a16="http://schemas.microsoft.com/office/drawing/2014/main" id="{896AB34E-053C-4FA4-9C15-7127EF2EF646}"/>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90" name="Shape 8">
          <a:extLst>
            <a:ext uri="{FF2B5EF4-FFF2-40B4-BE49-F238E27FC236}">
              <a16:creationId xmlns:a16="http://schemas.microsoft.com/office/drawing/2014/main" id="{A43C43DE-B0BA-4B5D-BD78-6DBD96B5F93F}"/>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91" name="Shape 8">
          <a:extLst>
            <a:ext uri="{FF2B5EF4-FFF2-40B4-BE49-F238E27FC236}">
              <a16:creationId xmlns:a16="http://schemas.microsoft.com/office/drawing/2014/main" id="{A8CA1FAF-7DC0-4570-867B-A9158157F372}"/>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92" name="Shape 7">
          <a:extLst>
            <a:ext uri="{FF2B5EF4-FFF2-40B4-BE49-F238E27FC236}">
              <a16:creationId xmlns:a16="http://schemas.microsoft.com/office/drawing/2014/main" id="{8DBBD2D7-FA06-4A56-8D9C-8FC88E98994D}"/>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93" name="Shape 8">
          <a:extLst>
            <a:ext uri="{FF2B5EF4-FFF2-40B4-BE49-F238E27FC236}">
              <a16:creationId xmlns:a16="http://schemas.microsoft.com/office/drawing/2014/main" id="{F4D8A3D0-B2AD-4B35-BD8B-DA2941E0C640}"/>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94" name="Shape 8">
          <a:extLst>
            <a:ext uri="{FF2B5EF4-FFF2-40B4-BE49-F238E27FC236}">
              <a16:creationId xmlns:a16="http://schemas.microsoft.com/office/drawing/2014/main" id="{648DDD56-8569-4D43-8064-9ACA328455B5}"/>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95" name="Shape 7">
          <a:extLst>
            <a:ext uri="{FF2B5EF4-FFF2-40B4-BE49-F238E27FC236}">
              <a16:creationId xmlns:a16="http://schemas.microsoft.com/office/drawing/2014/main" id="{792F8E19-8B59-4781-A298-B881672B5FCB}"/>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96" name="Shape 8">
          <a:extLst>
            <a:ext uri="{FF2B5EF4-FFF2-40B4-BE49-F238E27FC236}">
              <a16:creationId xmlns:a16="http://schemas.microsoft.com/office/drawing/2014/main" id="{28FAB70E-E850-4813-8C81-6C6DC4B07292}"/>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197" name="Shape 8">
          <a:extLst>
            <a:ext uri="{FF2B5EF4-FFF2-40B4-BE49-F238E27FC236}">
              <a16:creationId xmlns:a16="http://schemas.microsoft.com/office/drawing/2014/main" id="{AE2DEC42-FA0D-4CB5-8BD7-AAA4A3D97439}"/>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98" name="Shape 7">
          <a:extLst>
            <a:ext uri="{FF2B5EF4-FFF2-40B4-BE49-F238E27FC236}">
              <a16:creationId xmlns:a16="http://schemas.microsoft.com/office/drawing/2014/main" id="{521B5DC8-5662-4B50-BF91-1F1F7093099D}"/>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199" name="Shape 7">
          <a:extLst>
            <a:ext uri="{FF2B5EF4-FFF2-40B4-BE49-F238E27FC236}">
              <a16:creationId xmlns:a16="http://schemas.microsoft.com/office/drawing/2014/main" id="{4070F20C-64DA-4F17-A35D-7B03E32C7825}"/>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00" name="Shape 8">
          <a:extLst>
            <a:ext uri="{FF2B5EF4-FFF2-40B4-BE49-F238E27FC236}">
              <a16:creationId xmlns:a16="http://schemas.microsoft.com/office/drawing/2014/main" id="{B726CA1D-0769-41F1-A2C0-F7843400561C}"/>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01" name="Shape 8">
          <a:extLst>
            <a:ext uri="{FF2B5EF4-FFF2-40B4-BE49-F238E27FC236}">
              <a16:creationId xmlns:a16="http://schemas.microsoft.com/office/drawing/2014/main" id="{A0544A5F-17D1-4B83-8C76-DEAF5C4B9633}"/>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02" name="Shape 7">
          <a:extLst>
            <a:ext uri="{FF2B5EF4-FFF2-40B4-BE49-F238E27FC236}">
              <a16:creationId xmlns:a16="http://schemas.microsoft.com/office/drawing/2014/main" id="{036515DF-8034-4789-84B5-782E0DAF5944}"/>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03" name="Shape 7">
          <a:extLst>
            <a:ext uri="{FF2B5EF4-FFF2-40B4-BE49-F238E27FC236}">
              <a16:creationId xmlns:a16="http://schemas.microsoft.com/office/drawing/2014/main" id="{4867468A-F270-4A78-A5A4-1D58D8CB0F57}"/>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04" name="Shape 8">
          <a:extLst>
            <a:ext uri="{FF2B5EF4-FFF2-40B4-BE49-F238E27FC236}">
              <a16:creationId xmlns:a16="http://schemas.microsoft.com/office/drawing/2014/main" id="{B52E6405-9D80-4E73-AA0F-F5670DD03E4E}"/>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05" name="Shape 7">
          <a:extLst>
            <a:ext uri="{FF2B5EF4-FFF2-40B4-BE49-F238E27FC236}">
              <a16:creationId xmlns:a16="http://schemas.microsoft.com/office/drawing/2014/main" id="{C0442421-C259-4367-93C8-95C5B24DE33B}"/>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06" name="Shape 8">
          <a:extLst>
            <a:ext uri="{FF2B5EF4-FFF2-40B4-BE49-F238E27FC236}">
              <a16:creationId xmlns:a16="http://schemas.microsoft.com/office/drawing/2014/main" id="{9C63610D-BB36-4B23-A6F6-BAEBFA0CBB66}"/>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07" name="Shape 7">
          <a:extLst>
            <a:ext uri="{FF2B5EF4-FFF2-40B4-BE49-F238E27FC236}">
              <a16:creationId xmlns:a16="http://schemas.microsoft.com/office/drawing/2014/main" id="{35AAC93D-D130-44EE-9053-814B4E0F2D75}"/>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08" name="Shape 8">
          <a:extLst>
            <a:ext uri="{FF2B5EF4-FFF2-40B4-BE49-F238E27FC236}">
              <a16:creationId xmlns:a16="http://schemas.microsoft.com/office/drawing/2014/main" id="{9818CE96-97BD-470F-B9FB-5C1732090B33}"/>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09" name="Shape 7">
          <a:extLst>
            <a:ext uri="{FF2B5EF4-FFF2-40B4-BE49-F238E27FC236}">
              <a16:creationId xmlns:a16="http://schemas.microsoft.com/office/drawing/2014/main" id="{46002D12-50DF-4F58-A588-4DF8E7274FCF}"/>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10" name="Shape 8">
          <a:extLst>
            <a:ext uri="{FF2B5EF4-FFF2-40B4-BE49-F238E27FC236}">
              <a16:creationId xmlns:a16="http://schemas.microsoft.com/office/drawing/2014/main" id="{CA939EAB-EA43-40A8-A79F-4C49221EF684}"/>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11" name="Shape 8">
          <a:extLst>
            <a:ext uri="{FF2B5EF4-FFF2-40B4-BE49-F238E27FC236}">
              <a16:creationId xmlns:a16="http://schemas.microsoft.com/office/drawing/2014/main" id="{8AE78B9B-94BF-43DD-B17B-A63D1DDD960A}"/>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12" name="Shape 7">
          <a:extLst>
            <a:ext uri="{FF2B5EF4-FFF2-40B4-BE49-F238E27FC236}">
              <a16:creationId xmlns:a16="http://schemas.microsoft.com/office/drawing/2014/main" id="{8E719756-1188-4EE1-B19C-CDB3E540B0CB}"/>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13" name="Shape 8">
          <a:extLst>
            <a:ext uri="{FF2B5EF4-FFF2-40B4-BE49-F238E27FC236}">
              <a16:creationId xmlns:a16="http://schemas.microsoft.com/office/drawing/2014/main" id="{93830766-8647-4C0F-B008-4924801E52F8}"/>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14" name="Shape 8">
          <a:extLst>
            <a:ext uri="{FF2B5EF4-FFF2-40B4-BE49-F238E27FC236}">
              <a16:creationId xmlns:a16="http://schemas.microsoft.com/office/drawing/2014/main" id="{976EA817-A12F-4BE3-A5C5-E07F54CBC8C6}"/>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15" name="Shape 7">
          <a:extLst>
            <a:ext uri="{FF2B5EF4-FFF2-40B4-BE49-F238E27FC236}">
              <a16:creationId xmlns:a16="http://schemas.microsoft.com/office/drawing/2014/main" id="{E213F4B3-D300-4E3E-B598-F4AC09F09086}"/>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16" name="Shape 8">
          <a:extLst>
            <a:ext uri="{FF2B5EF4-FFF2-40B4-BE49-F238E27FC236}">
              <a16:creationId xmlns:a16="http://schemas.microsoft.com/office/drawing/2014/main" id="{486915C9-3C45-4C7B-B90B-58364469161C}"/>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17" name="Shape 8">
          <a:extLst>
            <a:ext uri="{FF2B5EF4-FFF2-40B4-BE49-F238E27FC236}">
              <a16:creationId xmlns:a16="http://schemas.microsoft.com/office/drawing/2014/main" id="{DD5AA165-646E-4482-AD05-E04A7DB4A0BC}"/>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18" name="Shape 7">
          <a:extLst>
            <a:ext uri="{FF2B5EF4-FFF2-40B4-BE49-F238E27FC236}">
              <a16:creationId xmlns:a16="http://schemas.microsoft.com/office/drawing/2014/main" id="{308872A3-D7EF-402D-AB1A-C1AD936F4751}"/>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19" name="Shape 8">
          <a:extLst>
            <a:ext uri="{FF2B5EF4-FFF2-40B4-BE49-F238E27FC236}">
              <a16:creationId xmlns:a16="http://schemas.microsoft.com/office/drawing/2014/main" id="{E7903918-2D4D-4527-A8E5-5FE574C94447}"/>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20" name="Shape 8">
          <a:extLst>
            <a:ext uri="{FF2B5EF4-FFF2-40B4-BE49-F238E27FC236}">
              <a16:creationId xmlns:a16="http://schemas.microsoft.com/office/drawing/2014/main" id="{F554262A-BB6E-40F2-8D01-CCDF25E10F4F}"/>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21" name="Shape 7">
          <a:extLst>
            <a:ext uri="{FF2B5EF4-FFF2-40B4-BE49-F238E27FC236}">
              <a16:creationId xmlns:a16="http://schemas.microsoft.com/office/drawing/2014/main" id="{A1D1B0CF-79C3-46B2-9ED0-1522A097FA52}"/>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22" name="Shape 8">
          <a:extLst>
            <a:ext uri="{FF2B5EF4-FFF2-40B4-BE49-F238E27FC236}">
              <a16:creationId xmlns:a16="http://schemas.microsoft.com/office/drawing/2014/main" id="{3F7507C2-AA46-4902-863A-B8C55C1A4617}"/>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23" name="Shape 8">
          <a:extLst>
            <a:ext uri="{FF2B5EF4-FFF2-40B4-BE49-F238E27FC236}">
              <a16:creationId xmlns:a16="http://schemas.microsoft.com/office/drawing/2014/main" id="{6ED68E6A-19AD-4492-9D9F-0E55558D8F78}"/>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24" name="Shape 7">
          <a:extLst>
            <a:ext uri="{FF2B5EF4-FFF2-40B4-BE49-F238E27FC236}">
              <a16:creationId xmlns:a16="http://schemas.microsoft.com/office/drawing/2014/main" id="{ADF4EC67-B5E8-4FC9-8A8B-F3FD1CB5A831}"/>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25" name="Shape 7">
          <a:extLst>
            <a:ext uri="{FF2B5EF4-FFF2-40B4-BE49-F238E27FC236}">
              <a16:creationId xmlns:a16="http://schemas.microsoft.com/office/drawing/2014/main" id="{E05F3658-92F5-4544-921A-EBD45AADD5AF}"/>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26" name="Shape 8">
          <a:extLst>
            <a:ext uri="{FF2B5EF4-FFF2-40B4-BE49-F238E27FC236}">
              <a16:creationId xmlns:a16="http://schemas.microsoft.com/office/drawing/2014/main" id="{3FD96A82-83F7-4F41-91B5-3D3AEE2F34B6}"/>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27" name="Shape 8">
          <a:extLst>
            <a:ext uri="{FF2B5EF4-FFF2-40B4-BE49-F238E27FC236}">
              <a16:creationId xmlns:a16="http://schemas.microsoft.com/office/drawing/2014/main" id="{BE52C902-359A-4D14-80A1-BC404CC91847}"/>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28" name="Shape 7">
          <a:extLst>
            <a:ext uri="{FF2B5EF4-FFF2-40B4-BE49-F238E27FC236}">
              <a16:creationId xmlns:a16="http://schemas.microsoft.com/office/drawing/2014/main" id="{BA8B0F11-A782-4855-8354-DA9E9C689A90}"/>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29" name="Shape 7">
          <a:extLst>
            <a:ext uri="{FF2B5EF4-FFF2-40B4-BE49-F238E27FC236}">
              <a16:creationId xmlns:a16="http://schemas.microsoft.com/office/drawing/2014/main" id="{29D64F99-3623-4C90-BDB0-1A8CED24A86E}"/>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30" name="Shape 8">
          <a:extLst>
            <a:ext uri="{FF2B5EF4-FFF2-40B4-BE49-F238E27FC236}">
              <a16:creationId xmlns:a16="http://schemas.microsoft.com/office/drawing/2014/main" id="{8F696092-4D9A-4BEA-985F-DEEDE916ECD3}"/>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31" name="Shape 7">
          <a:extLst>
            <a:ext uri="{FF2B5EF4-FFF2-40B4-BE49-F238E27FC236}">
              <a16:creationId xmlns:a16="http://schemas.microsoft.com/office/drawing/2014/main" id="{920B2E39-6B7E-4518-8DEB-921395DA984B}"/>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32" name="Shape 8">
          <a:extLst>
            <a:ext uri="{FF2B5EF4-FFF2-40B4-BE49-F238E27FC236}">
              <a16:creationId xmlns:a16="http://schemas.microsoft.com/office/drawing/2014/main" id="{165DB531-0639-4341-9398-37A3AF231A77}"/>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33" name="Shape 7">
          <a:extLst>
            <a:ext uri="{FF2B5EF4-FFF2-40B4-BE49-F238E27FC236}">
              <a16:creationId xmlns:a16="http://schemas.microsoft.com/office/drawing/2014/main" id="{4D5745FE-A280-4F69-BF6F-BC9987E67428}"/>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34" name="Shape 8">
          <a:extLst>
            <a:ext uri="{FF2B5EF4-FFF2-40B4-BE49-F238E27FC236}">
              <a16:creationId xmlns:a16="http://schemas.microsoft.com/office/drawing/2014/main" id="{C36760AD-3CE7-4B37-A2A1-E58BF9522E61}"/>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35" name="Shape 7">
          <a:extLst>
            <a:ext uri="{FF2B5EF4-FFF2-40B4-BE49-F238E27FC236}">
              <a16:creationId xmlns:a16="http://schemas.microsoft.com/office/drawing/2014/main" id="{0436D579-CCD3-4B7B-97D1-110ABF2E10EE}"/>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36" name="Shape 8">
          <a:extLst>
            <a:ext uri="{FF2B5EF4-FFF2-40B4-BE49-F238E27FC236}">
              <a16:creationId xmlns:a16="http://schemas.microsoft.com/office/drawing/2014/main" id="{BDE60485-A122-48C5-9FE7-531A01A2D6D4}"/>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37" name="Shape 8">
          <a:extLst>
            <a:ext uri="{FF2B5EF4-FFF2-40B4-BE49-F238E27FC236}">
              <a16:creationId xmlns:a16="http://schemas.microsoft.com/office/drawing/2014/main" id="{97AD7D68-DA53-4D30-B832-EC886CD7D0BA}"/>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38" name="Shape 7">
          <a:extLst>
            <a:ext uri="{FF2B5EF4-FFF2-40B4-BE49-F238E27FC236}">
              <a16:creationId xmlns:a16="http://schemas.microsoft.com/office/drawing/2014/main" id="{EAE70FAD-9118-422D-861E-8B243F832D9F}"/>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39" name="Shape 8">
          <a:extLst>
            <a:ext uri="{FF2B5EF4-FFF2-40B4-BE49-F238E27FC236}">
              <a16:creationId xmlns:a16="http://schemas.microsoft.com/office/drawing/2014/main" id="{A304DBE8-7C17-4405-9373-44907E86D163}"/>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40" name="Shape 8">
          <a:extLst>
            <a:ext uri="{FF2B5EF4-FFF2-40B4-BE49-F238E27FC236}">
              <a16:creationId xmlns:a16="http://schemas.microsoft.com/office/drawing/2014/main" id="{32A4D72A-E684-409B-8767-627968C06E5E}"/>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41" name="Shape 7">
          <a:extLst>
            <a:ext uri="{FF2B5EF4-FFF2-40B4-BE49-F238E27FC236}">
              <a16:creationId xmlns:a16="http://schemas.microsoft.com/office/drawing/2014/main" id="{92B3B9B7-8544-464E-BBA0-932076CE8723}"/>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42" name="Shape 8">
          <a:extLst>
            <a:ext uri="{FF2B5EF4-FFF2-40B4-BE49-F238E27FC236}">
              <a16:creationId xmlns:a16="http://schemas.microsoft.com/office/drawing/2014/main" id="{1B8243BE-7055-4152-B7DC-85BF5F5F66DA}"/>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43" name="Shape 8">
          <a:extLst>
            <a:ext uri="{FF2B5EF4-FFF2-40B4-BE49-F238E27FC236}">
              <a16:creationId xmlns:a16="http://schemas.microsoft.com/office/drawing/2014/main" id="{EC85E965-2D72-4EA8-BB3F-B03532E2969A}"/>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44" name="Shape 7">
          <a:extLst>
            <a:ext uri="{FF2B5EF4-FFF2-40B4-BE49-F238E27FC236}">
              <a16:creationId xmlns:a16="http://schemas.microsoft.com/office/drawing/2014/main" id="{F2AEAAA0-17A6-473A-B562-C15B8A09828F}"/>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45" name="Shape 8">
          <a:extLst>
            <a:ext uri="{FF2B5EF4-FFF2-40B4-BE49-F238E27FC236}">
              <a16:creationId xmlns:a16="http://schemas.microsoft.com/office/drawing/2014/main" id="{46C245E7-DC2B-42E9-9C4F-7126D4127836}"/>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46" name="Shape 8">
          <a:extLst>
            <a:ext uri="{FF2B5EF4-FFF2-40B4-BE49-F238E27FC236}">
              <a16:creationId xmlns:a16="http://schemas.microsoft.com/office/drawing/2014/main" id="{3883DE1F-A06D-4F74-8650-8686C954F45A}"/>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47" name="Shape 7">
          <a:extLst>
            <a:ext uri="{FF2B5EF4-FFF2-40B4-BE49-F238E27FC236}">
              <a16:creationId xmlns:a16="http://schemas.microsoft.com/office/drawing/2014/main" id="{6832B694-8A40-4817-B313-E0D2A98AA47B}"/>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48" name="Shape 8">
          <a:extLst>
            <a:ext uri="{FF2B5EF4-FFF2-40B4-BE49-F238E27FC236}">
              <a16:creationId xmlns:a16="http://schemas.microsoft.com/office/drawing/2014/main" id="{A68B4886-EE72-46E1-9896-F50DBE516732}"/>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49" name="Shape 8">
          <a:extLst>
            <a:ext uri="{FF2B5EF4-FFF2-40B4-BE49-F238E27FC236}">
              <a16:creationId xmlns:a16="http://schemas.microsoft.com/office/drawing/2014/main" id="{349C73D6-33F3-46B1-B04B-F4E831AED0CC}"/>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50" name="Shape 7">
          <a:extLst>
            <a:ext uri="{FF2B5EF4-FFF2-40B4-BE49-F238E27FC236}">
              <a16:creationId xmlns:a16="http://schemas.microsoft.com/office/drawing/2014/main" id="{3DDD5E07-00D5-4AA7-9CB9-52D735B564E4}"/>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51" name="Shape 7">
          <a:extLst>
            <a:ext uri="{FF2B5EF4-FFF2-40B4-BE49-F238E27FC236}">
              <a16:creationId xmlns:a16="http://schemas.microsoft.com/office/drawing/2014/main" id="{7F2B3088-47F8-494E-9136-06530028A1A3}"/>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52" name="Shape 8">
          <a:extLst>
            <a:ext uri="{FF2B5EF4-FFF2-40B4-BE49-F238E27FC236}">
              <a16:creationId xmlns:a16="http://schemas.microsoft.com/office/drawing/2014/main" id="{CFF9215C-007A-4592-B43D-9FDC2D1BD67B}"/>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53" name="Shape 8">
          <a:extLst>
            <a:ext uri="{FF2B5EF4-FFF2-40B4-BE49-F238E27FC236}">
              <a16:creationId xmlns:a16="http://schemas.microsoft.com/office/drawing/2014/main" id="{2FC2D265-DB5B-41D3-83CB-FC6D9E9FB118}"/>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54" name="Shape 7">
          <a:extLst>
            <a:ext uri="{FF2B5EF4-FFF2-40B4-BE49-F238E27FC236}">
              <a16:creationId xmlns:a16="http://schemas.microsoft.com/office/drawing/2014/main" id="{EB49A9C0-3306-443F-AAEE-95CF6113C077}"/>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55" name="Shape 7">
          <a:extLst>
            <a:ext uri="{FF2B5EF4-FFF2-40B4-BE49-F238E27FC236}">
              <a16:creationId xmlns:a16="http://schemas.microsoft.com/office/drawing/2014/main" id="{2BF629BB-F819-4766-9252-C8772E73F37D}"/>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56" name="Shape 7">
          <a:extLst>
            <a:ext uri="{FF2B5EF4-FFF2-40B4-BE49-F238E27FC236}">
              <a16:creationId xmlns:a16="http://schemas.microsoft.com/office/drawing/2014/main" id="{F2EFD65D-8F08-4EC5-B6BB-5235902C346F}"/>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57" name="Shape 7">
          <a:extLst>
            <a:ext uri="{FF2B5EF4-FFF2-40B4-BE49-F238E27FC236}">
              <a16:creationId xmlns:a16="http://schemas.microsoft.com/office/drawing/2014/main" id="{52892782-B867-41A9-A979-3B7CE73942E9}"/>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58" name="Shape 7">
          <a:extLst>
            <a:ext uri="{FF2B5EF4-FFF2-40B4-BE49-F238E27FC236}">
              <a16:creationId xmlns:a16="http://schemas.microsoft.com/office/drawing/2014/main" id="{41ACD8A2-32DA-4B3F-B513-F5EAB43F0414}"/>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59" name="Shape 7">
          <a:extLst>
            <a:ext uri="{FF2B5EF4-FFF2-40B4-BE49-F238E27FC236}">
              <a16:creationId xmlns:a16="http://schemas.microsoft.com/office/drawing/2014/main" id="{091A927E-5C93-4BBE-AD34-31429332D06F}"/>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60" name="Shape 7">
          <a:extLst>
            <a:ext uri="{FF2B5EF4-FFF2-40B4-BE49-F238E27FC236}">
              <a16:creationId xmlns:a16="http://schemas.microsoft.com/office/drawing/2014/main" id="{B074CE3C-69DB-4210-BC0B-0A10F845CB2E}"/>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61" name="Shape 7">
          <a:extLst>
            <a:ext uri="{FF2B5EF4-FFF2-40B4-BE49-F238E27FC236}">
              <a16:creationId xmlns:a16="http://schemas.microsoft.com/office/drawing/2014/main" id="{2B9A3F19-F419-4ED4-A0DD-0C54D1091E88}"/>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62" name="Shape 7">
          <a:extLst>
            <a:ext uri="{FF2B5EF4-FFF2-40B4-BE49-F238E27FC236}">
              <a16:creationId xmlns:a16="http://schemas.microsoft.com/office/drawing/2014/main" id="{A8FC84A1-29E6-4651-BDAC-D1D6D0E20DD9}"/>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63" name="Shape 7">
          <a:extLst>
            <a:ext uri="{FF2B5EF4-FFF2-40B4-BE49-F238E27FC236}">
              <a16:creationId xmlns:a16="http://schemas.microsoft.com/office/drawing/2014/main" id="{BBD1E953-368E-4BAE-897B-0029CC4285D9}"/>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64" name="Shape 7">
          <a:extLst>
            <a:ext uri="{FF2B5EF4-FFF2-40B4-BE49-F238E27FC236}">
              <a16:creationId xmlns:a16="http://schemas.microsoft.com/office/drawing/2014/main" id="{2E2137B0-DDB5-40C7-9AA7-88B1789C38EB}"/>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65" name="Shape 7">
          <a:extLst>
            <a:ext uri="{FF2B5EF4-FFF2-40B4-BE49-F238E27FC236}">
              <a16:creationId xmlns:a16="http://schemas.microsoft.com/office/drawing/2014/main" id="{37C3C13F-EAD5-4E89-8AD4-33E43911294A}"/>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66" name="Shape 7">
          <a:extLst>
            <a:ext uri="{FF2B5EF4-FFF2-40B4-BE49-F238E27FC236}">
              <a16:creationId xmlns:a16="http://schemas.microsoft.com/office/drawing/2014/main" id="{3738B3FF-FDEA-4B47-88B1-444E7DCB0967}"/>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67" name="Shape 7">
          <a:extLst>
            <a:ext uri="{FF2B5EF4-FFF2-40B4-BE49-F238E27FC236}">
              <a16:creationId xmlns:a16="http://schemas.microsoft.com/office/drawing/2014/main" id="{446E87D7-C88C-404E-9DE0-EADFA99C77EB}"/>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68" name="Shape 7">
          <a:extLst>
            <a:ext uri="{FF2B5EF4-FFF2-40B4-BE49-F238E27FC236}">
              <a16:creationId xmlns:a16="http://schemas.microsoft.com/office/drawing/2014/main" id="{4D7871A9-DAC2-4C26-BF81-6839CC085B9B}"/>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69" name="Shape 7">
          <a:extLst>
            <a:ext uri="{FF2B5EF4-FFF2-40B4-BE49-F238E27FC236}">
              <a16:creationId xmlns:a16="http://schemas.microsoft.com/office/drawing/2014/main" id="{A03815EA-349A-48D5-B1FD-C4502BADA7C1}"/>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70" name="Shape 7">
          <a:extLst>
            <a:ext uri="{FF2B5EF4-FFF2-40B4-BE49-F238E27FC236}">
              <a16:creationId xmlns:a16="http://schemas.microsoft.com/office/drawing/2014/main" id="{A2CF1166-C2BB-430A-B31D-D9F8E777168B}"/>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271" name="Shape 7">
          <a:extLst>
            <a:ext uri="{FF2B5EF4-FFF2-40B4-BE49-F238E27FC236}">
              <a16:creationId xmlns:a16="http://schemas.microsoft.com/office/drawing/2014/main" id="{8930C919-CC73-4BAA-A4EE-1668609B7E0C}"/>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72" name="Shape 7">
          <a:extLst>
            <a:ext uri="{FF2B5EF4-FFF2-40B4-BE49-F238E27FC236}">
              <a16:creationId xmlns:a16="http://schemas.microsoft.com/office/drawing/2014/main" id="{AAD5C695-7D72-47D7-984D-F27A2C49DBA0}"/>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73" name="Shape 8">
          <a:extLst>
            <a:ext uri="{FF2B5EF4-FFF2-40B4-BE49-F238E27FC236}">
              <a16:creationId xmlns:a16="http://schemas.microsoft.com/office/drawing/2014/main" id="{837768C6-05BA-4E77-B390-1472AF202CF2}"/>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74" name="Shape 7">
          <a:extLst>
            <a:ext uri="{FF2B5EF4-FFF2-40B4-BE49-F238E27FC236}">
              <a16:creationId xmlns:a16="http://schemas.microsoft.com/office/drawing/2014/main" id="{C4BECD39-6401-4AEC-B43A-CE20148413C4}"/>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75" name="Shape 8">
          <a:extLst>
            <a:ext uri="{FF2B5EF4-FFF2-40B4-BE49-F238E27FC236}">
              <a16:creationId xmlns:a16="http://schemas.microsoft.com/office/drawing/2014/main" id="{75176A1E-B8CE-4D32-A7AA-B56F42625DE2}"/>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76" name="Shape 7">
          <a:extLst>
            <a:ext uri="{FF2B5EF4-FFF2-40B4-BE49-F238E27FC236}">
              <a16:creationId xmlns:a16="http://schemas.microsoft.com/office/drawing/2014/main" id="{8A11DF77-22E2-4638-AC23-806318E4EB3B}"/>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77" name="Shape 8">
          <a:extLst>
            <a:ext uri="{FF2B5EF4-FFF2-40B4-BE49-F238E27FC236}">
              <a16:creationId xmlns:a16="http://schemas.microsoft.com/office/drawing/2014/main" id="{BECE3770-502A-4C97-8D75-76FD9A98329C}"/>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78" name="Shape 8">
          <a:extLst>
            <a:ext uri="{FF2B5EF4-FFF2-40B4-BE49-F238E27FC236}">
              <a16:creationId xmlns:a16="http://schemas.microsoft.com/office/drawing/2014/main" id="{392CABC6-B16C-4A23-8A4F-D8DDB686DD66}"/>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79" name="Shape 7">
          <a:extLst>
            <a:ext uri="{FF2B5EF4-FFF2-40B4-BE49-F238E27FC236}">
              <a16:creationId xmlns:a16="http://schemas.microsoft.com/office/drawing/2014/main" id="{6CED2CC5-219F-4EDF-A2AD-8B98E8CF87D5}"/>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80" name="Shape 8">
          <a:extLst>
            <a:ext uri="{FF2B5EF4-FFF2-40B4-BE49-F238E27FC236}">
              <a16:creationId xmlns:a16="http://schemas.microsoft.com/office/drawing/2014/main" id="{2241085B-492A-49BA-B6A7-8F9DA31E5031}"/>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81" name="Shape 8">
          <a:extLst>
            <a:ext uri="{FF2B5EF4-FFF2-40B4-BE49-F238E27FC236}">
              <a16:creationId xmlns:a16="http://schemas.microsoft.com/office/drawing/2014/main" id="{0E8AE05C-254A-4DCE-8F6A-97721F60A458}"/>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82" name="Shape 7">
          <a:extLst>
            <a:ext uri="{FF2B5EF4-FFF2-40B4-BE49-F238E27FC236}">
              <a16:creationId xmlns:a16="http://schemas.microsoft.com/office/drawing/2014/main" id="{1AFD7103-3B2C-4E79-8F58-A48163A75098}"/>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83" name="Shape 8">
          <a:extLst>
            <a:ext uri="{FF2B5EF4-FFF2-40B4-BE49-F238E27FC236}">
              <a16:creationId xmlns:a16="http://schemas.microsoft.com/office/drawing/2014/main" id="{72B84A15-0D86-42FF-9E61-155471AC0705}"/>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84" name="Shape 8">
          <a:extLst>
            <a:ext uri="{FF2B5EF4-FFF2-40B4-BE49-F238E27FC236}">
              <a16:creationId xmlns:a16="http://schemas.microsoft.com/office/drawing/2014/main" id="{40E17033-24C1-4E49-8E2C-6FD29239AB97}"/>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85" name="Shape 7">
          <a:extLst>
            <a:ext uri="{FF2B5EF4-FFF2-40B4-BE49-F238E27FC236}">
              <a16:creationId xmlns:a16="http://schemas.microsoft.com/office/drawing/2014/main" id="{BFDDAE48-8BF4-498A-B33B-635E21419495}"/>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86" name="Shape 8">
          <a:extLst>
            <a:ext uri="{FF2B5EF4-FFF2-40B4-BE49-F238E27FC236}">
              <a16:creationId xmlns:a16="http://schemas.microsoft.com/office/drawing/2014/main" id="{2AC6240C-9609-4205-8761-C00A1ABAE091}"/>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87" name="Shape 8">
          <a:extLst>
            <a:ext uri="{FF2B5EF4-FFF2-40B4-BE49-F238E27FC236}">
              <a16:creationId xmlns:a16="http://schemas.microsoft.com/office/drawing/2014/main" id="{98A2824F-F8EE-4259-A105-DD387BE9E7B7}"/>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88" name="Shape 7">
          <a:extLst>
            <a:ext uri="{FF2B5EF4-FFF2-40B4-BE49-F238E27FC236}">
              <a16:creationId xmlns:a16="http://schemas.microsoft.com/office/drawing/2014/main" id="{E2B9C897-2B14-4B47-B2C9-584A0E4274EB}"/>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89" name="Shape 8">
          <a:extLst>
            <a:ext uri="{FF2B5EF4-FFF2-40B4-BE49-F238E27FC236}">
              <a16:creationId xmlns:a16="http://schemas.microsoft.com/office/drawing/2014/main" id="{3399934A-D66E-40A9-A3F6-04E4901E844A}"/>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90" name="Shape 8">
          <a:extLst>
            <a:ext uri="{FF2B5EF4-FFF2-40B4-BE49-F238E27FC236}">
              <a16:creationId xmlns:a16="http://schemas.microsoft.com/office/drawing/2014/main" id="{D294C28D-1562-42CF-ACBE-9B6DB3AC83DF}"/>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91" name="Shape 7">
          <a:extLst>
            <a:ext uri="{FF2B5EF4-FFF2-40B4-BE49-F238E27FC236}">
              <a16:creationId xmlns:a16="http://schemas.microsoft.com/office/drawing/2014/main" id="{CBC3192A-9792-4984-A81C-274878FF9665}"/>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92" name="Shape 7">
          <a:extLst>
            <a:ext uri="{FF2B5EF4-FFF2-40B4-BE49-F238E27FC236}">
              <a16:creationId xmlns:a16="http://schemas.microsoft.com/office/drawing/2014/main" id="{4EB7618A-CCC8-466D-B7C1-D9D05B1760B6}"/>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93" name="Shape 8">
          <a:extLst>
            <a:ext uri="{FF2B5EF4-FFF2-40B4-BE49-F238E27FC236}">
              <a16:creationId xmlns:a16="http://schemas.microsoft.com/office/drawing/2014/main" id="{4282EB73-904E-4E68-8C0A-7110C21BCD51}"/>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94" name="Shape 8">
          <a:extLst>
            <a:ext uri="{FF2B5EF4-FFF2-40B4-BE49-F238E27FC236}">
              <a16:creationId xmlns:a16="http://schemas.microsoft.com/office/drawing/2014/main" id="{D5473481-FE47-4929-9CF0-CB41D8B722C1}"/>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95" name="Shape 7">
          <a:extLst>
            <a:ext uri="{FF2B5EF4-FFF2-40B4-BE49-F238E27FC236}">
              <a16:creationId xmlns:a16="http://schemas.microsoft.com/office/drawing/2014/main" id="{E43B4AF7-78AE-4847-90BF-73F01702C1C6}"/>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96" name="Shape 7">
          <a:extLst>
            <a:ext uri="{FF2B5EF4-FFF2-40B4-BE49-F238E27FC236}">
              <a16:creationId xmlns:a16="http://schemas.microsoft.com/office/drawing/2014/main" id="{A90699A7-2327-4E9D-BBC7-F793A8BE3AE2}"/>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97" name="Shape 8">
          <a:extLst>
            <a:ext uri="{FF2B5EF4-FFF2-40B4-BE49-F238E27FC236}">
              <a16:creationId xmlns:a16="http://schemas.microsoft.com/office/drawing/2014/main" id="{AFAE1D40-ACC5-433F-B97F-886812CDF6D4}"/>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298" name="Shape 7">
          <a:extLst>
            <a:ext uri="{FF2B5EF4-FFF2-40B4-BE49-F238E27FC236}">
              <a16:creationId xmlns:a16="http://schemas.microsoft.com/office/drawing/2014/main" id="{AA955F2F-CEC1-4B04-8F49-A9EB5EF0927A}"/>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299" name="Shape 8">
          <a:extLst>
            <a:ext uri="{FF2B5EF4-FFF2-40B4-BE49-F238E27FC236}">
              <a16:creationId xmlns:a16="http://schemas.microsoft.com/office/drawing/2014/main" id="{8BF90982-FF29-4453-A6D4-C0012CA8435C}"/>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00" name="Shape 7">
          <a:extLst>
            <a:ext uri="{FF2B5EF4-FFF2-40B4-BE49-F238E27FC236}">
              <a16:creationId xmlns:a16="http://schemas.microsoft.com/office/drawing/2014/main" id="{2997353A-5B66-45D1-8573-009E5D27604B}"/>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01" name="Shape 8">
          <a:extLst>
            <a:ext uri="{FF2B5EF4-FFF2-40B4-BE49-F238E27FC236}">
              <a16:creationId xmlns:a16="http://schemas.microsoft.com/office/drawing/2014/main" id="{E7DAC493-9F21-4430-AC5E-60E54521E97F}"/>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02" name="Shape 7">
          <a:extLst>
            <a:ext uri="{FF2B5EF4-FFF2-40B4-BE49-F238E27FC236}">
              <a16:creationId xmlns:a16="http://schemas.microsoft.com/office/drawing/2014/main" id="{33AEDE23-8090-4075-BCF8-6EBAC7CC3CFF}"/>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03" name="Shape 8">
          <a:extLst>
            <a:ext uri="{FF2B5EF4-FFF2-40B4-BE49-F238E27FC236}">
              <a16:creationId xmlns:a16="http://schemas.microsoft.com/office/drawing/2014/main" id="{1D08B977-E2E6-4F45-AF94-6B59A11D472A}"/>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04" name="Shape 8">
          <a:extLst>
            <a:ext uri="{FF2B5EF4-FFF2-40B4-BE49-F238E27FC236}">
              <a16:creationId xmlns:a16="http://schemas.microsoft.com/office/drawing/2014/main" id="{4DEA0EF8-66C0-4F52-8354-B3E2BF868973}"/>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05" name="Shape 7">
          <a:extLst>
            <a:ext uri="{FF2B5EF4-FFF2-40B4-BE49-F238E27FC236}">
              <a16:creationId xmlns:a16="http://schemas.microsoft.com/office/drawing/2014/main" id="{AC0223FE-B692-48FA-B3B9-CB0245E1CEC1}"/>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06" name="Shape 8">
          <a:extLst>
            <a:ext uri="{FF2B5EF4-FFF2-40B4-BE49-F238E27FC236}">
              <a16:creationId xmlns:a16="http://schemas.microsoft.com/office/drawing/2014/main" id="{382D5736-8EA6-4834-96FA-72C797C77863}"/>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07" name="Shape 8">
          <a:extLst>
            <a:ext uri="{FF2B5EF4-FFF2-40B4-BE49-F238E27FC236}">
              <a16:creationId xmlns:a16="http://schemas.microsoft.com/office/drawing/2014/main" id="{0D3EA7F6-4434-4A29-B54D-55A458551A46}"/>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08" name="Shape 7">
          <a:extLst>
            <a:ext uri="{FF2B5EF4-FFF2-40B4-BE49-F238E27FC236}">
              <a16:creationId xmlns:a16="http://schemas.microsoft.com/office/drawing/2014/main" id="{34B975E7-EFDB-483A-9E62-478B520DEBF8}"/>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09" name="Shape 8">
          <a:extLst>
            <a:ext uri="{FF2B5EF4-FFF2-40B4-BE49-F238E27FC236}">
              <a16:creationId xmlns:a16="http://schemas.microsoft.com/office/drawing/2014/main" id="{12E9682E-5C55-417D-B9B3-9968B2106026}"/>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10" name="Shape 8">
          <a:extLst>
            <a:ext uri="{FF2B5EF4-FFF2-40B4-BE49-F238E27FC236}">
              <a16:creationId xmlns:a16="http://schemas.microsoft.com/office/drawing/2014/main" id="{84DEB6B9-E4EB-41A9-882C-17053487DC98}"/>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11" name="Shape 7">
          <a:extLst>
            <a:ext uri="{FF2B5EF4-FFF2-40B4-BE49-F238E27FC236}">
              <a16:creationId xmlns:a16="http://schemas.microsoft.com/office/drawing/2014/main" id="{6C972D10-9E9B-4B5B-8A7F-7D5693549BD8}"/>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12" name="Shape 8">
          <a:extLst>
            <a:ext uri="{FF2B5EF4-FFF2-40B4-BE49-F238E27FC236}">
              <a16:creationId xmlns:a16="http://schemas.microsoft.com/office/drawing/2014/main" id="{FF246509-9996-45FB-9697-AAF54F83C63A}"/>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13" name="Shape 8">
          <a:extLst>
            <a:ext uri="{FF2B5EF4-FFF2-40B4-BE49-F238E27FC236}">
              <a16:creationId xmlns:a16="http://schemas.microsoft.com/office/drawing/2014/main" id="{E98BE182-8E52-4B7E-826B-7C60C5C7D103}"/>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14" name="Shape 7">
          <a:extLst>
            <a:ext uri="{FF2B5EF4-FFF2-40B4-BE49-F238E27FC236}">
              <a16:creationId xmlns:a16="http://schemas.microsoft.com/office/drawing/2014/main" id="{DF7BB185-2615-4E72-8A03-42654EFEA110}"/>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15" name="Shape 8">
          <a:extLst>
            <a:ext uri="{FF2B5EF4-FFF2-40B4-BE49-F238E27FC236}">
              <a16:creationId xmlns:a16="http://schemas.microsoft.com/office/drawing/2014/main" id="{05A8F322-30E3-4587-84B6-DD6D21957CB9}"/>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16" name="Shape 8">
          <a:extLst>
            <a:ext uri="{FF2B5EF4-FFF2-40B4-BE49-F238E27FC236}">
              <a16:creationId xmlns:a16="http://schemas.microsoft.com/office/drawing/2014/main" id="{B8190E67-140C-47C5-8349-86A3BEB6ADED}"/>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17" name="Shape 7">
          <a:extLst>
            <a:ext uri="{FF2B5EF4-FFF2-40B4-BE49-F238E27FC236}">
              <a16:creationId xmlns:a16="http://schemas.microsoft.com/office/drawing/2014/main" id="{42B98834-D705-4907-8914-F1DFBB201069}"/>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18" name="Shape 7">
          <a:extLst>
            <a:ext uri="{FF2B5EF4-FFF2-40B4-BE49-F238E27FC236}">
              <a16:creationId xmlns:a16="http://schemas.microsoft.com/office/drawing/2014/main" id="{5DF41544-8966-4D10-A9C7-A4AB512191D1}"/>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19" name="Shape 8">
          <a:extLst>
            <a:ext uri="{FF2B5EF4-FFF2-40B4-BE49-F238E27FC236}">
              <a16:creationId xmlns:a16="http://schemas.microsoft.com/office/drawing/2014/main" id="{0CDE7942-B9D9-4436-8A63-D948105E0EA4}"/>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20" name="Shape 8">
          <a:extLst>
            <a:ext uri="{FF2B5EF4-FFF2-40B4-BE49-F238E27FC236}">
              <a16:creationId xmlns:a16="http://schemas.microsoft.com/office/drawing/2014/main" id="{14CB1B5F-4E96-4E54-B0C2-3EEB4DFBA4C5}"/>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21" name="Shape 7">
          <a:extLst>
            <a:ext uri="{FF2B5EF4-FFF2-40B4-BE49-F238E27FC236}">
              <a16:creationId xmlns:a16="http://schemas.microsoft.com/office/drawing/2014/main" id="{F4489DFC-1A9A-4E60-8FF7-B00414384090}"/>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22" name="Shape 7">
          <a:extLst>
            <a:ext uri="{FF2B5EF4-FFF2-40B4-BE49-F238E27FC236}">
              <a16:creationId xmlns:a16="http://schemas.microsoft.com/office/drawing/2014/main" id="{0EDC823C-585B-4293-9782-C440AD366692}"/>
            </a:ext>
          </a:extLst>
        </xdr:cNvPr>
        <xdr:cNvSpPr>
          <a:spLocks noChangeArrowheads="1"/>
        </xdr:cNvSpPr>
      </xdr:nvSpPr>
      <xdr:spPr bwMode="auto">
        <a:xfrm>
          <a:off x="11210925"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23" name="Shape 8">
          <a:extLst>
            <a:ext uri="{FF2B5EF4-FFF2-40B4-BE49-F238E27FC236}">
              <a16:creationId xmlns:a16="http://schemas.microsoft.com/office/drawing/2014/main" id="{3406F1E7-C2A3-4EBE-B726-FF1138F91AD5}"/>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24" name="Shape 8">
          <a:extLst>
            <a:ext uri="{FF2B5EF4-FFF2-40B4-BE49-F238E27FC236}">
              <a16:creationId xmlns:a16="http://schemas.microsoft.com/office/drawing/2014/main" id="{8DF6F616-16CB-4DE4-915C-735AC1D28618}"/>
            </a:ext>
          </a:extLst>
        </xdr:cNvPr>
        <xdr:cNvSpPr>
          <a:spLocks noChangeArrowheads="1"/>
        </xdr:cNvSpPr>
      </xdr:nvSpPr>
      <xdr:spPr bwMode="auto">
        <a:xfrm>
          <a:off x="11944350" y="104013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25" name="Shape 7">
          <a:extLst>
            <a:ext uri="{FF2B5EF4-FFF2-40B4-BE49-F238E27FC236}">
              <a16:creationId xmlns:a16="http://schemas.microsoft.com/office/drawing/2014/main" id="{3264369B-3903-4028-A200-AFD0A3EA9C25}"/>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26" name="Shape 7">
          <a:extLst>
            <a:ext uri="{FF2B5EF4-FFF2-40B4-BE49-F238E27FC236}">
              <a16:creationId xmlns:a16="http://schemas.microsoft.com/office/drawing/2014/main" id="{73097948-6391-4CC7-A9AA-2A5C78F2A03B}"/>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27" name="Shape 7">
          <a:extLst>
            <a:ext uri="{FF2B5EF4-FFF2-40B4-BE49-F238E27FC236}">
              <a16:creationId xmlns:a16="http://schemas.microsoft.com/office/drawing/2014/main" id="{61856DCD-C621-46B4-BB0D-68E5F050F6F2}"/>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28" name="Shape 7">
          <a:extLst>
            <a:ext uri="{FF2B5EF4-FFF2-40B4-BE49-F238E27FC236}">
              <a16:creationId xmlns:a16="http://schemas.microsoft.com/office/drawing/2014/main" id="{54EA127C-0473-4D19-B782-A5005F9A76B2}"/>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29" name="Shape 7">
          <a:extLst>
            <a:ext uri="{FF2B5EF4-FFF2-40B4-BE49-F238E27FC236}">
              <a16:creationId xmlns:a16="http://schemas.microsoft.com/office/drawing/2014/main" id="{0120CC53-7283-4E45-B8CC-BBAE3B53CA0E}"/>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30" name="Shape 7">
          <a:extLst>
            <a:ext uri="{FF2B5EF4-FFF2-40B4-BE49-F238E27FC236}">
              <a16:creationId xmlns:a16="http://schemas.microsoft.com/office/drawing/2014/main" id="{67C8424F-A5BE-4EAB-98DF-421B544D97FA}"/>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31" name="Shape 7">
          <a:extLst>
            <a:ext uri="{FF2B5EF4-FFF2-40B4-BE49-F238E27FC236}">
              <a16:creationId xmlns:a16="http://schemas.microsoft.com/office/drawing/2014/main" id="{3C3BAEC4-39CA-4961-99A1-EA1B8303500D}"/>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32" name="Shape 7">
          <a:extLst>
            <a:ext uri="{FF2B5EF4-FFF2-40B4-BE49-F238E27FC236}">
              <a16:creationId xmlns:a16="http://schemas.microsoft.com/office/drawing/2014/main" id="{BA48D049-C12D-47F4-A154-1595CE26720E}"/>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33" name="Shape 7">
          <a:extLst>
            <a:ext uri="{FF2B5EF4-FFF2-40B4-BE49-F238E27FC236}">
              <a16:creationId xmlns:a16="http://schemas.microsoft.com/office/drawing/2014/main" id="{147E3E18-A3F0-4899-B872-E190522E3D72}"/>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34" name="Shape 7">
          <a:extLst>
            <a:ext uri="{FF2B5EF4-FFF2-40B4-BE49-F238E27FC236}">
              <a16:creationId xmlns:a16="http://schemas.microsoft.com/office/drawing/2014/main" id="{6B0721C1-AEBF-4E7D-84DD-D3103E51B554}"/>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35" name="Shape 7">
          <a:extLst>
            <a:ext uri="{FF2B5EF4-FFF2-40B4-BE49-F238E27FC236}">
              <a16:creationId xmlns:a16="http://schemas.microsoft.com/office/drawing/2014/main" id="{F73A1368-CDB6-4D4F-86FA-0B454A2F0B73}"/>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36" name="Shape 7">
          <a:extLst>
            <a:ext uri="{FF2B5EF4-FFF2-40B4-BE49-F238E27FC236}">
              <a16:creationId xmlns:a16="http://schemas.microsoft.com/office/drawing/2014/main" id="{A9FFB62E-3031-492F-BAC8-7BDB36BA53EC}"/>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37" name="Shape 7">
          <a:extLst>
            <a:ext uri="{FF2B5EF4-FFF2-40B4-BE49-F238E27FC236}">
              <a16:creationId xmlns:a16="http://schemas.microsoft.com/office/drawing/2014/main" id="{8EA92307-FDC1-4BBA-A7AE-B5E715FD1D9F}"/>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38" name="Shape 7">
          <a:extLst>
            <a:ext uri="{FF2B5EF4-FFF2-40B4-BE49-F238E27FC236}">
              <a16:creationId xmlns:a16="http://schemas.microsoft.com/office/drawing/2014/main" id="{DFC6BC21-F9CD-4184-A83C-5A4AA4D9E0B2}"/>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39" name="Shape 7">
          <a:extLst>
            <a:ext uri="{FF2B5EF4-FFF2-40B4-BE49-F238E27FC236}">
              <a16:creationId xmlns:a16="http://schemas.microsoft.com/office/drawing/2014/main" id="{3CA85510-A71A-4399-838D-59E95EEB4721}"/>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40" name="Shape 7">
          <a:extLst>
            <a:ext uri="{FF2B5EF4-FFF2-40B4-BE49-F238E27FC236}">
              <a16:creationId xmlns:a16="http://schemas.microsoft.com/office/drawing/2014/main" id="{041A2DC6-5D82-4C3C-87F6-CC7F8AA36B08}"/>
            </a:ext>
          </a:extLst>
        </xdr:cNvPr>
        <xdr:cNvSpPr>
          <a:spLocks noChangeArrowheads="1"/>
        </xdr:cNvSpPr>
      </xdr:nvSpPr>
      <xdr:spPr bwMode="auto">
        <a:xfrm>
          <a:off x="12534900" y="104013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41" name="Shape 7">
          <a:extLst>
            <a:ext uri="{FF2B5EF4-FFF2-40B4-BE49-F238E27FC236}">
              <a16:creationId xmlns:a16="http://schemas.microsoft.com/office/drawing/2014/main" id="{EABF656A-B9CC-473C-8DF9-1C5A2BEE1508}"/>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42" name="Shape 8">
          <a:extLst>
            <a:ext uri="{FF2B5EF4-FFF2-40B4-BE49-F238E27FC236}">
              <a16:creationId xmlns:a16="http://schemas.microsoft.com/office/drawing/2014/main" id="{5D153D40-0F5D-4886-94B1-8D96E0920CD7}"/>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43" name="Shape 7">
          <a:extLst>
            <a:ext uri="{FF2B5EF4-FFF2-40B4-BE49-F238E27FC236}">
              <a16:creationId xmlns:a16="http://schemas.microsoft.com/office/drawing/2014/main" id="{1BCC4442-FCE6-4141-BF91-173E2314EAA3}"/>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44" name="Shape 8">
          <a:extLst>
            <a:ext uri="{FF2B5EF4-FFF2-40B4-BE49-F238E27FC236}">
              <a16:creationId xmlns:a16="http://schemas.microsoft.com/office/drawing/2014/main" id="{B38D6956-DDF9-4634-ADE1-5E308A8CD909}"/>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45" name="Shape 7">
          <a:extLst>
            <a:ext uri="{FF2B5EF4-FFF2-40B4-BE49-F238E27FC236}">
              <a16:creationId xmlns:a16="http://schemas.microsoft.com/office/drawing/2014/main" id="{C257C75E-17D3-4328-A860-39C976E3D2AF}"/>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46" name="Shape 8">
          <a:extLst>
            <a:ext uri="{FF2B5EF4-FFF2-40B4-BE49-F238E27FC236}">
              <a16:creationId xmlns:a16="http://schemas.microsoft.com/office/drawing/2014/main" id="{723EA383-427C-42B1-9C11-781994AA7F65}"/>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47" name="Shape 8">
          <a:extLst>
            <a:ext uri="{FF2B5EF4-FFF2-40B4-BE49-F238E27FC236}">
              <a16:creationId xmlns:a16="http://schemas.microsoft.com/office/drawing/2014/main" id="{1D473FAB-CE61-448E-9736-B6AE2F472FFD}"/>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48" name="Shape 7">
          <a:extLst>
            <a:ext uri="{FF2B5EF4-FFF2-40B4-BE49-F238E27FC236}">
              <a16:creationId xmlns:a16="http://schemas.microsoft.com/office/drawing/2014/main" id="{1315D289-FDC4-4F43-9715-7B90BF4D44D3}"/>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49" name="Shape 8">
          <a:extLst>
            <a:ext uri="{FF2B5EF4-FFF2-40B4-BE49-F238E27FC236}">
              <a16:creationId xmlns:a16="http://schemas.microsoft.com/office/drawing/2014/main" id="{F108A8D1-9627-4A2C-8E5B-86DC2FFE05F0}"/>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50" name="Shape 8">
          <a:extLst>
            <a:ext uri="{FF2B5EF4-FFF2-40B4-BE49-F238E27FC236}">
              <a16:creationId xmlns:a16="http://schemas.microsoft.com/office/drawing/2014/main" id="{1E06485B-0C9C-4B29-AE80-4B86A878E160}"/>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51" name="Shape 7">
          <a:extLst>
            <a:ext uri="{FF2B5EF4-FFF2-40B4-BE49-F238E27FC236}">
              <a16:creationId xmlns:a16="http://schemas.microsoft.com/office/drawing/2014/main" id="{9C7E35D4-81A4-4A34-9E6C-EECB6DB97108}"/>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52" name="Shape 8">
          <a:extLst>
            <a:ext uri="{FF2B5EF4-FFF2-40B4-BE49-F238E27FC236}">
              <a16:creationId xmlns:a16="http://schemas.microsoft.com/office/drawing/2014/main" id="{01206FF9-BBB9-4F50-9672-207EA5EE76C6}"/>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53" name="Shape 8">
          <a:extLst>
            <a:ext uri="{FF2B5EF4-FFF2-40B4-BE49-F238E27FC236}">
              <a16:creationId xmlns:a16="http://schemas.microsoft.com/office/drawing/2014/main" id="{C41316FF-CCAC-4C6B-813E-9AA6BE5964E0}"/>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54" name="Shape 7">
          <a:extLst>
            <a:ext uri="{FF2B5EF4-FFF2-40B4-BE49-F238E27FC236}">
              <a16:creationId xmlns:a16="http://schemas.microsoft.com/office/drawing/2014/main" id="{8BD9DC2D-E2B3-47AE-AB2B-19F2D19078E6}"/>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55" name="Shape 8">
          <a:extLst>
            <a:ext uri="{FF2B5EF4-FFF2-40B4-BE49-F238E27FC236}">
              <a16:creationId xmlns:a16="http://schemas.microsoft.com/office/drawing/2014/main" id="{9D85DFFB-5A7E-4B83-807E-F954360CAA4B}"/>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56" name="Shape 8">
          <a:extLst>
            <a:ext uri="{FF2B5EF4-FFF2-40B4-BE49-F238E27FC236}">
              <a16:creationId xmlns:a16="http://schemas.microsoft.com/office/drawing/2014/main" id="{C00307FA-5A6F-4063-9C81-80C2543DCFCC}"/>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57" name="Shape 7">
          <a:extLst>
            <a:ext uri="{FF2B5EF4-FFF2-40B4-BE49-F238E27FC236}">
              <a16:creationId xmlns:a16="http://schemas.microsoft.com/office/drawing/2014/main" id="{D28E46B0-AE5D-4E7A-8109-AF4EA9D53A6D}"/>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58" name="Shape 8">
          <a:extLst>
            <a:ext uri="{FF2B5EF4-FFF2-40B4-BE49-F238E27FC236}">
              <a16:creationId xmlns:a16="http://schemas.microsoft.com/office/drawing/2014/main" id="{FED392AB-2414-4235-903E-E4737BEFD0A2}"/>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59" name="Shape 8">
          <a:extLst>
            <a:ext uri="{FF2B5EF4-FFF2-40B4-BE49-F238E27FC236}">
              <a16:creationId xmlns:a16="http://schemas.microsoft.com/office/drawing/2014/main" id="{9237DDA3-80AE-46F2-8E6C-CFCA5768EFC5}"/>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60" name="Shape 7">
          <a:extLst>
            <a:ext uri="{FF2B5EF4-FFF2-40B4-BE49-F238E27FC236}">
              <a16:creationId xmlns:a16="http://schemas.microsoft.com/office/drawing/2014/main" id="{3C930E8F-0AB5-4F13-B555-100269FA093F}"/>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61" name="Shape 7">
          <a:extLst>
            <a:ext uri="{FF2B5EF4-FFF2-40B4-BE49-F238E27FC236}">
              <a16:creationId xmlns:a16="http://schemas.microsoft.com/office/drawing/2014/main" id="{DF751A84-67EE-4771-B78E-45419941660E}"/>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62" name="Shape 8">
          <a:extLst>
            <a:ext uri="{FF2B5EF4-FFF2-40B4-BE49-F238E27FC236}">
              <a16:creationId xmlns:a16="http://schemas.microsoft.com/office/drawing/2014/main" id="{77D6C1E8-46B5-460B-8939-F6394B8C8723}"/>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63" name="Shape 8">
          <a:extLst>
            <a:ext uri="{FF2B5EF4-FFF2-40B4-BE49-F238E27FC236}">
              <a16:creationId xmlns:a16="http://schemas.microsoft.com/office/drawing/2014/main" id="{ECBCD4E3-4330-4014-948E-4AC57ABB4EE3}"/>
            </a:ext>
          </a:extLst>
        </xdr:cNvPr>
        <xdr:cNvSpPr>
          <a:spLocks noChangeArrowheads="1"/>
        </xdr:cNvSpPr>
      </xdr:nvSpPr>
      <xdr:spPr bwMode="auto">
        <a:xfrm>
          <a:off x="11944350" y="149352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64" name="Shape 7">
          <a:extLst>
            <a:ext uri="{FF2B5EF4-FFF2-40B4-BE49-F238E27FC236}">
              <a16:creationId xmlns:a16="http://schemas.microsoft.com/office/drawing/2014/main" id="{E2E1B1E3-F295-48F3-BEA1-781ED91CF7A9}"/>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65" name="Shape 7">
          <a:extLst>
            <a:ext uri="{FF2B5EF4-FFF2-40B4-BE49-F238E27FC236}">
              <a16:creationId xmlns:a16="http://schemas.microsoft.com/office/drawing/2014/main" id="{59A74B2C-EAA0-45F0-B292-1EACB84FD144}"/>
            </a:ext>
          </a:extLst>
        </xdr:cNvPr>
        <xdr:cNvSpPr>
          <a:spLocks noChangeArrowheads="1"/>
        </xdr:cNvSpPr>
      </xdr:nvSpPr>
      <xdr:spPr bwMode="auto">
        <a:xfrm>
          <a:off x="11210925"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66" name="Shape 7">
          <a:extLst>
            <a:ext uri="{FF2B5EF4-FFF2-40B4-BE49-F238E27FC236}">
              <a16:creationId xmlns:a16="http://schemas.microsoft.com/office/drawing/2014/main" id="{184CA28C-6BE1-4036-8BED-69525F433BE8}"/>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67" name="Shape 7">
          <a:extLst>
            <a:ext uri="{FF2B5EF4-FFF2-40B4-BE49-F238E27FC236}">
              <a16:creationId xmlns:a16="http://schemas.microsoft.com/office/drawing/2014/main" id="{569220BF-AF55-4BB3-A71A-97CC7B7BC1BD}"/>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68" name="Shape 7">
          <a:extLst>
            <a:ext uri="{FF2B5EF4-FFF2-40B4-BE49-F238E27FC236}">
              <a16:creationId xmlns:a16="http://schemas.microsoft.com/office/drawing/2014/main" id="{931F204B-EEB2-4F4B-96D2-BD60EB48D22B}"/>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69" name="Shape 7">
          <a:extLst>
            <a:ext uri="{FF2B5EF4-FFF2-40B4-BE49-F238E27FC236}">
              <a16:creationId xmlns:a16="http://schemas.microsoft.com/office/drawing/2014/main" id="{A3DE0B29-23D5-4C1D-B55C-282346B4EEAE}"/>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70" name="Shape 7">
          <a:extLst>
            <a:ext uri="{FF2B5EF4-FFF2-40B4-BE49-F238E27FC236}">
              <a16:creationId xmlns:a16="http://schemas.microsoft.com/office/drawing/2014/main" id="{54040067-EB82-4E92-A494-7CB3301F2AB6}"/>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71" name="Shape 7">
          <a:extLst>
            <a:ext uri="{FF2B5EF4-FFF2-40B4-BE49-F238E27FC236}">
              <a16:creationId xmlns:a16="http://schemas.microsoft.com/office/drawing/2014/main" id="{B5F72E92-E2DC-4751-955E-331BB3350EA4}"/>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72" name="Shape 7">
          <a:extLst>
            <a:ext uri="{FF2B5EF4-FFF2-40B4-BE49-F238E27FC236}">
              <a16:creationId xmlns:a16="http://schemas.microsoft.com/office/drawing/2014/main" id="{AF2203EA-A00C-4586-9AF2-72043EE398A9}"/>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73" name="Shape 7">
          <a:extLst>
            <a:ext uri="{FF2B5EF4-FFF2-40B4-BE49-F238E27FC236}">
              <a16:creationId xmlns:a16="http://schemas.microsoft.com/office/drawing/2014/main" id="{37B11D5B-0DF7-45FF-B3F0-435C824406CF}"/>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74" name="Shape 7">
          <a:extLst>
            <a:ext uri="{FF2B5EF4-FFF2-40B4-BE49-F238E27FC236}">
              <a16:creationId xmlns:a16="http://schemas.microsoft.com/office/drawing/2014/main" id="{ECD96082-E2A8-4F5F-BE51-16339FC7F447}"/>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75" name="Shape 7">
          <a:extLst>
            <a:ext uri="{FF2B5EF4-FFF2-40B4-BE49-F238E27FC236}">
              <a16:creationId xmlns:a16="http://schemas.microsoft.com/office/drawing/2014/main" id="{10ED11E3-579D-436A-A945-835CAC2F90D7}"/>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76" name="Shape 7">
          <a:extLst>
            <a:ext uri="{FF2B5EF4-FFF2-40B4-BE49-F238E27FC236}">
              <a16:creationId xmlns:a16="http://schemas.microsoft.com/office/drawing/2014/main" id="{C84E5C11-6444-4F24-B204-4F9ADE704C8B}"/>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77" name="Shape 7">
          <a:extLst>
            <a:ext uri="{FF2B5EF4-FFF2-40B4-BE49-F238E27FC236}">
              <a16:creationId xmlns:a16="http://schemas.microsoft.com/office/drawing/2014/main" id="{EFBD67CF-2193-4445-8D30-ADA237340171}"/>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78" name="Shape 7">
          <a:extLst>
            <a:ext uri="{FF2B5EF4-FFF2-40B4-BE49-F238E27FC236}">
              <a16:creationId xmlns:a16="http://schemas.microsoft.com/office/drawing/2014/main" id="{70B09515-8EF6-497A-9670-D08D54859750}"/>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79" name="Shape 7">
          <a:extLst>
            <a:ext uri="{FF2B5EF4-FFF2-40B4-BE49-F238E27FC236}">
              <a16:creationId xmlns:a16="http://schemas.microsoft.com/office/drawing/2014/main" id="{43CBEBFF-FE71-4589-A931-69052C85BC43}"/>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80" name="Shape 7">
          <a:extLst>
            <a:ext uri="{FF2B5EF4-FFF2-40B4-BE49-F238E27FC236}">
              <a16:creationId xmlns:a16="http://schemas.microsoft.com/office/drawing/2014/main" id="{13ABE77A-131D-4592-B3D5-35F275E74EB2}"/>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381" name="Shape 7">
          <a:extLst>
            <a:ext uri="{FF2B5EF4-FFF2-40B4-BE49-F238E27FC236}">
              <a16:creationId xmlns:a16="http://schemas.microsoft.com/office/drawing/2014/main" id="{1B4BF258-1048-40A1-8899-3F8ACE5123FF}"/>
            </a:ext>
          </a:extLst>
        </xdr:cNvPr>
        <xdr:cNvSpPr>
          <a:spLocks noChangeArrowheads="1"/>
        </xdr:cNvSpPr>
      </xdr:nvSpPr>
      <xdr:spPr bwMode="auto">
        <a:xfrm>
          <a:off x="12534900" y="149352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82" name="Shape 7">
          <a:extLst>
            <a:ext uri="{FF2B5EF4-FFF2-40B4-BE49-F238E27FC236}">
              <a16:creationId xmlns:a16="http://schemas.microsoft.com/office/drawing/2014/main" id="{78EC0264-DE04-4ABF-BF57-882B79AF3BC3}"/>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83" name="Shape 8">
          <a:extLst>
            <a:ext uri="{FF2B5EF4-FFF2-40B4-BE49-F238E27FC236}">
              <a16:creationId xmlns:a16="http://schemas.microsoft.com/office/drawing/2014/main" id="{239A597F-2AE4-40A6-89D2-312DC85C249C}"/>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84" name="Shape 7">
          <a:extLst>
            <a:ext uri="{FF2B5EF4-FFF2-40B4-BE49-F238E27FC236}">
              <a16:creationId xmlns:a16="http://schemas.microsoft.com/office/drawing/2014/main" id="{38CEAE4E-E937-45CB-9BFE-26EE8A4AAC8F}"/>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85" name="Shape 8">
          <a:extLst>
            <a:ext uri="{FF2B5EF4-FFF2-40B4-BE49-F238E27FC236}">
              <a16:creationId xmlns:a16="http://schemas.microsoft.com/office/drawing/2014/main" id="{148CBC8F-32BF-4226-9C69-65E51075E6E3}"/>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86" name="Shape 7">
          <a:extLst>
            <a:ext uri="{FF2B5EF4-FFF2-40B4-BE49-F238E27FC236}">
              <a16:creationId xmlns:a16="http://schemas.microsoft.com/office/drawing/2014/main" id="{44AF88DD-AD15-49EE-8ECF-D6E4AAF3788A}"/>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87" name="Shape 8">
          <a:extLst>
            <a:ext uri="{FF2B5EF4-FFF2-40B4-BE49-F238E27FC236}">
              <a16:creationId xmlns:a16="http://schemas.microsoft.com/office/drawing/2014/main" id="{9A924013-4432-454B-9F6A-ACDF9F0F24F3}"/>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88" name="Shape 8">
          <a:extLst>
            <a:ext uri="{FF2B5EF4-FFF2-40B4-BE49-F238E27FC236}">
              <a16:creationId xmlns:a16="http://schemas.microsoft.com/office/drawing/2014/main" id="{72527100-C9AC-4868-8EC9-0B5415DF3B97}"/>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89" name="Shape 7">
          <a:extLst>
            <a:ext uri="{FF2B5EF4-FFF2-40B4-BE49-F238E27FC236}">
              <a16:creationId xmlns:a16="http://schemas.microsoft.com/office/drawing/2014/main" id="{008CE26F-3931-4E21-9A04-A4885629C672}"/>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90" name="Shape 8">
          <a:extLst>
            <a:ext uri="{FF2B5EF4-FFF2-40B4-BE49-F238E27FC236}">
              <a16:creationId xmlns:a16="http://schemas.microsoft.com/office/drawing/2014/main" id="{4FC0E618-C903-4FA0-98FD-1A180D13E232}"/>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91" name="Shape 8">
          <a:extLst>
            <a:ext uri="{FF2B5EF4-FFF2-40B4-BE49-F238E27FC236}">
              <a16:creationId xmlns:a16="http://schemas.microsoft.com/office/drawing/2014/main" id="{F5B9377E-5423-4073-9215-FC2F52336FEF}"/>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92" name="Shape 7">
          <a:extLst>
            <a:ext uri="{FF2B5EF4-FFF2-40B4-BE49-F238E27FC236}">
              <a16:creationId xmlns:a16="http://schemas.microsoft.com/office/drawing/2014/main" id="{FF42DDC0-7ABC-418C-A37D-0820DD3EDBC0}"/>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93" name="Shape 8">
          <a:extLst>
            <a:ext uri="{FF2B5EF4-FFF2-40B4-BE49-F238E27FC236}">
              <a16:creationId xmlns:a16="http://schemas.microsoft.com/office/drawing/2014/main" id="{81C07350-43D6-4A69-BE49-5991BA206EFE}"/>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94" name="Shape 8">
          <a:extLst>
            <a:ext uri="{FF2B5EF4-FFF2-40B4-BE49-F238E27FC236}">
              <a16:creationId xmlns:a16="http://schemas.microsoft.com/office/drawing/2014/main" id="{260DA7FE-C517-4F9D-995E-A3E1F8FBC183}"/>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95" name="Shape 7">
          <a:extLst>
            <a:ext uri="{FF2B5EF4-FFF2-40B4-BE49-F238E27FC236}">
              <a16:creationId xmlns:a16="http://schemas.microsoft.com/office/drawing/2014/main" id="{D17454E0-3833-4AD4-89FD-0732EF217BF7}"/>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96" name="Shape 8">
          <a:extLst>
            <a:ext uri="{FF2B5EF4-FFF2-40B4-BE49-F238E27FC236}">
              <a16:creationId xmlns:a16="http://schemas.microsoft.com/office/drawing/2014/main" id="{5F9FAC5E-52DF-45A5-B637-635DB6852F1D}"/>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97" name="Shape 8">
          <a:extLst>
            <a:ext uri="{FF2B5EF4-FFF2-40B4-BE49-F238E27FC236}">
              <a16:creationId xmlns:a16="http://schemas.microsoft.com/office/drawing/2014/main" id="{BAD8F7AF-73A5-473B-B9C6-1163896248E3}"/>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398" name="Shape 7">
          <a:extLst>
            <a:ext uri="{FF2B5EF4-FFF2-40B4-BE49-F238E27FC236}">
              <a16:creationId xmlns:a16="http://schemas.microsoft.com/office/drawing/2014/main" id="{8876FD0A-2208-49CF-B163-74C92A3561D1}"/>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399" name="Shape 8">
          <a:extLst>
            <a:ext uri="{FF2B5EF4-FFF2-40B4-BE49-F238E27FC236}">
              <a16:creationId xmlns:a16="http://schemas.microsoft.com/office/drawing/2014/main" id="{413EEF9E-02BE-4B7A-BCDF-CD1AF787DFDA}"/>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00" name="Shape 8">
          <a:extLst>
            <a:ext uri="{FF2B5EF4-FFF2-40B4-BE49-F238E27FC236}">
              <a16:creationId xmlns:a16="http://schemas.microsoft.com/office/drawing/2014/main" id="{AC68FFE8-4F3D-44F9-86A6-1A51CE727D3C}"/>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01" name="Shape 7">
          <a:extLst>
            <a:ext uri="{FF2B5EF4-FFF2-40B4-BE49-F238E27FC236}">
              <a16:creationId xmlns:a16="http://schemas.microsoft.com/office/drawing/2014/main" id="{5B7F0EEE-648C-4ED8-8E2C-6138689DD5DC}"/>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02" name="Shape 7">
          <a:extLst>
            <a:ext uri="{FF2B5EF4-FFF2-40B4-BE49-F238E27FC236}">
              <a16:creationId xmlns:a16="http://schemas.microsoft.com/office/drawing/2014/main" id="{B582F2BB-F6E6-47EA-B449-BFB1F1D21ADC}"/>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03" name="Shape 8">
          <a:extLst>
            <a:ext uri="{FF2B5EF4-FFF2-40B4-BE49-F238E27FC236}">
              <a16:creationId xmlns:a16="http://schemas.microsoft.com/office/drawing/2014/main" id="{F30A2C5B-0520-429F-87C2-F986FD9433D3}"/>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04" name="Shape 8">
          <a:extLst>
            <a:ext uri="{FF2B5EF4-FFF2-40B4-BE49-F238E27FC236}">
              <a16:creationId xmlns:a16="http://schemas.microsoft.com/office/drawing/2014/main" id="{963450B0-7E55-4168-BE1A-0C1A1B6A4FD1}"/>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05" name="Shape 7">
          <a:extLst>
            <a:ext uri="{FF2B5EF4-FFF2-40B4-BE49-F238E27FC236}">
              <a16:creationId xmlns:a16="http://schemas.microsoft.com/office/drawing/2014/main" id="{CD33448A-FB89-4F6F-A9A3-A124A15D981B}"/>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06" name="Shape 7">
          <a:extLst>
            <a:ext uri="{FF2B5EF4-FFF2-40B4-BE49-F238E27FC236}">
              <a16:creationId xmlns:a16="http://schemas.microsoft.com/office/drawing/2014/main" id="{504C1A10-5428-4AD2-9954-60A1B7072AB8}"/>
            </a:ext>
          </a:extLst>
        </xdr:cNvPr>
        <xdr:cNvSpPr>
          <a:spLocks noChangeArrowheads="1"/>
        </xdr:cNvSpPr>
      </xdr:nvSpPr>
      <xdr:spPr bwMode="auto">
        <a:xfrm>
          <a:off x="11210925" y="152590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07" name="Shape 8">
          <a:extLst>
            <a:ext uri="{FF2B5EF4-FFF2-40B4-BE49-F238E27FC236}">
              <a16:creationId xmlns:a16="http://schemas.microsoft.com/office/drawing/2014/main" id="{C8A8DD3B-0333-4A25-A3A1-4C5B24BA626C}"/>
            </a:ext>
          </a:extLst>
        </xdr:cNvPr>
        <xdr:cNvSpPr>
          <a:spLocks noChangeArrowheads="1"/>
        </xdr:cNvSpPr>
      </xdr:nvSpPr>
      <xdr:spPr bwMode="auto">
        <a:xfrm>
          <a:off x="11944350" y="152590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08" name="Shape 7">
          <a:extLst>
            <a:ext uri="{FF2B5EF4-FFF2-40B4-BE49-F238E27FC236}">
              <a16:creationId xmlns:a16="http://schemas.microsoft.com/office/drawing/2014/main" id="{325CFC95-96D2-4580-8413-69352460E396}"/>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09" name="Shape 8">
          <a:extLst>
            <a:ext uri="{FF2B5EF4-FFF2-40B4-BE49-F238E27FC236}">
              <a16:creationId xmlns:a16="http://schemas.microsoft.com/office/drawing/2014/main" id="{307C0874-1C13-4DFC-B6A8-7907C0436858}"/>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10" name="Shape 7">
          <a:extLst>
            <a:ext uri="{FF2B5EF4-FFF2-40B4-BE49-F238E27FC236}">
              <a16:creationId xmlns:a16="http://schemas.microsoft.com/office/drawing/2014/main" id="{F1D5C125-9017-4326-A233-CDC24CCD03F8}"/>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11" name="Shape 8">
          <a:extLst>
            <a:ext uri="{FF2B5EF4-FFF2-40B4-BE49-F238E27FC236}">
              <a16:creationId xmlns:a16="http://schemas.microsoft.com/office/drawing/2014/main" id="{DCF16128-63F8-432C-9201-1C5C0583532F}"/>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12" name="Shape 7">
          <a:extLst>
            <a:ext uri="{FF2B5EF4-FFF2-40B4-BE49-F238E27FC236}">
              <a16:creationId xmlns:a16="http://schemas.microsoft.com/office/drawing/2014/main" id="{8A96AA56-2008-4072-A289-43F36931BB92}"/>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13" name="Shape 8">
          <a:extLst>
            <a:ext uri="{FF2B5EF4-FFF2-40B4-BE49-F238E27FC236}">
              <a16:creationId xmlns:a16="http://schemas.microsoft.com/office/drawing/2014/main" id="{790E9DA7-4D76-41BE-81B1-5AA7E0611E6C}"/>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14" name="Shape 8">
          <a:extLst>
            <a:ext uri="{FF2B5EF4-FFF2-40B4-BE49-F238E27FC236}">
              <a16:creationId xmlns:a16="http://schemas.microsoft.com/office/drawing/2014/main" id="{775631B6-883E-4691-8F25-9A523DDD00DD}"/>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15" name="Shape 7">
          <a:extLst>
            <a:ext uri="{FF2B5EF4-FFF2-40B4-BE49-F238E27FC236}">
              <a16:creationId xmlns:a16="http://schemas.microsoft.com/office/drawing/2014/main" id="{7161F369-4C88-4561-ACE5-8587AC90B0AC}"/>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16" name="Shape 8">
          <a:extLst>
            <a:ext uri="{FF2B5EF4-FFF2-40B4-BE49-F238E27FC236}">
              <a16:creationId xmlns:a16="http://schemas.microsoft.com/office/drawing/2014/main" id="{C018FFD6-B6C0-4BF6-B7CB-634ECEB60873}"/>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17" name="Shape 8">
          <a:extLst>
            <a:ext uri="{FF2B5EF4-FFF2-40B4-BE49-F238E27FC236}">
              <a16:creationId xmlns:a16="http://schemas.microsoft.com/office/drawing/2014/main" id="{EDDD829F-B580-441C-A0F6-771F8581073B}"/>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18" name="Shape 7">
          <a:extLst>
            <a:ext uri="{FF2B5EF4-FFF2-40B4-BE49-F238E27FC236}">
              <a16:creationId xmlns:a16="http://schemas.microsoft.com/office/drawing/2014/main" id="{8E69ECBB-C05C-4E05-92AB-C0E8836C73ED}"/>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19" name="Shape 8">
          <a:extLst>
            <a:ext uri="{FF2B5EF4-FFF2-40B4-BE49-F238E27FC236}">
              <a16:creationId xmlns:a16="http://schemas.microsoft.com/office/drawing/2014/main" id="{21E33A56-F2FE-473F-9D5E-A8A109868308}"/>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20" name="Shape 8">
          <a:extLst>
            <a:ext uri="{FF2B5EF4-FFF2-40B4-BE49-F238E27FC236}">
              <a16:creationId xmlns:a16="http://schemas.microsoft.com/office/drawing/2014/main" id="{8C9FD89F-8964-4FD6-8CC2-F5DE0D1325D9}"/>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21" name="Shape 7">
          <a:extLst>
            <a:ext uri="{FF2B5EF4-FFF2-40B4-BE49-F238E27FC236}">
              <a16:creationId xmlns:a16="http://schemas.microsoft.com/office/drawing/2014/main" id="{310E6899-A398-4AC8-9400-72E15F8B2CC5}"/>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22" name="Shape 8">
          <a:extLst>
            <a:ext uri="{FF2B5EF4-FFF2-40B4-BE49-F238E27FC236}">
              <a16:creationId xmlns:a16="http://schemas.microsoft.com/office/drawing/2014/main" id="{ACE046B1-5657-467F-8079-2E957BE2B6E4}"/>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23" name="Shape 8">
          <a:extLst>
            <a:ext uri="{FF2B5EF4-FFF2-40B4-BE49-F238E27FC236}">
              <a16:creationId xmlns:a16="http://schemas.microsoft.com/office/drawing/2014/main" id="{79ADA80D-22A1-44D9-8D34-389CB1A069D8}"/>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24" name="Shape 7">
          <a:extLst>
            <a:ext uri="{FF2B5EF4-FFF2-40B4-BE49-F238E27FC236}">
              <a16:creationId xmlns:a16="http://schemas.microsoft.com/office/drawing/2014/main" id="{51735A68-8BFE-4E7E-B1BA-6965AC385DAF}"/>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25" name="Shape 8">
          <a:extLst>
            <a:ext uri="{FF2B5EF4-FFF2-40B4-BE49-F238E27FC236}">
              <a16:creationId xmlns:a16="http://schemas.microsoft.com/office/drawing/2014/main" id="{04835267-52FE-45A8-8E2C-A929E4FE0212}"/>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26" name="Shape 8">
          <a:extLst>
            <a:ext uri="{FF2B5EF4-FFF2-40B4-BE49-F238E27FC236}">
              <a16:creationId xmlns:a16="http://schemas.microsoft.com/office/drawing/2014/main" id="{C41B5A5E-F9B8-4373-B0C3-B40183D57F58}"/>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27" name="Shape 7">
          <a:extLst>
            <a:ext uri="{FF2B5EF4-FFF2-40B4-BE49-F238E27FC236}">
              <a16:creationId xmlns:a16="http://schemas.microsoft.com/office/drawing/2014/main" id="{C9C17161-45A6-46BE-BFCF-3C03324E3972}"/>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28" name="Shape 7">
          <a:extLst>
            <a:ext uri="{FF2B5EF4-FFF2-40B4-BE49-F238E27FC236}">
              <a16:creationId xmlns:a16="http://schemas.microsoft.com/office/drawing/2014/main" id="{E0EC4BC5-DFDC-467C-A015-8181D104D59B}"/>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29" name="Shape 8">
          <a:extLst>
            <a:ext uri="{FF2B5EF4-FFF2-40B4-BE49-F238E27FC236}">
              <a16:creationId xmlns:a16="http://schemas.microsoft.com/office/drawing/2014/main" id="{D031F3BF-7680-466D-AF3F-EE9BD531406C}"/>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30" name="Shape 8">
          <a:extLst>
            <a:ext uri="{FF2B5EF4-FFF2-40B4-BE49-F238E27FC236}">
              <a16:creationId xmlns:a16="http://schemas.microsoft.com/office/drawing/2014/main" id="{6CAA2664-5225-4E51-9D72-EB3F4C0313E3}"/>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31" name="Shape 7">
          <a:extLst>
            <a:ext uri="{FF2B5EF4-FFF2-40B4-BE49-F238E27FC236}">
              <a16:creationId xmlns:a16="http://schemas.microsoft.com/office/drawing/2014/main" id="{BBFB7B45-BEAE-4DFF-AE4A-A70C850B9A2C}"/>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32" name="Shape 7">
          <a:extLst>
            <a:ext uri="{FF2B5EF4-FFF2-40B4-BE49-F238E27FC236}">
              <a16:creationId xmlns:a16="http://schemas.microsoft.com/office/drawing/2014/main" id="{44CA183E-1E0B-48E4-8D42-B178688F040A}"/>
            </a:ext>
          </a:extLst>
        </xdr:cNvPr>
        <xdr:cNvSpPr>
          <a:spLocks noChangeArrowheads="1"/>
        </xdr:cNvSpPr>
      </xdr:nvSpPr>
      <xdr:spPr bwMode="auto">
        <a:xfrm>
          <a:off x="11210925"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33" name="Shape 8">
          <a:extLst>
            <a:ext uri="{FF2B5EF4-FFF2-40B4-BE49-F238E27FC236}">
              <a16:creationId xmlns:a16="http://schemas.microsoft.com/office/drawing/2014/main" id="{181267F6-3F95-4EDE-B7A4-13E50C741441}"/>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34" name="Shape 8">
          <a:extLst>
            <a:ext uri="{FF2B5EF4-FFF2-40B4-BE49-F238E27FC236}">
              <a16:creationId xmlns:a16="http://schemas.microsoft.com/office/drawing/2014/main" id="{379B73F8-2D29-4817-980A-5BE267ABEB15}"/>
            </a:ext>
          </a:extLst>
        </xdr:cNvPr>
        <xdr:cNvSpPr>
          <a:spLocks noChangeArrowheads="1"/>
        </xdr:cNvSpPr>
      </xdr:nvSpPr>
      <xdr:spPr bwMode="auto">
        <a:xfrm>
          <a:off x="11944350" y="147732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35" name="Shape 7">
          <a:extLst>
            <a:ext uri="{FF2B5EF4-FFF2-40B4-BE49-F238E27FC236}">
              <a16:creationId xmlns:a16="http://schemas.microsoft.com/office/drawing/2014/main" id="{E35D046D-8BDB-44B0-94F8-68AA2808BEDA}"/>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36" name="Shape 7">
          <a:extLst>
            <a:ext uri="{FF2B5EF4-FFF2-40B4-BE49-F238E27FC236}">
              <a16:creationId xmlns:a16="http://schemas.microsoft.com/office/drawing/2014/main" id="{3D719497-E9D2-44E0-BDB7-900676138512}"/>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37" name="Shape 7">
          <a:extLst>
            <a:ext uri="{FF2B5EF4-FFF2-40B4-BE49-F238E27FC236}">
              <a16:creationId xmlns:a16="http://schemas.microsoft.com/office/drawing/2014/main" id="{A479CE7B-2718-45AA-A642-7D81D25F5B23}"/>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38" name="Shape 7">
          <a:extLst>
            <a:ext uri="{FF2B5EF4-FFF2-40B4-BE49-F238E27FC236}">
              <a16:creationId xmlns:a16="http://schemas.microsoft.com/office/drawing/2014/main" id="{0564161E-4C4C-4542-9A3F-6343BD22B2B5}"/>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39" name="Shape 7">
          <a:extLst>
            <a:ext uri="{FF2B5EF4-FFF2-40B4-BE49-F238E27FC236}">
              <a16:creationId xmlns:a16="http://schemas.microsoft.com/office/drawing/2014/main" id="{1300B1F6-7BF4-4730-BA97-A9997D0FCBD1}"/>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40" name="Shape 7">
          <a:extLst>
            <a:ext uri="{FF2B5EF4-FFF2-40B4-BE49-F238E27FC236}">
              <a16:creationId xmlns:a16="http://schemas.microsoft.com/office/drawing/2014/main" id="{C537D253-4A66-4BD6-B285-5FC27E00E85C}"/>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41" name="Shape 7">
          <a:extLst>
            <a:ext uri="{FF2B5EF4-FFF2-40B4-BE49-F238E27FC236}">
              <a16:creationId xmlns:a16="http://schemas.microsoft.com/office/drawing/2014/main" id="{0E68AECF-6C0B-4E56-90A5-0C31038C9BF1}"/>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42" name="Shape 7">
          <a:extLst>
            <a:ext uri="{FF2B5EF4-FFF2-40B4-BE49-F238E27FC236}">
              <a16:creationId xmlns:a16="http://schemas.microsoft.com/office/drawing/2014/main" id="{132F0678-95CB-4F4F-BF5F-6D92CBB12DF9}"/>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43" name="Shape 7">
          <a:extLst>
            <a:ext uri="{FF2B5EF4-FFF2-40B4-BE49-F238E27FC236}">
              <a16:creationId xmlns:a16="http://schemas.microsoft.com/office/drawing/2014/main" id="{B29D6DD0-1F95-4F72-AFD1-A09E43A30554}"/>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44" name="Shape 7">
          <a:extLst>
            <a:ext uri="{FF2B5EF4-FFF2-40B4-BE49-F238E27FC236}">
              <a16:creationId xmlns:a16="http://schemas.microsoft.com/office/drawing/2014/main" id="{61C85754-82CA-4510-A18D-9A11A903B3FC}"/>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45" name="Shape 7">
          <a:extLst>
            <a:ext uri="{FF2B5EF4-FFF2-40B4-BE49-F238E27FC236}">
              <a16:creationId xmlns:a16="http://schemas.microsoft.com/office/drawing/2014/main" id="{ED4375B3-C6D8-4187-B113-DDCE891E4534}"/>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46" name="Shape 7">
          <a:extLst>
            <a:ext uri="{FF2B5EF4-FFF2-40B4-BE49-F238E27FC236}">
              <a16:creationId xmlns:a16="http://schemas.microsoft.com/office/drawing/2014/main" id="{0473BE3F-E981-4DF5-B18D-E09E51310EAD}"/>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47" name="Shape 7">
          <a:extLst>
            <a:ext uri="{FF2B5EF4-FFF2-40B4-BE49-F238E27FC236}">
              <a16:creationId xmlns:a16="http://schemas.microsoft.com/office/drawing/2014/main" id="{72A0CC5F-11CB-4ED0-A7C7-5308ECAFEA5C}"/>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48" name="Shape 7">
          <a:extLst>
            <a:ext uri="{FF2B5EF4-FFF2-40B4-BE49-F238E27FC236}">
              <a16:creationId xmlns:a16="http://schemas.microsoft.com/office/drawing/2014/main" id="{33E073F9-0CE4-4F1F-A3EF-1DC9C521BB9A}"/>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49" name="Shape 7">
          <a:extLst>
            <a:ext uri="{FF2B5EF4-FFF2-40B4-BE49-F238E27FC236}">
              <a16:creationId xmlns:a16="http://schemas.microsoft.com/office/drawing/2014/main" id="{2BDBE10D-963A-4700-8415-33E23BA9232A}"/>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50" name="Shape 7">
          <a:extLst>
            <a:ext uri="{FF2B5EF4-FFF2-40B4-BE49-F238E27FC236}">
              <a16:creationId xmlns:a16="http://schemas.microsoft.com/office/drawing/2014/main" id="{12F6CACA-1843-4CE8-8241-F6CF65123C5E}"/>
            </a:ext>
          </a:extLst>
        </xdr:cNvPr>
        <xdr:cNvSpPr>
          <a:spLocks noChangeArrowheads="1"/>
        </xdr:cNvSpPr>
      </xdr:nvSpPr>
      <xdr:spPr bwMode="auto">
        <a:xfrm>
          <a:off x="12534900" y="147732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51" name="Shape 7">
          <a:extLst>
            <a:ext uri="{FF2B5EF4-FFF2-40B4-BE49-F238E27FC236}">
              <a16:creationId xmlns:a16="http://schemas.microsoft.com/office/drawing/2014/main" id="{FE4D61B3-9497-4737-A824-FC50FC9826C9}"/>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52" name="Shape 8">
          <a:extLst>
            <a:ext uri="{FF2B5EF4-FFF2-40B4-BE49-F238E27FC236}">
              <a16:creationId xmlns:a16="http://schemas.microsoft.com/office/drawing/2014/main" id="{222F5B74-E13C-42A6-9BA9-3BD9368CB25B}"/>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53" name="Shape 7">
          <a:extLst>
            <a:ext uri="{FF2B5EF4-FFF2-40B4-BE49-F238E27FC236}">
              <a16:creationId xmlns:a16="http://schemas.microsoft.com/office/drawing/2014/main" id="{7D3A2084-EC3F-4B2E-B4D4-753539B97620}"/>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54" name="Shape 8">
          <a:extLst>
            <a:ext uri="{FF2B5EF4-FFF2-40B4-BE49-F238E27FC236}">
              <a16:creationId xmlns:a16="http://schemas.microsoft.com/office/drawing/2014/main" id="{F1A5B8FB-5673-4327-9747-7019B3FB5C10}"/>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55" name="Shape 7">
          <a:extLst>
            <a:ext uri="{FF2B5EF4-FFF2-40B4-BE49-F238E27FC236}">
              <a16:creationId xmlns:a16="http://schemas.microsoft.com/office/drawing/2014/main" id="{A75D86EF-B36F-4D5A-806B-646F218B3436}"/>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56" name="Shape 8">
          <a:extLst>
            <a:ext uri="{FF2B5EF4-FFF2-40B4-BE49-F238E27FC236}">
              <a16:creationId xmlns:a16="http://schemas.microsoft.com/office/drawing/2014/main" id="{75AC3BC2-AF89-4119-9F95-072D354BD00D}"/>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57" name="Shape 8">
          <a:extLst>
            <a:ext uri="{FF2B5EF4-FFF2-40B4-BE49-F238E27FC236}">
              <a16:creationId xmlns:a16="http://schemas.microsoft.com/office/drawing/2014/main" id="{7C301BF9-8342-4B2E-A11F-EA19B05C8F84}"/>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58" name="Shape 7">
          <a:extLst>
            <a:ext uri="{FF2B5EF4-FFF2-40B4-BE49-F238E27FC236}">
              <a16:creationId xmlns:a16="http://schemas.microsoft.com/office/drawing/2014/main" id="{B9143419-217E-418B-BAFA-B1B925124360}"/>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59" name="Shape 8">
          <a:extLst>
            <a:ext uri="{FF2B5EF4-FFF2-40B4-BE49-F238E27FC236}">
              <a16:creationId xmlns:a16="http://schemas.microsoft.com/office/drawing/2014/main" id="{09A7BF18-0521-4BB7-BE88-E7092B5E65D0}"/>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60" name="Shape 8">
          <a:extLst>
            <a:ext uri="{FF2B5EF4-FFF2-40B4-BE49-F238E27FC236}">
              <a16:creationId xmlns:a16="http://schemas.microsoft.com/office/drawing/2014/main" id="{0B1AF8B4-D841-44A2-9852-1FC84D097FDE}"/>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61" name="Shape 7">
          <a:extLst>
            <a:ext uri="{FF2B5EF4-FFF2-40B4-BE49-F238E27FC236}">
              <a16:creationId xmlns:a16="http://schemas.microsoft.com/office/drawing/2014/main" id="{D5B22714-C48B-408D-A81F-5206B5A33848}"/>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62" name="Shape 8">
          <a:extLst>
            <a:ext uri="{FF2B5EF4-FFF2-40B4-BE49-F238E27FC236}">
              <a16:creationId xmlns:a16="http://schemas.microsoft.com/office/drawing/2014/main" id="{5AF50031-20AC-428F-9422-1E9D856894AD}"/>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63" name="Shape 8">
          <a:extLst>
            <a:ext uri="{FF2B5EF4-FFF2-40B4-BE49-F238E27FC236}">
              <a16:creationId xmlns:a16="http://schemas.microsoft.com/office/drawing/2014/main" id="{0E0BC5FB-8477-42D3-82A7-3E75FD7DEF62}"/>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64" name="Shape 7">
          <a:extLst>
            <a:ext uri="{FF2B5EF4-FFF2-40B4-BE49-F238E27FC236}">
              <a16:creationId xmlns:a16="http://schemas.microsoft.com/office/drawing/2014/main" id="{64271EE2-E744-4234-A33C-1E4EF70108B0}"/>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65" name="Shape 8">
          <a:extLst>
            <a:ext uri="{FF2B5EF4-FFF2-40B4-BE49-F238E27FC236}">
              <a16:creationId xmlns:a16="http://schemas.microsoft.com/office/drawing/2014/main" id="{0BEE541B-B27C-46AA-9736-60DBB8F3277E}"/>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66" name="Shape 8">
          <a:extLst>
            <a:ext uri="{FF2B5EF4-FFF2-40B4-BE49-F238E27FC236}">
              <a16:creationId xmlns:a16="http://schemas.microsoft.com/office/drawing/2014/main" id="{F0447AB8-89E7-44CA-BE12-577E2AE8A221}"/>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67" name="Shape 7">
          <a:extLst>
            <a:ext uri="{FF2B5EF4-FFF2-40B4-BE49-F238E27FC236}">
              <a16:creationId xmlns:a16="http://schemas.microsoft.com/office/drawing/2014/main" id="{9A35FE4D-13B4-4A79-AE97-9D468B375FDA}"/>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68" name="Shape 8">
          <a:extLst>
            <a:ext uri="{FF2B5EF4-FFF2-40B4-BE49-F238E27FC236}">
              <a16:creationId xmlns:a16="http://schemas.microsoft.com/office/drawing/2014/main" id="{552FDC50-9EAB-4722-9445-7E3808270F9B}"/>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69" name="Shape 8">
          <a:extLst>
            <a:ext uri="{FF2B5EF4-FFF2-40B4-BE49-F238E27FC236}">
              <a16:creationId xmlns:a16="http://schemas.microsoft.com/office/drawing/2014/main" id="{A4A9C72F-D642-4412-901B-D8DE66E2A91D}"/>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70" name="Shape 7">
          <a:extLst>
            <a:ext uri="{FF2B5EF4-FFF2-40B4-BE49-F238E27FC236}">
              <a16:creationId xmlns:a16="http://schemas.microsoft.com/office/drawing/2014/main" id="{2A7BEF5C-640B-4681-A870-A77F8AB1226E}"/>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71" name="Shape 7">
          <a:extLst>
            <a:ext uri="{FF2B5EF4-FFF2-40B4-BE49-F238E27FC236}">
              <a16:creationId xmlns:a16="http://schemas.microsoft.com/office/drawing/2014/main" id="{DA59DE5A-784A-405D-BA78-4B08FC523565}"/>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72" name="Shape 8">
          <a:extLst>
            <a:ext uri="{FF2B5EF4-FFF2-40B4-BE49-F238E27FC236}">
              <a16:creationId xmlns:a16="http://schemas.microsoft.com/office/drawing/2014/main" id="{7A321DF0-AC96-48F0-96C2-C48C991559B5}"/>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73" name="Shape 8">
          <a:extLst>
            <a:ext uri="{FF2B5EF4-FFF2-40B4-BE49-F238E27FC236}">
              <a16:creationId xmlns:a16="http://schemas.microsoft.com/office/drawing/2014/main" id="{6A39446D-0230-4FE0-A99C-EB6AA37779F0}"/>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74" name="Shape 7">
          <a:extLst>
            <a:ext uri="{FF2B5EF4-FFF2-40B4-BE49-F238E27FC236}">
              <a16:creationId xmlns:a16="http://schemas.microsoft.com/office/drawing/2014/main" id="{C862207A-A117-4179-91C5-3CEA62FAE42E}"/>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75" name="Shape 7">
          <a:extLst>
            <a:ext uri="{FF2B5EF4-FFF2-40B4-BE49-F238E27FC236}">
              <a16:creationId xmlns:a16="http://schemas.microsoft.com/office/drawing/2014/main" id="{689A6B68-6BE6-4209-8835-11F69D4AA2C7}"/>
            </a:ext>
          </a:extLst>
        </xdr:cNvPr>
        <xdr:cNvSpPr>
          <a:spLocks noChangeArrowheads="1"/>
        </xdr:cNvSpPr>
      </xdr:nvSpPr>
      <xdr:spPr bwMode="auto">
        <a:xfrm>
          <a:off x="11210925"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76" name="Shape 8">
          <a:extLst>
            <a:ext uri="{FF2B5EF4-FFF2-40B4-BE49-F238E27FC236}">
              <a16:creationId xmlns:a16="http://schemas.microsoft.com/office/drawing/2014/main" id="{A1EE2CAF-772F-4178-B5F6-6B08A0D670AA}"/>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77" name="Shape 8">
          <a:extLst>
            <a:ext uri="{FF2B5EF4-FFF2-40B4-BE49-F238E27FC236}">
              <a16:creationId xmlns:a16="http://schemas.microsoft.com/office/drawing/2014/main" id="{A1185BCF-BCE5-4293-B0DD-5D38FAE87955}"/>
            </a:ext>
          </a:extLst>
        </xdr:cNvPr>
        <xdr:cNvSpPr>
          <a:spLocks noChangeArrowheads="1"/>
        </xdr:cNvSpPr>
      </xdr:nvSpPr>
      <xdr:spPr bwMode="auto">
        <a:xfrm>
          <a:off x="11944350" y="11696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78" name="Shape 7">
          <a:extLst>
            <a:ext uri="{FF2B5EF4-FFF2-40B4-BE49-F238E27FC236}">
              <a16:creationId xmlns:a16="http://schemas.microsoft.com/office/drawing/2014/main" id="{9D7F0FA4-1C58-4827-831E-8B90FCA79BDC}"/>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79" name="Shape 7">
          <a:extLst>
            <a:ext uri="{FF2B5EF4-FFF2-40B4-BE49-F238E27FC236}">
              <a16:creationId xmlns:a16="http://schemas.microsoft.com/office/drawing/2014/main" id="{C4F1C2F2-B911-48D4-A755-8B2D1635F495}"/>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80" name="Shape 7">
          <a:extLst>
            <a:ext uri="{FF2B5EF4-FFF2-40B4-BE49-F238E27FC236}">
              <a16:creationId xmlns:a16="http://schemas.microsoft.com/office/drawing/2014/main" id="{A0A195BA-3A8F-407C-990F-8E8343319556}"/>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81" name="Shape 7">
          <a:extLst>
            <a:ext uri="{FF2B5EF4-FFF2-40B4-BE49-F238E27FC236}">
              <a16:creationId xmlns:a16="http://schemas.microsoft.com/office/drawing/2014/main" id="{EF358C67-85CA-402F-BE6C-473321051429}"/>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82" name="Shape 7">
          <a:extLst>
            <a:ext uri="{FF2B5EF4-FFF2-40B4-BE49-F238E27FC236}">
              <a16:creationId xmlns:a16="http://schemas.microsoft.com/office/drawing/2014/main" id="{880873B4-AA67-4C15-A395-E0A7440AFC86}"/>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83" name="Shape 7">
          <a:extLst>
            <a:ext uri="{FF2B5EF4-FFF2-40B4-BE49-F238E27FC236}">
              <a16:creationId xmlns:a16="http://schemas.microsoft.com/office/drawing/2014/main" id="{B7161BB2-6CB0-4D71-A7C6-F271D547C5FA}"/>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84" name="Shape 7">
          <a:extLst>
            <a:ext uri="{FF2B5EF4-FFF2-40B4-BE49-F238E27FC236}">
              <a16:creationId xmlns:a16="http://schemas.microsoft.com/office/drawing/2014/main" id="{862B93DA-32D1-4465-BB51-D192CEFBD855}"/>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85" name="Shape 7">
          <a:extLst>
            <a:ext uri="{FF2B5EF4-FFF2-40B4-BE49-F238E27FC236}">
              <a16:creationId xmlns:a16="http://schemas.microsoft.com/office/drawing/2014/main" id="{1D4816DF-7593-4BBC-A622-1AEEF469D935}"/>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86" name="Shape 7">
          <a:extLst>
            <a:ext uri="{FF2B5EF4-FFF2-40B4-BE49-F238E27FC236}">
              <a16:creationId xmlns:a16="http://schemas.microsoft.com/office/drawing/2014/main" id="{0A132F3A-BCF2-48A8-B4E0-F9242345211B}"/>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87" name="Shape 7">
          <a:extLst>
            <a:ext uri="{FF2B5EF4-FFF2-40B4-BE49-F238E27FC236}">
              <a16:creationId xmlns:a16="http://schemas.microsoft.com/office/drawing/2014/main" id="{4A8EE6CC-3C25-4261-A7AF-C756788A326D}"/>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88" name="Shape 7">
          <a:extLst>
            <a:ext uri="{FF2B5EF4-FFF2-40B4-BE49-F238E27FC236}">
              <a16:creationId xmlns:a16="http://schemas.microsoft.com/office/drawing/2014/main" id="{A332D70D-41A1-44F7-AD15-98C9CA14E064}"/>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89" name="Shape 7">
          <a:extLst>
            <a:ext uri="{FF2B5EF4-FFF2-40B4-BE49-F238E27FC236}">
              <a16:creationId xmlns:a16="http://schemas.microsoft.com/office/drawing/2014/main" id="{2E959FF9-13B0-41CF-8DAE-C17D295B8B3A}"/>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90" name="Shape 7">
          <a:extLst>
            <a:ext uri="{FF2B5EF4-FFF2-40B4-BE49-F238E27FC236}">
              <a16:creationId xmlns:a16="http://schemas.microsoft.com/office/drawing/2014/main" id="{5DE04226-9906-4038-8189-DB6426604109}"/>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91" name="Shape 7">
          <a:extLst>
            <a:ext uri="{FF2B5EF4-FFF2-40B4-BE49-F238E27FC236}">
              <a16:creationId xmlns:a16="http://schemas.microsoft.com/office/drawing/2014/main" id="{215DA2D1-F417-478C-BC3A-7F9F5FF31896}"/>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92" name="Shape 7">
          <a:extLst>
            <a:ext uri="{FF2B5EF4-FFF2-40B4-BE49-F238E27FC236}">
              <a16:creationId xmlns:a16="http://schemas.microsoft.com/office/drawing/2014/main" id="{7E24C0A8-71F0-4882-B29C-8F9468E1B9E0}"/>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19</xdr:row>
      <xdr:rowOff>0</xdr:rowOff>
    </xdr:from>
    <xdr:to>
      <xdr:col>15</xdr:col>
      <xdr:colOff>38100</xdr:colOff>
      <xdr:row>19</xdr:row>
      <xdr:rowOff>38100</xdr:rowOff>
    </xdr:to>
    <xdr:sp macro="" textlink="">
      <xdr:nvSpPr>
        <xdr:cNvPr id="2493" name="Shape 7">
          <a:extLst>
            <a:ext uri="{FF2B5EF4-FFF2-40B4-BE49-F238E27FC236}">
              <a16:creationId xmlns:a16="http://schemas.microsoft.com/office/drawing/2014/main" id="{3F00794E-708E-42B1-844C-EB37C529331F}"/>
            </a:ext>
          </a:extLst>
        </xdr:cNvPr>
        <xdr:cNvSpPr>
          <a:spLocks noChangeArrowheads="1"/>
        </xdr:cNvSpPr>
      </xdr:nvSpPr>
      <xdr:spPr bwMode="auto">
        <a:xfrm>
          <a:off x="12534900" y="11696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94" name="Shape 7">
          <a:extLst>
            <a:ext uri="{FF2B5EF4-FFF2-40B4-BE49-F238E27FC236}">
              <a16:creationId xmlns:a16="http://schemas.microsoft.com/office/drawing/2014/main" id="{4A69C567-F508-4BBB-864F-AD9C0EA8269C}"/>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95" name="Shape 8">
          <a:extLst>
            <a:ext uri="{FF2B5EF4-FFF2-40B4-BE49-F238E27FC236}">
              <a16:creationId xmlns:a16="http://schemas.microsoft.com/office/drawing/2014/main" id="{BBA72CAB-13E4-415D-9845-8A7672FCD764}"/>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96" name="Shape 7">
          <a:extLst>
            <a:ext uri="{FF2B5EF4-FFF2-40B4-BE49-F238E27FC236}">
              <a16:creationId xmlns:a16="http://schemas.microsoft.com/office/drawing/2014/main" id="{C7CAD7F8-D207-4CE8-AB2E-DFE19588C9D6}"/>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97" name="Shape 8">
          <a:extLst>
            <a:ext uri="{FF2B5EF4-FFF2-40B4-BE49-F238E27FC236}">
              <a16:creationId xmlns:a16="http://schemas.microsoft.com/office/drawing/2014/main" id="{36D7C3F1-EDF9-4C5E-8ABB-EBFDDC119D70}"/>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498" name="Shape 7">
          <a:extLst>
            <a:ext uri="{FF2B5EF4-FFF2-40B4-BE49-F238E27FC236}">
              <a16:creationId xmlns:a16="http://schemas.microsoft.com/office/drawing/2014/main" id="{280F5912-A6AA-4934-87D7-B478ECEE7520}"/>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499" name="Shape 8">
          <a:extLst>
            <a:ext uri="{FF2B5EF4-FFF2-40B4-BE49-F238E27FC236}">
              <a16:creationId xmlns:a16="http://schemas.microsoft.com/office/drawing/2014/main" id="{AF3103BA-0492-4A69-AD54-01BE227052DF}"/>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00" name="Shape 8">
          <a:extLst>
            <a:ext uri="{FF2B5EF4-FFF2-40B4-BE49-F238E27FC236}">
              <a16:creationId xmlns:a16="http://schemas.microsoft.com/office/drawing/2014/main" id="{3D055046-5C8A-489E-9699-DA3CCF1FE1F7}"/>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01" name="Shape 7">
          <a:extLst>
            <a:ext uri="{FF2B5EF4-FFF2-40B4-BE49-F238E27FC236}">
              <a16:creationId xmlns:a16="http://schemas.microsoft.com/office/drawing/2014/main" id="{9E8C40A2-5E28-4C70-A98D-096A8B745420}"/>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02" name="Shape 8">
          <a:extLst>
            <a:ext uri="{FF2B5EF4-FFF2-40B4-BE49-F238E27FC236}">
              <a16:creationId xmlns:a16="http://schemas.microsoft.com/office/drawing/2014/main" id="{77D98788-0FAD-4FAA-ADE8-6FE1A079A752}"/>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03" name="Shape 8">
          <a:extLst>
            <a:ext uri="{FF2B5EF4-FFF2-40B4-BE49-F238E27FC236}">
              <a16:creationId xmlns:a16="http://schemas.microsoft.com/office/drawing/2014/main" id="{53218CFB-6D10-41A1-BF3A-A5D701D5169E}"/>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04" name="Shape 7">
          <a:extLst>
            <a:ext uri="{FF2B5EF4-FFF2-40B4-BE49-F238E27FC236}">
              <a16:creationId xmlns:a16="http://schemas.microsoft.com/office/drawing/2014/main" id="{183EA258-9164-4B61-B898-1029884DAE8F}"/>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05" name="Shape 8">
          <a:extLst>
            <a:ext uri="{FF2B5EF4-FFF2-40B4-BE49-F238E27FC236}">
              <a16:creationId xmlns:a16="http://schemas.microsoft.com/office/drawing/2014/main" id="{03E94BBE-876E-480F-B1D5-FE2A776411A6}"/>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06" name="Shape 8">
          <a:extLst>
            <a:ext uri="{FF2B5EF4-FFF2-40B4-BE49-F238E27FC236}">
              <a16:creationId xmlns:a16="http://schemas.microsoft.com/office/drawing/2014/main" id="{2D329B0F-4857-418A-8C41-B6ED36DA7DDD}"/>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07" name="Shape 7">
          <a:extLst>
            <a:ext uri="{FF2B5EF4-FFF2-40B4-BE49-F238E27FC236}">
              <a16:creationId xmlns:a16="http://schemas.microsoft.com/office/drawing/2014/main" id="{CF312A0E-0D10-40E0-BBE1-4EBE6B4EF189}"/>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08" name="Shape 8">
          <a:extLst>
            <a:ext uri="{FF2B5EF4-FFF2-40B4-BE49-F238E27FC236}">
              <a16:creationId xmlns:a16="http://schemas.microsoft.com/office/drawing/2014/main" id="{5B414F96-2EF7-49B4-B59F-C595E3B6AA37}"/>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09" name="Shape 8">
          <a:extLst>
            <a:ext uri="{FF2B5EF4-FFF2-40B4-BE49-F238E27FC236}">
              <a16:creationId xmlns:a16="http://schemas.microsoft.com/office/drawing/2014/main" id="{8DF37A86-599F-4BC6-B987-8D85468E8006}"/>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10" name="Shape 7">
          <a:extLst>
            <a:ext uri="{FF2B5EF4-FFF2-40B4-BE49-F238E27FC236}">
              <a16:creationId xmlns:a16="http://schemas.microsoft.com/office/drawing/2014/main" id="{79AFD7CD-FEC0-401A-BD87-435813AA85B6}"/>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11" name="Shape 8">
          <a:extLst>
            <a:ext uri="{FF2B5EF4-FFF2-40B4-BE49-F238E27FC236}">
              <a16:creationId xmlns:a16="http://schemas.microsoft.com/office/drawing/2014/main" id="{74BA62DB-6A0C-4435-A2B4-8739D5D2DE37}"/>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12" name="Shape 8">
          <a:extLst>
            <a:ext uri="{FF2B5EF4-FFF2-40B4-BE49-F238E27FC236}">
              <a16:creationId xmlns:a16="http://schemas.microsoft.com/office/drawing/2014/main" id="{565EF120-0091-4323-8C42-299B4E24B23E}"/>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13" name="Shape 7">
          <a:extLst>
            <a:ext uri="{FF2B5EF4-FFF2-40B4-BE49-F238E27FC236}">
              <a16:creationId xmlns:a16="http://schemas.microsoft.com/office/drawing/2014/main" id="{42075296-9958-4BD5-BD37-D882C15595D5}"/>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14" name="Shape 7">
          <a:extLst>
            <a:ext uri="{FF2B5EF4-FFF2-40B4-BE49-F238E27FC236}">
              <a16:creationId xmlns:a16="http://schemas.microsoft.com/office/drawing/2014/main" id="{8216F7B3-9482-40DC-96CF-38E049999DAC}"/>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15" name="Shape 8">
          <a:extLst>
            <a:ext uri="{FF2B5EF4-FFF2-40B4-BE49-F238E27FC236}">
              <a16:creationId xmlns:a16="http://schemas.microsoft.com/office/drawing/2014/main" id="{80CBB448-3C49-4D24-98D5-D935E2074270}"/>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16" name="Shape 8">
          <a:extLst>
            <a:ext uri="{FF2B5EF4-FFF2-40B4-BE49-F238E27FC236}">
              <a16:creationId xmlns:a16="http://schemas.microsoft.com/office/drawing/2014/main" id="{6236D2D7-D88C-4BCC-AB04-7AEAC7C2D114}"/>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17" name="Shape 7">
          <a:extLst>
            <a:ext uri="{FF2B5EF4-FFF2-40B4-BE49-F238E27FC236}">
              <a16:creationId xmlns:a16="http://schemas.microsoft.com/office/drawing/2014/main" id="{C52118EB-8D3B-4B21-BE12-DCC690A19C44}"/>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18" name="Shape 7">
          <a:extLst>
            <a:ext uri="{FF2B5EF4-FFF2-40B4-BE49-F238E27FC236}">
              <a16:creationId xmlns:a16="http://schemas.microsoft.com/office/drawing/2014/main" id="{548A2280-06AD-472C-AE3B-6231F06F9C6A}"/>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19" name="Shape 8">
          <a:extLst>
            <a:ext uri="{FF2B5EF4-FFF2-40B4-BE49-F238E27FC236}">
              <a16:creationId xmlns:a16="http://schemas.microsoft.com/office/drawing/2014/main" id="{69593B94-0569-4CCB-B73E-8767852B31A1}"/>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20" name="Shape 7">
          <a:extLst>
            <a:ext uri="{FF2B5EF4-FFF2-40B4-BE49-F238E27FC236}">
              <a16:creationId xmlns:a16="http://schemas.microsoft.com/office/drawing/2014/main" id="{B85039DF-EFAC-4189-818C-068D4BAD8A5D}"/>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21" name="Shape 8">
          <a:extLst>
            <a:ext uri="{FF2B5EF4-FFF2-40B4-BE49-F238E27FC236}">
              <a16:creationId xmlns:a16="http://schemas.microsoft.com/office/drawing/2014/main" id="{AADCF233-631F-43D5-A935-6B013726D732}"/>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22" name="Shape 7">
          <a:extLst>
            <a:ext uri="{FF2B5EF4-FFF2-40B4-BE49-F238E27FC236}">
              <a16:creationId xmlns:a16="http://schemas.microsoft.com/office/drawing/2014/main" id="{848F9B30-1657-4311-8622-F50083E892B3}"/>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23" name="Shape 8">
          <a:extLst>
            <a:ext uri="{FF2B5EF4-FFF2-40B4-BE49-F238E27FC236}">
              <a16:creationId xmlns:a16="http://schemas.microsoft.com/office/drawing/2014/main" id="{1F6340A6-F460-46A6-97D7-CBA3D43EF98D}"/>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24" name="Shape 7">
          <a:extLst>
            <a:ext uri="{FF2B5EF4-FFF2-40B4-BE49-F238E27FC236}">
              <a16:creationId xmlns:a16="http://schemas.microsoft.com/office/drawing/2014/main" id="{BDEE810D-C544-4835-BBA9-10103FFACB55}"/>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25" name="Shape 8">
          <a:extLst>
            <a:ext uri="{FF2B5EF4-FFF2-40B4-BE49-F238E27FC236}">
              <a16:creationId xmlns:a16="http://schemas.microsoft.com/office/drawing/2014/main" id="{4E72FFCC-6844-4CBB-8416-ED087B5B4EFE}"/>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26" name="Shape 8">
          <a:extLst>
            <a:ext uri="{FF2B5EF4-FFF2-40B4-BE49-F238E27FC236}">
              <a16:creationId xmlns:a16="http://schemas.microsoft.com/office/drawing/2014/main" id="{43E6F56C-F0FF-47E3-B068-8C2E80321580}"/>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27" name="Shape 7">
          <a:extLst>
            <a:ext uri="{FF2B5EF4-FFF2-40B4-BE49-F238E27FC236}">
              <a16:creationId xmlns:a16="http://schemas.microsoft.com/office/drawing/2014/main" id="{BE41DC67-90BD-4A22-A002-4186CD8510C7}"/>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28" name="Shape 8">
          <a:extLst>
            <a:ext uri="{FF2B5EF4-FFF2-40B4-BE49-F238E27FC236}">
              <a16:creationId xmlns:a16="http://schemas.microsoft.com/office/drawing/2014/main" id="{A75C75AA-39D3-4FB4-973C-7C1C6F9494C7}"/>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29" name="Shape 8">
          <a:extLst>
            <a:ext uri="{FF2B5EF4-FFF2-40B4-BE49-F238E27FC236}">
              <a16:creationId xmlns:a16="http://schemas.microsoft.com/office/drawing/2014/main" id="{C4884F4F-C337-4EFC-B563-7CFAA8D6FA45}"/>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30" name="Shape 7">
          <a:extLst>
            <a:ext uri="{FF2B5EF4-FFF2-40B4-BE49-F238E27FC236}">
              <a16:creationId xmlns:a16="http://schemas.microsoft.com/office/drawing/2014/main" id="{398CB756-A2CE-43D5-8ADC-43EED8A1D621}"/>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31" name="Shape 8">
          <a:extLst>
            <a:ext uri="{FF2B5EF4-FFF2-40B4-BE49-F238E27FC236}">
              <a16:creationId xmlns:a16="http://schemas.microsoft.com/office/drawing/2014/main" id="{C4BACEF5-67D5-46F3-AA93-187F2EAC13B6}"/>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32" name="Shape 8">
          <a:extLst>
            <a:ext uri="{FF2B5EF4-FFF2-40B4-BE49-F238E27FC236}">
              <a16:creationId xmlns:a16="http://schemas.microsoft.com/office/drawing/2014/main" id="{94B2EAF8-875E-4144-9700-8609278ABF9C}"/>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33" name="Shape 7">
          <a:extLst>
            <a:ext uri="{FF2B5EF4-FFF2-40B4-BE49-F238E27FC236}">
              <a16:creationId xmlns:a16="http://schemas.microsoft.com/office/drawing/2014/main" id="{08EC2C6D-DF3C-40BE-8017-262D9F9653B4}"/>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34" name="Shape 8">
          <a:extLst>
            <a:ext uri="{FF2B5EF4-FFF2-40B4-BE49-F238E27FC236}">
              <a16:creationId xmlns:a16="http://schemas.microsoft.com/office/drawing/2014/main" id="{DA10F599-C1A2-4B8B-B68C-20105B1E5FE8}"/>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35" name="Shape 8">
          <a:extLst>
            <a:ext uri="{FF2B5EF4-FFF2-40B4-BE49-F238E27FC236}">
              <a16:creationId xmlns:a16="http://schemas.microsoft.com/office/drawing/2014/main" id="{227C3153-7627-4A13-93B5-76C8AAAEAB17}"/>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36" name="Shape 7">
          <a:extLst>
            <a:ext uri="{FF2B5EF4-FFF2-40B4-BE49-F238E27FC236}">
              <a16:creationId xmlns:a16="http://schemas.microsoft.com/office/drawing/2014/main" id="{1DFA0AC5-A98E-43C3-AC51-EAA17894F986}"/>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37" name="Shape 8">
          <a:extLst>
            <a:ext uri="{FF2B5EF4-FFF2-40B4-BE49-F238E27FC236}">
              <a16:creationId xmlns:a16="http://schemas.microsoft.com/office/drawing/2014/main" id="{026214A2-18D3-4296-87E6-13D03B7F3C7B}"/>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38" name="Shape 8">
          <a:extLst>
            <a:ext uri="{FF2B5EF4-FFF2-40B4-BE49-F238E27FC236}">
              <a16:creationId xmlns:a16="http://schemas.microsoft.com/office/drawing/2014/main" id="{5EB38C29-937B-4BB4-A15B-36D5578EAEF4}"/>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39" name="Shape 7">
          <a:extLst>
            <a:ext uri="{FF2B5EF4-FFF2-40B4-BE49-F238E27FC236}">
              <a16:creationId xmlns:a16="http://schemas.microsoft.com/office/drawing/2014/main" id="{A7593E11-2045-4C1D-A99A-2E60EE9CFFD6}"/>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40" name="Shape 7">
          <a:extLst>
            <a:ext uri="{FF2B5EF4-FFF2-40B4-BE49-F238E27FC236}">
              <a16:creationId xmlns:a16="http://schemas.microsoft.com/office/drawing/2014/main" id="{FECEF62F-AFBF-4204-8F29-BC96F1DBE28F}"/>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41" name="Shape 8">
          <a:extLst>
            <a:ext uri="{FF2B5EF4-FFF2-40B4-BE49-F238E27FC236}">
              <a16:creationId xmlns:a16="http://schemas.microsoft.com/office/drawing/2014/main" id="{A174153E-B7BE-4EAA-8450-2E78BD03CC8F}"/>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42" name="Shape 8">
          <a:extLst>
            <a:ext uri="{FF2B5EF4-FFF2-40B4-BE49-F238E27FC236}">
              <a16:creationId xmlns:a16="http://schemas.microsoft.com/office/drawing/2014/main" id="{C583C318-97DF-4212-9369-5CE46AD92601}"/>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43" name="Shape 7">
          <a:extLst>
            <a:ext uri="{FF2B5EF4-FFF2-40B4-BE49-F238E27FC236}">
              <a16:creationId xmlns:a16="http://schemas.microsoft.com/office/drawing/2014/main" id="{40D065F1-FB3E-451D-9F35-1A0E202E37D2}"/>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44" name="Shape 7">
          <a:extLst>
            <a:ext uri="{FF2B5EF4-FFF2-40B4-BE49-F238E27FC236}">
              <a16:creationId xmlns:a16="http://schemas.microsoft.com/office/drawing/2014/main" id="{42E5E16A-994C-4056-86AE-9F7B478CE2D3}"/>
            </a:ext>
          </a:extLst>
        </xdr:cNvPr>
        <xdr:cNvSpPr>
          <a:spLocks noChangeArrowheads="1"/>
        </xdr:cNvSpPr>
      </xdr:nvSpPr>
      <xdr:spPr bwMode="auto">
        <a:xfrm>
          <a:off x="11210925" y="15420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45" name="Shape 8">
          <a:extLst>
            <a:ext uri="{FF2B5EF4-FFF2-40B4-BE49-F238E27FC236}">
              <a16:creationId xmlns:a16="http://schemas.microsoft.com/office/drawing/2014/main" id="{40B6C616-1463-424B-9A49-0B56FC4DCA54}"/>
            </a:ext>
          </a:extLst>
        </xdr:cNvPr>
        <xdr:cNvSpPr>
          <a:spLocks noChangeArrowheads="1"/>
        </xdr:cNvSpPr>
      </xdr:nvSpPr>
      <xdr:spPr bwMode="auto">
        <a:xfrm>
          <a:off x="11944350" y="15420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46" name="Shape 7">
          <a:extLst>
            <a:ext uri="{FF2B5EF4-FFF2-40B4-BE49-F238E27FC236}">
              <a16:creationId xmlns:a16="http://schemas.microsoft.com/office/drawing/2014/main" id="{F96731D4-146E-43CA-86AD-C30082FE4C1C}"/>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47" name="Shape 8">
          <a:extLst>
            <a:ext uri="{FF2B5EF4-FFF2-40B4-BE49-F238E27FC236}">
              <a16:creationId xmlns:a16="http://schemas.microsoft.com/office/drawing/2014/main" id="{0F4F5247-23E9-473C-95B9-870EDCA497B3}"/>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48" name="Shape 7">
          <a:extLst>
            <a:ext uri="{FF2B5EF4-FFF2-40B4-BE49-F238E27FC236}">
              <a16:creationId xmlns:a16="http://schemas.microsoft.com/office/drawing/2014/main" id="{42A15F01-C8AB-4E02-9265-85C63F7B29DD}"/>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49" name="Shape 8">
          <a:extLst>
            <a:ext uri="{FF2B5EF4-FFF2-40B4-BE49-F238E27FC236}">
              <a16:creationId xmlns:a16="http://schemas.microsoft.com/office/drawing/2014/main" id="{F16A82C0-C08C-494E-AAD9-6F7AA513C1CB}"/>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50" name="Shape 7">
          <a:extLst>
            <a:ext uri="{FF2B5EF4-FFF2-40B4-BE49-F238E27FC236}">
              <a16:creationId xmlns:a16="http://schemas.microsoft.com/office/drawing/2014/main" id="{F07BE2D0-B0A4-4371-9173-467820BE640D}"/>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51" name="Shape 8">
          <a:extLst>
            <a:ext uri="{FF2B5EF4-FFF2-40B4-BE49-F238E27FC236}">
              <a16:creationId xmlns:a16="http://schemas.microsoft.com/office/drawing/2014/main" id="{F3F946B3-D62E-437E-B013-8679592A8C84}"/>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52" name="Shape 8">
          <a:extLst>
            <a:ext uri="{FF2B5EF4-FFF2-40B4-BE49-F238E27FC236}">
              <a16:creationId xmlns:a16="http://schemas.microsoft.com/office/drawing/2014/main" id="{68D671D9-7BA9-4BC0-BBA2-4238EDB4230A}"/>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53" name="Shape 7">
          <a:extLst>
            <a:ext uri="{FF2B5EF4-FFF2-40B4-BE49-F238E27FC236}">
              <a16:creationId xmlns:a16="http://schemas.microsoft.com/office/drawing/2014/main" id="{9B265934-6483-4BD3-92F1-89EDB7D247E8}"/>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54" name="Shape 8">
          <a:extLst>
            <a:ext uri="{FF2B5EF4-FFF2-40B4-BE49-F238E27FC236}">
              <a16:creationId xmlns:a16="http://schemas.microsoft.com/office/drawing/2014/main" id="{37554443-1891-4865-91F1-B59A95FE9774}"/>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55" name="Shape 8">
          <a:extLst>
            <a:ext uri="{FF2B5EF4-FFF2-40B4-BE49-F238E27FC236}">
              <a16:creationId xmlns:a16="http://schemas.microsoft.com/office/drawing/2014/main" id="{5567E026-2F27-40E4-A49A-8317F5E7E1D6}"/>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56" name="Shape 7">
          <a:extLst>
            <a:ext uri="{FF2B5EF4-FFF2-40B4-BE49-F238E27FC236}">
              <a16:creationId xmlns:a16="http://schemas.microsoft.com/office/drawing/2014/main" id="{BBDB7759-1EC6-4D90-A497-E1909F96BFB2}"/>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57" name="Shape 8">
          <a:extLst>
            <a:ext uri="{FF2B5EF4-FFF2-40B4-BE49-F238E27FC236}">
              <a16:creationId xmlns:a16="http://schemas.microsoft.com/office/drawing/2014/main" id="{C2923BB8-2BA4-4FB1-BA47-A58520DE566C}"/>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58" name="Shape 8">
          <a:extLst>
            <a:ext uri="{FF2B5EF4-FFF2-40B4-BE49-F238E27FC236}">
              <a16:creationId xmlns:a16="http://schemas.microsoft.com/office/drawing/2014/main" id="{1AC2887E-FD11-4CB2-9397-8EC13489C412}"/>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59" name="Shape 7">
          <a:extLst>
            <a:ext uri="{FF2B5EF4-FFF2-40B4-BE49-F238E27FC236}">
              <a16:creationId xmlns:a16="http://schemas.microsoft.com/office/drawing/2014/main" id="{169D490F-E9DA-4505-BD74-AF2B1DBCBC7F}"/>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60" name="Shape 8">
          <a:extLst>
            <a:ext uri="{FF2B5EF4-FFF2-40B4-BE49-F238E27FC236}">
              <a16:creationId xmlns:a16="http://schemas.microsoft.com/office/drawing/2014/main" id="{A8627E14-20B2-43B7-A190-5A682694EA1E}"/>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61" name="Shape 8">
          <a:extLst>
            <a:ext uri="{FF2B5EF4-FFF2-40B4-BE49-F238E27FC236}">
              <a16:creationId xmlns:a16="http://schemas.microsoft.com/office/drawing/2014/main" id="{91536CA5-C6A2-432D-969C-607496E1A1F4}"/>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62" name="Shape 7">
          <a:extLst>
            <a:ext uri="{FF2B5EF4-FFF2-40B4-BE49-F238E27FC236}">
              <a16:creationId xmlns:a16="http://schemas.microsoft.com/office/drawing/2014/main" id="{E0592F89-9655-4D4D-AFF7-C41BD73ABD23}"/>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63" name="Shape 8">
          <a:extLst>
            <a:ext uri="{FF2B5EF4-FFF2-40B4-BE49-F238E27FC236}">
              <a16:creationId xmlns:a16="http://schemas.microsoft.com/office/drawing/2014/main" id="{20491653-BE49-4B07-81C1-E115E49619F8}"/>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64" name="Shape 8">
          <a:extLst>
            <a:ext uri="{FF2B5EF4-FFF2-40B4-BE49-F238E27FC236}">
              <a16:creationId xmlns:a16="http://schemas.microsoft.com/office/drawing/2014/main" id="{EAB5F4C8-F2FC-452B-AC33-8011E090B934}"/>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65" name="Shape 7">
          <a:extLst>
            <a:ext uri="{FF2B5EF4-FFF2-40B4-BE49-F238E27FC236}">
              <a16:creationId xmlns:a16="http://schemas.microsoft.com/office/drawing/2014/main" id="{4EC2A4B2-473C-44FB-B530-0FBADEE9C54C}"/>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66" name="Shape 7">
          <a:extLst>
            <a:ext uri="{FF2B5EF4-FFF2-40B4-BE49-F238E27FC236}">
              <a16:creationId xmlns:a16="http://schemas.microsoft.com/office/drawing/2014/main" id="{963A13D8-25F3-437D-B199-34C2EE76315E}"/>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67" name="Shape 8">
          <a:extLst>
            <a:ext uri="{FF2B5EF4-FFF2-40B4-BE49-F238E27FC236}">
              <a16:creationId xmlns:a16="http://schemas.microsoft.com/office/drawing/2014/main" id="{4E932376-26F3-42AB-AE2A-D37FD57D6C53}"/>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68" name="Shape 8">
          <a:extLst>
            <a:ext uri="{FF2B5EF4-FFF2-40B4-BE49-F238E27FC236}">
              <a16:creationId xmlns:a16="http://schemas.microsoft.com/office/drawing/2014/main" id="{310F6DD7-1AF8-4EFC-B9B5-495FC5C3858E}"/>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69" name="Shape 7">
          <a:extLst>
            <a:ext uri="{FF2B5EF4-FFF2-40B4-BE49-F238E27FC236}">
              <a16:creationId xmlns:a16="http://schemas.microsoft.com/office/drawing/2014/main" id="{3CD0CFDF-4442-449A-B1C6-2D0A10DA837D}"/>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70" name="Shape 7">
          <a:extLst>
            <a:ext uri="{FF2B5EF4-FFF2-40B4-BE49-F238E27FC236}">
              <a16:creationId xmlns:a16="http://schemas.microsoft.com/office/drawing/2014/main" id="{0F5A6132-8F38-46B0-8977-47B0352F79FC}"/>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71" name="Shape 8">
          <a:extLst>
            <a:ext uri="{FF2B5EF4-FFF2-40B4-BE49-F238E27FC236}">
              <a16:creationId xmlns:a16="http://schemas.microsoft.com/office/drawing/2014/main" id="{85F71F45-2C0D-492A-B479-0FC475DA37F3}"/>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72" name="Shape 7">
          <a:extLst>
            <a:ext uri="{FF2B5EF4-FFF2-40B4-BE49-F238E27FC236}">
              <a16:creationId xmlns:a16="http://schemas.microsoft.com/office/drawing/2014/main" id="{ADE7B733-DF9D-4C69-AB5E-1A215388C058}"/>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73" name="Shape 8">
          <a:extLst>
            <a:ext uri="{FF2B5EF4-FFF2-40B4-BE49-F238E27FC236}">
              <a16:creationId xmlns:a16="http://schemas.microsoft.com/office/drawing/2014/main" id="{21333AA4-8C8E-402E-9395-E2003D3B91CB}"/>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74" name="Shape 7">
          <a:extLst>
            <a:ext uri="{FF2B5EF4-FFF2-40B4-BE49-F238E27FC236}">
              <a16:creationId xmlns:a16="http://schemas.microsoft.com/office/drawing/2014/main" id="{4B4C351F-7A05-4430-AADB-D401DC8E9026}"/>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75" name="Shape 8">
          <a:extLst>
            <a:ext uri="{FF2B5EF4-FFF2-40B4-BE49-F238E27FC236}">
              <a16:creationId xmlns:a16="http://schemas.microsoft.com/office/drawing/2014/main" id="{EEAF04A4-7D27-4101-9E7C-62960760D8ED}"/>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76" name="Shape 7">
          <a:extLst>
            <a:ext uri="{FF2B5EF4-FFF2-40B4-BE49-F238E27FC236}">
              <a16:creationId xmlns:a16="http://schemas.microsoft.com/office/drawing/2014/main" id="{F180CCAD-F575-44D7-A025-EA775D33FB56}"/>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77" name="Shape 8">
          <a:extLst>
            <a:ext uri="{FF2B5EF4-FFF2-40B4-BE49-F238E27FC236}">
              <a16:creationId xmlns:a16="http://schemas.microsoft.com/office/drawing/2014/main" id="{1AFFE526-4E73-416B-B1DA-5F4AAD6B24FB}"/>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78" name="Shape 8">
          <a:extLst>
            <a:ext uri="{FF2B5EF4-FFF2-40B4-BE49-F238E27FC236}">
              <a16:creationId xmlns:a16="http://schemas.microsoft.com/office/drawing/2014/main" id="{16F5AA70-B9B4-42D1-8F4C-B052D2E53116}"/>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79" name="Shape 7">
          <a:extLst>
            <a:ext uri="{FF2B5EF4-FFF2-40B4-BE49-F238E27FC236}">
              <a16:creationId xmlns:a16="http://schemas.microsoft.com/office/drawing/2014/main" id="{3303E954-110B-4155-9A88-DA5E697C62EF}"/>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80" name="Shape 8">
          <a:extLst>
            <a:ext uri="{FF2B5EF4-FFF2-40B4-BE49-F238E27FC236}">
              <a16:creationId xmlns:a16="http://schemas.microsoft.com/office/drawing/2014/main" id="{3C3E0128-1EAE-4808-84DD-63F7F0023B29}"/>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81" name="Shape 8">
          <a:extLst>
            <a:ext uri="{FF2B5EF4-FFF2-40B4-BE49-F238E27FC236}">
              <a16:creationId xmlns:a16="http://schemas.microsoft.com/office/drawing/2014/main" id="{C1899D77-41DB-4A89-9B7E-8523EA6E794F}"/>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82" name="Shape 7">
          <a:extLst>
            <a:ext uri="{FF2B5EF4-FFF2-40B4-BE49-F238E27FC236}">
              <a16:creationId xmlns:a16="http://schemas.microsoft.com/office/drawing/2014/main" id="{A861488C-9941-40D4-B0B0-85AA866BF7F6}"/>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83" name="Shape 8">
          <a:extLst>
            <a:ext uri="{FF2B5EF4-FFF2-40B4-BE49-F238E27FC236}">
              <a16:creationId xmlns:a16="http://schemas.microsoft.com/office/drawing/2014/main" id="{3EB27446-B0F1-492B-A5B5-C160C87E6069}"/>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84" name="Shape 8">
          <a:extLst>
            <a:ext uri="{FF2B5EF4-FFF2-40B4-BE49-F238E27FC236}">
              <a16:creationId xmlns:a16="http://schemas.microsoft.com/office/drawing/2014/main" id="{91A261CB-871D-4BB6-8C01-8D887AD4BC8A}"/>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85" name="Shape 7">
          <a:extLst>
            <a:ext uri="{FF2B5EF4-FFF2-40B4-BE49-F238E27FC236}">
              <a16:creationId xmlns:a16="http://schemas.microsoft.com/office/drawing/2014/main" id="{5349E0C9-2AA7-45D1-B80A-2D8BB5C1029B}"/>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86" name="Shape 8">
          <a:extLst>
            <a:ext uri="{FF2B5EF4-FFF2-40B4-BE49-F238E27FC236}">
              <a16:creationId xmlns:a16="http://schemas.microsoft.com/office/drawing/2014/main" id="{53D2A3FB-20B9-4933-A53D-4CBDEAC36C07}"/>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87" name="Shape 8">
          <a:extLst>
            <a:ext uri="{FF2B5EF4-FFF2-40B4-BE49-F238E27FC236}">
              <a16:creationId xmlns:a16="http://schemas.microsoft.com/office/drawing/2014/main" id="{53A13A0F-13A2-4971-8F25-84635BAE3108}"/>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88" name="Shape 7">
          <a:extLst>
            <a:ext uri="{FF2B5EF4-FFF2-40B4-BE49-F238E27FC236}">
              <a16:creationId xmlns:a16="http://schemas.microsoft.com/office/drawing/2014/main" id="{2FC1BE20-7D1E-4EED-8879-0B7C423D95BE}"/>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89" name="Shape 8">
          <a:extLst>
            <a:ext uri="{FF2B5EF4-FFF2-40B4-BE49-F238E27FC236}">
              <a16:creationId xmlns:a16="http://schemas.microsoft.com/office/drawing/2014/main" id="{5A9EA9B7-4355-47F6-AFB1-9A0E3D217A85}"/>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90" name="Shape 8">
          <a:extLst>
            <a:ext uri="{FF2B5EF4-FFF2-40B4-BE49-F238E27FC236}">
              <a16:creationId xmlns:a16="http://schemas.microsoft.com/office/drawing/2014/main" id="{52EC2351-1DF5-4C07-9DF6-9A5646138C5B}"/>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91" name="Shape 7">
          <a:extLst>
            <a:ext uri="{FF2B5EF4-FFF2-40B4-BE49-F238E27FC236}">
              <a16:creationId xmlns:a16="http://schemas.microsoft.com/office/drawing/2014/main" id="{18730DFB-1464-4F77-909C-6B9B16840240}"/>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92" name="Shape 7">
          <a:extLst>
            <a:ext uri="{FF2B5EF4-FFF2-40B4-BE49-F238E27FC236}">
              <a16:creationId xmlns:a16="http://schemas.microsoft.com/office/drawing/2014/main" id="{534C91E0-6FA7-4701-B953-55932C09F821}"/>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93" name="Shape 8">
          <a:extLst>
            <a:ext uri="{FF2B5EF4-FFF2-40B4-BE49-F238E27FC236}">
              <a16:creationId xmlns:a16="http://schemas.microsoft.com/office/drawing/2014/main" id="{56ABD180-51FB-47B9-84F3-4A13320CF179}"/>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94" name="Shape 8">
          <a:extLst>
            <a:ext uri="{FF2B5EF4-FFF2-40B4-BE49-F238E27FC236}">
              <a16:creationId xmlns:a16="http://schemas.microsoft.com/office/drawing/2014/main" id="{7121E1CD-E98E-4D56-8911-6CBB4276427D}"/>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95" name="Shape 7">
          <a:extLst>
            <a:ext uri="{FF2B5EF4-FFF2-40B4-BE49-F238E27FC236}">
              <a16:creationId xmlns:a16="http://schemas.microsoft.com/office/drawing/2014/main" id="{D9008819-7ED4-400D-9FC6-61EC1E2062D5}"/>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19</xdr:row>
      <xdr:rowOff>0</xdr:rowOff>
    </xdr:from>
    <xdr:to>
      <xdr:col>14</xdr:col>
      <xdr:colOff>38100</xdr:colOff>
      <xdr:row>19</xdr:row>
      <xdr:rowOff>38100</xdr:rowOff>
    </xdr:to>
    <xdr:sp macro="" textlink="">
      <xdr:nvSpPr>
        <xdr:cNvPr id="2596" name="Shape 7">
          <a:extLst>
            <a:ext uri="{FF2B5EF4-FFF2-40B4-BE49-F238E27FC236}">
              <a16:creationId xmlns:a16="http://schemas.microsoft.com/office/drawing/2014/main" id="{FACD4F3B-8DC9-444A-91F0-DFA3092A31AB}"/>
            </a:ext>
          </a:extLst>
        </xdr:cNvPr>
        <xdr:cNvSpPr>
          <a:spLocks noChangeArrowheads="1"/>
        </xdr:cNvSpPr>
      </xdr:nvSpPr>
      <xdr:spPr bwMode="auto">
        <a:xfrm>
          <a:off x="11210925" y="155829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19</xdr:row>
      <xdr:rowOff>0</xdr:rowOff>
    </xdr:from>
    <xdr:to>
      <xdr:col>15</xdr:col>
      <xdr:colOff>114300</xdr:colOff>
      <xdr:row>19</xdr:row>
      <xdr:rowOff>38100</xdr:rowOff>
    </xdr:to>
    <xdr:sp macro="" textlink="">
      <xdr:nvSpPr>
        <xdr:cNvPr id="2597" name="Shape 8">
          <a:extLst>
            <a:ext uri="{FF2B5EF4-FFF2-40B4-BE49-F238E27FC236}">
              <a16:creationId xmlns:a16="http://schemas.microsoft.com/office/drawing/2014/main" id="{B4CD082C-4509-48BE-A7CC-51D57161CFC0}"/>
            </a:ext>
          </a:extLst>
        </xdr:cNvPr>
        <xdr:cNvSpPr>
          <a:spLocks noChangeArrowheads="1"/>
        </xdr:cNvSpPr>
      </xdr:nvSpPr>
      <xdr:spPr bwMode="auto">
        <a:xfrm>
          <a:off x="11944350" y="155829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oneCellAnchor>
    <xdr:from>
      <xdr:col>13</xdr:col>
      <xdr:colOff>733425</xdr:colOff>
      <xdr:row>19</xdr:row>
      <xdr:rowOff>0</xdr:rowOff>
    </xdr:from>
    <xdr:ext cx="38100" cy="38100"/>
    <xdr:sp macro="" textlink="">
      <xdr:nvSpPr>
        <xdr:cNvPr id="2598" name="Shape 7">
          <a:extLst>
            <a:ext uri="{FF2B5EF4-FFF2-40B4-BE49-F238E27FC236}">
              <a16:creationId xmlns:a16="http://schemas.microsoft.com/office/drawing/2014/main" id="{E7088AF8-803A-436F-9422-E259DC6ED33D}"/>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599" name="Shape 8">
          <a:extLst>
            <a:ext uri="{FF2B5EF4-FFF2-40B4-BE49-F238E27FC236}">
              <a16:creationId xmlns:a16="http://schemas.microsoft.com/office/drawing/2014/main" id="{805335FE-40B2-4848-99D3-D95FFBBD5AE5}"/>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00" name="Shape 7">
          <a:extLst>
            <a:ext uri="{FF2B5EF4-FFF2-40B4-BE49-F238E27FC236}">
              <a16:creationId xmlns:a16="http://schemas.microsoft.com/office/drawing/2014/main" id="{18AE0FCA-8470-4957-B4D5-F2C20703A361}"/>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01" name="Shape 8">
          <a:extLst>
            <a:ext uri="{FF2B5EF4-FFF2-40B4-BE49-F238E27FC236}">
              <a16:creationId xmlns:a16="http://schemas.microsoft.com/office/drawing/2014/main" id="{AFB37934-834B-479A-81DF-1BACBD0B5A5A}"/>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02" name="Shape 7">
          <a:extLst>
            <a:ext uri="{FF2B5EF4-FFF2-40B4-BE49-F238E27FC236}">
              <a16:creationId xmlns:a16="http://schemas.microsoft.com/office/drawing/2014/main" id="{7075B47B-2B9D-454D-A81C-8694C6955D4A}"/>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03" name="Shape 8">
          <a:extLst>
            <a:ext uri="{FF2B5EF4-FFF2-40B4-BE49-F238E27FC236}">
              <a16:creationId xmlns:a16="http://schemas.microsoft.com/office/drawing/2014/main" id="{DD56F978-C3D9-4FAD-8396-3413E535E34D}"/>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04" name="Shape 8">
          <a:extLst>
            <a:ext uri="{FF2B5EF4-FFF2-40B4-BE49-F238E27FC236}">
              <a16:creationId xmlns:a16="http://schemas.microsoft.com/office/drawing/2014/main" id="{608F0FC5-AB9F-42F6-8E87-8DAD758BF944}"/>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05" name="Shape 7">
          <a:extLst>
            <a:ext uri="{FF2B5EF4-FFF2-40B4-BE49-F238E27FC236}">
              <a16:creationId xmlns:a16="http://schemas.microsoft.com/office/drawing/2014/main" id="{265E900A-5A4C-44A5-8650-C4B66A863FC7}"/>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06" name="Shape 8">
          <a:extLst>
            <a:ext uri="{FF2B5EF4-FFF2-40B4-BE49-F238E27FC236}">
              <a16:creationId xmlns:a16="http://schemas.microsoft.com/office/drawing/2014/main" id="{93808256-7206-4731-920F-03C181AB143E}"/>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07" name="Shape 8">
          <a:extLst>
            <a:ext uri="{FF2B5EF4-FFF2-40B4-BE49-F238E27FC236}">
              <a16:creationId xmlns:a16="http://schemas.microsoft.com/office/drawing/2014/main" id="{6F766186-5278-4EFE-B00D-3D93AAB85C6A}"/>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08" name="Shape 7">
          <a:extLst>
            <a:ext uri="{FF2B5EF4-FFF2-40B4-BE49-F238E27FC236}">
              <a16:creationId xmlns:a16="http://schemas.microsoft.com/office/drawing/2014/main" id="{63820A98-9596-43FF-A4FA-B5F7F225123B}"/>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09" name="Shape 8">
          <a:extLst>
            <a:ext uri="{FF2B5EF4-FFF2-40B4-BE49-F238E27FC236}">
              <a16:creationId xmlns:a16="http://schemas.microsoft.com/office/drawing/2014/main" id="{8C3BCE67-F401-49B9-AB1A-1E883264A75C}"/>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10" name="Shape 8">
          <a:extLst>
            <a:ext uri="{FF2B5EF4-FFF2-40B4-BE49-F238E27FC236}">
              <a16:creationId xmlns:a16="http://schemas.microsoft.com/office/drawing/2014/main" id="{0097B7C4-9901-45CE-BCBD-B70763F9DD8F}"/>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11" name="Shape 7">
          <a:extLst>
            <a:ext uri="{FF2B5EF4-FFF2-40B4-BE49-F238E27FC236}">
              <a16:creationId xmlns:a16="http://schemas.microsoft.com/office/drawing/2014/main" id="{65D747C1-5463-4764-A74C-D83E9E5168CD}"/>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12" name="Shape 8">
          <a:extLst>
            <a:ext uri="{FF2B5EF4-FFF2-40B4-BE49-F238E27FC236}">
              <a16:creationId xmlns:a16="http://schemas.microsoft.com/office/drawing/2014/main" id="{CF48FB2C-C43D-4B37-8616-1723CB72DBA1}"/>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13" name="Shape 8">
          <a:extLst>
            <a:ext uri="{FF2B5EF4-FFF2-40B4-BE49-F238E27FC236}">
              <a16:creationId xmlns:a16="http://schemas.microsoft.com/office/drawing/2014/main" id="{A61A7207-27DD-4EA3-B589-9CF155AFB601}"/>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14" name="Shape 7">
          <a:extLst>
            <a:ext uri="{FF2B5EF4-FFF2-40B4-BE49-F238E27FC236}">
              <a16:creationId xmlns:a16="http://schemas.microsoft.com/office/drawing/2014/main" id="{A113BA49-28CB-4134-8C63-3C095323D525}"/>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15" name="Shape 8">
          <a:extLst>
            <a:ext uri="{FF2B5EF4-FFF2-40B4-BE49-F238E27FC236}">
              <a16:creationId xmlns:a16="http://schemas.microsoft.com/office/drawing/2014/main" id="{C7230F30-89B7-466B-B7E8-D2EC7FDBC70B}"/>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16" name="Shape 8">
          <a:extLst>
            <a:ext uri="{FF2B5EF4-FFF2-40B4-BE49-F238E27FC236}">
              <a16:creationId xmlns:a16="http://schemas.microsoft.com/office/drawing/2014/main" id="{DC84FE8D-B996-4E72-9994-FD1473D97E5D}"/>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17" name="Shape 7">
          <a:extLst>
            <a:ext uri="{FF2B5EF4-FFF2-40B4-BE49-F238E27FC236}">
              <a16:creationId xmlns:a16="http://schemas.microsoft.com/office/drawing/2014/main" id="{4EE8501B-724C-4B94-9F58-8686A78A504C}"/>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18" name="Shape 7">
          <a:extLst>
            <a:ext uri="{FF2B5EF4-FFF2-40B4-BE49-F238E27FC236}">
              <a16:creationId xmlns:a16="http://schemas.microsoft.com/office/drawing/2014/main" id="{07E9D30E-D2A6-4F82-A0A6-4BAF936267D9}"/>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19" name="Shape 8">
          <a:extLst>
            <a:ext uri="{FF2B5EF4-FFF2-40B4-BE49-F238E27FC236}">
              <a16:creationId xmlns:a16="http://schemas.microsoft.com/office/drawing/2014/main" id="{55BF199C-DFA0-4712-9F4A-24D37B991DE8}"/>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20" name="Shape 8">
          <a:extLst>
            <a:ext uri="{FF2B5EF4-FFF2-40B4-BE49-F238E27FC236}">
              <a16:creationId xmlns:a16="http://schemas.microsoft.com/office/drawing/2014/main" id="{CC0A8D63-F923-4AAC-AB17-3491679B7D8D}"/>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21" name="Shape 7">
          <a:extLst>
            <a:ext uri="{FF2B5EF4-FFF2-40B4-BE49-F238E27FC236}">
              <a16:creationId xmlns:a16="http://schemas.microsoft.com/office/drawing/2014/main" id="{84C72065-459D-47AF-8C6C-B07F592BA372}"/>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22" name="Shape 7">
          <a:extLst>
            <a:ext uri="{FF2B5EF4-FFF2-40B4-BE49-F238E27FC236}">
              <a16:creationId xmlns:a16="http://schemas.microsoft.com/office/drawing/2014/main" id="{5CF78CBD-F68A-4009-8C29-A72D9816D037}"/>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23" name="Shape 8">
          <a:extLst>
            <a:ext uri="{FF2B5EF4-FFF2-40B4-BE49-F238E27FC236}">
              <a16:creationId xmlns:a16="http://schemas.microsoft.com/office/drawing/2014/main" id="{41C0E150-E37D-41FB-8520-D9B8598544D7}"/>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24" name="Shape 7">
          <a:extLst>
            <a:ext uri="{FF2B5EF4-FFF2-40B4-BE49-F238E27FC236}">
              <a16:creationId xmlns:a16="http://schemas.microsoft.com/office/drawing/2014/main" id="{6E8BF1EB-5252-4368-9F7F-4D9FD2F355DD}"/>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25" name="Shape 8">
          <a:extLst>
            <a:ext uri="{FF2B5EF4-FFF2-40B4-BE49-F238E27FC236}">
              <a16:creationId xmlns:a16="http://schemas.microsoft.com/office/drawing/2014/main" id="{A1DD7771-34E5-4978-BC93-8D6D7675452A}"/>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26" name="Shape 7">
          <a:extLst>
            <a:ext uri="{FF2B5EF4-FFF2-40B4-BE49-F238E27FC236}">
              <a16:creationId xmlns:a16="http://schemas.microsoft.com/office/drawing/2014/main" id="{40DAB265-F53A-43D4-BDAB-69EAE1FCE8AE}"/>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27" name="Shape 8">
          <a:extLst>
            <a:ext uri="{FF2B5EF4-FFF2-40B4-BE49-F238E27FC236}">
              <a16:creationId xmlns:a16="http://schemas.microsoft.com/office/drawing/2014/main" id="{3FC801D1-A04B-4BC2-BA5A-6C0B9DCD3A43}"/>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28" name="Shape 7">
          <a:extLst>
            <a:ext uri="{FF2B5EF4-FFF2-40B4-BE49-F238E27FC236}">
              <a16:creationId xmlns:a16="http://schemas.microsoft.com/office/drawing/2014/main" id="{D798E8C8-1E5E-40FF-8F2C-1DCA65A05875}"/>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29" name="Shape 8">
          <a:extLst>
            <a:ext uri="{FF2B5EF4-FFF2-40B4-BE49-F238E27FC236}">
              <a16:creationId xmlns:a16="http://schemas.microsoft.com/office/drawing/2014/main" id="{3AB6F417-F7E0-4434-9074-6B894A57225C}"/>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30" name="Shape 8">
          <a:extLst>
            <a:ext uri="{FF2B5EF4-FFF2-40B4-BE49-F238E27FC236}">
              <a16:creationId xmlns:a16="http://schemas.microsoft.com/office/drawing/2014/main" id="{82DBEB7D-B6EA-456C-81E3-4D1B56A9FCE6}"/>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31" name="Shape 7">
          <a:extLst>
            <a:ext uri="{FF2B5EF4-FFF2-40B4-BE49-F238E27FC236}">
              <a16:creationId xmlns:a16="http://schemas.microsoft.com/office/drawing/2014/main" id="{C2BFEF49-9FBA-4D08-BB0A-D4A3D7361744}"/>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32" name="Shape 8">
          <a:extLst>
            <a:ext uri="{FF2B5EF4-FFF2-40B4-BE49-F238E27FC236}">
              <a16:creationId xmlns:a16="http://schemas.microsoft.com/office/drawing/2014/main" id="{07FFF331-94E1-4F44-934E-8E900C96FBC2}"/>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33" name="Shape 8">
          <a:extLst>
            <a:ext uri="{FF2B5EF4-FFF2-40B4-BE49-F238E27FC236}">
              <a16:creationId xmlns:a16="http://schemas.microsoft.com/office/drawing/2014/main" id="{4AB52F0D-9D62-4AD2-B41F-45323A7C5125}"/>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34" name="Shape 7">
          <a:extLst>
            <a:ext uri="{FF2B5EF4-FFF2-40B4-BE49-F238E27FC236}">
              <a16:creationId xmlns:a16="http://schemas.microsoft.com/office/drawing/2014/main" id="{FAFE6476-583B-4DAF-9E8C-25CC30F39C2D}"/>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35" name="Shape 8">
          <a:extLst>
            <a:ext uri="{FF2B5EF4-FFF2-40B4-BE49-F238E27FC236}">
              <a16:creationId xmlns:a16="http://schemas.microsoft.com/office/drawing/2014/main" id="{FE98497A-8C4B-426F-9508-C1B57FF09326}"/>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36" name="Shape 8">
          <a:extLst>
            <a:ext uri="{FF2B5EF4-FFF2-40B4-BE49-F238E27FC236}">
              <a16:creationId xmlns:a16="http://schemas.microsoft.com/office/drawing/2014/main" id="{5C2F37AE-E159-4508-9897-344C655C4548}"/>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37" name="Shape 7">
          <a:extLst>
            <a:ext uri="{FF2B5EF4-FFF2-40B4-BE49-F238E27FC236}">
              <a16:creationId xmlns:a16="http://schemas.microsoft.com/office/drawing/2014/main" id="{2ADF0ABC-FC6E-4953-8C49-03D9A37E55F2}"/>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38" name="Shape 8">
          <a:extLst>
            <a:ext uri="{FF2B5EF4-FFF2-40B4-BE49-F238E27FC236}">
              <a16:creationId xmlns:a16="http://schemas.microsoft.com/office/drawing/2014/main" id="{AC9BCA3D-63B8-403C-9E43-4EF1D93DAC83}"/>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39" name="Shape 8">
          <a:extLst>
            <a:ext uri="{FF2B5EF4-FFF2-40B4-BE49-F238E27FC236}">
              <a16:creationId xmlns:a16="http://schemas.microsoft.com/office/drawing/2014/main" id="{8977EEF6-2713-49EE-BE76-EFC08BC930D4}"/>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40" name="Shape 7">
          <a:extLst>
            <a:ext uri="{FF2B5EF4-FFF2-40B4-BE49-F238E27FC236}">
              <a16:creationId xmlns:a16="http://schemas.microsoft.com/office/drawing/2014/main" id="{2AFB77DA-91CD-42DB-88FB-660E20488FAA}"/>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41" name="Shape 8">
          <a:extLst>
            <a:ext uri="{FF2B5EF4-FFF2-40B4-BE49-F238E27FC236}">
              <a16:creationId xmlns:a16="http://schemas.microsoft.com/office/drawing/2014/main" id="{1594C37D-5FC2-4573-A613-113EADA6024E}"/>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42" name="Shape 8">
          <a:extLst>
            <a:ext uri="{FF2B5EF4-FFF2-40B4-BE49-F238E27FC236}">
              <a16:creationId xmlns:a16="http://schemas.microsoft.com/office/drawing/2014/main" id="{43FAC0BB-9F81-43C1-B61B-CD8D87818038}"/>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43" name="Shape 7">
          <a:extLst>
            <a:ext uri="{FF2B5EF4-FFF2-40B4-BE49-F238E27FC236}">
              <a16:creationId xmlns:a16="http://schemas.microsoft.com/office/drawing/2014/main" id="{DFE4E3C1-F19E-4658-B4C8-B691A15FC974}"/>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44" name="Shape 7">
          <a:extLst>
            <a:ext uri="{FF2B5EF4-FFF2-40B4-BE49-F238E27FC236}">
              <a16:creationId xmlns:a16="http://schemas.microsoft.com/office/drawing/2014/main" id="{885D549E-E071-4446-B8A0-53EC8E2AAEF0}"/>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45" name="Shape 8">
          <a:extLst>
            <a:ext uri="{FF2B5EF4-FFF2-40B4-BE49-F238E27FC236}">
              <a16:creationId xmlns:a16="http://schemas.microsoft.com/office/drawing/2014/main" id="{3F463514-9C85-4841-99FD-E9324BC2DCF1}"/>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46" name="Shape 8">
          <a:extLst>
            <a:ext uri="{FF2B5EF4-FFF2-40B4-BE49-F238E27FC236}">
              <a16:creationId xmlns:a16="http://schemas.microsoft.com/office/drawing/2014/main" id="{8FE09430-7371-406B-AE71-E154F946F3F3}"/>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47" name="Shape 7">
          <a:extLst>
            <a:ext uri="{FF2B5EF4-FFF2-40B4-BE49-F238E27FC236}">
              <a16:creationId xmlns:a16="http://schemas.microsoft.com/office/drawing/2014/main" id="{C4A811C0-3E37-4D59-A9C8-30EA374A47DF}"/>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48" name="Shape 7">
          <a:extLst>
            <a:ext uri="{FF2B5EF4-FFF2-40B4-BE49-F238E27FC236}">
              <a16:creationId xmlns:a16="http://schemas.microsoft.com/office/drawing/2014/main" id="{3B02F36C-7664-40FF-8A04-EB99B3F338A9}"/>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49" name="Shape 8">
          <a:extLst>
            <a:ext uri="{FF2B5EF4-FFF2-40B4-BE49-F238E27FC236}">
              <a16:creationId xmlns:a16="http://schemas.microsoft.com/office/drawing/2014/main" id="{49CC456E-48DD-4CE7-A7DB-4B82B2BC98BA}"/>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50" name="Shape 7">
          <a:extLst>
            <a:ext uri="{FF2B5EF4-FFF2-40B4-BE49-F238E27FC236}">
              <a16:creationId xmlns:a16="http://schemas.microsoft.com/office/drawing/2014/main" id="{2533EC03-B956-4F8B-9F46-21B0250ACCB3}"/>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51" name="Shape 8">
          <a:extLst>
            <a:ext uri="{FF2B5EF4-FFF2-40B4-BE49-F238E27FC236}">
              <a16:creationId xmlns:a16="http://schemas.microsoft.com/office/drawing/2014/main" id="{2BC3BB7F-B3EB-4347-8641-16018791FABC}"/>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52" name="Shape 7">
          <a:extLst>
            <a:ext uri="{FF2B5EF4-FFF2-40B4-BE49-F238E27FC236}">
              <a16:creationId xmlns:a16="http://schemas.microsoft.com/office/drawing/2014/main" id="{0ACFF491-2D27-4238-8B9E-17D0364B683B}"/>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53" name="Shape 8">
          <a:extLst>
            <a:ext uri="{FF2B5EF4-FFF2-40B4-BE49-F238E27FC236}">
              <a16:creationId xmlns:a16="http://schemas.microsoft.com/office/drawing/2014/main" id="{6C19C79C-67B2-44EA-8E6E-C50DB4FB7659}"/>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54" name="Shape 7">
          <a:extLst>
            <a:ext uri="{FF2B5EF4-FFF2-40B4-BE49-F238E27FC236}">
              <a16:creationId xmlns:a16="http://schemas.microsoft.com/office/drawing/2014/main" id="{BB1BC4DF-243C-4740-AAFE-3797C2F0FEDC}"/>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55" name="Shape 8">
          <a:extLst>
            <a:ext uri="{FF2B5EF4-FFF2-40B4-BE49-F238E27FC236}">
              <a16:creationId xmlns:a16="http://schemas.microsoft.com/office/drawing/2014/main" id="{3D1CF438-E449-4401-8D0B-5D33C860A173}"/>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56" name="Shape 8">
          <a:extLst>
            <a:ext uri="{FF2B5EF4-FFF2-40B4-BE49-F238E27FC236}">
              <a16:creationId xmlns:a16="http://schemas.microsoft.com/office/drawing/2014/main" id="{FF4553CE-2A31-4CA1-B38B-2BE1F19F0B8E}"/>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57" name="Shape 7">
          <a:extLst>
            <a:ext uri="{FF2B5EF4-FFF2-40B4-BE49-F238E27FC236}">
              <a16:creationId xmlns:a16="http://schemas.microsoft.com/office/drawing/2014/main" id="{55D8D7D1-3FA0-4DE2-BF84-2FFE78757AED}"/>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58" name="Shape 8">
          <a:extLst>
            <a:ext uri="{FF2B5EF4-FFF2-40B4-BE49-F238E27FC236}">
              <a16:creationId xmlns:a16="http://schemas.microsoft.com/office/drawing/2014/main" id="{B20FD48A-3134-4F52-A76F-1481AA6A3EA4}"/>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59" name="Shape 8">
          <a:extLst>
            <a:ext uri="{FF2B5EF4-FFF2-40B4-BE49-F238E27FC236}">
              <a16:creationId xmlns:a16="http://schemas.microsoft.com/office/drawing/2014/main" id="{7AA95455-0CBB-446B-BF5F-DB2B2767D555}"/>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60" name="Shape 7">
          <a:extLst>
            <a:ext uri="{FF2B5EF4-FFF2-40B4-BE49-F238E27FC236}">
              <a16:creationId xmlns:a16="http://schemas.microsoft.com/office/drawing/2014/main" id="{BBD9357B-45DC-4834-85BE-1B6B921B0067}"/>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61" name="Shape 8">
          <a:extLst>
            <a:ext uri="{FF2B5EF4-FFF2-40B4-BE49-F238E27FC236}">
              <a16:creationId xmlns:a16="http://schemas.microsoft.com/office/drawing/2014/main" id="{E1EE7711-CE24-482F-A694-11E1D9E64780}"/>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62" name="Shape 8">
          <a:extLst>
            <a:ext uri="{FF2B5EF4-FFF2-40B4-BE49-F238E27FC236}">
              <a16:creationId xmlns:a16="http://schemas.microsoft.com/office/drawing/2014/main" id="{A2AF81C3-A022-4C1E-BB43-457F1C2ED5D6}"/>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63" name="Shape 7">
          <a:extLst>
            <a:ext uri="{FF2B5EF4-FFF2-40B4-BE49-F238E27FC236}">
              <a16:creationId xmlns:a16="http://schemas.microsoft.com/office/drawing/2014/main" id="{1EE73A4B-36C4-4892-9F88-B4C11A8E637D}"/>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64" name="Shape 8">
          <a:extLst>
            <a:ext uri="{FF2B5EF4-FFF2-40B4-BE49-F238E27FC236}">
              <a16:creationId xmlns:a16="http://schemas.microsoft.com/office/drawing/2014/main" id="{CB64BA1D-D72D-4C1F-B0EF-AB1267A3BBA7}"/>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65" name="Shape 8">
          <a:extLst>
            <a:ext uri="{FF2B5EF4-FFF2-40B4-BE49-F238E27FC236}">
              <a16:creationId xmlns:a16="http://schemas.microsoft.com/office/drawing/2014/main" id="{67DEE3CE-A45B-4034-ACBC-8CD6D2032134}"/>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66" name="Shape 7">
          <a:extLst>
            <a:ext uri="{FF2B5EF4-FFF2-40B4-BE49-F238E27FC236}">
              <a16:creationId xmlns:a16="http://schemas.microsoft.com/office/drawing/2014/main" id="{4DE38178-FBE6-45AD-9BEF-BB83AC93BE39}"/>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67" name="Shape 8">
          <a:extLst>
            <a:ext uri="{FF2B5EF4-FFF2-40B4-BE49-F238E27FC236}">
              <a16:creationId xmlns:a16="http://schemas.microsoft.com/office/drawing/2014/main" id="{0A200879-C1E3-47C5-BC89-F4D62985E766}"/>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68" name="Shape 8">
          <a:extLst>
            <a:ext uri="{FF2B5EF4-FFF2-40B4-BE49-F238E27FC236}">
              <a16:creationId xmlns:a16="http://schemas.microsoft.com/office/drawing/2014/main" id="{2CF76818-3109-44BF-8DA2-1128D29D85B9}"/>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69" name="Shape 7">
          <a:extLst>
            <a:ext uri="{FF2B5EF4-FFF2-40B4-BE49-F238E27FC236}">
              <a16:creationId xmlns:a16="http://schemas.microsoft.com/office/drawing/2014/main" id="{C901D4E9-B969-461B-903F-CD6D33D1740B}"/>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70" name="Shape 7">
          <a:extLst>
            <a:ext uri="{FF2B5EF4-FFF2-40B4-BE49-F238E27FC236}">
              <a16:creationId xmlns:a16="http://schemas.microsoft.com/office/drawing/2014/main" id="{32E93876-D05A-42DB-99DA-000603F0135F}"/>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71" name="Shape 8">
          <a:extLst>
            <a:ext uri="{FF2B5EF4-FFF2-40B4-BE49-F238E27FC236}">
              <a16:creationId xmlns:a16="http://schemas.microsoft.com/office/drawing/2014/main" id="{298E1106-6D85-4D44-817C-72549C18C1AC}"/>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72" name="Shape 8">
          <a:extLst>
            <a:ext uri="{FF2B5EF4-FFF2-40B4-BE49-F238E27FC236}">
              <a16:creationId xmlns:a16="http://schemas.microsoft.com/office/drawing/2014/main" id="{D3EA4DDF-D82A-48F8-BBDB-9EBD33424387}"/>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73" name="Shape 7">
          <a:extLst>
            <a:ext uri="{FF2B5EF4-FFF2-40B4-BE49-F238E27FC236}">
              <a16:creationId xmlns:a16="http://schemas.microsoft.com/office/drawing/2014/main" id="{EFE70738-CD76-4DFC-906F-EBA7D7D7EB95}"/>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74" name="Shape 7">
          <a:extLst>
            <a:ext uri="{FF2B5EF4-FFF2-40B4-BE49-F238E27FC236}">
              <a16:creationId xmlns:a16="http://schemas.microsoft.com/office/drawing/2014/main" id="{90A4AB29-DAF6-474E-87B2-4816F5EB28C0}"/>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75" name="Shape 8">
          <a:extLst>
            <a:ext uri="{FF2B5EF4-FFF2-40B4-BE49-F238E27FC236}">
              <a16:creationId xmlns:a16="http://schemas.microsoft.com/office/drawing/2014/main" id="{D42B960E-9EEE-40C4-80E1-C2D4896EFB15}"/>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76" name="Shape 7">
          <a:extLst>
            <a:ext uri="{FF2B5EF4-FFF2-40B4-BE49-F238E27FC236}">
              <a16:creationId xmlns:a16="http://schemas.microsoft.com/office/drawing/2014/main" id="{67C2CA33-AFA0-4D74-A23D-43A5E94784E6}"/>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77" name="Shape 8">
          <a:extLst>
            <a:ext uri="{FF2B5EF4-FFF2-40B4-BE49-F238E27FC236}">
              <a16:creationId xmlns:a16="http://schemas.microsoft.com/office/drawing/2014/main" id="{F28EF7F2-33F0-4C43-A19D-56BDAC72883D}"/>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78" name="Shape 7">
          <a:extLst>
            <a:ext uri="{FF2B5EF4-FFF2-40B4-BE49-F238E27FC236}">
              <a16:creationId xmlns:a16="http://schemas.microsoft.com/office/drawing/2014/main" id="{3252C84E-5AD9-44BB-BF0A-43D2F6E82117}"/>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79" name="Shape 8">
          <a:extLst>
            <a:ext uri="{FF2B5EF4-FFF2-40B4-BE49-F238E27FC236}">
              <a16:creationId xmlns:a16="http://schemas.microsoft.com/office/drawing/2014/main" id="{E4B1CDF2-87C4-4C19-BA78-019A4E965A3F}"/>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80" name="Shape 7">
          <a:extLst>
            <a:ext uri="{FF2B5EF4-FFF2-40B4-BE49-F238E27FC236}">
              <a16:creationId xmlns:a16="http://schemas.microsoft.com/office/drawing/2014/main" id="{C0AFE6E1-2ADF-46EF-915F-D50147CD0F82}"/>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81" name="Shape 8">
          <a:extLst>
            <a:ext uri="{FF2B5EF4-FFF2-40B4-BE49-F238E27FC236}">
              <a16:creationId xmlns:a16="http://schemas.microsoft.com/office/drawing/2014/main" id="{FFD9D758-9705-4C93-92EA-FB4CAC408F67}"/>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82" name="Shape 8">
          <a:extLst>
            <a:ext uri="{FF2B5EF4-FFF2-40B4-BE49-F238E27FC236}">
              <a16:creationId xmlns:a16="http://schemas.microsoft.com/office/drawing/2014/main" id="{507962A3-CEE2-4876-B764-753DD1C0FF53}"/>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83" name="Shape 7">
          <a:extLst>
            <a:ext uri="{FF2B5EF4-FFF2-40B4-BE49-F238E27FC236}">
              <a16:creationId xmlns:a16="http://schemas.microsoft.com/office/drawing/2014/main" id="{F424B459-CC0B-47D6-B7C4-1765E68259CD}"/>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84" name="Shape 8">
          <a:extLst>
            <a:ext uri="{FF2B5EF4-FFF2-40B4-BE49-F238E27FC236}">
              <a16:creationId xmlns:a16="http://schemas.microsoft.com/office/drawing/2014/main" id="{A99F2DC0-22C4-457D-9803-EC3930DCC048}"/>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85" name="Shape 8">
          <a:extLst>
            <a:ext uri="{FF2B5EF4-FFF2-40B4-BE49-F238E27FC236}">
              <a16:creationId xmlns:a16="http://schemas.microsoft.com/office/drawing/2014/main" id="{BC06FF49-A5BB-416E-9EAE-1FA8F7CD6B28}"/>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86" name="Shape 7">
          <a:extLst>
            <a:ext uri="{FF2B5EF4-FFF2-40B4-BE49-F238E27FC236}">
              <a16:creationId xmlns:a16="http://schemas.microsoft.com/office/drawing/2014/main" id="{695D7F1D-32C9-4879-AA7D-E541A9B39806}"/>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87" name="Shape 8">
          <a:extLst>
            <a:ext uri="{FF2B5EF4-FFF2-40B4-BE49-F238E27FC236}">
              <a16:creationId xmlns:a16="http://schemas.microsoft.com/office/drawing/2014/main" id="{29C8DEDA-0137-44F7-B345-B58814C24E62}"/>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88" name="Shape 8">
          <a:extLst>
            <a:ext uri="{FF2B5EF4-FFF2-40B4-BE49-F238E27FC236}">
              <a16:creationId xmlns:a16="http://schemas.microsoft.com/office/drawing/2014/main" id="{9E3B740C-D736-4477-AF08-31F9BAEF4A8C}"/>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89" name="Shape 7">
          <a:extLst>
            <a:ext uri="{FF2B5EF4-FFF2-40B4-BE49-F238E27FC236}">
              <a16:creationId xmlns:a16="http://schemas.microsoft.com/office/drawing/2014/main" id="{F9BBED67-B162-470C-87D6-D4CDD36ED80B}"/>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90" name="Shape 8">
          <a:extLst>
            <a:ext uri="{FF2B5EF4-FFF2-40B4-BE49-F238E27FC236}">
              <a16:creationId xmlns:a16="http://schemas.microsoft.com/office/drawing/2014/main" id="{A9638779-27BF-4071-B548-DFF680F3CF67}"/>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91" name="Shape 8">
          <a:extLst>
            <a:ext uri="{FF2B5EF4-FFF2-40B4-BE49-F238E27FC236}">
              <a16:creationId xmlns:a16="http://schemas.microsoft.com/office/drawing/2014/main" id="{35772D5E-B294-4C35-BC0F-7C42D2EE5C78}"/>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92" name="Shape 7">
          <a:extLst>
            <a:ext uri="{FF2B5EF4-FFF2-40B4-BE49-F238E27FC236}">
              <a16:creationId xmlns:a16="http://schemas.microsoft.com/office/drawing/2014/main" id="{8AFD3AFD-2758-42EF-B801-08BF61DEACB7}"/>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93" name="Shape 8">
          <a:extLst>
            <a:ext uri="{FF2B5EF4-FFF2-40B4-BE49-F238E27FC236}">
              <a16:creationId xmlns:a16="http://schemas.microsoft.com/office/drawing/2014/main" id="{EF74D41A-0288-476D-967C-10F1A8D966A6}"/>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94" name="Shape 8">
          <a:extLst>
            <a:ext uri="{FF2B5EF4-FFF2-40B4-BE49-F238E27FC236}">
              <a16:creationId xmlns:a16="http://schemas.microsoft.com/office/drawing/2014/main" id="{50A90CD9-8182-4188-B62A-8161FC589A35}"/>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95" name="Shape 7">
          <a:extLst>
            <a:ext uri="{FF2B5EF4-FFF2-40B4-BE49-F238E27FC236}">
              <a16:creationId xmlns:a16="http://schemas.microsoft.com/office/drawing/2014/main" id="{1BB7CA5A-5802-4F53-9B33-BE735D3815A1}"/>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96" name="Shape 7">
          <a:extLst>
            <a:ext uri="{FF2B5EF4-FFF2-40B4-BE49-F238E27FC236}">
              <a16:creationId xmlns:a16="http://schemas.microsoft.com/office/drawing/2014/main" id="{8C5892F9-47AC-4B79-92EF-949021C79178}"/>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97" name="Shape 8">
          <a:extLst>
            <a:ext uri="{FF2B5EF4-FFF2-40B4-BE49-F238E27FC236}">
              <a16:creationId xmlns:a16="http://schemas.microsoft.com/office/drawing/2014/main" id="{12FC22E5-ADFB-414D-BE98-63D6A948C3AE}"/>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698" name="Shape 8">
          <a:extLst>
            <a:ext uri="{FF2B5EF4-FFF2-40B4-BE49-F238E27FC236}">
              <a16:creationId xmlns:a16="http://schemas.microsoft.com/office/drawing/2014/main" id="{35AEBEC1-2349-4E98-AB4E-A65873B8C0AE}"/>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699" name="Shape 7">
          <a:extLst>
            <a:ext uri="{FF2B5EF4-FFF2-40B4-BE49-F238E27FC236}">
              <a16:creationId xmlns:a16="http://schemas.microsoft.com/office/drawing/2014/main" id="{316A0F9A-D008-4A5F-8D96-8638ACE65511}"/>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00" name="Shape 7">
          <a:extLst>
            <a:ext uri="{FF2B5EF4-FFF2-40B4-BE49-F238E27FC236}">
              <a16:creationId xmlns:a16="http://schemas.microsoft.com/office/drawing/2014/main" id="{1B13018F-7C1A-4DED-9415-3D639FCBA8FE}"/>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01" name="Shape 8">
          <a:extLst>
            <a:ext uri="{FF2B5EF4-FFF2-40B4-BE49-F238E27FC236}">
              <a16:creationId xmlns:a16="http://schemas.microsoft.com/office/drawing/2014/main" id="{ADC68A82-D166-4387-9FC6-5A3CF124040C}"/>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02" name="Shape 7">
          <a:extLst>
            <a:ext uri="{FF2B5EF4-FFF2-40B4-BE49-F238E27FC236}">
              <a16:creationId xmlns:a16="http://schemas.microsoft.com/office/drawing/2014/main" id="{A860A2A4-1A37-4E0F-A2EB-8C6F381384C5}"/>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03" name="Shape 8">
          <a:extLst>
            <a:ext uri="{FF2B5EF4-FFF2-40B4-BE49-F238E27FC236}">
              <a16:creationId xmlns:a16="http://schemas.microsoft.com/office/drawing/2014/main" id="{3F258554-66BA-4CA7-97B2-D1A18FF87B4E}"/>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04" name="Shape 7">
          <a:extLst>
            <a:ext uri="{FF2B5EF4-FFF2-40B4-BE49-F238E27FC236}">
              <a16:creationId xmlns:a16="http://schemas.microsoft.com/office/drawing/2014/main" id="{83BFD861-5CD9-4913-B25D-B801E81E3A0D}"/>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05" name="Shape 8">
          <a:extLst>
            <a:ext uri="{FF2B5EF4-FFF2-40B4-BE49-F238E27FC236}">
              <a16:creationId xmlns:a16="http://schemas.microsoft.com/office/drawing/2014/main" id="{0265F3CF-02DE-431D-9CBB-A13B66A285AD}"/>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06" name="Shape 7">
          <a:extLst>
            <a:ext uri="{FF2B5EF4-FFF2-40B4-BE49-F238E27FC236}">
              <a16:creationId xmlns:a16="http://schemas.microsoft.com/office/drawing/2014/main" id="{43C2E9A3-3932-480C-8F60-774E52A0AB25}"/>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07" name="Shape 8">
          <a:extLst>
            <a:ext uri="{FF2B5EF4-FFF2-40B4-BE49-F238E27FC236}">
              <a16:creationId xmlns:a16="http://schemas.microsoft.com/office/drawing/2014/main" id="{7F16ECB6-945A-479D-9E0F-243DBA820D2C}"/>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08" name="Shape 8">
          <a:extLst>
            <a:ext uri="{FF2B5EF4-FFF2-40B4-BE49-F238E27FC236}">
              <a16:creationId xmlns:a16="http://schemas.microsoft.com/office/drawing/2014/main" id="{03201F72-101B-4D28-ABBF-D03B0AE4F298}"/>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09" name="Shape 7">
          <a:extLst>
            <a:ext uri="{FF2B5EF4-FFF2-40B4-BE49-F238E27FC236}">
              <a16:creationId xmlns:a16="http://schemas.microsoft.com/office/drawing/2014/main" id="{DD15B9C7-0A29-4868-BF60-BB765DB850DE}"/>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10" name="Shape 8">
          <a:extLst>
            <a:ext uri="{FF2B5EF4-FFF2-40B4-BE49-F238E27FC236}">
              <a16:creationId xmlns:a16="http://schemas.microsoft.com/office/drawing/2014/main" id="{FC035F8F-F98F-42D3-8674-A406FA3C433A}"/>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11" name="Shape 8">
          <a:extLst>
            <a:ext uri="{FF2B5EF4-FFF2-40B4-BE49-F238E27FC236}">
              <a16:creationId xmlns:a16="http://schemas.microsoft.com/office/drawing/2014/main" id="{7296FDFD-DD02-4B9D-88E5-98401EBA2C0F}"/>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12" name="Shape 7">
          <a:extLst>
            <a:ext uri="{FF2B5EF4-FFF2-40B4-BE49-F238E27FC236}">
              <a16:creationId xmlns:a16="http://schemas.microsoft.com/office/drawing/2014/main" id="{23E5B18A-1CEC-4318-AF9E-58DEEFD33201}"/>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13" name="Shape 8">
          <a:extLst>
            <a:ext uri="{FF2B5EF4-FFF2-40B4-BE49-F238E27FC236}">
              <a16:creationId xmlns:a16="http://schemas.microsoft.com/office/drawing/2014/main" id="{AE1E846E-EB87-4DD4-8285-58658FF2FF76}"/>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14" name="Shape 8">
          <a:extLst>
            <a:ext uri="{FF2B5EF4-FFF2-40B4-BE49-F238E27FC236}">
              <a16:creationId xmlns:a16="http://schemas.microsoft.com/office/drawing/2014/main" id="{83032022-2F06-4CF4-9462-43E98E694879}"/>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15" name="Shape 7">
          <a:extLst>
            <a:ext uri="{FF2B5EF4-FFF2-40B4-BE49-F238E27FC236}">
              <a16:creationId xmlns:a16="http://schemas.microsoft.com/office/drawing/2014/main" id="{B2A08C20-5CE4-43C8-8473-835A2465EB04}"/>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16" name="Shape 8">
          <a:extLst>
            <a:ext uri="{FF2B5EF4-FFF2-40B4-BE49-F238E27FC236}">
              <a16:creationId xmlns:a16="http://schemas.microsoft.com/office/drawing/2014/main" id="{6AA8F27A-DDA6-4A41-8B00-1747E58520A4}"/>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17" name="Shape 8">
          <a:extLst>
            <a:ext uri="{FF2B5EF4-FFF2-40B4-BE49-F238E27FC236}">
              <a16:creationId xmlns:a16="http://schemas.microsoft.com/office/drawing/2014/main" id="{904D24CC-5D9A-43F6-8EAE-9FB6EEE68790}"/>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18" name="Shape 7">
          <a:extLst>
            <a:ext uri="{FF2B5EF4-FFF2-40B4-BE49-F238E27FC236}">
              <a16:creationId xmlns:a16="http://schemas.microsoft.com/office/drawing/2014/main" id="{B8220D42-6D3C-417D-8250-D5190DE33B80}"/>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19" name="Shape 8">
          <a:extLst>
            <a:ext uri="{FF2B5EF4-FFF2-40B4-BE49-F238E27FC236}">
              <a16:creationId xmlns:a16="http://schemas.microsoft.com/office/drawing/2014/main" id="{1EC7CF83-E604-4F9A-8D09-81E17C6B8CD5}"/>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20" name="Shape 8">
          <a:extLst>
            <a:ext uri="{FF2B5EF4-FFF2-40B4-BE49-F238E27FC236}">
              <a16:creationId xmlns:a16="http://schemas.microsoft.com/office/drawing/2014/main" id="{1D878F05-145F-41EC-A58E-4E87AFA1722F}"/>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21" name="Shape 7">
          <a:extLst>
            <a:ext uri="{FF2B5EF4-FFF2-40B4-BE49-F238E27FC236}">
              <a16:creationId xmlns:a16="http://schemas.microsoft.com/office/drawing/2014/main" id="{2D536332-DA12-4C66-8880-E5A70D25C651}"/>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22" name="Shape 7">
          <a:extLst>
            <a:ext uri="{FF2B5EF4-FFF2-40B4-BE49-F238E27FC236}">
              <a16:creationId xmlns:a16="http://schemas.microsoft.com/office/drawing/2014/main" id="{8ABD0A2B-A839-43AE-A355-45C8670A12F6}"/>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23" name="Shape 8">
          <a:extLst>
            <a:ext uri="{FF2B5EF4-FFF2-40B4-BE49-F238E27FC236}">
              <a16:creationId xmlns:a16="http://schemas.microsoft.com/office/drawing/2014/main" id="{698E77FE-F659-4034-B914-5F4396AA930F}"/>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24" name="Shape 8">
          <a:extLst>
            <a:ext uri="{FF2B5EF4-FFF2-40B4-BE49-F238E27FC236}">
              <a16:creationId xmlns:a16="http://schemas.microsoft.com/office/drawing/2014/main" id="{180ADAEE-4CA0-4641-AE76-CEF1EDC75C50}"/>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25" name="Shape 7">
          <a:extLst>
            <a:ext uri="{FF2B5EF4-FFF2-40B4-BE49-F238E27FC236}">
              <a16:creationId xmlns:a16="http://schemas.microsoft.com/office/drawing/2014/main" id="{37ABE93B-DF3E-4A1D-BD3C-F0A1A5C36099}"/>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26" name="Shape 7">
          <a:extLst>
            <a:ext uri="{FF2B5EF4-FFF2-40B4-BE49-F238E27FC236}">
              <a16:creationId xmlns:a16="http://schemas.microsoft.com/office/drawing/2014/main" id="{F756B12F-296A-4588-A241-4A309C769DE3}"/>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27" name="Shape 8">
          <a:extLst>
            <a:ext uri="{FF2B5EF4-FFF2-40B4-BE49-F238E27FC236}">
              <a16:creationId xmlns:a16="http://schemas.microsoft.com/office/drawing/2014/main" id="{4173DA6E-0C1F-440C-AFE1-E40A185999E6}"/>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28" name="Shape 7">
          <a:extLst>
            <a:ext uri="{FF2B5EF4-FFF2-40B4-BE49-F238E27FC236}">
              <a16:creationId xmlns:a16="http://schemas.microsoft.com/office/drawing/2014/main" id="{4E9E6C28-4EF0-414A-8D9B-D8B17CD8A0C2}"/>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29" name="Shape 8">
          <a:extLst>
            <a:ext uri="{FF2B5EF4-FFF2-40B4-BE49-F238E27FC236}">
              <a16:creationId xmlns:a16="http://schemas.microsoft.com/office/drawing/2014/main" id="{D8BAF969-29AB-4F83-94B4-54914C8D9498}"/>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30" name="Shape 7">
          <a:extLst>
            <a:ext uri="{FF2B5EF4-FFF2-40B4-BE49-F238E27FC236}">
              <a16:creationId xmlns:a16="http://schemas.microsoft.com/office/drawing/2014/main" id="{7C47CA0D-77B7-4669-9F2F-0400487BD2BB}"/>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31" name="Shape 8">
          <a:extLst>
            <a:ext uri="{FF2B5EF4-FFF2-40B4-BE49-F238E27FC236}">
              <a16:creationId xmlns:a16="http://schemas.microsoft.com/office/drawing/2014/main" id="{7190884D-76BC-4FC1-8321-4E0F9D146E55}"/>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32" name="Shape 7">
          <a:extLst>
            <a:ext uri="{FF2B5EF4-FFF2-40B4-BE49-F238E27FC236}">
              <a16:creationId xmlns:a16="http://schemas.microsoft.com/office/drawing/2014/main" id="{9CE9434E-A7D9-4DA7-A82A-1869E054A733}"/>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33" name="Shape 8">
          <a:extLst>
            <a:ext uri="{FF2B5EF4-FFF2-40B4-BE49-F238E27FC236}">
              <a16:creationId xmlns:a16="http://schemas.microsoft.com/office/drawing/2014/main" id="{AB06916F-1A25-4A5E-9344-B72850ED01F4}"/>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34" name="Shape 8">
          <a:extLst>
            <a:ext uri="{FF2B5EF4-FFF2-40B4-BE49-F238E27FC236}">
              <a16:creationId xmlns:a16="http://schemas.microsoft.com/office/drawing/2014/main" id="{4E5EFEF4-CB6E-42CD-9DF3-ABB3BAF4BFA0}"/>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35" name="Shape 7">
          <a:extLst>
            <a:ext uri="{FF2B5EF4-FFF2-40B4-BE49-F238E27FC236}">
              <a16:creationId xmlns:a16="http://schemas.microsoft.com/office/drawing/2014/main" id="{B10D0798-CCA6-4579-8D66-AB25589615D0}"/>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36" name="Shape 8">
          <a:extLst>
            <a:ext uri="{FF2B5EF4-FFF2-40B4-BE49-F238E27FC236}">
              <a16:creationId xmlns:a16="http://schemas.microsoft.com/office/drawing/2014/main" id="{222D42C2-D28E-42BA-9EF3-59F83F1B1906}"/>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37" name="Shape 8">
          <a:extLst>
            <a:ext uri="{FF2B5EF4-FFF2-40B4-BE49-F238E27FC236}">
              <a16:creationId xmlns:a16="http://schemas.microsoft.com/office/drawing/2014/main" id="{91F87D7A-8886-404E-A5A0-A84C3E90654F}"/>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38" name="Shape 7">
          <a:extLst>
            <a:ext uri="{FF2B5EF4-FFF2-40B4-BE49-F238E27FC236}">
              <a16:creationId xmlns:a16="http://schemas.microsoft.com/office/drawing/2014/main" id="{8EAB3DA3-3AAD-4F07-BA07-6DB75D60439C}"/>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39" name="Shape 8">
          <a:extLst>
            <a:ext uri="{FF2B5EF4-FFF2-40B4-BE49-F238E27FC236}">
              <a16:creationId xmlns:a16="http://schemas.microsoft.com/office/drawing/2014/main" id="{1055898D-F520-4B42-87F0-2713142BC5AB}"/>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40" name="Shape 8">
          <a:extLst>
            <a:ext uri="{FF2B5EF4-FFF2-40B4-BE49-F238E27FC236}">
              <a16:creationId xmlns:a16="http://schemas.microsoft.com/office/drawing/2014/main" id="{DA5EF1B7-022F-42A7-AAD8-4C25888F5F2B}"/>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41" name="Shape 7">
          <a:extLst>
            <a:ext uri="{FF2B5EF4-FFF2-40B4-BE49-F238E27FC236}">
              <a16:creationId xmlns:a16="http://schemas.microsoft.com/office/drawing/2014/main" id="{81D5E744-06DD-4715-8FCA-91984F44B1AB}"/>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42" name="Shape 8">
          <a:extLst>
            <a:ext uri="{FF2B5EF4-FFF2-40B4-BE49-F238E27FC236}">
              <a16:creationId xmlns:a16="http://schemas.microsoft.com/office/drawing/2014/main" id="{462EC62A-DAA0-42B4-922E-03BEC3169135}"/>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43" name="Shape 8">
          <a:extLst>
            <a:ext uri="{FF2B5EF4-FFF2-40B4-BE49-F238E27FC236}">
              <a16:creationId xmlns:a16="http://schemas.microsoft.com/office/drawing/2014/main" id="{F37F1B46-83BE-46B8-B8EB-F3F857AB2656}"/>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44" name="Shape 7">
          <a:extLst>
            <a:ext uri="{FF2B5EF4-FFF2-40B4-BE49-F238E27FC236}">
              <a16:creationId xmlns:a16="http://schemas.microsoft.com/office/drawing/2014/main" id="{FF502A5C-D6BB-4EAF-8F7E-D0CE87536EF2}"/>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45" name="Shape 8">
          <a:extLst>
            <a:ext uri="{FF2B5EF4-FFF2-40B4-BE49-F238E27FC236}">
              <a16:creationId xmlns:a16="http://schemas.microsoft.com/office/drawing/2014/main" id="{F448D469-E150-4E47-95D2-B4E47A7ACD7F}"/>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46" name="Shape 8">
          <a:extLst>
            <a:ext uri="{FF2B5EF4-FFF2-40B4-BE49-F238E27FC236}">
              <a16:creationId xmlns:a16="http://schemas.microsoft.com/office/drawing/2014/main" id="{44938ABC-EA25-4DA1-A7A0-AC861F831847}"/>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47" name="Shape 7">
          <a:extLst>
            <a:ext uri="{FF2B5EF4-FFF2-40B4-BE49-F238E27FC236}">
              <a16:creationId xmlns:a16="http://schemas.microsoft.com/office/drawing/2014/main" id="{3ECF309F-DDB3-4DE7-ABAC-BAD5DA849412}"/>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48" name="Shape 7">
          <a:extLst>
            <a:ext uri="{FF2B5EF4-FFF2-40B4-BE49-F238E27FC236}">
              <a16:creationId xmlns:a16="http://schemas.microsoft.com/office/drawing/2014/main" id="{1E3502C8-2794-4AC0-A3AB-57FAF47422D6}"/>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49" name="Shape 8">
          <a:extLst>
            <a:ext uri="{FF2B5EF4-FFF2-40B4-BE49-F238E27FC236}">
              <a16:creationId xmlns:a16="http://schemas.microsoft.com/office/drawing/2014/main" id="{1653B25D-5306-4EC1-B3E1-ABA306B6C7AB}"/>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50" name="Shape 8">
          <a:extLst>
            <a:ext uri="{FF2B5EF4-FFF2-40B4-BE49-F238E27FC236}">
              <a16:creationId xmlns:a16="http://schemas.microsoft.com/office/drawing/2014/main" id="{DD91502D-458F-4F48-B553-2459BE345A48}"/>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51" name="Shape 7">
          <a:extLst>
            <a:ext uri="{FF2B5EF4-FFF2-40B4-BE49-F238E27FC236}">
              <a16:creationId xmlns:a16="http://schemas.microsoft.com/office/drawing/2014/main" id="{7EB4E529-F0B1-444C-9C45-3DBC3C11E8D4}"/>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52" name="Shape 7">
          <a:extLst>
            <a:ext uri="{FF2B5EF4-FFF2-40B4-BE49-F238E27FC236}">
              <a16:creationId xmlns:a16="http://schemas.microsoft.com/office/drawing/2014/main" id="{E385F57F-5F59-45B4-B0E4-15A4216971ED}"/>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53" name="Shape 8">
          <a:extLst>
            <a:ext uri="{FF2B5EF4-FFF2-40B4-BE49-F238E27FC236}">
              <a16:creationId xmlns:a16="http://schemas.microsoft.com/office/drawing/2014/main" id="{BCA6BD0B-C050-4666-A82C-4F4F2B101AE2}"/>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54" name="Shape 7">
          <a:extLst>
            <a:ext uri="{FF2B5EF4-FFF2-40B4-BE49-F238E27FC236}">
              <a16:creationId xmlns:a16="http://schemas.microsoft.com/office/drawing/2014/main" id="{4F9ED553-E29B-4283-92E7-7CB911504D97}"/>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55" name="Shape 8">
          <a:extLst>
            <a:ext uri="{FF2B5EF4-FFF2-40B4-BE49-F238E27FC236}">
              <a16:creationId xmlns:a16="http://schemas.microsoft.com/office/drawing/2014/main" id="{C7A5CE52-3F69-41A8-9988-CB02E852587E}"/>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56" name="Shape 7">
          <a:extLst>
            <a:ext uri="{FF2B5EF4-FFF2-40B4-BE49-F238E27FC236}">
              <a16:creationId xmlns:a16="http://schemas.microsoft.com/office/drawing/2014/main" id="{16C8BCF8-FB70-4A79-B013-E80402798FD4}"/>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57" name="Shape 8">
          <a:extLst>
            <a:ext uri="{FF2B5EF4-FFF2-40B4-BE49-F238E27FC236}">
              <a16:creationId xmlns:a16="http://schemas.microsoft.com/office/drawing/2014/main" id="{725A85E4-81A0-4EAD-878E-ACC5BB274108}"/>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58" name="Shape 7">
          <a:extLst>
            <a:ext uri="{FF2B5EF4-FFF2-40B4-BE49-F238E27FC236}">
              <a16:creationId xmlns:a16="http://schemas.microsoft.com/office/drawing/2014/main" id="{67E36D57-1BC9-49B1-A797-389BE4A128B7}"/>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59" name="Shape 8">
          <a:extLst>
            <a:ext uri="{FF2B5EF4-FFF2-40B4-BE49-F238E27FC236}">
              <a16:creationId xmlns:a16="http://schemas.microsoft.com/office/drawing/2014/main" id="{B183443E-7951-4A32-B9BF-ED4DFC04899B}"/>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60" name="Shape 8">
          <a:extLst>
            <a:ext uri="{FF2B5EF4-FFF2-40B4-BE49-F238E27FC236}">
              <a16:creationId xmlns:a16="http://schemas.microsoft.com/office/drawing/2014/main" id="{69FA9E1B-0634-4662-8E81-A2E467865EB1}"/>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61" name="Shape 7">
          <a:extLst>
            <a:ext uri="{FF2B5EF4-FFF2-40B4-BE49-F238E27FC236}">
              <a16:creationId xmlns:a16="http://schemas.microsoft.com/office/drawing/2014/main" id="{87578B54-524F-4158-A8CA-1D176B1AD4B9}"/>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62" name="Shape 8">
          <a:extLst>
            <a:ext uri="{FF2B5EF4-FFF2-40B4-BE49-F238E27FC236}">
              <a16:creationId xmlns:a16="http://schemas.microsoft.com/office/drawing/2014/main" id="{48196CC9-B5E5-4C49-86AC-C7E785B60ED7}"/>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63" name="Shape 8">
          <a:extLst>
            <a:ext uri="{FF2B5EF4-FFF2-40B4-BE49-F238E27FC236}">
              <a16:creationId xmlns:a16="http://schemas.microsoft.com/office/drawing/2014/main" id="{3795F89D-5272-41B9-B91B-6753A297D97F}"/>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64" name="Shape 7">
          <a:extLst>
            <a:ext uri="{FF2B5EF4-FFF2-40B4-BE49-F238E27FC236}">
              <a16:creationId xmlns:a16="http://schemas.microsoft.com/office/drawing/2014/main" id="{4237EFFD-1D42-4BA1-8FBF-940A50384FAF}"/>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65" name="Shape 8">
          <a:extLst>
            <a:ext uri="{FF2B5EF4-FFF2-40B4-BE49-F238E27FC236}">
              <a16:creationId xmlns:a16="http://schemas.microsoft.com/office/drawing/2014/main" id="{BA05CDE4-16F7-4426-BDFE-B30E5FE159C8}"/>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66" name="Shape 8">
          <a:extLst>
            <a:ext uri="{FF2B5EF4-FFF2-40B4-BE49-F238E27FC236}">
              <a16:creationId xmlns:a16="http://schemas.microsoft.com/office/drawing/2014/main" id="{B2F3B6BC-0211-4511-9616-87F57EA6A48C}"/>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67" name="Shape 7">
          <a:extLst>
            <a:ext uri="{FF2B5EF4-FFF2-40B4-BE49-F238E27FC236}">
              <a16:creationId xmlns:a16="http://schemas.microsoft.com/office/drawing/2014/main" id="{A752910B-3E0E-45A6-9AB7-53DD2D038CB7}"/>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68" name="Shape 8">
          <a:extLst>
            <a:ext uri="{FF2B5EF4-FFF2-40B4-BE49-F238E27FC236}">
              <a16:creationId xmlns:a16="http://schemas.microsoft.com/office/drawing/2014/main" id="{4102C94C-494A-48B7-8A04-90E633DD65A6}"/>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69" name="Shape 8">
          <a:extLst>
            <a:ext uri="{FF2B5EF4-FFF2-40B4-BE49-F238E27FC236}">
              <a16:creationId xmlns:a16="http://schemas.microsoft.com/office/drawing/2014/main" id="{70FB36A0-CC1D-44CD-8E3D-F50C2F2ECC70}"/>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70" name="Shape 7">
          <a:extLst>
            <a:ext uri="{FF2B5EF4-FFF2-40B4-BE49-F238E27FC236}">
              <a16:creationId xmlns:a16="http://schemas.microsoft.com/office/drawing/2014/main" id="{426B42EA-FE1D-4099-ADCD-F05AC7E44427}"/>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71" name="Shape 8">
          <a:extLst>
            <a:ext uri="{FF2B5EF4-FFF2-40B4-BE49-F238E27FC236}">
              <a16:creationId xmlns:a16="http://schemas.microsoft.com/office/drawing/2014/main" id="{77937221-B9B4-468B-840F-A2AA2ED02054}"/>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72" name="Shape 8">
          <a:extLst>
            <a:ext uri="{FF2B5EF4-FFF2-40B4-BE49-F238E27FC236}">
              <a16:creationId xmlns:a16="http://schemas.microsoft.com/office/drawing/2014/main" id="{72151D87-D2CC-4FD9-9CCF-444B6F75314A}"/>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73" name="Shape 7">
          <a:extLst>
            <a:ext uri="{FF2B5EF4-FFF2-40B4-BE49-F238E27FC236}">
              <a16:creationId xmlns:a16="http://schemas.microsoft.com/office/drawing/2014/main" id="{F70A2D08-78F4-4F24-BE65-8380388B46AC}"/>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74" name="Shape 7">
          <a:extLst>
            <a:ext uri="{FF2B5EF4-FFF2-40B4-BE49-F238E27FC236}">
              <a16:creationId xmlns:a16="http://schemas.microsoft.com/office/drawing/2014/main" id="{5EE65960-4CBF-47E3-8D0F-A78FBE8CE9F6}"/>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75" name="Shape 8">
          <a:extLst>
            <a:ext uri="{FF2B5EF4-FFF2-40B4-BE49-F238E27FC236}">
              <a16:creationId xmlns:a16="http://schemas.microsoft.com/office/drawing/2014/main" id="{3222D3E3-83D8-4FFB-89DA-0625BA03CE5F}"/>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76" name="Shape 8">
          <a:extLst>
            <a:ext uri="{FF2B5EF4-FFF2-40B4-BE49-F238E27FC236}">
              <a16:creationId xmlns:a16="http://schemas.microsoft.com/office/drawing/2014/main" id="{B7E32096-E4E6-426F-99B2-3B5DC91C6928}"/>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77" name="Shape 7">
          <a:extLst>
            <a:ext uri="{FF2B5EF4-FFF2-40B4-BE49-F238E27FC236}">
              <a16:creationId xmlns:a16="http://schemas.microsoft.com/office/drawing/2014/main" id="{F9651F10-D7C3-4300-9CBC-D959BE18F4A1}"/>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78" name="Shape 7">
          <a:extLst>
            <a:ext uri="{FF2B5EF4-FFF2-40B4-BE49-F238E27FC236}">
              <a16:creationId xmlns:a16="http://schemas.microsoft.com/office/drawing/2014/main" id="{46A119FA-C619-49F3-928C-0CACF7FCCC96}"/>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79" name="Shape 8">
          <a:extLst>
            <a:ext uri="{FF2B5EF4-FFF2-40B4-BE49-F238E27FC236}">
              <a16:creationId xmlns:a16="http://schemas.microsoft.com/office/drawing/2014/main" id="{E95B055B-68C0-4625-AAA2-78DBC0F5D5F1}"/>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80" name="Shape 7">
          <a:extLst>
            <a:ext uri="{FF2B5EF4-FFF2-40B4-BE49-F238E27FC236}">
              <a16:creationId xmlns:a16="http://schemas.microsoft.com/office/drawing/2014/main" id="{71C9C2B1-948A-44F6-8943-1E2376F8A3CF}"/>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81" name="Shape 8">
          <a:extLst>
            <a:ext uri="{FF2B5EF4-FFF2-40B4-BE49-F238E27FC236}">
              <a16:creationId xmlns:a16="http://schemas.microsoft.com/office/drawing/2014/main" id="{82102AA6-BA07-4EB1-A2D7-A0B0CC1D691A}"/>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82" name="Shape 7">
          <a:extLst>
            <a:ext uri="{FF2B5EF4-FFF2-40B4-BE49-F238E27FC236}">
              <a16:creationId xmlns:a16="http://schemas.microsoft.com/office/drawing/2014/main" id="{C2A4D2A1-93D4-4A9F-A99F-CF81363EF568}"/>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83" name="Shape 8">
          <a:extLst>
            <a:ext uri="{FF2B5EF4-FFF2-40B4-BE49-F238E27FC236}">
              <a16:creationId xmlns:a16="http://schemas.microsoft.com/office/drawing/2014/main" id="{B30A3569-D36F-405A-8217-8FFD31583FD7}"/>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84" name="Shape 7">
          <a:extLst>
            <a:ext uri="{FF2B5EF4-FFF2-40B4-BE49-F238E27FC236}">
              <a16:creationId xmlns:a16="http://schemas.microsoft.com/office/drawing/2014/main" id="{9FCE1E9E-7B52-4C5F-9D3D-7B301C575552}"/>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85" name="Shape 8">
          <a:extLst>
            <a:ext uri="{FF2B5EF4-FFF2-40B4-BE49-F238E27FC236}">
              <a16:creationId xmlns:a16="http://schemas.microsoft.com/office/drawing/2014/main" id="{FE19BA5A-04FB-4FA5-A427-D0FE851D4FCE}"/>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86" name="Shape 8">
          <a:extLst>
            <a:ext uri="{FF2B5EF4-FFF2-40B4-BE49-F238E27FC236}">
              <a16:creationId xmlns:a16="http://schemas.microsoft.com/office/drawing/2014/main" id="{780A5056-BB7E-4AED-9526-FEA70EAC0693}"/>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87" name="Shape 7">
          <a:extLst>
            <a:ext uri="{FF2B5EF4-FFF2-40B4-BE49-F238E27FC236}">
              <a16:creationId xmlns:a16="http://schemas.microsoft.com/office/drawing/2014/main" id="{8B2FAA97-E5BC-45D8-BDC7-1344AB159C2E}"/>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88" name="Shape 8">
          <a:extLst>
            <a:ext uri="{FF2B5EF4-FFF2-40B4-BE49-F238E27FC236}">
              <a16:creationId xmlns:a16="http://schemas.microsoft.com/office/drawing/2014/main" id="{314DAB9F-19F0-4221-8BB3-6333C57043AC}"/>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89" name="Shape 8">
          <a:extLst>
            <a:ext uri="{FF2B5EF4-FFF2-40B4-BE49-F238E27FC236}">
              <a16:creationId xmlns:a16="http://schemas.microsoft.com/office/drawing/2014/main" id="{79371C0D-2AC3-48BF-9F1F-5A5FF922F55B}"/>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90" name="Shape 7">
          <a:extLst>
            <a:ext uri="{FF2B5EF4-FFF2-40B4-BE49-F238E27FC236}">
              <a16:creationId xmlns:a16="http://schemas.microsoft.com/office/drawing/2014/main" id="{C7CAFB34-A1F6-49DC-94A7-D51E202D0EAB}"/>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91" name="Shape 8">
          <a:extLst>
            <a:ext uri="{FF2B5EF4-FFF2-40B4-BE49-F238E27FC236}">
              <a16:creationId xmlns:a16="http://schemas.microsoft.com/office/drawing/2014/main" id="{5D6ADC73-B8A8-4676-921A-33D8D993E81F}"/>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92" name="Shape 8">
          <a:extLst>
            <a:ext uri="{FF2B5EF4-FFF2-40B4-BE49-F238E27FC236}">
              <a16:creationId xmlns:a16="http://schemas.microsoft.com/office/drawing/2014/main" id="{77FAF042-A2E7-4AB9-9F17-8B53A981F90A}"/>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93" name="Shape 7">
          <a:extLst>
            <a:ext uri="{FF2B5EF4-FFF2-40B4-BE49-F238E27FC236}">
              <a16:creationId xmlns:a16="http://schemas.microsoft.com/office/drawing/2014/main" id="{A6A3A18D-CE3C-4923-989C-E7CE6B4E5B2C}"/>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94" name="Shape 8">
          <a:extLst>
            <a:ext uri="{FF2B5EF4-FFF2-40B4-BE49-F238E27FC236}">
              <a16:creationId xmlns:a16="http://schemas.microsoft.com/office/drawing/2014/main" id="{D1F2E710-6E8F-4A57-A790-4D17E1D01276}"/>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95" name="Shape 8">
          <a:extLst>
            <a:ext uri="{FF2B5EF4-FFF2-40B4-BE49-F238E27FC236}">
              <a16:creationId xmlns:a16="http://schemas.microsoft.com/office/drawing/2014/main" id="{AC8F61D5-413A-4C43-B333-BF9A61BF2FA5}"/>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96" name="Shape 7">
          <a:extLst>
            <a:ext uri="{FF2B5EF4-FFF2-40B4-BE49-F238E27FC236}">
              <a16:creationId xmlns:a16="http://schemas.microsoft.com/office/drawing/2014/main" id="{DBD06377-596B-47B5-AD71-13861A1E37E7}"/>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97" name="Shape 8">
          <a:extLst>
            <a:ext uri="{FF2B5EF4-FFF2-40B4-BE49-F238E27FC236}">
              <a16:creationId xmlns:a16="http://schemas.microsoft.com/office/drawing/2014/main" id="{24A61A2E-3A21-412B-B78C-8D12B46D165E}"/>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798" name="Shape 8">
          <a:extLst>
            <a:ext uri="{FF2B5EF4-FFF2-40B4-BE49-F238E27FC236}">
              <a16:creationId xmlns:a16="http://schemas.microsoft.com/office/drawing/2014/main" id="{970FAE3C-4073-439C-AFE3-1817A7AF3396}"/>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799" name="Shape 7">
          <a:extLst>
            <a:ext uri="{FF2B5EF4-FFF2-40B4-BE49-F238E27FC236}">
              <a16:creationId xmlns:a16="http://schemas.microsoft.com/office/drawing/2014/main" id="{DC447FEF-2937-4D31-A87D-FF81A733A0EA}"/>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800" name="Shape 7">
          <a:extLst>
            <a:ext uri="{FF2B5EF4-FFF2-40B4-BE49-F238E27FC236}">
              <a16:creationId xmlns:a16="http://schemas.microsoft.com/office/drawing/2014/main" id="{15D61579-6D79-4971-888F-C1A479179A2D}"/>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801" name="Shape 8">
          <a:extLst>
            <a:ext uri="{FF2B5EF4-FFF2-40B4-BE49-F238E27FC236}">
              <a16:creationId xmlns:a16="http://schemas.microsoft.com/office/drawing/2014/main" id="{16CDE7E9-CB0C-462F-9964-9A6AB8F79F92}"/>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802" name="Shape 8">
          <a:extLst>
            <a:ext uri="{FF2B5EF4-FFF2-40B4-BE49-F238E27FC236}">
              <a16:creationId xmlns:a16="http://schemas.microsoft.com/office/drawing/2014/main" id="{DD524DB0-C123-4CCE-9060-FE0DD298D775}"/>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803" name="Shape 7">
          <a:extLst>
            <a:ext uri="{FF2B5EF4-FFF2-40B4-BE49-F238E27FC236}">
              <a16:creationId xmlns:a16="http://schemas.microsoft.com/office/drawing/2014/main" id="{94D3E80F-A102-4C84-ABEA-6CC20A2B67F4}"/>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19</xdr:row>
      <xdr:rowOff>0</xdr:rowOff>
    </xdr:from>
    <xdr:ext cx="38100" cy="38100"/>
    <xdr:sp macro="" textlink="">
      <xdr:nvSpPr>
        <xdr:cNvPr id="2804" name="Shape 7">
          <a:extLst>
            <a:ext uri="{FF2B5EF4-FFF2-40B4-BE49-F238E27FC236}">
              <a16:creationId xmlns:a16="http://schemas.microsoft.com/office/drawing/2014/main" id="{FD63E6B5-4675-4F7F-B9DB-24DB5B6AC5EC}"/>
            </a:ext>
          </a:extLst>
        </xdr:cNvPr>
        <xdr:cNvSpPr>
          <a:spLocks noChangeArrowheads="1"/>
        </xdr:cNvSpPr>
      </xdr:nvSpPr>
      <xdr:spPr bwMode="auto">
        <a:xfrm>
          <a:off x="11210925" y="146113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19</xdr:row>
      <xdr:rowOff>0</xdr:rowOff>
    </xdr:from>
    <xdr:ext cx="190500" cy="38100"/>
    <xdr:sp macro="" textlink="">
      <xdr:nvSpPr>
        <xdr:cNvPr id="2805" name="Shape 8">
          <a:extLst>
            <a:ext uri="{FF2B5EF4-FFF2-40B4-BE49-F238E27FC236}">
              <a16:creationId xmlns:a16="http://schemas.microsoft.com/office/drawing/2014/main" id="{E2DC20B3-3AA3-4D1C-8600-8634A253C439}"/>
            </a:ext>
          </a:extLst>
        </xdr:cNvPr>
        <xdr:cNvSpPr>
          <a:spLocks noChangeArrowheads="1"/>
        </xdr:cNvSpPr>
      </xdr:nvSpPr>
      <xdr:spPr bwMode="auto">
        <a:xfrm>
          <a:off x="11944350" y="146113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twoCellAnchor editAs="oneCell">
    <xdr:from>
      <xdr:col>11</xdr:col>
      <xdr:colOff>733425</xdr:colOff>
      <xdr:row>18</xdr:row>
      <xdr:rowOff>0</xdr:rowOff>
    </xdr:from>
    <xdr:to>
      <xdr:col>12</xdr:col>
      <xdr:colOff>104775</xdr:colOff>
      <xdr:row>18</xdr:row>
      <xdr:rowOff>38100</xdr:rowOff>
    </xdr:to>
    <xdr:sp macro="" textlink="">
      <xdr:nvSpPr>
        <xdr:cNvPr id="2806" name="Shape 6">
          <a:extLst>
            <a:ext uri="{FF2B5EF4-FFF2-40B4-BE49-F238E27FC236}">
              <a16:creationId xmlns:a16="http://schemas.microsoft.com/office/drawing/2014/main" id="{83D19A68-3A6F-4F36-B32D-06BECB679DF4}"/>
            </a:ext>
          </a:extLst>
        </xdr:cNvPr>
        <xdr:cNvSpPr>
          <a:spLocks noChangeArrowheads="1"/>
        </xdr:cNvSpPr>
      </xdr:nvSpPr>
      <xdr:spPr bwMode="auto">
        <a:xfrm>
          <a:off x="10172700" y="89439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2807" name="Shape 7">
          <a:extLst>
            <a:ext uri="{FF2B5EF4-FFF2-40B4-BE49-F238E27FC236}">
              <a16:creationId xmlns:a16="http://schemas.microsoft.com/office/drawing/2014/main" id="{B16C3294-04E0-4DF0-BC25-B2008664388B}"/>
            </a:ext>
          </a:extLst>
        </xdr:cNvPr>
        <xdr:cNvSpPr>
          <a:spLocks noChangeArrowheads="1"/>
        </xdr:cNvSpPr>
      </xdr:nvSpPr>
      <xdr:spPr bwMode="auto">
        <a:xfrm>
          <a:off x="11210925"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08" name="Shape 8">
          <a:extLst>
            <a:ext uri="{FF2B5EF4-FFF2-40B4-BE49-F238E27FC236}">
              <a16:creationId xmlns:a16="http://schemas.microsoft.com/office/drawing/2014/main" id="{EEFF303D-0F32-458E-8B8B-E4ABBAA71F95}"/>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18</xdr:row>
      <xdr:rowOff>0</xdr:rowOff>
    </xdr:from>
    <xdr:to>
      <xdr:col>12</xdr:col>
      <xdr:colOff>104775</xdr:colOff>
      <xdr:row>18</xdr:row>
      <xdr:rowOff>38100</xdr:rowOff>
    </xdr:to>
    <xdr:sp macro="" textlink="">
      <xdr:nvSpPr>
        <xdr:cNvPr id="2809" name="Shape 6">
          <a:extLst>
            <a:ext uri="{FF2B5EF4-FFF2-40B4-BE49-F238E27FC236}">
              <a16:creationId xmlns:a16="http://schemas.microsoft.com/office/drawing/2014/main" id="{8E92B131-F695-4578-9CA7-9D13741BD70D}"/>
            </a:ext>
          </a:extLst>
        </xdr:cNvPr>
        <xdr:cNvSpPr>
          <a:spLocks noChangeArrowheads="1"/>
        </xdr:cNvSpPr>
      </xdr:nvSpPr>
      <xdr:spPr bwMode="auto">
        <a:xfrm>
          <a:off x="10172700" y="89439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2810" name="Shape 7">
          <a:extLst>
            <a:ext uri="{FF2B5EF4-FFF2-40B4-BE49-F238E27FC236}">
              <a16:creationId xmlns:a16="http://schemas.microsoft.com/office/drawing/2014/main" id="{AF138C5F-6442-43ED-AD53-782765DD210A}"/>
            </a:ext>
          </a:extLst>
        </xdr:cNvPr>
        <xdr:cNvSpPr>
          <a:spLocks noChangeArrowheads="1"/>
        </xdr:cNvSpPr>
      </xdr:nvSpPr>
      <xdr:spPr bwMode="auto">
        <a:xfrm>
          <a:off x="11210925"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11" name="Shape 8">
          <a:extLst>
            <a:ext uri="{FF2B5EF4-FFF2-40B4-BE49-F238E27FC236}">
              <a16:creationId xmlns:a16="http://schemas.microsoft.com/office/drawing/2014/main" id="{3DD70018-9BDA-4C6A-8B95-859AB467B702}"/>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18</xdr:row>
      <xdr:rowOff>0</xdr:rowOff>
    </xdr:from>
    <xdr:to>
      <xdr:col>12</xdr:col>
      <xdr:colOff>104775</xdr:colOff>
      <xdr:row>18</xdr:row>
      <xdr:rowOff>38100</xdr:rowOff>
    </xdr:to>
    <xdr:sp macro="" textlink="">
      <xdr:nvSpPr>
        <xdr:cNvPr id="2812" name="Shape 6">
          <a:extLst>
            <a:ext uri="{FF2B5EF4-FFF2-40B4-BE49-F238E27FC236}">
              <a16:creationId xmlns:a16="http://schemas.microsoft.com/office/drawing/2014/main" id="{2FBCC167-EB7A-4589-B3E6-904B3E4201B8}"/>
            </a:ext>
          </a:extLst>
        </xdr:cNvPr>
        <xdr:cNvSpPr>
          <a:spLocks noChangeArrowheads="1"/>
        </xdr:cNvSpPr>
      </xdr:nvSpPr>
      <xdr:spPr bwMode="auto">
        <a:xfrm>
          <a:off x="10172700" y="89439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2813" name="Shape 7">
          <a:extLst>
            <a:ext uri="{FF2B5EF4-FFF2-40B4-BE49-F238E27FC236}">
              <a16:creationId xmlns:a16="http://schemas.microsoft.com/office/drawing/2014/main" id="{FFF5AFEA-BED3-48B1-A46A-12C81A57E824}"/>
            </a:ext>
          </a:extLst>
        </xdr:cNvPr>
        <xdr:cNvSpPr>
          <a:spLocks noChangeArrowheads="1"/>
        </xdr:cNvSpPr>
      </xdr:nvSpPr>
      <xdr:spPr bwMode="auto">
        <a:xfrm>
          <a:off x="11210925"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14" name="Shape 8">
          <a:extLst>
            <a:ext uri="{FF2B5EF4-FFF2-40B4-BE49-F238E27FC236}">
              <a16:creationId xmlns:a16="http://schemas.microsoft.com/office/drawing/2014/main" id="{3DB58087-8051-467B-BDC7-F69136BB4913}"/>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15" name="Shape 8">
          <a:extLst>
            <a:ext uri="{FF2B5EF4-FFF2-40B4-BE49-F238E27FC236}">
              <a16:creationId xmlns:a16="http://schemas.microsoft.com/office/drawing/2014/main" id="{99530138-4149-47DC-9FE8-9AE3BE78B025}"/>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18</xdr:row>
      <xdr:rowOff>0</xdr:rowOff>
    </xdr:from>
    <xdr:to>
      <xdr:col>12</xdr:col>
      <xdr:colOff>104775</xdr:colOff>
      <xdr:row>18</xdr:row>
      <xdr:rowOff>38100</xdr:rowOff>
    </xdr:to>
    <xdr:sp macro="" textlink="">
      <xdr:nvSpPr>
        <xdr:cNvPr id="2816" name="Shape 6">
          <a:extLst>
            <a:ext uri="{FF2B5EF4-FFF2-40B4-BE49-F238E27FC236}">
              <a16:creationId xmlns:a16="http://schemas.microsoft.com/office/drawing/2014/main" id="{46F8D5DB-8D6C-4065-828B-59B5F1FF744D}"/>
            </a:ext>
          </a:extLst>
        </xdr:cNvPr>
        <xdr:cNvSpPr>
          <a:spLocks noChangeArrowheads="1"/>
        </xdr:cNvSpPr>
      </xdr:nvSpPr>
      <xdr:spPr bwMode="auto">
        <a:xfrm>
          <a:off x="10172700" y="89439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2817" name="Shape 7">
          <a:extLst>
            <a:ext uri="{FF2B5EF4-FFF2-40B4-BE49-F238E27FC236}">
              <a16:creationId xmlns:a16="http://schemas.microsoft.com/office/drawing/2014/main" id="{53E6BF5A-6E5D-4072-A111-B4FE27311EFB}"/>
            </a:ext>
          </a:extLst>
        </xdr:cNvPr>
        <xdr:cNvSpPr>
          <a:spLocks noChangeArrowheads="1"/>
        </xdr:cNvSpPr>
      </xdr:nvSpPr>
      <xdr:spPr bwMode="auto">
        <a:xfrm>
          <a:off x="11210925"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18" name="Shape 8">
          <a:extLst>
            <a:ext uri="{FF2B5EF4-FFF2-40B4-BE49-F238E27FC236}">
              <a16:creationId xmlns:a16="http://schemas.microsoft.com/office/drawing/2014/main" id="{5BC71EB5-4F5F-4C5C-B7B9-54CAA8C1C8C6}"/>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19" name="Shape 8">
          <a:extLst>
            <a:ext uri="{FF2B5EF4-FFF2-40B4-BE49-F238E27FC236}">
              <a16:creationId xmlns:a16="http://schemas.microsoft.com/office/drawing/2014/main" id="{631BB92F-EFCF-4DDA-BAE3-2E5F181D24F5}"/>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18</xdr:row>
      <xdr:rowOff>0</xdr:rowOff>
    </xdr:from>
    <xdr:to>
      <xdr:col>12</xdr:col>
      <xdr:colOff>104775</xdr:colOff>
      <xdr:row>18</xdr:row>
      <xdr:rowOff>38100</xdr:rowOff>
    </xdr:to>
    <xdr:sp macro="" textlink="">
      <xdr:nvSpPr>
        <xdr:cNvPr id="2820" name="Shape 6">
          <a:extLst>
            <a:ext uri="{FF2B5EF4-FFF2-40B4-BE49-F238E27FC236}">
              <a16:creationId xmlns:a16="http://schemas.microsoft.com/office/drawing/2014/main" id="{846C4E98-DE64-4E52-9D61-C171CFBA4CED}"/>
            </a:ext>
          </a:extLst>
        </xdr:cNvPr>
        <xdr:cNvSpPr>
          <a:spLocks noChangeArrowheads="1"/>
        </xdr:cNvSpPr>
      </xdr:nvSpPr>
      <xdr:spPr bwMode="auto">
        <a:xfrm>
          <a:off x="10172700" y="89439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2821" name="Shape 7">
          <a:extLst>
            <a:ext uri="{FF2B5EF4-FFF2-40B4-BE49-F238E27FC236}">
              <a16:creationId xmlns:a16="http://schemas.microsoft.com/office/drawing/2014/main" id="{13CD8A3F-CDF3-4459-B317-E4B6725644D5}"/>
            </a:ext>
          </a:extLst>
        </xdr:cNvPr>
        <xdr:cNvSpPr>
          <a:spLocks noChangeArrowheads="1"/>
        </xdr:cNvSpPr>
      </xdr:nvSpPr>
      <xdr:spPr bwMode="auto">
        <a:xfrm>
          <a:off x="11210925"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22" name="Shape 8">
          <a:extLst>
            <a:ext uri="{FF2B5EF4-FFF2-40B4-BE49-F238E27FC236}">
              <a16:creationId xmlns:a16="http://schemas.microsoft.com/office/drawing/2014/main" id="{212B5043-0B91-4BB7-BCB7-863849D46562}"/>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23" name="Shape 8">
          <a:extLst>
            <a:ext uri="{FF2B5EF4-FFF2-40B4-BE49-F238E27FC236}">
              <a16:creationId xmlns:a16="http://schemas.microsoft.com/office/drawing/2014/main" id="{50949ADB-8429-4FAF-BA7D-2702972DCB90}"/>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18</xdr:row>
      <xdr:rowOff>0</xdr:rowOff>
    </xdr:from>
    <xdr:to>
      <xdr:col>12</xdr:col>
      <xdr:colOff>104775</xdr:colOff>
      <xdr:row>18</xdr:row>
      <xdr:rowOff>38100</xdr:rowOff>
    </xdr:to>
    <xdr:sp macro="" textlink="">
      <xdr:nvSpPr>
        <xdr:cNvPr id="2824" name="Shape 6">
          <a:extLst>
            <a:ext uri="{FF2B5EF4-FFF2-40B4-BE49-F238E27FC236}">
              <a16:creationId xmlns:a16="http://schemas.microsoft.com/office/drawing/2014/main" id="{C8567284-CCB1-47EA-8AE1-135BD91670E9}"/>
            </a:ext>
          </a:extLst>
        </xdr:cNvPr>
        <xdr:cNvSpPr>
          <a:spLocks noChangeArrowheads="1"/>
        </xdr:cNvSpPr>
      </xdr:nvSpPr>
      <xdr:spPr bwMode="auto">
        <a:xfrm>
          <a:off x="10172700" y="89439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2825" name="Shape 7">
          <a:extLst>
            <a:ext uri="{FF2B5EF4-FFF2-40B4-BE49-F238E27FC236}">
              <a16:creationId xmlns:a16="http://schemas.microsoft.com/office/drawing/2014/main" id="{80AF8CDC-E883-442D-A209-9967359C3A2E}"/>
            </a:ext>
          </a:extLst>
        </xdr:cNvPr>
        <xdr:cNvSpPr>
          <a:spLocks noChangeArrowheads="1"/>
        </xdr:cNvSpPr>
      </xdr:nvSpPr>
      <xdr:spPr bwMode="auto">
        <a:xfrm>
          <a:off x="11210925"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26" name="Shape 8">
          <a:extLst>
            <a:ext uri="{FF2B5EF4-FFF2-40B4-BE49-F238E27FC236}">
              <a16:creationId xmlns:a16="http://schemas.microsoft.com/office/drawing/2014/main" id="{7CF12926-EACA-4205-930C-C108D742C3D7}"/>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27" name="Shape 8">
          <a:extLst>
            <a:ext uri="{FF2B5EF4-FFF2-40B4-BE49-F238E27FC236}">
              <a16:creationId xmlns:a16="http://schemas.microsoft.com/office/drawing/2014/main" id="{4F33E0C4-F261-436D-8A18-9348F616CD43}"/>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18</xdr:row>
      <xdr:rowOff>0</xdr:rowOff>
    </xdr:from>
    <xdr:to>
      <xdr:col>12</xdr:col>
      <xdr:colOff>104775</xdr:colOff>
      <xdr:row>18</xdr:row>
      <xdr:rowOff>38100</xdr:rowOff>
    </xdr:to>
    <xdr:sp macro="" textlink="">
      <xdr:nvSpPr>
        <xdr:cNvPr id="2828" name="Shape 6">
          <a:extLst>
            <a:ext uri="{FF2B5EF4-FFF2-40B4-BE49-F238E27FC236}">
              <a16:creationId xmlns:a16="http://schemas.microsoft.com/office/drawing/2014/main" id="{DA5EC943-A8E4-42F6-AE23-501600A4D415}"/>
            </a:ext>
          </a:extLst>
        </xdr:cNvPr>
        <xdr:cNvSpPr>
          <a:spLocks noChangeArrowheads="1"/>
        </xdr:cNvSpPr>
      </xdr:nvSpPr>
      <xdr:spPr bwMode="auto">
        <a:xfrm>
          <a:off x="10172700" y="89439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2829" name="Shape 7">
          <a:extLst>
            <a:ext uri="{FF2B5EF4-FFF2-40B4-BE49-F238E27FC236}">
              <a16:creationId xmlns:a16="http://schemas.microsoft.com/office/drawing/2014/main" id="{C963D9DB-F666-4B39-95EF-D7A079AA6DD4}"/>
            </a:ext>
          </a:extLst>
        </xdr:cNvPr>
        <xdr:cNvSpPr>
          <a:spLocks noChangeArrowheads="1"/>
        </xdr:cNvSpPr>
      </xdr:nvSpPr>
      <xdr:spPr bwMode="auto">
        <a:xfrm>
          <a:off x="11210925"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30" name="Shape 8">
          <a:extLst>
            <a:ext uri="{FF2B5EF4-FFF2-40B4-BE49-F238E27FC236}">
              <a16:creationId xmlns:a16="http://schemas.microsoft.com/office/drawing/2014/main" id="{E929FC4B-15B1-45E8-9AD0-21E1E605E73D}"/>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31" name="Shape 8">
          <a:extLst>
            <a:ext uri="{FF2B5EF4-FFF2-40B4-BE49-F238E27FC236}">
              <a16:creationId xmlns:a16="http://schemas.microsoft.com/office/drawing/2014/main" id="{4627C08D-070E-4F7E-997D-7F7D72C65E36}"/>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18</xdr:row>
      <xdr:rowOff>0</xdr:rowOff>
    </xdr:from>
    <xdr:to>
      <xdr:col>12</xdr:col>
      <xdr:colOff>104775</xdr:colOff>
      <xdr:row>18</xdr:row>
      <xdr:rowOff>38100</xdr:rowOff>
    </xdr:to>
    <xdr:sp macro="" textlink="">
      <xdr:nvSpPr>
        <xdr:cNvPr id="2832" name="Shape 6">
          <a:extLst>
            <a:ext uri="{FF2B5EF4-FFF2-40B4-BE49-F238E27FC236}">
              <a16:creationId xmlns:a16="http://schemas.microsoft.com/office/drawing/2014/main" id="{D7821838-7068-42A0-AD09-501D863D14B7}"/>
            </a:ext>
          </a:extLst>
        </xdr:cNvPr>
        <xdr:cNvSpPr>
          <a:spLocks noChangeArrowheads="1"/>
        </xdr:cNvSpPr>
      </xdr:nvSpPr>
      <xdr:spPr bwMode="auto">
        <a:xfrm>
          <a:off x="10172700" y="89439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18</xdr:row>
      <xdr:rowOff>0</xdr:rowOff>
    </xdr:from>
    <xdr:to>
      <xdr:col>12</xdr:col>
      <xdr:colOff>104775</xdr:colOff>
      <xdr:row>18</xdr:row>
      <xdr:rowOff>38100</xdr:rowOff>
    </xdr:to>
    <xdr:sp macro="" textlink="">
      <xdr:nvSpPr>
        <xdr:cNvPr id="2833" name="Shape 6">
          <a:extLst>
            <a:ext uri="{FF2B5EF4-FFF2-40B4-BE49-F238E27FC236}">
              <a16:creationId xmlns:a16="http://schemas.microsoft.com/office/drawing/2014/main" id="{F0F5187B-31CB-49DE-813C-606F803AD6E2}"/>
            </a:ext>
          </a:extLst>
        </xdr:cNvPr>
        <xdr:cNvSpPr>
          <a:spLocks noChangeArrowheads="1"/>
        </xdr:cNvSpPr>
      </xdr:nvSpPr>
      <xdr:spPr bwMode="auto">
        <a:xfrm>
          <a:off x="10172700" y="89439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2834" name="Shape 7">
          <a:extLst>
            <a:ext uri="{FF2B5EF4-FFF2-40B4-BE49-F238E27FC236}">
              <a16:creationId xmlns:a16="http://schemas.microsoft.com/office/drawing/2014/main" id="{84843EDD-ABB8-4FD2-B5AE-12E7F1E8486C}"/>
            </a:ext>
          </a:extLst>
        </xdr:cNvPr>
        <xdr:cNvSpPr>
          <a:spLocks noChangeArrowheads="1"/>
        </xdr:cNvSpPr>
      </xdr:nvSpPr>
      <xdr:spPr bwMode="auto">
        <a:xfrm>
          <a:off x="11210925"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2835" name="Shape 7">
          <a:extLst>
            <a:ext uri="{FF2B5EF4-FFF2-40B4-BE49-F238E27FC236}">
              <a16:creationId xmlns:a16="http://schemas.microsoft.com/office/drawing/2014/main" id="{ADDA7B3A-382A-40F7-834B-8C559430A116}"/>
            </a:ext>
          </a:extLst>
        </xdr:cNvPr>
        <xdr:cNvSpPr>
          <a:spLocks noChangeArrowheads="1"/>
        </xdr:cNvSpPr>
      </xdr:nvSpPr>
      <xdr:spPr bwMode="auto">
        <a:xfrm>
          <a:off x="11210925"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36" name="Shape 8">
          <a:extLst>
            <a:ext uri="{FF2B5EF4-FFF2-40B4-BE49-F238E27FC236}">
              <a16:creationId xmlns:a16="http://schemas.microsoft.com/office/drawing/2014/main" id="{ED03D8E3-CD05-4BD4-BD76-9328F069190A}"/>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37" name="Shape 8">
          <a:extLst>
            <a:ext uri="{FF2B5EF4-FFF2-40B4-BE49-F238E27FC236}">
              <a16:creationId xmlns:a16="http://schemas.microsoft.com/office/drawing/2014/main" id="{EDF40028-C91C-49F2-B2D0-1AE203352583}"/>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18</xdr:row>
      <xdr:rowOff>0</xdr:rowOff>
    </xdr:from>
    <xdr:to>
      <xdr:col>12</xdr:col>
      <xdr:colOff>104775</xdr:colOff>
      <xdr:row>18</xdr:row>
      <xdr:rowOff>38100</xdr:rowOff>
    </xdr:to>
    <xdr:sp macro="" textlink="">
      <xdr:nvSpPr>
        <xdr:cNvPr id="2838" name="Shape 6">
          <a:extLst>
            <a:ext uri="{FF2B5EF4-FFF2-40B4-BE49-F238E27FC236}">
              <a16:creationId xmlns:a16="http://schemas.microsoft.com/office/drawing/2014/main" id="{B57AB678-3F81-4C63-90CE-F1BC92755FC8}"/>
            </a:ext>
          </a:extLst>
        </xdr:cNvPr>
        <xdr:cNvSpPr>
          <a:spLocks noChangeArrowheads="1"/>
        </xdr:cNvSpPr>
      </xdr:nvSpPr>
      <xdr:spPr bwMode="auto">
        <a:xfrm>
          <a:off x="10172700" y="89439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11</xdr:col>
      <xdr:colOff>733425</xdr:colOff>
      <xdr:row>18</xdr:row>
      <xdr:rowOff>0</xdr:rowOff>
    </xdr:from>
    <xdr:to>
      <xdr:col>12</xdr:col>
      <xdr:colOff>104775</xdr:colOff>
      <xdr:row>18</xdr:row>
      <xdr:rowOff>38100</xdr:rowOff>
    </xdr:to>
    <xdr:sp macro="" textlink="">
      <xdr:nvSpPr>
        <xdr:cNvPr id="2839" name="Shape 6">
          <a:extLst>
            <a:ext uri="{FF2B5EF4-FFF2-40B4-BE49-F238E27FC236}">
              <a16:creationId xmlns:a16="http://schemas.microsoft.com/office/drawing/2014/main" id="{912CF87B-CB99-45E8-A320-382FC10DE6B3}"/>
            </a:ext>
          </a:extLst>
        </xdr:cNvPr>
        <xdr:cNvSpPr>
          <a:spLocks noChangeArrowheads="1"/>
        </xdr:cNvSpPr>
      </xdr:nvSpPr>
      <xdr:spPr bwMode="auto">
        <a:xfrm>
          <a:off x="10172700" y="8943975"/>
          <a:ext cx="1143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2840" name="Shape 7">
          <a:extLst>
            <a:ext uri="{FF2B5EF4-FFF2-40B4-BE49-F238E27FC236}">
              <a16:creationId xmlns:a16="http://schemas.microsoft.com/office/drawing/2014/main" id="{BBCC7A9B-86A0-4FFB-BE7B-BB4A58561534}"/>
            </a:ext>
          </a:extLst>
        </xdr:cNvPr>
        <xdr:cNvSpPr>
          <a:spLocks noChangeArrowheads="1"/>
        </xdr:cNvSpPr>
      </xdr:nvSpPr>
      <xdr:spPr bwMode="auto">
        <a:xfrm>
          <a:off x="11210925"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18</xdr:row>
      <xdr:rowOff>0</xdr:rowOff>
    </xdr:from>
    <xdr:to>
      <xdr:col>14</xdr:col>
      <xdr:colOff>38100</xdr:colOff>
      <xdr:row>18</xdr:row>
      <xdr:rowOff>38100</xdr:rowOff>
    </xdr:to>
    <xdr:sp macro="" textlink="">
      <xdr:nvSpPr>
        <xdr:cNvPr id="2841" name="Shape 7">
          <a:extLst>
            <a:ext uri="{FF2B5EF4-FFF2-40B4-BE49-F238E27FC236}">
              <a16:creationId xmlns:a16="http://schemas.microsoft.com/office/drawing/2014/main" id="{61F408F2-9264-41DD-8E92-5F195DE9941D}"/>
            </a:ext>
          </a:extLst>
        </xdr:cNvPr>
        <xdr:cNvSpPr>
          <a:spLocks noChangeArrowheads="1"/>
        </xdr:cNvSpPr>
      </xdr:nvSpPr>
      <xdr:spPr bwMode="auto">
        <a:xfrm>
          <a:off x="11210925"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42" name="Shape 8">
          <a:extLst>
            <a:ext uri="{FF2B5EF4-FFF2-40B4-BE49-F238E27FC236}">
              <a16:creationId xmlns:a16="http://schemas.microsoft.com/office/drawing/2014/main" id="{A9DBFBBB-EC88-4997-9FD5-DC533B2DA2CC}"/>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18</xdr:row>
      <xdr:rowOff>0</xdr:rowOff>
    </xdr:from>
    <xdr:to>
      <xdr:col>15</xdr:col>
      <xdr:colOff>114300</xdr:colOff>
      <xdr:row>18</xdr:row>
      <xdr:rowOff>38100</xdr:rowOff>
    </xdr:to>
    <xdr:sp macro="" textlink="">
      <xdr:nvSpPr>
        <xdr:cNvPr id="2843" name="Shape 8">
          <a:extLst>
            <a:ext uri="{FF2B5EF4-FFF2-40B4-BE49-F238E27FC236}">
              <a16:creationId xmlns:a16="http://schemas.microsoft.com/office/drawing/2014/main" id="{C43471E0-67A9-439E-8801-F792D168B82E}"/>
            </a:ext>
          </a:extLst>
        </xdr:cNvPr>
        <xdr:cNvSpPr>
          <a:spLocks noChangeArrowheads="1"/>
        </xdr:cNvSpPr>
      </xdr:nvSpPr>
      <xdr:spPr bwMode="auto">
        <a:xfrm>
          <a:off x="11944350" y="89439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44" name="Shape 7">
          <a:extLst>
            <a:ext uri="{FF2B5EF4-FFF2-40B4-BE49-F238E27FC236}">
              <a16:creationId xmlns:a16="http://schemas.microsoft.com/office/drawing/2014/main" id="{E60DE9A0-803D-45A9-8531-42CA8D07627F}"/>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45" name="Shape 7">
          <a:extLst>
            <a:ext uri="{FF2B5EF4-FFF2-40B4-BE49-F238E27FC236}">
              <a16:creationId xmlns:a16="http://schemas.microsoft.com/office/drawing/2014/main" id="{92C88C3D-E845-4C4C-B4A8-E164FAABDE48}"/>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46" name="Shape 7">
          <a:extLst>
            <a:ext uri="{FF2B5EF4-FFF2-40B4-BE49-F238E27FC236}">
              <a16:creationId xmlns:a16="http://schemas.microsoft.com/office/drawing/2014/main" id="{3C448CEE-332E-41F2-A6CE-1BEBF08A2F66}"/>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47" name="Shape 7">
          <a:extLst>
            <a:ext uri="{FF2B5EF4-FFF2-40B4-BE49-F238E27FC236}">
              <a16:creationId xmlns:a16="http://schemas.microsoft.com/office/drawing/2014/main" id="{59224631-4415-4898-8E73-ECD96BA2DAC8}"/>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48" name="Shape 7">
          <a:extLst>
            <a:ext uri="{FF2B5EF4-FFF2-40B4-BE49-F238E27FC236}">
              <a16:creationId xmlns:a16="http://schemas.microsoft.com/office/drawing/2014/main" id="{8CAF375B-2329-45BE-85DA-4085D466A76E}"/>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49" name="Shape 7">
          <a:extLst>
            <a:ext uri="{FF2B5EF4-FFF2-40B4-BE49-F238E27FC236}">
              <a16:creationId xmlns:a16="http://schemas.microsoft.com/office/drawing/2014/main" id="{A0D108B2-5C5B-4532-8C8B-46732613F1BB}"/>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50" name="Shape 7">
          <a:extLst>
            <a:ext uri="{FF2B5EF4-FFF2-40B4-BE49-F238E27FC236}">
              <a16:creationId xmlns:a16="http://schemas.microsoft.com/office/drawing/2014/main" id="{AA5B07DC-84EE-4940-8C41-43A36A1919BD}"/>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51" name="Shape 7">
          <a:extLst>
            <a:ext uri="{FF2B5EF4-FFF2-40B4-BE49-F238E27FC236}">
              <a16:creationId xmlns:a16="http://schemas.microsoft.com/office/drawing/2014/main" id="{B78B1B8B-49BE-4714-AD34-E656EF9BA664}"/>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52" name="Shape 7">
          <a:extLst>
            <a:ext uri="{FF2B5EF4-FFF2-40B4-BE49-F238E27FC236}">
              <a16:creationId xmlns:a16="http://schemas.microsoft.com/office/drawing/2014/main" id="{E5D97EF9-C86E-4250-8608-6C1CC6184BBF}"/>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53" name="Shape 7">
          <a:extLst>
            <a:ext uri="{FF2B5EF4-FFF2-40B4-BE49-F238E27FC236}">
              <a16:creationId xmlns:a16="http://schemas.microsoft.com/office/drawing/2014/main" id="{03AC00C0-CA73-4D31-A858-792471DC1BCC}"/>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54" name="Shape 7">
          <a:extLst>
            <a:ext uri="{FF2B5EF4-FFF2-40B4-BE49-F238E27FC236}">
              <a16:creationId xmlns:a16="http://schemas.microsoft.com/office/drawing/2014/main" id="{233D222F-2971-47AC-8F93-A663BFB4707A}"/>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55" name="Shape 7">
          <a:extLst>
            <a:ext uri="{FF2B5EF4-FFF2-40B4-BE49-F238E27FC236}">
              <a16:creationId xmlns:a16="http://schemas.microsoft.com/office/drawing/2014/main" id="{8089EBD8-2A16-4B6E-AE16-AB37CCF0517C}"/>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56" name="Shape 7">
          <a:extLst>
            <a:ext uri="{FF2B5EF4-FFF2-40B4-BE49-F238E27FC236}">
              <a16:creationId xmlns:a16="http://schemas.microsoft.com/office/drawing/2014/main" id="{9B04E55D-BE7C-4AC4-9CA9-07EEAD530715}"/>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57" name="Shape 7">
          <a:extLst>
            <a:ext uri="{FF2B5EF4-FFF2-40B4-BE49-F238E27FC236}">
              <a16:creationId xmlns:a16="http://schemas.microsoft.com/office/drawing/2014/main" id="{234C053E-C07E-49BB-A5CF-815E81932923}"/>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58" name="Shape 7">
          <a:extLst>
            <a:ext uri="{FF2B5EF4-FFF2-40B4-BE49-F238E27FC236}">
              <a16:creationId xmlns:a16="http://schemas.microsoft.com/office/drawing/2014/main" id="{1EC6A505-7785-45CC-BCB6-18779239F81B}"/>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18</xdr:row>
      <xdr:rowOff>0</xdr:rowOff>
    </xdr:from>
    <xdr:to>
      <xdr:col>15</xdr:col>
      <xdr:colOff>38100</xdr:colOff>
      <xdr:row>18</xdr:row>
      <xdr:rowOff>38100</xdr:rowOff>
    </xdr:to>
    <xdr:sp macro="" textlink="">
      <xdr:nvSpPr>
        <xdr:cNvPr id="2859" name="Shape 7">
          <a:extLst>
            <a:ext uri="{FF2B5EF4-FFF2-40B4-BE49-F238E27FC236}">
              <a16:creationId xmlns:a16="http://schemas.microsoft.com/office/drawing/2014/main" id="{B6505068-FFD9-4289-A046-F3BC07AA7DF5}"/>
            </a:ext>
          </a:extLst>
        </xdr:cNvPr>
        <xdr:cNvSpPr>
          <a:spLocks noChangeArrowheads="1"/>
        </xdr:cNvSpPr>
      </xdr:nvSpPr>
      <xdr:spPr bwMode="auto">
        <a:xfrm>
          <a:off x="12534900" y="89439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860" name="Shape 7">
          <a:extLst>
            <a:ext uri="{FF2B5EF4-FFF2-40B4-BE49-F238E27FC236}">
              <a16:creationId xmlns:a16="http://schemas.microsoft.com/office/drawing/2014/main" id="{492BE0AE-74C7-4C8C-BD35-D10AA2E8803A}"/>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861" name="Shape 8">
          <a:extLst>
            <a:ext uri="{FF2B5EF4-FFF2-40B4-BE49-F238E27FC236}">
              <a16:creationId xmlns:a16="http://schemas.microsoft.com/office/drawing/2014/main" id="{913D4C8A-0B89-4607-8117-E81716A5B69D}"/>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862" name="Shape 7">
          <a:extLst>
            <a:ext uri="{FF2B5EF4-FFF2-40B4-BE49-F238E27FC236}">
              <a16:creationId xmlns:a16="http://schemas.microsoft.com/office/drawing/2014/main" id="{851C8D04-F5E4-4F38-AFFB-709F30C0B784}"/>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863" name="Shape 8">
          <a:extLst>
            <a:ext uri="{FF2B5EF4-FFF2-40B4-BE49-F238E27FC236}">
              <a16:creationId xmlns:a16="http://schemas.microsoft.com/office/drawing/2014/main" id="{596C85BF-3B79-4C05-8ADD-64F608A58A48}"/>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864" name="Shape 7">
          <a:extLst>
            <a:ext uri="{FF2B5EF4-FFF2-40B4-BE49-F238E27FC236}">
              <a16:creationId xmlns:a16="http://schemas.microsoft.com/office/drawing/2014/main" id="{ACD8EF75-319C-4321-8422-4C775F8D2495}"/>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865" name="Shape 8">
          <a:extLst>
            <a:ext uri="{FF2B5EF4-FFF2-40B4-BE49-F238E27FC236}">
              <a16:creationId xmlns:a16="http://schemas.microsoft.com/office/drawing/2014/main" id="{5C30F830-6CD1-4441-9CDE-AF4BAF04C255}"/>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866" name="Shape 8">
          <a:extLst>
            <a:ext uri="{FF2B5EF4-FFF2-40B4-BE49-F238E27FC236}">
              <a16:creationId xmlns:a16="http://schemas.microsoft.com/office/drawing/2014/main" id="{466207C5-D27A-40BB-B468-EEB832F809C6}"/>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867" name="Shape 7">
          <a:extLst>
            <a:ext uri="{FF2B5EF4-FFF2-40B4-BE49-F238E27FC236}">
              <a16:creationId xmlns:a16="http://schemas.microsoft.com/office/drawing/2014/main" id="{EFE8840C-9D49-4231-9B98-BABDACFE2671}"/>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868" name="Shape 8">
          <a:extLst>
            <a:ext uri="{FF2B5EF4-FFF2-40B4-BE49-F238E27FC236}">
              <a16:creationId xmlns:a16="http://schemas.microsoft.com/office/drawing/2014/main" id="{641ED029-4C4D-49C6-B3D6-4C256C28CAAC}"/>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869" name="Shape 8">
          <a:extLst>
            <a:ext uri="{FF2B5EF4-FFF2-40B4-BE49-F238E27FC236}">
              <a16:creationId xmlns:a16="http://schemas.microsoft.com/office/drawing/2014/main" id="{340EDD9E-9D65-4330-9644-8A0122A30AD2}"/>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870" name="Shape 7">
          <a:extLst>
            <a:ext uri="{FF2B5EF4-FFF2-40B4-BE49-F238E27FC236}">
              <a16:creationId xmlns:a16="http://schemas.microsoft.com/office/drawing/2014/main" id="{31A8FE47-20C2-4C29-B004-1703AE9A7167}"/>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871" name="Shape 8">
          <a:extLst>
            <a:ext uri="{FF2B5EF4-FFF2-40B4-BE49-F238E27FC236}">
              <a16:creationId xmlns:a16="http://schemas.microsoft.com/office/drawing/2014/main" id="{838F2C6D-7E5C-4BBE-89F1-2A46BACBE6EE}"/>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872" name="Shape 8">
          <a:extLst>
            <a:ext uri="{FF2B5EF4-FFF2-40B4-BE49-F238E27FC236}">
              <a16:creationId xmlns:a16="http://schemas.microsoft.com/office/drawing/2014/main" id="{D7C75CB0-01C3-4513-AF2F-EDBCCE1B5B3A}"/>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873" name="Shape 7">
          <a:extLst>
            <a:ext uri="{FF2B5EF4-FFF2-40B4-BE49-F238E27FC236}">
              <a16:creationId xmlns:a16="http://schemas.microsoft.com/office/drawing/2014/main" id="{4E3D385D-5825-4B64-B9B4-9107754A84B9}"/>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874" name="Shape 8">
          <a:extLst>
            <a:ext uri="{FF2B5EF4-FFF2-40B4-BE49-F238E27FC236}">
              <a16:creationId xmlns:a16="http://schemas.microsoft.com/office/drawing/2014/main" id="{D269BF1A-F3F9-48B3-BB8A-96DE072167F9}"/>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875" name="Shape 8">
          <a:extLst>
            <a:ext uri="{FF2B5EF4-FFF2-40B4-BE49-F238E27FC236}">
              <a16:creationId xmlns:a16="http://schemas.microsoft.com/office/drawing/2014/main" id="{59670BF0-92AD-4A43-8674-0CAB4ED210C3}"/>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876" name="Shape 7">
          <a:extLst>
            <a:ext uri="{FF2B5EF4-FFF2-40B4-BE49-F238E27FC236}">
              <a16:creationId xmlns:a16="http://schemas.microsoft.com/office/drawing/2014/main" id="{0ED078AD-31A9-42B8-B762-3B377E424D87}"/>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877" name="Shape 8">
          <a:extLst>
            <a:ext uri="{FF2B5EF4-FFF2-40B4-BE49-F238E27FC236}">
              <a16:creationId xmlns:a16="http://schemas.microsoft.com/office/drawing/2014/main" id="{4D866ABC-1381-43CF-BA63-549576F6EEFC}"/>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878" name="Shape 8">
          <a:extLst>
            <a:ext uri="{FF2B5EF4-FFF2-40B4-BE49-F238E27FC236}">
              <a16:creationId xmlns:a16="http://schemas.microsoft.com/office/drawing/2014/main" id="{CB00A761-E847-4E00-8742-DE46488BBAC9}"/>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879" name="Shape 7">
          <a:extLst>
            <a:ext uri="{FF2B5EF4-FFF2-40B4-BE49-F238E27FC236}">
              <a16:creationId xmlns:a16="http://schemas.microsoft.com/office/drawing/2014/main" id="{2433F53C-E195-42AE-8494-A0249C440FBB}"/>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880" name="Shape 7">
          <a:extLst>
            <a:ext uri="{FF2B5EF4-FFF2-40B4-BE49-F238E27FC236}">
              <a16:creationId xmlns:a16="http://schemas.microsoft.com/office/drawing/2014/main" id="{87E5C7E1-FD1D-4E1F-800D-62A58A8FEEF2}"/>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881" name="Shape 8">
          <a:extLst>
            <a:ext uri="{FF2B5EF4-FFF2-40B4-BE49-F238E27FC236}">
              <a16:creationId xmlns:a16="http://schemas.microsoft.com/office/drawing/2014/main" id="{C50A77EC-9470-44BE-8806-A824F08E91F4}"/>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882" name="Shape 8">
          <a:extLst>
            <a:ext uri="{FF2B5EF4-FFF2-40B4-BE49-F238E27FC236}">
              <a16:creationId xmlns:a16="http://schemas.microsoft.com/office/drawing/2014/main" id="{F49748D5-4561-4F9A-8CE8-67EA9AF75117}"/>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883" name="Shape 7">
          <a:extLst>
            <a:ext uri="{FF2B5EF4-FFF2-40B4-BE49-F238E27FC236}">
              <a16:creationId xmlns:a16="http://schemas.microsoft.com/office/drawing/2014/main" id="{82811F7C-B8F7-46FF-8CE6-B03BD01D1EBE}"/>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884" name="Shape 7">
          <a:extLst>
            <a:ext uri="{FF2B5EF4-FFF2-40B4-BE49-F238E27FC236}">
              <a16:creationId xmlns:a16="http://schemas.microsoft.com/office/drawing/2014/main" id="{E25212F1-81CB-42B6-8605-B773D6C48594}"/>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885" name="Shape 7">
          <a:extLst>
            <a:ext uri="{FF2B5EF4-FFF2-40B4-BE49-F238E27FC236}">
              <a16:creationId xmlns:a16="http://schemas.microsoft.com/office/drawing/2014/main" id="{D38F7C51-4E46-4C35-9AE1-66607705440F}"/>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886" name="Shape 7">
          <a:extLst>
            <a:ext uri="{FF2B5EF4-FFF2-40B4-BE49-F238E27FC236}">
              <a16:creationId xmlns:a16="http://schemas.microsoft.com/office/drawing/2014/main" id="{7BE2072A-AC3D-499C-9854-2BD6A9B05DE1}"/>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887" name="Shape 7">
          <a:extLst>
            <a:ext uri="{FF2B5EF4-FFF2-40B4-BE49-F238E27FC236}">
              <a16:creationId xmlns:a16="http://schemas.microsoft.com/office/drawing/2014/main" id="{A1E9529D-5BA6-4FC4-B9A4-D2E92ED296DA}"/>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888" name="Shape 7">
          <a:extLst>
            <a:ext uri="{FF2B5EF4-FFF2-40B4-BE49-F238E27FC236}">
              <a16:creationId xmlns:a16="http://schemas.microsoft.com/office/drawing/2014/main" id="{6F69C4B0-C957-4F0A-982F-182D1DA44444}"/>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889" name="Shape 7">
          <a:extLst>
            <a:ext uri="{FF2B5EF4-FFF2-40B4-BE49-F238E27FC236}">
              <a16:creationId xmlns:a16="http://schemas.microsoft.com/office/drawing/2014/main" id="{5FA4B21C-CCE8-42DD-991B-8CD6C663F693}"/>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890" name="Shape 7">
          <a:extLst>
            <a:ext uri="{FF2B5EF4-FFF2-40B4-BE49-F238E27FC236}">
              <a16:creationId xmlns:a16="http://schemas.microsoft.com/office/drawing/2014/main" id="{63E1B744-22AE-4344-9E7E-B3C63E399AE6}"/>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891" name="Shape 7">
          <a:extLst>
            <a:ext uri="{FF2B5EF4-FFF2-40B4-BE49-F238E27FC236}">
              <a16:creationId xmlns:a16="http://schemas.microsoft.com/office/drawing/2014/main" id="{382589E9-A049-4C26-9190-7546399BF18F}"/>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892" name="Shape 7">
          <a:extLst>
            <a:ext uri="{FF2B5EF4-FFF2-40B4-BE49-F238E27FC236}">
              <a16:creationId xmlns:a16="http://schemas.microsoft.com/office/drawing/2014/main" id="{D06A52DD-3BCE-4B03-BA4D-DB271857C4B0}"/>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893" name="Shape 7">
          <a:extLst>
            <a:ext uri="{FF2B5EF4-FFF2-40B4-BE49-F238E27FC236}">
              <a16:creationId xmlns:a16="http://schemas.microsoft.com/office/drawing/2014/main" id="{8C308B4D-CB28-44BA-BBA0-BEBAD74D5B07}"/>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894" name="Shape 7">
          <a:extLst>
            <a:ext uri="{FF2B5EF4-FFF2-40B4-BE49-F238E27FC236}">
              <a16:creationId xmlns:a16="http://schemas.microsoft.com/office/drawing/2014/main" id="{ABEC4198-A73E-4296-9679-E1FD1C1A1B82}"/>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895" name="Shape 7">
          <a:extLst>
            <a:ext uri="{FF2B5EF4-FFF2-40B4-BE49-F238E27FC236}">
              <a16:creationId xmlns:a16="http://schemas.microsoft.com/office/drawing/2014/main" id="{1AB0C2FF-82DB-477B-9420-1A76601A3F58}"/>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896" name="Shape 7">
          <a:extLst>
            <a:ext uri="{FF2B5EF4-FFF2-40B4-BE49-F238E27FC236}">
              <a16:creationId xmlns:a16="http://schemas.microsoft.com/office/drawing/2014/main" id="{7BADD3ED-02F9-4684-A5D4-3AD28A09C037}"/>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897" name="Shape 7">
          <a:extLst>
            <a:ext uri="{FF2B5EF4-FFF2-40B4-BE49-F238E27FC236}">
              <a16:creationId xmlns:a16="http://schemas.microsoft.com/office/drawing/2014/main" id="{A73DE79B-E498-4245-AF06-F61D3D7E2DD0}"/>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898" name="Shape 7">
          <a:extLst>
            <a:ext uri="{FF2B5EF4-FFF2-40B4-BE49-F238E27FC236}">
              <a16:creationId xmlns:a16="http://schemas.microsoft.com/office/drawing/2014/main" id="{A4289B6A-3326-498A-94C6-1606D528CA4D}"/>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899" name="Shape 7">
          <a:extLst>
            <a:ext uri="{FF2B5EF4-FFF2-40B4-BE49-F238E27FC236}">
              <a16:creationId xmlns:a16="http://schemas.microsoft.com/office/drawing/2014/main" id="{B82B4637-F382-4039-BC86-89E185053C1A}"/>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00" name="Shape 7">
          <a:extLst>
            <a:ext uri="{FF2B5EF4-FFF2-40B4-BE49-F238E27FC236}">
              <a16:creationId xmlns:a16="http://schemas.microsoft.com/office/drawing/2014/main" id="{9FB9A94F-8568-4761-9685-3CB956F2DCD8}"/>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01" name="Shape 7">
          <a:extLst>
            <a:ext uri="{FF2B5EF4-FFF2-40B4-BE49-F238E27FC236}">
              <a16:creationId xmlns:a16="http://schemas.microsoft.com/office/drawing/2014/main" id="{C1884A17-CCC1-4F01-9575-FFEFBDCC0669}"/>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02" name="Shape 8">
          <a:extLst>
            <a:ext uri="{FF2B5EF4-FFF2-40B4-BE49-F238E27FC236}">
              <a16:creationId xmlns:a16="http://schemas.microsoft.com/office/drawing/2014/main" id="{BA340BB4-EF46-4B09-B90B-6F959147EEAE}"/>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03" name="Shape 7">
          <a:extLst>
            <a:ext uri="{FF2B5EF4-FFF2-40B4-BE49-F238E27FC236}">
              <a16:creationId xmlns:a16="http://schemas.microsoft.com/office/drawing/2014/main" id="{F59160E2-1109-4EBC-A579-D244280602FA}"/>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04" name="Shape 8">
          <a:extLst>
            <a:ext uri="{FF2B5EF4-FFF2-40B4-BE49-F238E27FC236}">
              <a16:creationId xmlns:a16="http://schemas.microsoft.com/office/drawing/2014/main" id="{BD88C835-DA43-4674-999F-22C11D55B13D}"/>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05" name="Shape 7">
          <a:extLst>
            <a:ext uri="{FF2B5EF4-FFF2-40B4-BE49-F238E27FC236}">
              <a16:creationId xmlns:a16="http://schemas.microsoft.com/office/drawing/2014/main" id="{CBADF6FC-FA4E-495B-8564-22169512ED49}"/>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06" name="Shape 8">
          <a:extLst>
            <a:ext uri="{FF2B5EF4-FFF2-40B4-BE49-F238E27FC236}">
              <a16:creationId xmlns:a16="http://schemas.microsoft.com/office/drawing/2014/main" id="{629E039C-3662-41A0-A866-A139F43D73E9}"/>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07" name="Shape 8">
          <a:extLst>
            <a:ext uri="{FF2B5EF4-FFF2-40B4-BE49-F238E27FC236}">
              <a16:creationId xmlns:a16="http://schemas.microsoft.com/office/drawing/2014/main" id="{88765A0B-CCBC-4604-BF4A-7A5382AD7D53}"/>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08" name="Shape 7">
          <a:extLst>
            <a:ext uri="{FF2B5EF4-FFF2-40B4-BE49-F238E27FC236}">
              <a16:creationId xmlns:a16="http://schemas.microsoft.com/office/drawing/2014/main" id="{CDF1E63B-91C6-4FF2-AE75-34F20038D4AF}"/>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09" name="Shape 8">
          <a:extLst>
            <a:ext uri="{FF2B5EF4-FFF2-40B4-BE49-F238E27FC236}">
              <a16:creationId xmlns:a16="http://schemas.microsoft.com/office/drawing/2014/main" id="{4A41ACCA-036F-413D-9D25-9DE62E494C59}"/>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10" name="Shape 8">
          <a:extLst>
            <a:ext uri="{FF2B5EF4-FFF2-40B4-BE49-F238E27FC236}">
              <a16:creationId xmlns:a16="http://schemas.microsoft.com/office/drawing/2014/main" id="{7AE38F3D-1135-4DD6-BB06-29D0761F7250}"/>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11" name="Shape 7">
          <a:extLst>
            <a:ext uri="{FF2B5EF4-FFF2-40B4-BE49-F238E27FC236}">
              <a16:creationId xmlns:a16="http://schemas.microsoft.com/office/drawing/2014/main" id="{709237A9-D646-405C-A246-D2731E3A904D}"/>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12" name="Shape 8">
          <a:extLst>
            <a:ext uri="{FF2B5EF4-FFF2-40B4-BE49-F238E27FC236}">
              <a16:creationId xmlns:a16="http://schemas.microsoft.com/office/drawing/2014/main" id="{9A32E2EC-D440-4334-BD56-6B5F644CD6BC}"/>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13" name="Shape 8">
          <a:extLst>
            <a:ext uri="{FF2B5EF4-FFF2-40B4-BE49-F238E27FC236}">
              <a16:creationId xmlns:a16="http://schemas.microsoft.com/office/drawing/2014/main" id="{4A556A3B-C629-4A88-A6DD-7EDFD14C931A}"/>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14" name="Shape 7">
          <a:extLst>
            <a:ext uri="{FF2B5EF4-FFF2-40B4-BE49-F238E27FC236}">
              <a16:creationId xmlns:a16="http://schemas.microsoft.com/office/drawing/2014/main" id="{078DB2A7-097F-454E-8830-655940EB78AA}"/>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15" name="Shape 8">
          <a:extLst>
            <a:ext uri="{FF2B5EF4-FFF2-40B4-BE49-F238E27FC236}">
              <a16:creationId xmlns:a16="http://schemas.microsoft.com/office/drawing/2014/main" id="{1674984C-83B8-4B23-9445-5EEF16B752A2}"/>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16" name="Shape 8">
          <a:extLst>
            <a:ext uri="{FF2B5EF4-FFF2-40B4-BE49-F238E27FC236}">
              <a16:creationId xmlns:a16="http://schemas.microsoft.com/office/drawing/2014/main" id="{718A02AE-396C-4B98-820B-783C01501A4A}"/>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17" name="Shape 7">
          <a:extLst>
            <a:ext uri="{FF2B5EF4-FFF2-40B4-BE49-F238E27FC236}">
              <a16:creationId xmlns:a16="http://schemas.microsoft.com/office/drawing/2014/main" id="{E3F21F0B-158E-4D96-9C96-2EBC2FFEC5A6}"/>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18" name="Shape 8">
          <a:extLst>
            <a:ext uri="{FF2B5EF4-FFF2-40B4-BE49-F238E27FC236}">
              <a16:creationId xmlns:a16="http://schemas.microsoft.com/office/drawing/2014/main" id="{68D5443A-734E-4448-9494-CC4DB6A5F6EB}"/>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19" name="Shape 8">
          <a:extLst>
            <a:ext uri="{FF2B5EF4-FFF2-40B4-BE49-F238E27FC236}">
              <a16:creationId xmlns:a16="http://schemas.microsoft.com/office/drawing/2014/main" id="{BB4F1A80-D0BE-4E74-84F2-001410574BC6}"/>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20" name="Shape 7">
          <a:extLst>
            <a:ext uri="{FF2B5EF4-FFF2-40B4-BE49-F238E27FC236}">
              <a16:creationId xmlns:a16="http://schemas.microsoft.com/office/drawing/2014/main" id="{9D506430-9633-4892-B177-EE6B9EC638BF}"/>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21" name="Shape 7">
          <a:extLst>
            <a:ext uri="{FF2B5EF4-FFF2-40B4-BE49-F238E27FC236}">
              <a16:creationId xmlns:a16="http://schemas.microsoft.com/office/drawing/2014/main" id="{CCBD4F94-E561-40D5-9B2D-A1EC5FB95F73}"/>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22" name="Shape 8">
          <a:extLst>
            <a:ext uri="{FF2B5EF4-FFF2-40B4-BE49-F238E27FC236}">
              <a16:creationId xmlns:a16="http://schemas.microsoft.com/office/drawing/2014/main" id="{7EAC81E1-6A97-4E37-9A20-EB08435785DB}"/>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23" name="Shape 8">
          <a:extLst>
            <a:ext uri="{FF2B5EF4-FFF2-40B4-BE49-F238E27FC236}">
              <a16:creationId xmlns:a16="http://schemas.microsoft.com/office/drawing/2014/main" id="{0257FEFE-B77A-4658-BDC3-042B7AE78573}"/>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24" name="Shape 7">
          <a:extLst>
            <a:ext uri="{FF2B5EF4-FFF2-40B4-BE49-F238E27FC236}">
              <a16:creationId xmlns:a16="http://schemas.microsoft.com/office/drawing/2014/main" id="{D5F5D386-CE55-4C2C-9F48-BEC1EC39544E}"/>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25" name="Shape 7">
          <a:extLst>
            <a:ext uri="{FF2B5EF4-FFF2-40B4-BE49-F238E27FC236}">
              <a16:creationId xmlns:a16="http://schemas.microsoft.com/office/drawing/2014/main" id="{09CC5B33-9ACA-42A5-8E61-DACAFB67A345}"/>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26" name="Shape 8">
          <a:extLst>
            <a:ext uri="{FF2B5EF4-FFF2-40B4-BE49-F238E27FC236}">
              <a16:creationId xmlns:a16="http://schemas.microsoft.com/office/drawing/2014/main" id="{B8FC736F-E9A6-43DD-AA81-B23EAA725C39}"/>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927" name="Shape 7">
          <a:extLst>
            <a:ext uri="{FF2B5EF4-FFF2-40B4-BE49-F238E27FC236}">
              <a16:creationId xmlns:a16="http://schemas.microsoft.com/office/drawing/2014/main" id="{08B9A935-1BD6-4809-B2BB-A553D8B878BE}"/>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28" name="Shape 8">
          <a:extLst>
            <a:ext uri="{FF2B5EF4-FFF2-40B4-BE49-F238E27FC236}">
              <a16:creationId xmlns:a16="http://schemas.microsoft.com/office/drawing/2014/main" id="{5C2CE3F5-EC56-4EB8-AA36-D2E5C0F4597F}"/>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929" name="Shape 7">
          <a:extLst>
            <a:ext uri="{FF2B5EF4-FFF2-40B4-BE49-F238E27FC236}">
              <a16:creationId xmlns:a16="http://schemas.microsoft.com/office/drawing/2014/main" id="{8D3CA0F8-F7B2-4C33-8822-4E559EC75C1B}"/>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30" name="Shape 8">
          <a:extLst>
            <a:ext uri="{FF2B5EF4-FFF2-40B4-BE49-F238E27FC236}">
              <a16:creationId xmlns:a16="http://schemas.microsoft.com/office/drawing/2014/main" id="{B6683970-E32C-44ED-853C-514EFD3A148F}"/>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931" name="Shape 7">
          <a:extLst>
            <a:ext uri="{FF2B5EF4-FFF2-40B4-BE49-F238E27FC236}">
              <a16:creationId xmlns:a16="http://schemas.microsoft.com/office/drawing/2014/main" id="{5541A02F-A245-4428-B78F-97EB7CBCA68F}"/>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32" name="Shape 8">
          <a:extLst>
            <a:ext uri="{FF2B5EF4-FFF2-40B4-BE49-F238E27FC236}">
              <a16:creationId xmlns:a16="http://schemas.microsoft.com/office/drawing/2014/main" id="{7C7C5C3B-F718-453C-8E90-5BDB83B35755}"/>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33" name="Shape 8">
          <a:extLst>
            <a:ext uri="{FF2B5EF4-FFF2-40B4-BE49-F238E27FC236}">
              <a16:creationId xmlns:a16="http://schemas.microsoft.com/office/drawing/2014/main" id="{6C40B6DC-C9F8-4A74-A13D-A159A56CC967}"/>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934" name="Shape 7">
          <a:extLst>
            <a:ext uri="{FF2B5EF4-FFF2-40B4-BE49-F238E27FC236}">
              <a16:creationId xmlns:a16="http://schemas.microsoft.com/office/drawing/2014/main" id="{E2E505AD-08C4-4AF7-AF18-5652677A9EA4}"/>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35" name="Shape 8">
          <a:extLst>
            <a:ext uri="{FF2B5EF4-FFF2-40B4-BE49-F238E27FC236}">
              <a16:creationId xmlns:a16="http://schemas.microsoft.com/office/drawing/2014/main" id="{D7CBB304-D31B-424D-8A20-27B55DACA328}"/>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36" name="Shape 8">
          <a:extLst>
            <a:ext uri="{FF2B5EF4-FFF2-40B4-BE49-F238E27FC236}">
              <a16:creationId xmlns:a16="http://schemas.microsoft.com/office/drawing/2014/main" id="{605AF6F0-6595-4AF5-ABA2-A36ECFCC4457}"/>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937" name="Shape 7">
          <a:extLst>
            <a:ext uri="{FF2B5EF4-FFF2-40B4-BE49-F238E27FC236}">
              <a16:creationId xmlns:a16="http://schemas.microsoft.com/office/drawing/2014/main" id="{0A78AC26-8A91-4764-BD57-7C1F08DC9225}"/>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38" name="Shape 8">
          <a:extLst>
            <a:ext uri="{FF2B5EF4-FFF2-40B4-BE49-F238E27FC236}">
              <a16:creationId xmlns:a16="http://schemas.microsoft.com/office/drawing/2014/main" id="{BE7BDB4C-9588-4EC0-A420-C84037AEAD8D}"/>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39" name="Shape 8">
          <a:extLst>
            <a:ext uri="{FF2B5EF4-FFF2-40B4-BE49-F238E27FC236}">
              <a16:creationId xmlns:a16="http://schemas.microsoft.com/office/drawing/2014/main" id="{DC21D560-45C9-4A9C-9C73-15919553196D}"/>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940" name="Shape 7">
          <a:extLst>
            <a:ext uri="{FF2B5EF4-FFF2-40B4-BE49-F238E27FC236}">
              <a16:creationId xmlns:a16="http://schemas.microsoft.com/office/drawing/2014/main" id="{5EEF9ABF-17F3-4011-9D9C-C7975544974F}"/>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41" name="Shape 8">
          <a:extLst>
            <a:ext uri="{FF2B5EF4-FFF2-40B4-BE49-F238E27FC236}">
              <a16:creationId xmlns:a16="http://schemas.microsoft.com/office/drawing/2014/main" id="{1FAF7224-D24F-4395-9B2D-2835EB2606AD}"/>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42" name="Shape 8">
          <a:extLst>
            <a:ext uri="{FF2B5EF4-FFF2-40B4-BE49-F238E27FC236}">
              <a16:creationId xmlns:a16="http://schemas.microsoft.com/office/drawing/2014/main" id="{5966F5C1-BF6D-4A2C-9A90-2AA7839CAABD}"/>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943" name="Shape 7">
          <a:extLst>
            <a:ext uri="{FF2B5EF4-FFF2-40B4-BE49-F238E27FC236}">
              <a16:creationId xmlns:a16="http://schemas.microsoft.com/office/drawing/2014/main" id="{BA9B4331-4DA1-44B6-8C52-59989F941CA2}"/>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44" name="Shape 8">
          <a:extLst>
            <a:ext uri="{FF2B5EF4-FFF2-40B4-BE49-F238E27FC236}">
              <a16:creationId xmlns:a16="http://schemas.microsoft.com/office/drawing/2014/main" id="{011F32A1-A323-45DF-B7AD-C5656512547F}"/>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45" name="Shape 8">
          <a:extLst>
            <a:ext uri="{FF2B5EF4-FFF2-40B4-BE49-F238E27FC236}">
              <a16:creationId xmlns:a16="http://schemas.microsoft.com/office/drawing/2014/main" id="{79CD3016-EFA1-4A5D-ACE3-CB6D9E08162E}"/>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946" name="Shape 7">
          <a:extLst>
            <a:ext uri="{FF2B5EF4-FFF2-40B4-BE49-F238E27FC236}">
              <a16:creationId xmlns:a16="http://schemas.microsoft.com/office/drawing/2014/main" id="{93C265A1-157B-4C5E-AEAA-C1E476A470AB}"/>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947" name="Shape 7">
          <a:extLst>
            <a:ext uri="{FF2B5EF4-FFF2-40B4-BE49-F238E27FC236}">
              <a16:creationId xmlns:a16="http://schemas.microsoft.com/office/drawing/2014/main" id="{6D7F8EE9-9E78-40B9-A1E6-3EC69F3C1782}"/>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48" name="Shape 8">
          <a:extLst>
            <a:ext uri="{FF2B5EF4-FFF2-40B4-BE49-F238E27FC236}">
              <a16:creationId xmlns:a16="http://schemas.microsoft.com/office/drawing/2014/main" id="{F2F19BE9-3090-4097-8832-E6BA99847D1E}"/>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49" name="Shape 8">
          <a:extLst>
            <a:ext uri="{FF2B5EF4-FFF2-40B4-BE49-F238E27FC236}">
              <a16:creationId xmlns:a16="http://schemas.microsoft.com/office/drawing/2014/main" id="{817A391D-E4C9-4E9D-AB29-E5F639800DC5}"/>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950" name="Shape 7">
          <a:extLst>
            <a:ext uri="{FF2B5EF4-FFF2-40B4-BE49-F238E27FC236}">
              <a16:creationId xmlns:a16="http://schemas.microsoft.com/office/drawing/2014/main" id="{AA222DCF-890B-4170-837F-4A862D668A40}"/>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951" name="Shape 7">
          <a:extLst>
            <a:ext uri="{FF2B5EF4-FFF2-40B4-BE49-F238E27FC236}">
              <a16:creationId xmlns:a16="http://schemas.microsoft.com/office/drawing/2014/main" id="{B0BDE77B-3836-43F4-8500-815EC7E8F0F5}"/>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52" name="Shape 7">
          <a:extLst>
            <a:ext uri="{FF2B5EF4-FFF2-40B4-BE49-F238E27FC236}">
              <a16:creationId xmlns:a16="http://schemas.microsoft.com/office/drawing/2014/main" id="{022D40BF-34BB-4179-B15A-C556E2A15E83}"/>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53" name="Shape 7">
          <a:extLst>
            <a:ext uri="{FF2B5EF4-FFF2-40B4-BE49-F238E27FC236}">
              <a16:creationId xmlns:a16="http://schemas.microsoft.com/office/drawing/2014/main" id="{35181C73-5082-4CBB-B0C3-219D2ECEBA42}"/>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54" name="Shape 7">
          <a:extLst>
            <a:ext uri="{FF2B5EF4-FFF2-40B4-BE49-F238E27FC236}">
              <a16:creationId xmlns:a16="http://schemas.microsoft.com/office/drawing/2014/main" id="{D24201C4-7423-4F47-9D92-63FDF991B7D1}"/>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55" name="Shape 7">
          <a:extLst>
            <a:ext uri="{FF2B5EF4-FFF2-40B4-BE49-F238E27FC236}">
              <a16:creationId xmlns:a16="http://schemas.microsoft.com/office/drawing/2014/main" id="{9D597BF9-C31F-4D09-9D38-2638FFE89683}"/>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56" name="Shape 7">
          <a:extLst>
            <a:ext uri="{FF2B5EF4-FFF2-40B4-BE49-F238E27FC236}">
              <a16:creationId xmlns:a16="http://schemas.microsoft.com/office/drawing/2014/main" id="{8D6D2CF4-1D41-4329-AD17-E069212905B8}"/>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57" name="Shape 7">
          <a:extLst>
            <a:ext uri="{FF2B5EF4-FFF2-40B4-BE49-F238E27FC236}">
              <a16:creationId xmlns:a16="http://schemas.microsoft.com/office/drawing/2014/main" id="{AC40AD11-B42F-4B6F-8D78-8EC7263ACA7F}"/>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58" name="Shape 7">
          <a:extLst>
            <a:ext uri="{FF2B5EF4-FFF2-40B4-BE49-F238E27FC236}">
              <a16:creationId xmlns:a16="http://schemas.microsoft.com/office/drawing/2014/main" id="{DB732933-3AD5-4110-9637-CBA138793207}"/>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59" name="Shape 7">
          <a:extLst>
            <a:ext uri="{FF2B5EF4-FFF2-40B4-BE49-F238E27FC236}">
              <a16:creationId xmlns:a16="http://schemas.microsoft.com/office/drawing/2014/main" id="{F37A9DF6-7353-45C3-BD56-E34045984C37}"/>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60" name="Shape 7">
          <a:extLst>
            <a:ext uri="{FF2B5EF4-FFF2-40B4-BE49-F238E27FC236}">
              <a16:creationId xmlns:a16="http://schemas.microsoft.com/office/drawing/2014/main" id="{5D0AC3D0-6695-4973-8C81-E6AE0EB347B3}"/>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61" name="Shape 7">
          <a:extLst>
            <a:ext uri="{FF2B5EF4-FFF2-40B4-BE49-F238E27FC236}">
              <a16:creationId xmlns:a16="http://schemas.microsoft.com/office/drawing/2014/main" id="{2F5097CE-EEFB-4F98-9910-DC95F6A6E530}"/>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62" name="Shape 7">
          <a:extLst>
            <a:ext uri="{FF2B5EF4-FFF2-40B4-BE49-F238E27FC236}">
              <a16:creationId xmlns:a16="http://schemas.microsoft.com/office/drawing/2014/main" id="{969F54C6-6172-4072-9644-B2E0BA5DFF46}"/>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63" name="Shape 7">
          <a:extLst>
            <a:ext uri="{FF2B5EF4-FFF2-40B4-BE49-F238E27FC236}">
              <a16:creationId xmlns:a16="http://schemas.microsoft.com/office/drawing/2014/main" id="{8DD21861-88CF-4EAF-A18A-873DBA7009F3}"/>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64" name="Shape 7">
          <a:extLst>
            <a:ext uri="{FF2B5EF4-FFF2-40B4-BE49-F238E27FC236}">
              <a16:creationId xmlns:a16="http://schemas.microsoft.com/office/drawing/2014/main" id="{E7C00192-D9CC-4372-853C-89F83C3BC63B}"/>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65" name="Shape 7">
          <a:extLst>
            <a:ext uri="{FF2B5EF4-FFF2-40B4-BE49-F238E27FC236}">
              <a16:creationId xmlns:a16="http://schemas.microsoft.com/office/drawing/2014/main" id="{ECD9287A-9F3C-4203-BF01-36A2E97AA5A6}"/>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66" name="Shape 7">
          <a:extLst>
            <a:ext uri="{FF2B5EF4-FFF2-40B4-BE49-F238E27FC236}">
              <a16:creationId xmlns:a16="http://schemas.microsoft.com/office/drawing/2014/main" id="{864A9D01-8C66-44FB-A2AD-DB3C186760C8}"/>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2967" name="Shape 7">
          <a:extLst>
            <a:ext uri="{FF2B5EF4-FFF2-40B4-BE49-F238E27FC236}">
              <a16:creationId xmlns:a16="http://schemas.microsoft.com/office/drawing/2014/main" id="{A72F11AE-FE72-4F05-950A-E66DF430297C}"/>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68" name="Shape 7">
          <a:extLst>
            <a:ext uri="{FF2B5EF4-FFF2-40B4-BE49-F238E27FC236}">
              <a16:creationId xmlns:a16="http://schemas.microsoft.com/office/drawing/2014/main" id="{D7B14873-3994-4385-946B-53469EDE1FAE}"/>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69" name="Shape 8">
          <a:extLst>
            <a:ext uri="{FF2B5EF4-FFF2-40B4-BE49-F238E27FC236}">
              <a16:creationId xmlns:a16="http://schemas.microsoft.com/office/drawing/2014/main" id="{83443A36-8408-46AF-BD36-E7D58AA7D42D}"/>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70" name="Shape 7">
          <a:extLst>
            <a:ext uri="{FF2B5EF4-FFF2-40B4-BE49-F238E27FC236}">
              <a16:creationId xmlns:a16="http://schemas.microsoft.com/office/drawing/2014/main" id="{CDC1C09A-15DF-4E65-98C1-9C875AEA7175}"/>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71" name="Shape 8">
          <a:extLst>
            <a:ext uri="{FF2B5EF4-FFF2-40B4-BE49-F238E27FC236}">
              <a16:creationId xmlns:a16="http://schemas.microsoft.com/office/drawing/2014/main" id="{FD5711F2-34EF-4C4A-BF8B-3BE7755C484D}"/>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72" name="Shape 7">
          <a:extLst>
            <a:ext uri="{FF2B5EF4-FFF2-40B4-BE49-F238E27FC236}">
              <a16:creationId xmlns:a16="http://schemas.microsoft.com/office/drawing/2014/main" id="{072AA12D-9040-4E6C-A4BD-4ABB629A812E}"/>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73" name="Shape 8">
          <a:extLst>
            <a:ext uri="{FF2B5EF4-FFF2-40B4-BE49-F238E27FC236}">
              <a16:creationId xmlns:a16="http://schemas.microsoft.com/office/drawing/2014/main" id="{B2E5426F-9785-4438-85A1-543005D03810}"/>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74" name="Shape 8">
          <a:extLst>
            <a:ext uri="{FF2B5EF4-FFF2-40B4-BE49-F238E27FC236}">
              <a16:creationId xmlns:a16="http://schemas.microsoft.com/office/drawing/2014/main" id="{C72BDF5A-2388-4BA3-A54D-E9F470214666}"/>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75" name="Shape 7">
          <a:extLst>
            <a:ext uri="{FF2B5EF4-FFF2-40B4-BE49-F238E27FC236}">
              <a16:creationId xmlns:a16="http://schemas.microsoft.com/office/drawing/2014/main" id="{AFFAF878-8C43-4491-B578-2276D7FCFD42}"/>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76" name="Shape 8">
          <a:extLst>
            <a:ext uri="{FF2B5EF4-FFF2-40B4-BE49-F238E27FC236}">
              <a16:creationId xmlns:a16="http://schemas.microsoft.com/office/drawing/2014/main" id="{8CA96415-55D7-4A63-A7E9-F33FAE5FD680}"/>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77" name="Shape 8">
          <a:extLst>
            <a:ext uri="{FF2B5EF4-FFF2-40B4-BE49-F238E27FC236}">
              <a16:creationId xmlns:a16="http://schemas.microsoft.com/office/drawing/2014/main" id="{ECD882A5-157B-4765-8A01-7E5A75242461}"/>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78" name="Shape 7">
          <a:extLst>
            <a:ext uri="{FF2B5EF4-FFF2-40B4-BE49-F238E27FC236}">
              <a16:creationId xmlns:a16="http://schemas.microsoft.com/office/drawing/2014/main" id="{E5762FC1-C1D4-4F5D-AB7A-C78BCD272BB4}"/>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79" name="Shape 8">
          <a:extLst>
            <a:ext uri="{FF2B5EF4-FFF2-40B4-BE49-F238E27FC236}">
              <a16:creationId xmlns:a16="http://schemas.microsoft.com/office/drawing/2014/main" id="{86AC0946-D0FE-4A2B-9D3B-A8A5B22CDB6A}"/>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80" name="Shape 8">
          <a:extLst>
            <a:ext uri="{FF2B5EF4-FFF2-40B4-BE49-F238E27FC236}">
              <a16:creationId xmlns:a16="http://schemas.microsoft.com/office/drawing/2014/main" id="{3801245B-2C26-4F3A-BD34-393EA4305577}"/>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81" name="Shape 7">
          <a:extLst>
            <a:ext uri="{FF2B5EF4-FFF2-40B4-BE49-F238E27FC236}">
              <a16:creationId xmlns:a16="http://schemas.microsoft.com/office/drawing/2014/main" id="{205BD580-D86F-4954-AFA7-555E1F9CA59D}"/>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82" name="Shape 8">
          <a:extLst>
            <a:ext uri="{FF2B5EF4-FFF2-40B4-BE49-F238E27FC236}">
              <a16:creationId xmlns:a16="http://schemas.microsoft.com/office/drawing/2014/main" id="{434FEF3E-9694-44C6-9128-00F3865BDAD1}"/>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83" name="Shape 8">
          <a:extLst>
            <a:ext uri="{FF2B5EF4-FFF2-40B4-BE49-F238E27FC236}">
              <a16:creationId xmlns:a16="http://schemas.microsoft.com/office/drawing/2014/main" id="{46BB54AD-94D9-451E-846E-9EDACC6F4040}"/>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84" name="Shape 7">
          <a:extLst>
            <a:ext uri="{FF2B5EF4-FFF2-40B4-BE49-F238E27FC236}">
              <a16:creationId xmlns:a16="http://schemas.microsoft.com/office/drawing/2014/main" id="{9AB7FFB9-9EAB-4E70-8B7A-25E2C0CE7B81}"/>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85" name="Shape 8">
          <a:extLst>
            <a:ext uri="{FF2B5EF4-FFF2-40B4-BE49-F238E27FC236}">
              <a16:creationId xmlns:a16="http://schemas.microsoft.com/office/drawing/2014/main" id="{558F9734-CD6A-4143-8280-06688301E4BC}"/>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86" name="Shape 8">
          <a:extLst>
            <a:ext uri="{FF2B5EF4-FFF2-40B4-BE49-F238E27FC236}">
              <a16:creationId xmlns:a16="http://schemas.microsoft.com/office/drawing/2014/main" id="{9CBBF3EF-3566-4DF5-ADF4-CFCD86A2B320}"/>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87" name="Shape 7">
          <a:extLst>
            <a:ext uri="{FF2B5EF4-FFF2-40B4-BE49-F238E27FC236}">
              <a16:creationId xmlns:a16="http://schemas.microsoft.com/office/drawing/2014/main" id="{650DDCF6-D399-41B8-8614-EA300CA808D9}"/>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88" name="Shape 7">
          <a:extLst>
            <a:ext uri="{FF2B5EF4-FFF2-40B4-BE49-F238E27FC236}">
              <a16:creationId xmlns:a16="http://schemas.microsoft.com/office/drawing/2014/main" id="{8F7550EB-B4FD-4324-B1B2-DDEA2486F428}"/>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89" name="Shape 8">
          <a:extLst>
            <a:ext uri="{FF2B5EF4-FFF2-40B4-BE49-F238E27FC236}">
              <a16:creationId xmlns:a16="http://schemas.microsoft.com/office/drawing/2014/main" id="{0575A2AA-3306-4C82-AAFB-B5F51C6FEC1F}"/>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90" name="Shape 8">
          <a:extLst>
            <a:ext uri="{FF2B5EF4-FFF2-40B4-BE49-F238E27FC236}">
              <a16:creationId xmlns:a16="http://schemas.microsoft.com/office/drawing/2014/main" id="{51B9BE89-8589-4782-AF89-40E272D3F08C}"/>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91" name="Shape 7">
          <a:extLst>
            <a:ext uri="{FF2B5EF4-FFF2-40B4-BE49-F238E27FC236}">
              <a16:creationId xmlns:a16="http://schemas.microsoft.com/office/drawing/2014/main" id="{397C33C7-EC3E-4DE0-8548-050F4ECAC2BF}"/>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2992" name="Shape 7">
          <a:extLst>
            <a:ext uri="{FF2B5EF4-FFF2-40B4-BE49-F238E27FC236}">
              <a16:creationId xmlns:a16="http://schemas.microsoft.com/office/drawing/2014/main" id="{47C9E33A-FBE8-4294-B588-4F69A87EC49A}"/>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2993" name="Shape 8">
          <a:extLst>
            <a:ext uri="{FF2B5EF4-FFF2-40B4-BE49-F238E27FC236}">
              <a16:creationId xmlns:a16="http://schemas.microsoft.com/office/drawing/2014/main" id="{77D1DD8C-68BF-4D4C-82D7-6EFD5B32116D}"/>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994" name="Shape 7">
          <a:extLst>
            <a:ext uri="{FF2B5EF4-FFF2-40B4-BE49-F238E27FC236}">
              <a16:creationId xmlns:a16="http://schemas.microsoft.com/office/drawing/2014/main" id="{C3DAC1D8-DCBE-42A8-A0C3-4BF58D49C373}"/>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95" name="Shape 8">
          <a:extLst>
            <a:ext uri="{FF2B5EF4-FFF2-40B4-BE49-F238E27FC236}">
              <a16:creationId xmlns:a16="http://schemas.microsoft.com/office/drawing/2014/main" id="{22B3A1D6-01C6-4783-8671-593547FB07EE}"/>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996" name="Shape 7">
          <a:extLst>
            <a:ext uri="{FF2B5EF4-FFF2-40B4-BE49-F238E27FC236}">
              <a16:creationId xmlns:a16="http://schemas.microsoft.com/office/drawing/2014/main" id="{E47A25BD-25BC-46C8-A13F-3B39A84DD564}"/>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97" name="Shape 8">
          <a:extLst>
            <a:ext uri="{FF2B5EF4-FFF2-40B4-BE49-F238E27FC236}">
              <a16:creationId xmlns:a16="http://schemas.microsoft.com/office/drawing/2014/main" id="{B8822D98-46B3-4193-8ACF-4A2CA1D5D592}"/>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2998" name="Shape 7">
          <a:extLst>
            <a:ext uri="{FF2B5EF4-FFF2-40B4-BE49-F238E27FC236}">
              <a16:creationId xmlns:a16="http://schemas.microsoft.com/office/drawing/2014/main" id="{D62FD5D0-33AB-42A7-85A1-66E0F1139722}"/>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2999" name="Shape 8">
          <a:extLst>
            <a:ext uri="{FF2B5EF4-FFF2-40B4-BE49-F238E27FC236}">
              <a16:creationId xmlns:a16="http://schemas.microsoft.com/office/drawing/2014/main" id="{A684C2CF-755B-492A-9CE0-4A5BF5C71EF7}"/>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000" name="Shape 8">
          <a:extLst>
            <a:ext uri="{FF2B5EF4-FFF2-40B4-BE49-F238E27FC236}">
              <a16:creationId xmlns:a16="http://schemas.microsoft.com/office/drawing/2014/main" id="{932C2EE1-72F9-40F1-AF12-A5693D29352B}"/>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001" name="Shape 7">
          <a:extLst>
            <a:ext uri="{FF2B5EF4-FFF2-40B4-BE49-F238E27FC236}">
              <a16:creationId xmlns:a16="http://schemas.microsoft.com/office/drawing/2014/main" id="{8492D5FB-32C2-4A6F-8982-6F9E7B4597C9}"/>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002" name="Shape 8">
          <a:extLst>
            <a:ext uri="{FF2B5EF4-FFF2-40B4-BE49-F238E27FC236}">
              <a16:creationId xmlns:a16="http://schemas.microsoft.com/office/drawing/2014/main" id="{0ACAFFAA-9E17-4287-AF2F-09C013D6D143}"/>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003" name="Shape 8">
          <a:extLst>
            <a:ext uri="{FF2B5EF4-FFF2-40B4-BE49-F238E27FC236}">
              <a16:creationId xmlns:a16="http://schemas.microsoft.com/office/drawing/2014/main" id="{6486F611-8F76-4FF2-9CD6-7AE16AF0B314}"/>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004" name="Shape 7">
          <a:extLst>
            <a:ext uri="{FF2B5EF4-FFF2-40B4-BE49-F238E27FC236}">
              <a16:creationId xmlns:a16="http://schemas.microsoft.com/office/drawing/2014/main" id="{4C14BC08-242B-44AE-B641-9363507CC8FA}"/>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005" name="Shape 8">
          <a:extLst>
            <a:ext uri="{FF2B5EF4-FFF2-40B4-BE49-F238E27FC236}">
              <a16:creationId xmlns:a16="http://schemas.microsoft.com/office/drawing/2014/main" id="{1364766D-4506-49F7-A3BA-9140E5A48719}"/>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006" name="Shape 8">
          <a:extLst>
            <a:ext uri="{FF2B5EF4-FFF2-40B4-BE49-F238E27FC236}">
              <a16:creationId xmlns:a16="http://schemas.microsoft.com/office/drawing/2014/main" id="{275891DF-4C40-42E7-B149-3AC0498AA8AD}"/>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007" name="Shape 7">
          <a:extLst>
            <a:ext uri="{FF2B5EF4-FFF2-40B4-BE49-F238E27FC236}">
              <a16:creationId xmlns:a16="http://schemas.microsoft.com/office/drawing/2014/main" id="{00ECF9FD-A2FB-4D2F-BFA0-F5DB2F9A0069}"/>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008" name="Shape 8">
          <a:extLst>
            <a:ext uri="{FF2B5EF4-FFF2-40B4-BE49-F238E27FC236}">
              <a16:creationId xmlns:a16="http://schemas.microsoft.com/office/drawing/2014/main" id="{F62ACFCD-961F-44D0-AD3A-C102A6E79898}"/>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009" name="Shape 8">
          <a:extLst>
            <a:ext uri="{FF2B5EF4-FFF2-40B4-BE49-F238E27FC236}">
              <a16:creationId xmlns:a16="http://schemas.microsoft.com/office/drawing/2014/main" id="{CAA73377-E42A-4E40-B4F2-CBAC30E786F3}"/>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010" name="Shape 7">
          <a:extLst>
            <a:ext uri="{FF2B5EF4-FFF2-40B4-BE49-F238E27FC236}">
              <a16:creationId xmlns:a16="http://schemas.microsoft.com/office/drawing/2014/main" id="{46A0521C-513E-4AE7-9BA0-08C9F0807817}"/>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011" name="Shape 8">
          <a:extLst>
            <a:ext uri="{FF2B5EF4-FFF2-40B4-BE49-F238E27FC236}">
              <a16:creationId xmlns:a16="http://schemas.microsoft.com/office/drawing/2014/main" id="{C893E814-10D5-4284-98D0-9283CE7C4207}"/>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012" name="Shape 8">
          <a:extLst>
            <a:ext uri="{FF2B5EF4-FFF2-40B4-BE49-F238E27FC236}">
              <a16:creationId xmlns:a16="http://schemas.microsoft.com/office/drawing/2014/main" id="{8B0A3C11-D644-4BA6-812D-05B8E01165C3}"/>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013" name="Shape 7">
          <a:extLst>
            <a:ext uri="{FF2B5EF4-FFF2-40B4-BE49-F238E27FC236}">
              <a16:creationId xmlns:a16="http://schemas.microsoft.com/office/drawing/2014/main" id="{9ACD61FF-F765-4059-A22C-34E26D4BC820}"/>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014" name="Shape 7">
          <a:extLst>
            <a:ext uri="{FF2B5EF4-FFF2-40B4-BE49-F238E27FC236}">
              <a16:creationId xmlns:a16="http://schemas.microsoft.com/office/drawing/2014/main" id="{A41C8605-8DC4-4CBF-8BA1-9D13A0906F89}"/>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015" name="Shape 8">
          <a:extLst>
            <a:ext uri="{FF2B5EF4-FFF2-40B4-BE49-F238E27FC236}">
              <a16:creationId xmlns:a16="http://schemas.microsoft.com/office/drawing/2014/main" id="{DF8658CD-0FB2-4394-A8A8-4B3B436C5A64}"/>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016" name="Shape 8">
          <a:extLst>
            <a:ext uri="{FF2B5EF4-FFF2-40B4-BE49-F238E27FC236}">
              <a16:creationId xmlns:a16="http://schemas.microsoft.com/office/drawing/2014/main" id="{1196344C-78D2-4103-BA0E-24E0D7921685}"/>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017" name="Shape 7">
          <a:extLst>
            <a:ext uri="{FF2B5EF4-FFF2-40B4-BE49-F238E27FC236}">
              <a16:creationId xmlns:a16="http://schemas.microsoft.com/office/drawing/2014/main" id="{7EA21EB2-B842-4066-9DF0-0E9B6B20C13B}"/>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018" name="Shape 7">
          <a:extLst>
            <a:ext uri="{FF2B5EF4-FFF2-40B4-BE49-F238E27FC236}">
              <a16:creationId xmlns:a16="http://schemas.microsoft.com/office/drawing/2014/main" id="{5B409508-5446-4A71-8968-C8414419BD42}"/>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019" name="Shape 8">
          <a:extLst>
            <a:ext uri="{FF2B5EF4-FFF2-40B4-BE49-F238E27FC236}">
              <a16:creationId xmlns:a16="http://schemas.microsoft.com/office/drawing/2014/main" id="{215CE71A-F4CB-47C4-B378-47CE1ADE52BA}"/>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020" name="Shape 8">
          <a:extLst>
            <a:ext uri="{FF2B5EF4-FFF2-40B4-BE49-F238E27FC236}">
              <a16:creationId xmlns:a16="http://schemas.microsoft.com/office/drawing/2014/main" id="{500D6F33-FF88-49B8-A4B6-EB5BB4827CC3}"/>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21" name="Shape 7">
          <a:extLst>
            <a:ext uri="{FF2B5EF4-FFF2-40B4-BE49-F238E27FC236}">
              <a16:creationId xmlns:a16="http://schemas.microsoft.com/office/drawing/2014/main" id="{1ADB3C92-4F37-4758-A786-0ABD1873B011}"/>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22" name="Shape 7">
          <a:extLst>
            <a:ext uri="{FF2B5EF4-FFF2-40B4-BE49-F238E27FC236}">
              <a16:creationId xmlns:a16="http://schemas.microsoft.com/office/drawing/2014/main" id="{71BBC912-CFDD-44DB-AA0C-4161B225A3B8}"/>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23" name="Shape 7">
          <a:extLst>
            <a:ext uri="{FF2B5EF4-FFF2-40B4-BE49-F238E27FC236}">
              <a16:creationId xmlns:a16="http://schemas.microsoft.com/office/drawing/2014/main" id="{4BDC116B-2497-4E66-B208-EB6507EAE196}"/>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24" name="Shape 7">
          <a:extLst>
            <a:ext uri="{FF2B5EF4-FFF2-40B4-BE49-F238E27FC236}">
              <a16:creationId xmlns:a16="http://schemas.microsoft.com/office/drawing/2014/main" id="{1EAC3598-6261-4441-952E-6C9F8D5E2C84}"/>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25" name="Shape 7">
          <a:extLst>
            <a:ext uri="{FF2B5EF4-FFF2-40B4-BE49-F238E27FC236}">
              <a16:creationId xmlns:a16="http://schemas.microsoft.com/office/drawing/2014/main" id="{96ED9423-EBC3-4A48-8562-B23D04B28837}"/>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26" name="Shape 7">
          <a:extLst>
            <a:ext uri="{FF2B5EF4-FFF2-40B4-BE49-F238E27FC236}">
              <a16:creationId xmlns:a16="http://schemas.microsoft.com/office/drawing/2014/main" id="{E212F0FA-B455-4CE5-A1D5-A2C60BCB751D}"/>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27" name="Shape 7">
          <a:extLst>
            <a:ext uri="{FF2B5EF4-FFF2-40B4-BE49-F238E27FC236}">
              <a16:creationId xmlns:a16="http://schemas.microsoft.com/office/drawing/2014/main" id="{B58F8DC1-C878-493A-B8C7-F884FA2E4B8E}"/>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28" name="Shape 7">
          <a:extLst>
            <a:ext uri="{FF2B5EF4-FFF2-40B4-BE49-F238E27FC236}">
              <a16:creationId xmlns:a16="http://schemas.microsoft.com/office/drawing/2014/main" id="{3621C86E-EE98-4234-B1DB-1387269C736D}"/>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29" name="Shape 7">
          <a:extLst>
            <a:ext uri="{FF2B5EF4-FFF2-40B4-BE49-F238E27FC236}">
              <a16:creationId xmlns:a16="http://schemas.microsoft.com/office/drawing/2014/main" id="{0EEB17FF-6F32-4F6A-AA27-A64BF47BB6C7}"/>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30" name="Shape 7">
          <a:extLst>
            <a:ext uri="{FF2B5EF4-FFF2-40B4-BE49-F238E27FC236}">
              <a16:creationId xmlns:a16="http://schemas.microsoft.com/office/drawing/2014/main" id="{B3B8FFEF-6E3D-4C79-BE1C-975D4E4799DF}"/>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31" name="Shape 7">
          <a:extLst>
            <a:ext uri="{FF2B5EF4-FFF2-40B4-BE49-F238E27FC236}">
              <a16:creationId xmlns:a16="http://schemas.microsoft.com/office/drawing/2014/main" id="{DC95AB15-C146-4589-9128-B4E058FEE306}"/>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32" name="Shape 7">
          <a:extLst>
            <a:ext uri="{FF2B5EF4-FFF2-40B4-BE49-F238E27FC236}">
              <a16:creationId xmlns:a16="http://schemas.microsoft.com/office/drawing/2014/main" id="{7D14844E-0759-4261-A2FD-78C4FA4D0B7A}"/>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33" name="Shape 7">
          <a:extLst>
            <a:ext uri="{FF2B5EF4-FFF2-40B4-BE49-F238E27FC236}">
              <a16:creationId xmlns:a16="http://schemas.microsoft.com/office/drawing/2014/main" id="{0A600E9B-6AAD-4EB4-96FF-1C259E942ADD}"/>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34" name="Shape 7">
          <a:extLst>
            <a:ext uri="{FF2B5EF4-FFF2-40B4-BE49-F238E27FC236}">
              <a16:creationId xmlns:a16="http://schemas.microsoft.com/office/drawing/2014/main" id="{08DC8CF6-F52B-4374-A18A-78B61A196C08}"/>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35" name="Shape 7">
          <a:extLst>
            <a:ext uri="{FF2B5EF4-FFF2-40B4-BE49-F238E27FC236}">
              <a16:creationId xmlns:a16="http://schemas.microsoft.com/office/drawing/2014/main" id="{460E8EC0-7545-415E-9800-98FD46FEB577}"/>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036" name="Shape 7">
          <a:extLst>
            <a:ext uri="{FF2B5EF4-FFF2-40B4-BE49-F238E27FC236}">
              <a16:creationId xmlns:a16="http://schemas.microsoft.com/office/drawing/2014/main" id="{18C8A879-ABDB-4721-83D2-1E8FAB5CA4E9}"/>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37" name="Shape 7">
          <a:extLst>
            <a:ext uri="{FF2B5EF4-FFF2-40B4-BE49-F238E27FC236}">
              <a16:creationId xmlns:a16="http://schemas.microsoft.com/office/drawing/2014/main" id="{0228A149-4FBB-4070-951E-4B94974782CB}"/>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38" name="Shape 8">
          <a:extLst>
            <a:ext uri="{FF2B5EF4-FFF2-40B4-BE49-F238E27FC236}">
              <a16:creationId xmlns:a16="http://schemas.microsoft.com/office/drawing/2014/main" id="{8E3F9058-FAB2-44B9-9D5B-D1ABEA341A91}"/>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39" name="Shape 7">
          <a:extLst>
            <a:ext uri="{FF2B5EF4-FFF2-40B4-BE49-F238E27FC236}">
              <a16:creationId xmlns:a16="http://schemas.microsoft.com/office/drawing/2014/main" id="{1C8F89BE-FF26-4AAF-84DA-B7E648E76B75}"/>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40" name="Shape 8">
          <a:extLst>
            <a:ext uri="{FF2B5EF4-FFF2-40B4-BE49-F238E27FC236}">
              <a16:creationId xmlns:a16="http://schemas.microsoft.com/office/drawing/2014/main" id="{19940B3D-C0BE-40A6-B0AF-654BCAC58234}"/>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41" name="Shape 7">
          <a:extLst>
            <a:ext uri="{FF2B5EF4-FFF2-40B4-BE49-F238E27FC236}">
              <a16:creationId xmlns:a16="http://schemas.microsoft.com/office/drawing/2014/main" id="{7A741786-AC45-4DAC-8B61-311BF75F6A1E}"/>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42" name="Shape 8">
          <a:extLst>
            <a:ext uri="{FF2B5EF4-FFF2-40B4-BE49-F238E27FC236}">
              <a16:creationId xmlns:a16="http://schemas.microsoft.com/office/drawing/2014/main" id="{8E2FF692-7945-4699-A29F-EE2A12CA1E1F}"/>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43" name="Shape 8">
          <a:extLst>
            <a:ext uri="{FF2B5EF4-FFF2-40B4-BE49-F238E27FC236}">
              <a16:creationId xmlns:a16="http://schemas.microsoft.com/office/drawing/2014/main" id="{7BCE82C7-CC15-4150-A4B1-AD608DDFF6EE}"/>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44" name="Shape 7">
          <a:extLst>
            <a:ext uri="{FF2B5EF4-FFF2-40B4-BE49-F238E27FC236}">
              <a16:creationId xmlns:a16="http://schemas.microsoft.com/office/drawing/2014/main" id="{5229B7C5-6D25-4FA1-983D-686421964FD0}"/>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45" name="Shape 8">
          <a:extLst>
            <a:ext uri="{FF2B5EF4-FFF2-40B4-BE49-F238E27FC236}">
              <a16:creationId xmlns:a16="http://schemas.microsoft.com/office/drawing/2014/main" id="{E2535003-F914-418B-B69D-2AD65F47AAD8}"/>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46" name="Shape 8">
          <a:extLst>
            <a:ext uri="{FF2B5EF4-FFF2-40B4-BE49-F238E27FC236}">
              <a16:creationId xmlns:a16="http://schemas.microsoft.com/office/drawing/2014/main" id="{CFCF6DE7-E8E9-4C9C-8665-1B246D8C5694}"/>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47" name="Shape 7">
          <a:extLst>
            <a:ext uri="{FF2B5EF4-FFF2-40B4-BE49-F238E27FC236}">
              <a16:creationId xmlns:a16="http://schemas.microsoft.com/office/drawing/2014/main" id="{51158A9B-85E4-4043-B529-15681B62D3EB}"/>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48" name="Shape 8">
          <a:extLst>
            <a:ext uri="{FF2B5EF4-FFF2-40B4-BE49-F238E27FC236}">
              <a16:creationId xmlns:a16="http://schemas.microsoft.com/office/drawing/2014/main" id="{191791DC-4038-4940-8DBB-BECFD4594FE0}"/>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49" name="Shape 8">
          <a:extLst>
            <a:ext uri="{FF2B5EF4-FFF2-40B4-BE49-F238E27FC236}">
              <a16:creationId xmlns:a16="http://schemas.microsoft.com/office/drawing/2014/main" id="{292BC544-72A2-4D16-8D70-AEBD507A3452}"/>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50" name="Shape 7">
          <a:extLst>
            <a:ext uri="{FF2B5EF4-FFF2-40B4-BE49-F238E27FC236}">
              <a16:creationId xmlns:a16="http://schemas.microsoft.com/office/drawing/2014/main" id="{0BCE1CA2-72D7-4CC0-9B67-FF2B57D9324D}"/>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51" name="Shape 8">
          <a:extLst>
            <a:ext uri="{FF2B5EF4-FFF2-40B4-BE49-F238E27FC236}">
              <a16:creationId xmlns:a16="http://schemas.microsoft.com/office/drawing/2014/main" id="{DA6AB791-7C66-429B-B2E5-EE568FC900CC}"/>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52" name="Shape 8">
          <a:extLst>
            <a:ext uri="{FF2B5EF4-FFF2-40B4-BE49-F238E27FC236}">
              <a16:creationId xmlns:a16="http://schemas.microsoft.com/office/drawing/2014/main" id="{28CEAA14-FC50-4A01-B837-CC6B93E14DD5}"/>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53" name="Shape 7">
          <a:extLst>
            <a:ext uri="{FF2B5EF4-FFF2-40B4-BE49-F238E27FC236}">
              <a16:creationId xmlns:a16="http://schemas.microsoft.com/office/drawing/2014/main" id="{82B4E20E-868D-428B-949B-D97DFF268FCF}"/>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54" name="Shape 8">
          <a:extLst>
            <a:ext uri="{FF2B5EF4-FFF2-40B4-BE49-F238E27FC236}">
              <a16:creationId xmlns:a16="http://schemas.microsoft.com/office/drawing/2014/main" id="{527C3822-6019-4C6E-9725-C062FBA72252}"/>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55" name="Shape 8">
          <a:extLst>
            <a:ext uri="{FF2B5EF4-FFF2-40B4-BE49-F238E27FC236}">
              <a16:creationId xmlns:a16="http://schemas.microsoft.com/office/drawing/2014/main" id="{AF020D0D-E5A1-4FA9-9473-417D05E297BC}"/>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56" name="Shape 7">
          <a:extLst>
            <a:ext uri="{FF2B5EF4-FFF2-40B4-BE49-F238E27FC236}">
              <a16:creationId xmlns:a16="http://schemas.microsoft.com/office/drawing/2014/main" id="{DCFE056F-31F1-4E92-B5D5-1790377AF243}"/>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57" name="Shape 7">
          <a:extLst>
            <a:ext uri="{FF2B5EF4-FFF2-40B4-BE49-F238E27FC236}">
              <a16:creationId xmlns:a16="http://schemas.microsoft.com/office/drawing/2014/main" id="{16520ED1-CED8-4D4D-AA74-A3307E97CA34}"/>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58" name="Shape 8">
          <a:extLst>
            <a:ext uri="{FF2B5EF4-FFF2-40B4-BE49-F238E27FC236}">
              <a16:creationId xmlns:a16="http://schemas.microsoft.com/office/drawing/2014/main" id="{03366A1D-56D6-4E80-8292-13BE6C1BFEF4}"/>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59" name="Shape 8">
          <a:extLst>
            <a:ext uri="{FF2B5EF4-FFF2-40B4-BE49-F238E27FC236}">
              <a16:creationId xmlns:a16="http://schemas.microsoft.com/office/drawing/2014/main" id="{9CA2BF0E-6751-4D5F-8883-F2B9E1D9F450}"/>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60" name="Shape 7">
          <a:extLst>
            <a:ext uri="{FF2B5EF4-FFF2-40B4-BE49-F238E27FC236}">
              <a16:creationId xmlns:a16="http://schemas.microsoft.com/office/drawing/2014/main" id="{B0397A41-7815-47ED-9042-2F8F349B231F}"/>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61" name="Shape 7">
          <a:extLst>
            <a:ext uri="{FF2B5EF4-FFF2-40B4-BE49-F238E27FC236}">
              <a16:creationId xmlns:a16="http://schemas.microsoft.com/office/drawing/2014/main" id="{1586FD83-76A9-4E53-ABF6-57AEFF038A50}"/>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62" name="Shape 8">
          <a:extLst>
            <a:ext uri="{FF2B5EF4-FFF2-40B4-BE49-F238E27FC236}">
              <a16:creationId xmlns:a16="http://schemas.microsoft.com/office/drawing/2014/main" id="{480F3278-CA12-4B45-A43F-B9EE1F9B67C7}"/>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63" name="Shape 7">
          <a:extLst>
            <a:ext uri="{FF2B5EF4-FFF2-40B4-BE49-F238E27FC236}">
              <a16:creationId xmlns:a16="http://schemas.microsoft.com/office/drawing/2014/main" id="{30857DD9-F681-4EC9-889E-A8FB5EC2B3A9}"/>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64" name="Shape 8">
          <a:extLst>
            <a:ext uri="{FF2B5EF4-FFF2-40B4-BE49-F238E27FC236}">
              <a16:creationId xmlns:a16="http://schemas.microsoft.com/office/drawing/2014/main" id="{3F2EFEFE-E970-4373-852C-A6CE1564F05E}"/>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65" name="Shape 7">
          <a:extLst>
            <a:ext uri="{FF2B5EF4-FFF2-40B4-BE49-F238E27FC236}">
              <a16:creationId xmlns:a16="http://schemas.microsoft.com/office/drawing/2014/main" id="{1FDC88DA-84F6-4DD9-9DE0-328196259FB4}"/>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66" name="Shape 8">
          <a:extLst>
            <a:ext uri="{FF2B5EF4-FFF2-40B4-BE49-F238E27FC236}">
              <a16:creationId xmlns:a16="http://schemas.microsoft.com/office/drawing/2014/main" id="{4F276EC1-9428-4AE6-A2A6-903E1798CBE3}"/>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67" name="Shape 7">
          <a:extLst>
            <a:ext uri="{FF2B5EF4-FFF2-40B4-BE49-F238E27FC236}">
              <a16:creationId xmlns:a16="http://schemas.microsoft.com/office/drawing/2014/main" id="{699D5D19-8AD5-4CF5-AB4F-B72605DFECFD}"/>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68" name="Shape 8">
          <a:extLst>
            <a:ext uri="{FF2B5EF4-FFF2-40B4-BE49-F238E27FC236}">
              <a16:creationId xmlns:a16="http://schemas.microsoft.com/office/drawing/2014/main" id="{92B29C1F-770D-45B2-9D5D-75E3D9C0B192}"/>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69" name="Shape 8">
          <a:extLst>
            <a:ext uri="{FF2B5EF4-FFF2-40B4-BE49-F238E27FC236}">
              <a16:creationId xmlns:a16="http://schemas.microsoft.com/office/drawing/2014/main" id="{E0D5CB7B-CCA8-4A5E-BB84-2B4D0F0B77AB}"/>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70" name="Shape 7">
          <a:extLst>
            <a:ext uri="{FF2B5EF4-FFF2-40B4-BE49-F238E27FC236}">
              <a16:creationId xmlns:a16="http://schemas.microsoft.com/office/drawing/2014/main" id="{1353929D-4449-429A-ADB0-C774A6D0E4DC}"/>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71" name="Shape 8">
          <a:extLst>
            <a:ext uri="{FF2B5EF4-FFF2-40B4-BE49-F238E27FC236}">
              <a16:creationId xmlns:a16="http://schemas.microsoft.com/office/drawing/2014/main" id="{CCF41842-1964-41DD-9FB3-1CE31B26BD7E}"/>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72" name="Shape 8">
          <a:extLst>
            <a:ext uri="{FF2B5EF4-FFF2-40B4-BE49-F238E27FC236}">
              <a16:creationId xmlns:a16="http://schemas.microsoft.com/office/drawing/2014/main" id="{066442E4-428A-4519-9010-B4EE8FE8BFD8}"/>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73" name="Shape 7">
          <a:extLst>
            <a:ext uri="{FF2B5EF4-FFF2-40B4-BE49-F238E27FC236}">
              <a16:creationId xmlns:a16="http://schemas.microsoft.com/office/drawing/2014/main" id="{3AF808C2-82F6-4A29-93C0-16640758A05F}"/>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74" name="Shape 8">
          <a:extLst>
            <a:ext uri="{FF2B5EF4-FFF2-40B4-BE49-F238E27FC236}">
              <a16:creationId xmlns:a16="http://schemas.microsoft.com/office/drawing/2014/main" id="{77C02D04-BEC3-4F9E-A619-0D7D33D502D8}"/>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75" name="Shape 8">
          <a:extLst>
            <a:ext uri="{FF2B5EF4-FFF2-40B4-BE49-F238E27FC236}">
              <a16:creationId xmlns:a16="http://schemas.microsoft.com/office/drawing/2014/main" id="{C34F5421-955C-48AA-B84C-5B1EF74732DF}"/>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76" name="Shape 7">
          <a:extLst>
            <a:ext uri="{FF2B5EF4-FFF2-40B4-BE49-F238E27FC236}">
              <a16:creationId xmlns:a16="http://schemas.microsoft.com/office/drawing/2014/main" id="{A1644915-F5AB-479C-88AF-015837870577}"/>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77" name="Shape 8">
          <a:extLst>
            <a:ext uri="{FF2B5EF4-FFF2-40B4-BE49-F238E27FC236}">
              <a16:creationId xmlns:a16="http://schemas.microsoft.com/office/drawing/2014/main" id="{870364A6-C4AB-4FC8-81C5-BE9CB1A0617B}"/>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78" name="Shape 8">
          <a:extLst>
            <a:ext uri="{FF2B5EF4-FFF2-40B4-BE49-F238E27FC236}">
              <a16:creationId xmlns:a16="http://schemas.microsoft.com/office/drawing/2014/main" id="{7E57CF41-5A7C-4A87-8C38-0370C650EA09}"/>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79" name="Shape 7">
          <a:extLst>
            <a:ext uri="{FF2B5EF4-FFF2-40B4-BE49-F238E27FC236}">
              <a16:creationId xmlns:a16="http://schemas.microsoft.com/office/drawing/2014/main" id="{4A11892C-A089-4A9E-BCA3-3AC44E063AF2}"/>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80" name="Shape 8">
          <a:extLst>
            <a:ext uri="{FF2B5EF4-FFF2-40B4-BE49-F238E27FC236}">
              <a16:creationId xmlns:a16="http://schemas.microsoft.com/office/drawing/2014/main" id="{1FD04E9B-5F01-464E-9C73-C9602F6D5692}"/>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81" name="Shape 8">
          <a:extLst>
            <a:ext uri="{FF2B5EF4-FFF2-40B4-BE49-F238E27FC236}">
              <a16:creationId xmlns:a16="http://schemas.microsoft.com/office/drawing/2014/main" id="{5A20111B-6D4C-4BE1-88B3-0FFE01A4DE96}"/>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82" name="Shape 7">
          <a:extLst>
            <a:ext uri="{FF2B5EF4-FFF2-40B4-BE49-F238E27FC236}">
              <a16:creationId xmlns:a16="http://schemas.microsoft.com/office/drawing/2014/main" id="{D5452848-DEB2-4D19-9D2C-DBA79B07D7E0}"/>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83" name="Shape 7">
          <a:extLst>
            <a:ext uri="{FF2B5EF4-FFF2-40B4-BE49-F238E27FC236}">
              <a16:creationId xmlns:a16="http://schemas.microsoft.com/office/drawing/2014/main" id="{047218C6-2F68-4BE3-9D9F-C4A9D8DB7FD3}"/>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84" name="Shape 8">
          <a:extLst>
            <a:ext uri="{FF2B5EF4-FFF2-40B4-BE49-F238E27FC236}">
              <a16:creationId xmlns:a16="http://schemas.microsoft.com/office/drawing/2014/main" id="{DFB4616B-58B8-4629-9832-018A53CB35EE}"/>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85" name="Shape 8">
          <a:extLst>
            <a:ext uri="{FF2B5EF4-FFF2-40B4-BE49-F238E27FC236}">
              <a16:creationId xmlns:a16="http://schemas.microsoft.com/office/drawing/2014/main" id="{02F80E09-A23C-4772-B3EE-243EB5CFED83}"/>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86" name="Shape 7">
          <a:extLst>
            <a:ext uri="{FF2B5EF4-FFF2-40B4-BE49-F238E27FC236}">
              <a16:creationId xmlns:a16="http://schemas.microsoft.com/office/drawing/2014/main" id="{C0FFEEAF-49FF-4675-8474-6A449FC06DCE}"/>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87" name="Shape 7">
          <a:extLst>
            <a:ext uri="{FF2B5EF4-FFF2-40B4-BE49-F238E27FC236}">
              <a16:creationId xmlns:a16="http://schemas.microsoft.com/office/drawing/2014/main" id="{6C67B99F-1ED9-4C5F-873E-FEAEBADC2621}"/>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88" name="Shape 8">
          <a:extLst>
            <a:ext uri="{FF2B5EF4-FFF2-40B4-BE49-F238E27FC236}">
              <a16:creationId xmlns:a16="http://schemas.microsoft.com/office/drawing/2014/main" id="{DE4757FD-2034-437B-9F79-AEF169C55FFD}"/>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89" name="Shape 7">
          <a:extLst>
            <a:ext uri="{FF2B5EF4-FFF2-40B4-BE49-F238E27FC236}">
              <a16:creationId xmlns:a16="http://schemas.microsoft.com/office/drawing/2014/main" id="{7BBB511B-F7AD-4B74-859C-00D1F2A2D845}"/>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90" name="Shape 8">
          <a:extLst>
            <a:ext uri="{FF2B5EF4-FFF2-40B4-BE49-F238E27FC236}">
              <a16:creationId xmlns:a16="http://schemas.microsoft.com/office/drawing/2014/main" id="{F8F6B790-C21B-46C3-B09F-3AEFB6F4C517}"/>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91" name="Shape 7">
          <a:extLst>
            <a:ext uri="{FF2B5EF4-FFF2-40B4-BE49-F238E27FC236}">
              <a16:creationId xmlns:a16="http://schemas.microsoft.com/office/drawing/2014/main" id="{6AF56006-5CEB-4EB7-85CD-3379FB346590}"/>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92" name="Shape 8">
          <a:extLst>
            <a:ext uri="{FF2B5EF4-FFF2-40B4-BE49-F238E27FC236}">
              <a16:creationId xmlns:a16="http://schemas.microsoft.com/office/drawing/2014/main" id="{A5FF2C94-B32A-45CD-8AAA-37F5FADC243C}"/>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93" name="Shape 7">
          <a:extLst>
            <a:ext uri="{FF2B5EF4-FFF2-40B4-BE49-F238E27FC236}">
              <a16:creationId xmlns:a16="http://schemas.microsoft.com/office/drawing/2014/main" id="{C1C4F532-9C03-467A-B305-F41BA4D800D8}"/>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94" name="Shape 8">
          <a:extLst>
            <a:ext uri="{FF2B5EF4-FFF2-40B4-BE49-F238E27FC236}">
              <a16:creationId xmlns:a16="http://schemas.microsoft.com/office/drawing/2014/main" id="{47A8C76B-E8F5-410A-B460-13BE398AE570}"/>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95" name="Shape 8">
          <a:extLst>
            <a:ext uri="{FF2B5EF4-FFF2-40B4-BE49-F238E27FC236}">
              <a16:creationId xmlns:a16="http://schemas.microsoft.com/office/drawing/2014/main" id="{59F08A08-1590-438E-ACC0-95DE46150925}"/>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96" name="Shape 7">
          <a:extLst>
            <a:ext uri="{FF2B5EF4-FFF2-40B4-BE49-F238E27FC236}">
              <a16:creationId xmlns:a16="http://schemas.microsoft.com/office/drawing/2014/main" id="{5E09385B-7DC2-4E29-A09A-B0424FDEBB03}"/>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97" name="Shape 8">
          <a:extLst>
            <a:ext uri="{FF2B5EF4-FFF2-40B4-BE49-F238E27FC236}">
              <a16:creationId xmlns:a16="http://schemas.microsoft.com/office/drawing/2014/main" id="{AD0EE56C-EF0A-4691-834C-5630288C5F7C}"/>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098" name="Shape 8">
          <a:extLst>
            <a:ext uri="{FF2B5EF4-FFF2-40B4-BE49-F238E27FC236}">
              <a16:creationId xmlns:a16="http://schemas.microsoft.com/office/drawing/2014/main" id="{3600CA6C-74D1-4BE5-A859-13E5034BB80A}"/>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099" name="Shape 7">
          <a:extLst>
            <a:ext uri="{FF2B5EF4-FFF2-40B4-BE49-F238E27FC236}">
              <a16:creationId xmlns:a16="http://schemas.microsoft.com/office/drawing/2014/main" id="{F405132B-5C55-4C2B-88CD-68196F30ECA9}"/>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00" name="Shape 8">
          <a:extLst>
            <a:ext uri="{FF2B5EF4-FFF2-40B4-BE49-F238E27FC236}">
              <a16:creationId xmlns:a16="http://schemas.microsoft.com/office/drawing/2014/main" id="{B0396419-4356-49E3-85DE-50CA602A8D4F}"/>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01" name="Shape 8">
          <a:extLst>
            <a:ext uri="{FF2B5EF4-FFF2-40B4-BE49-F238E27FC236}">
              <a16:creationId xmlns:a16="http://schemas.microsoft.com/office/drawing/2014/main" id="{F629206C-DB09-462B-87A9-0EE50F9D436F}"/>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02" name="Shape 7">
          <a:extLst>
            <a:ext uri="{FF2B5EF4-FFF2-40B4-BE49-F238E27FC236}">
              <a16:creationId xmlns:a16="http://schemas.microsoft.com/office/drawing/2014/main" id="{FAC04DB9-6D05-4113-9EE5-5BAE89961AC2}"/>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03" name="Shape 8">
          <a:extLst>
            <a:ext uri="{FF2B5EF4-FFF2-40B4-BE49-F238E27FC236}">
              <a16:creationId xmlns:a16="http://schemas.microsoft.com/office/drawing/2014/main" id="{69708680-BE2A-4CD5-89AC-3F0CA6D3A488}"/>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04" name="Shape 8">
          <a:extLst>
            <a:ext uri="{FF2B5EF4-FFF2-40B4-BE49-F238E27FC236}">
              <a16:creationId xmlns:a16="http://schemas.microsoft.com/office/drawing/2014/main" id="{2F26A3BF-083C-44C0-869A-7D6A699D1808}"/>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05" name="Shape 7">
          <a:extLst>
            <a:ext uri="{FF2B5EF4-FFF2-40B4-BE49-F238E27FC236}">
              <a16:creationId xmlns:a16="http://schemas.microsoft.com/office/drawing/2014/main" id="{EE08C9F9-E29E-4F9F-8525-24528A44B632}"/>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06" name="Shape 8">
          <a:extLst>
            <a:ext uri="{FF2B5EF4-FFF2-40B4-BE49-F238E27FC236}">
              <a16:creationId xmlns:a16="http://schemas.microsoft.com/office/drawing/2014/main" id="{2A100456-E0B7-4791-B2DC-87F39ED599F3}"/>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07" name="Shape 8">
          <a:extLst>
            <a:ext uri="{FF2B5EF4-FFF2-40B4-BE49-F238E27FC236}">
              <a16:creationId xmlns:a16="http://schemas.microsoft.com/office/drawing/2014/main" id="{AA53B3A8-24D1-42C8-A014-96DF75DBA4F3}"/>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08" name="Shape 7">
          <a:extLst>
            <a:ext uri="{FF2B5EF4-FFF2-40B4-BE49-F238E27FC236}">
              <a16:creationId xmlns:a16="http://schemas.microsoft.com/office/drawing/2014/main" id="{D0A5001C-3FBA-412A-9309-ED1770B2AB5C}"/>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09" name="Shape 7">
          <a:extLst>
            <a:ext uri="{FF2B5EF4-FFF2-40B4-BE49-F238E27FC236}">
              <a16:creationId xmlns:a16="http://schemas.microsoft.com/office/drawing/2014/main" id="{4CAB77F3-C9BC-471A-AD12-9F3A7740460B}"/>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10" name="Shape 8">
          <a:extLst>
            <a:ext uri="{FF2B5EF4-FFF2-40B4-BE49-F238E27FC236}">
              <a16:creationId xmlns:a16="http://schemas.microsoft.com/office/drawing/2014/main" id="{C9C883DE-3190-486A-8558-54751140575D}"/>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11" name="Shape 8">
          <a:extLst>
            <a:ext uri="{FF2B5EF4-FFF2-40B4-BE49-F238E27FC236}">
              <a16:creationId xmlns:a16="http://schemas.microsoft.com/office/drawing/2014/main" id="{ABD697E3-2523-4A8F-BFBA-9F3B57952F8D}"/>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12" name="Shape 7">
          <a:extLst>
            <a:ext uri="{FF2B5EF4-FFF2-40B4-BE49-F238E27FC236}">
              <a16:creationId xmlns:a16="http://schemas.microsoft.com/office/drawing/2014/main" id="{4C54341A-2FA4-4D45-B5CE-4045BEEBBAA8}"/>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13" name="Shape 7">
          <a:extLst>
            <a:ext uri="{FF2B5EF4-FFF2-40B4-BE49-F238E27FC236}">
              <a16:creationId xmlns:a16="http://schemas.microsoft.com/office/drawing/2014/main" id="{01F90B11-AF4C-4BB5-A2B5-E9C81E274F13}"/>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14" name="Shape 8">
          <a:extLst>
            <a:ext uri="{FF2B5EF4-FFF2-40B4-BE49-F238E27FC236}">
              <a16:creationId xmlns:a16="http://schemas.microsoft.com/office/drawing/2014/main" id="{26993E2E-2DED-42C4-9A7F-999ADEBFB2FC}"/>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15" name="Shape 7">
          <a:extLst>
            <a:ext uri="{FF2B5EF4-FFF2-40B4-BE49-F238E27FC236}">
              <a16:creationId xmlns:a16="http://schemas.microsoft.com/office/drawing/2014/main" id="{6D9ACE7C-1867-4E56-B1BF-AF1594128357}"/>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16" name="Shape 8">
          <a:extLst>
            <a:ext uri="{FF2B5EF4-FFF2-40B4-BE49-F238E27FC236}">
              <a16:creationId xmlns:a16="http://schemas.microsoft.com/office/drawing/2014/main" id="{AC9BDBCD-2CB8-4514-8C0C-4D8BFC9859A8}"/>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17" name="Shape 7">
          <a:extLst>
            <a:ext uri="{FF2B5EF4-FFF2-40B4-BE49-F238E27FC236}">
              <a16:creationId xmlns:a16="http://schemas.microsoft.com/office/drawing/2014/main" id="{160CFD89-37D9-4F1C-AB07-18C552C8B54D}"/>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18" name="Shape 8">
          <a:extLst>
            <a:ext uri="{FF2B5EF4-FFF2-40B4-BE49-F238E27FC236}">
              <a16:creationId xmlns:a16="http://schemas.microsoft.com/office/drawing/2014/main" id="{C4340EA0-950B-4023-A695-0FEBA4CE2CD5}"/>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19" name="Shape 7">
          <a:extLst>
            <a:ext uri="{FF2B5EF4-FFF2-40B4-BE49-F238E27FC236}">
              <a16:creationId xmlns:a16="http://schemas.microsoft.com/office/drawing/2014/main" id="{8FC83658-E875-48E3-827E-98FAA9C93B2B}"/>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20" name="Shape 8">
          <a:extLst>
            <a:ext uri="{FF2B5EF4-FFF2-40B4-BE49-F238E27FC236}">
              <a16:creationId xmlns:a16="http://schemas.microsoft.com/office/drawing/2014/main" id="{704DD788-2462-47CD-B20E-134BF6F68026}"/>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21" name="Shape 8">
          <a:extLst>
            <a:ext uri="{FF2B5EF4-FFF2-40B4-BE49-F238E27FC236}">
              <a16:creationId xmlns:a16="http://schemas.microsoft.com/office/drawing/2014/main" id="{51531715-46DB-490C-9265-80261A0918C9}"/>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22" name="Shape 7">
          <a:extLst>
            <a:ext uri="{FF2B5EF4-FFF2-40B4-BE49-F238E27FC236}">
              <a16:creationId xmlns:a16="http://schemas.microsoft.com/office/drawing/2014/main" id="{12147760-A4E7-4C54-9BFE-84E3D294EF93}"/>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23" name="Shape 8">
          <a:extLst>
            <a:ext uri="{FF2B5EF4-FFF2-40B4-BE49-F238E27FC236}">
              <a16:creationId xmlns:a16="http://schemas.microsoft.com/office/drawing/2014/main" id="{1DF213AA-FCDB-4F8E-9143-5352D52A2ED0}"/>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24" name="Shape 8">
          <a:extLst>
            <a:ext uri="{FF2B5EF4-FFF2-40B4-BE49-F238E27FC236}">
              <a16:creationId xmlns:a16="http://schemas.microsoft.com/office/drawing/2014/main" id="{2300117D-74A3-4FDF-B775-EFF881201842}"/>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25" name="Shape 7">
          <a:extLst>
            <a:ext uri="{FF2B5EF4-FFF2-40B4-BE49-F238E27FC236}">
              <a16:creationId xmlns:a16="http://schemas.microsoft.com/office/drawing/2014/main" id="{F176A22E-0730-4F2C-B751-0C9A1696EB12}"/>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26" name="Shape 8">
          <a:extLst>
            <a:ext uri="{FF2B5EF4-FFF2-40B4-BE49-F238E27FC236}">
              <a16:creationId xmlns:a16="http://schemas.microsoft.com/office/drawing/2014/main" id="{684B115C-A754-4E6E-A8F0-2507C42D08FC}"/>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27" name="Shape 8">
          <a:extLst>
            <a:ext uri="{FF2B5EF4-FFF2-40B4-BE49-F238E27FC236}">
              <a16:creationId xmlns:a16="http://schemas.microsoft.com/office/drawing/2014/main" id="{A4B446BC-84F3-42FD-89DA-A9B73BEF03F4}"/>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28" name="Shape 7">
          <a:extLst>
            <a:ext uri="{FF2B5EF4-FFF2-40B4-BE49-F238E27FC236}">
              <a16:creationId xmlns:a16="http://schemas.microsoft.com/office/drawing/2014/main" id="{08174EBE-9881-40AB-9987-639DDBFE4766}"/>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29" name="Shape 8">
          <a:extLst>
            <a:ext uri="{FF2B5EF4-FFF2-40B4-BE49-F238E27FC236}">
              <a16:creationId xmlns:a16="http://schemas.microsoft.com/office/drawing/2014/main" id="{48476ED7-C055-478D-BE4D-01C90452BDB2}"/>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30" name="Shape 8">
          <a:extLst>
            <a:ext uri="{FF2B5EF4-FFF2-40B4-BE49-F238E27FC236}">
              <a16:creationId xmlns:a16="http://schemas.microsoft.com/office/drawing/2014/main" id="{F5DB2C2C-715D-45F3-9378-90C04A015D02}"/>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31" name="Shape 7">
          <a:extLst>
            <a:ext uri="{FF2B5EF4-FFF2-40B4-BE49-F238E27FC236}">
              <a16:creationId xmlns:a16="http://schemas.microsoft.com/office/drawing/2014/main" id="{267A80F1-19CC-4D63-AD49-059454039D07}"/>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32" name="Shape 8">
          <a:extLst>
            <a:ext uri="{FF2B5EF4-FFF2-40B4-BE49-F238E27FC236}">
              <a16:creationId xmlns:a16="http://schemas.microsoft.com/office/drawing/2014/main" id="{F29E92BA-363A-438E-A2F9-3B184F42619A}"/>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33" name="Shape 8">
          <a:extLst>
            <a:ext uri="{FF2B5EF4-FFF2-40B4-BE49-F238E27FC236}">
              <a16:creationId xmlns:a16="http://schemas.microsoft.com/office/drawing/2014/main" id="{6CEE6AD6-C900-424B-925C-6BBB107A1F30}"/>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34" name="Shape 7">
          <a:extLst>
            <a:ext uri="{FF2B5EF4-FFF2-40B4-BE49-F238E27FC236}">
              <a16:creationId xmlns:a16="http://schemas.microsoft.com/office/drawing/2014/main" id="{40CE0E08-A0C2-4137-9556-DD1E3155FB6D}"/>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35" name="Shape 7">
          <a:extLst>
            <a:ext uri="{FF2B5EF4-FFF2-40B4-BE49-F238E27FC236}">
              <a16:creationId xmlns:a16="http://schemas.microsoft.com/office/drawing/2014/main" id="{0696DCCD-65A0-4ACA-8732-CDDCD06E966C}"/>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36" name="Shape 8">
          <a:extLst>
            <a:ext uri="{FF2B5EF4-FFF2-40B4-BE49-F238E27FC236}">
              <a16:creationId xmlns:a16="http://schemas.microsoft.com/office/drawing/2014/main" id="{6528355C-E6AC-4838-A7A5-683B42110A1E}"/>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37" name="Shape 8">
          <a:extLst>
            <a:ext uri="{FF2B5EF4-FFF2-40B4-BE49-F238E27FC236}">
              <a16:creationId xmlns:a16="http://schemas.microsoft.com/office/drawing/2014/main" id="{CC37EC0B-249C-42E9-AD0D-31552A1BFEFB}"/>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38" name="Shape 7">
          <a:extLst>
            <a:ext uri="{FF2B5EF4-FFF2-40B4-BE49-F238E27FC236}">
              <a16:creationId xmlns:a16="http://schemas.microsoft.com/office/drawing/2014/main" id="{B4382D92-C5ED-43C0-A3E2-6F255F433BB8}"/>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39" name="Shape 7">
          <a:extLst>
            <a:ext uri="{FF2B5EF4-FFF2-40B4-BE49-F238E27FC236}">
              <a16:creationId xmlns:a16="http://schemas.microsoft.com/office/drawing/2014/main" id="{17EED7D9-F3B7-42BB-8646-A50E6C3426DB}"/>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40" name="Shape 8">
          <a:extLst>
            <a:ext uri="{FF2B5EF4-FFF2-40B4-BE49-F238E27FC236}">
              <a16:creationId xmlns:a16="http://schemas.microsoft.com/office/drawing/2014/main" id="{B5F7DBFE-1365-480A-8BEC-8FB55E5E6D71}"/>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141" name="Shape 7">
          <a:extLst>
            <a:ext uri="{FF2B5EF4-FFF2-40B4-BE49-F238E27FC236}">
              <a16:creationId xmlns:a16="http://schemas.microsoft.com/office/drawing/2014/main" id="{8A538AC3-C05F-47B8-A44D-860AE7A8A56B}"/>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142" name="Shape 8">
          <a:extLst>
            <a:ext uri="{FF2B5EF4-FFF2-40B4-BE49-F238E27FC236}">
              <a16:creationId xmlns:a16="http://schemas.microsoft.com/office/drawing/2014/main" id="{5852E919-F45A-4DCE-8270-D7313A13F1C0}"/>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143" name="Shape 7">
          <a:extLst>
            <a:ext uri="{FF2B5EF4-FFF2-40B4-BE49-F238E27FC236}">
              <a16:creationId xmlns:a16="http://schemas.microsoft.com/office/drawing/2014/main" id="{6FB49559-0660-4F24-AC4F-CB57E9592260}"/>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144" name="Shape 8">
          <a:extLst>
            <a:ext uri="{FF2B5EF4-FFF2-40B4-BE49-F238E27FC236}">
              <a16:creationId xmlns:a16="http://schemas.microsoft.com/office/drawing/2014/main" id="{F56E7B73-3A93-4FC1-920E-4AC319DE3534}"/>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145" name="Shape 7">
          <a:extLst>
            <a:ext uri="{FF2B5EF4-FFF2-40B4-BE49-F238E27FC236}">
              <a16:creationId xmlns:a16="http://schemas.microsoft.com/office/drawing/2014/main" id="{3FB1AEF8-E0C2-41F0-AA94-CADD88EBB9E5}"/>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146" name="Shape 8">
          <a:extLst>
            <a:ext uri="{FF2B5EF4-FFF2-40B4-BE49-F238E27FC236}">
              <a16:creationId xmlns:a16="http://schemas.microsoft.com/office/drawing/2014/main" id="{F2FE197B-DA10-40B9-897B-5B34DAF4BE40}"/>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147" name="Shape 8">
          <a:extLst>
            <a:ext uri="{FF2B5EF4-FFF2-40B4-BE49-F238E27FC236}">
              <a16:creationId xmlns:a16="http://schemas.microsoft.com/office/drawing/2014/main" id="{B5ECE24F-8C9E-431B-A97C-A8A408409070}"/>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148" name="Shape 7">
          <a:extLst>
            <a:ext uri="{FF2B5EF4-FFF2-40B4-BE49-F238E27FC236}">
              <a16:creationId xmlns:a16="http://schemas.microsoft.com/office/drawing/2014/main" id="{5DBCA780-9508-4DC1-B824-4A4A1C25D741}"/>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149" name="Shape 8">
          <a:extLst>
            <a:ext uri="{FF2B5EF4-FFF2-40B4-BE49-F238E27FC236}">
              <a16:creationId xmlns:a16="http://schemas.microsoft.com/office/drawing/2014/main" id="{8D7B8A59-76B8-4FA3-AAC8-A79A6AC1A64B}"/>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150" name="Shape 8">
          <a:extLst>
            <a:ext uri="{FF2B5EF4-FFF2-40B4-BE49-F238E27FC236}">
              <a16:creationId xmlns:a16="http://schemas.microsoft.com/office/drawing/2014/main" id="{E563C5F2-6C3E-4BFB-A317-CAD94F0A9352}"/>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151" name="Shape 7">
          <a:extLst>
            <a:ext uri="{FF2B5EF4-FFF2-40B4-BE49-F238E27FC236}">
              <a16:creationId xmlns:a16="http://schemas.microsoft.com/office/drawing/2014/main" id="{91C14233-759A-4A9B-AE0E-E530A8EEFFD6}"/>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152" name="Shape 8">
          <a:extLst>
            <a:ext uri="{FF2B5EF4-FFF2-40B4-BE49-F238E27FC236}">
              <a16:creationId xmlns:a16="http://schemas.microsoft.com/office/drawing/2014/main" id="{A1F752C1-6751-4D19-8BA6-45593D089258}"/>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153" name="Shape 8">
          <a:extLst>
            <a:ext uri="{FF2B5EF4-FFF2-40B4-BE49-F238E27FC236}">
              <a16:creationId xmlns:a16="http://schemas.microsoft.com/office/drawing/2014/main" id="{F9C9177B-D91A-4F67-A870-A17A433CE3A4}"/>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154" name="Shape 7">
          <a:extLst>
            <a:ext uri="{FF2B5EF4-FFF2-40B4-BE49-F238E27FC236}">
              <a16:creationId xmlns:a16="http://schemas.microsoft.com/office/drawing/2014/main" id="{3284BBEA-250A-4AE8-84B3-EE175C103670}"/>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155" name="Shape 8">
          <a:extLst>
            <a:ext uri="{FF2B5EF4-FFF2-40B4-BE49-F238E27FC236}">
              <a16:creationId xmlns:a16="http://schemas.microsoft.com/office/drawing/2014/main" id="{92E78BCF-2B1F-44F8-A85B-C2C9911F673C}"/>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156" name="Shape 8">
          <a:extLst>
            <a:ext uri="{FF2B5EF4-FFF2-40B4-BE49-F238E27FC236}">
              <a16:creationId xmlns:a16="http://schemas.microsoft.com/office/drawing/2014/main" id="{7575E1AD-7D5C-4BC5-8541-ABFF161888F1}"/>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157" name="Shape 7">
          <a:extLst>
            <a:ext uri="{FF2B5EF4-FFF2-40B4-BE49-F238E27FC236}">
              <a16:creationId xmlns:a16="http://schemas.microsoft.com/office/drawing/2014/main" id="{16B41C19-4214-48CB-93D1-DCAFDE74CB26}"/>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158" name="Shape 8">
          <a:extLst>
            <a:ext uri="{FF2B5EF4-FFF2-40B4-BE49-F238E27FC236}">
              <a16:creationId xmlns:a16="http://schemas.microsoft.com/office/drawing/2014/main" id="{CD2C7A86-A65A-4065-9742-8866EE2BEC8C}"/>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159" name="Shape 8">
          <a:extLst>
            <a:ext uri="{FF2B5EF4-FFF2-40B4-BE49-F238E27FC236}">
              <a16:creationId xmlns:a16="http://schemas.microsoft.com/office/drawing/2014/main" id="{9FA9256E-72A5-4F69-94A4-9E5BA4832427}"/>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160" name="Shape 7">
          <a:extLst>
            <a:ext uri="{FF2B5EF4-FFF2-40B4-BE49-F238E27FC236}">
              <a16:creationId xmlns:a16="http://schemas.microsoft.com/office/drawing/2014/main" id="{2710485D-C0AD-450D-A45B-695870C7B270}"/>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161" name="Shape 7">
          <a:extLst>
            <a:ext uri="{FF2B5EF4-FFF2-40B4-BE49-F238E27FC236}">
              <a16:creationId xmlns:a16="http://schemas.microsoft.com/office/drawing/2014/main" id="{BA465614-82DF-47B6-891E-776818D380D1}"/>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162" name="Shape 8">
          <a:extLst>
            <a:ext uri="{FF2B5EF4-FFF2-40B4-BE49-F238E27FC236}">
              <a16:creationId xmlns:a16="http://schemas.microsoft.com/office/drawing/2014/main" id="{D9506983-29EB-450D-9997-14F4924217A0}"/>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163" name="Shape 8">
          <a:extLst>
            <a:ext uri="{FF2B5EF4-FFF2-40B4-BE49-F238E27FC236}">
              <a16:creationId xmlns:a16="http://schemas.microsoft.com/office/drawing/2014/main" id="{0FCBB97F-C4A9-4F24-A94D-B24F3C8FC006}"/>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164" name="Shape 7">
          <a:extLst>
            <a:ext uri="{FF2B5EF4-FFF2-40B4-BE49-F238E27FC236}">
              <a16:creationId xmlns:a16="http://schemas.microsoft.com/office/drawing/2014/main" id="{EFC0DAF0-DC7D-4D73-A9D9-537613A028A9}"/>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165" name="Shape 7">
          <a:extLst>
            <a:ext uri="{FF2B5EF4-FFF2-40B4-BE49-F238E27FC236}">
              <a16:creationId xmlns:a16="http://schemas.microsoft.com/office/drawing/2014/main" id="{279716DA-E90E-4DE3-B1B5-6CD32283935F}"/>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66" name="Shape 7">
          <a:extLst>
            <a:ext uri="{FF2B5EF4-FFF2-40B4-BE49-F238E27FC236}">
              <a16:creationId xmlns:a16="http://schemas.microsoft.com/office/drawing/2014/main" id="{9C1864B9-D8D4-4EDF-A5FE-D2F9A1F10DA3}"/>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67" name="Shape 7">
          <a:extLst>
            <a:ext uri="{FF2B5EF4-FFF2-40B4-BE49-F238E27FC236}">
              <a16:creationId xmlns:a16="http://schemas.microsoft.com/office/drawing/2014/main" id="{18C302E7-1E27-4FFA-9440-77796DFBCF19}"/>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68" name="Shape 7">
          <a:extLst>
            <a:ext uri="{FF2B5EF4-FFF2-40B4-BE49-F238E27FC236}">
              <a16:creationId xmlns:a16="http://schemas.microsoft.com/office/drawing/2014/main" id="{07B00442-B212-41D2-961E-C8D9AC48B888}"/>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69" name="Shape 7">
          <a:extLst>
            <a:ext uri="{FF2B5EF4-FFF2-40B4-BE49-F238E27FC236}">
              <a16:creationId xmlns:a16="http://schemas.microsoft.com/office/drawing/2014/main" id="{183B4319-3971-4750-B889-7348FEB1C18D}"/>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70" name="Shape 7">
          <a:extLst>
            <a:ext uri="{FF2B5EF4-FFF2-40B4-BE49-F238E27FC236}">
              <a16:creationId xmlns:a16="http://schemas.microsoft.com/office/drawing/2014/main" id="{6C8E201E-112A-439B-90B0-180FF5DF990A}"/>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71" name="Shape 7">
          <a:extLst>
            <a:ext uri="{FF2B5EF4-FFF2-40B4-BE49-F238E27FC236}">
              <a16:creationId xmlns:a16="http://schemas.microsoft.com/office/drawing/2014/main" id="{F6B1FFF3-3ADD-4383-94C0-B1653D1DBB79}"/>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72" name="Shape 7">
          <a:extLst>
            <a:ext uri="{FF2B5EF4-FFF2-40B4-BE49-F238E27FC236}">
              <a16:creationId xmlns:a16="http://schemas.microsoft.com/office/drawing/2014/main" id="{F1F2898C-3987-4FD3-9D10-208BEE8C4BEB}"/>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73" name="Shape 7">
          <a:extLst>
            <a:ext uri="{FF2B5EF4-FFF2-40B4-BE49-F238E27FC236}">
              <a16:creationId xmlns:a16="http://schemas.microsoft.com/office/drawing/2014/main" id="{FC7E3ADA-868D-4F13-8BEA-957EFDBACDF5}"/>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74" name="Shape 7">
          <a:extLst>
            <a:ext uri="{FF2B5EF4-FFF2-40B4-BE49-F238E27FC236}">
              <a16:creationId xmlns:a16="http://schemas.microsoft.com/office/drawing/2014/main" id="{9BE6BD6C-107F-4F9D-A5DE-A3964ACC1694}"/>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75" name="Shape 7">
          <a:extLst>
            <a:ext uri="{FF2B5EF4-FFF2-40B4-BE49-F238E27FC236}">
              <a16:creationId xmlns:a16="http://schemas.microsoft.com/office/drawing/2014/main" id="{72072F75-D8FE-43A3-A0E6-839A3E816DB8}"/>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76" name="Shape 7">
          <a:extLst>
            <a:ext uri="{FF2B5EF4-FFF2-40B4-BE49-F238E27FC236}">
              <a16:creationId xmlns:a16="http://schemas.microsoft.com/office/drawing/2014/main" id="{7E4C6597-0D87-418E-94D6-6DA42A2ACC51}"/>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77" name="Shape 7">
          <a:extLst>
            <a:ext uri="{FF2B5EF4-FFF2-40B4-BE49-F238E27FC236}">
              <a16:creationId xmlns:a16="http://schemas.microsoft.com/office/drawing/2014/main" id="{702F5DDD-DE94-4D34-AA44-79C8414E636C}"/>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78" name="Shape 7">
          <a:extLst>
            <a:ext uri="{FF2B5EF4-FFF2-40B4-BE49-F238E27FC236}">
              <a16:creationId xmlns:a16="http://schemas.microsoft.com/office/drawing/2014/main" id="{D04094B3-9FBD-4020-825D-BDACB202F553}"/>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79" name="Shape 7">
          <a:extLst>
            <a:ext uri="{FF2B5EF4-FFF2-40B4-BE49-F238E27FC236}">
              <a16:creationId xmlns:a16="http://schemas.microsoft.com/office/drawing/2014/main" id="{B4475717-30FB-4E6D-9364-5110EB117AED}"/>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80" name="Shape 7">
          <a:extLst>
            <a:ext uri="{FF2B5EF4-FFF2-40B4-BE49-F238E27FC236}">
              <a16:creationId xmlns:a16="http://schemas.microsoft.com/office/drawing/2014/main" id="{0313049C-0E2B-44C5-9162-640D710E3D4E}"/>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181" name="Shape 7">
          <a:extLst>
            <a:ext uri="{FF2B5EF4-FFF2-40B4-BE49-F238E27FC236}">
              <a16:creationId xmlns:a16="http://schemas.microsoft.com/office/drawing/2014/main" id="{1621EBFB-7102-4BD3-AD7E-9BAA39893D3A}"/>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82" name="Shape 7">
          <a:extLst>
            <a:ext uri="{FF2B5EF4-FFF2-40B4-BE49-F238E27FC236}">
              <a16:creationId xmlns:a16="http://schemas.microsoft.com/office/drawing/2014/main" id="{694EA82A-24DF-4A2B-92B2-3C8D912E8361}"/>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83" name="Shape 8">
          <a:extLst>
            <a:ext uri="{FF2B5EF4-FFF2-40B4-BE49-F238E27FC236}">
              <a16:creationId xmlns:a16="http://schemas.microsoft.com/office/drawing/2014/main" id="{4CB48DB4-6E57-4D8D-AE63-109782B11DAD}"/>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84" name="Shape 7">
          <a:extLst>
            <a:ext uri="{FF2B5EF4-FFF2-40B4-BE49-F238E27FC236}">
              <a16:creationId xmlns:a16="http://schemas.microsoft.com/office/drawing/2014/main" id="{BBF0D24B-9AED-436A-8DAF-E77B3359F7C2}"/>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85" name="Shape 8">
          <a:extLst>
            <a:ext uri="{FF2B5EF4-FFF2-40B4-BE49-F238E27FC236}">
              <a16:creationId xmlns:a16="http://schemas.microsoft.com/office/drawing/2014/main" id="{FA88CF2D-2D28-4F39-A5F3-541CE9085517}"/>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86" name="Shape 7">
          <a:extLst>
            <a:ext uri="{FF2B5EF4-FFF2-40B4-BE49-F238E27FC236}">
              <a16:creationId xmlns:a16="http://schemas.microsoft.com/office/drawing/2014/main" id="{26E5818A-7DB6-4C96-977E-8203727B4489}"/>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87" name="Shape 8">
          <a:extLst>
            <a:ext uri="{FF2B5EF4-FFF2-40B4-BE49-F238E27FC236}">
              <a16:creationId xmlns:a16="http://schemas.microsoft.com/office/drawing/2014/main" id="{C7B46344-6B99-42A3-B913-043BBE1B4C93}"/>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88" name="Shape 8">
          <a:extLst>
            <a:ext uri="{FF2B5EF4-FFF2-40B4-BE49-F238E27FC236}">
              <a16:creationId xmlns:a16="http://schemas.microsoft.com/office/drawing/2014/main" id="{B23834C7-D87A-4564-A5BA-E312D3F5A88A}"/>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89" name="Shape 7">
          <a:extLst>
            <a:ext uri="{FF2B5EF4-FFF2-40B4-BE49-F238E27FC236}">
              <a16:creationId xmlns:a16="http://schemas.microsoft.com/office/drawing/2014/main" id="{18296A60-B360-47F4-854E-D00EEA38695D}"/>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90" name="Shape 8">
          <a:extLst>
            <a:ext uri="{FF2B5EF4-FFF2-40B4-BE49-F238E27FC236}">
              <a16:creationId xmlns:a16="http://schemas.microsoft.com/office/drawing/2014/main" id="{356A7E5D-39AE-4E9C-AD19-C31DEA62AA16}"/>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91" name="Shape 8">
          <a:extLst>
            <a:ext uri="{FF2B5EF4-FFF2-40B4-BE49-F238E27FC236}">
              <a16:creationId xmlns:a16="http://schemas.microsoft.com/office/drawing/2014/main" id="{9B2AB086-2AE6-48D4-85F2-E4ED60FE4652}"/>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92" name="Shape 7">
          <a:extLst>
            <a:ext uri="{FF2B5EF4-FFF2-40B4-BE49-F238E27FC236}">
              <a16:creationId xmlns:a16="http://schemas.microsoft.com/office/drawing/2014/main" id="{121DB053-BC49-477E-9F49-45B193FDDB9F}"/>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93" name="Shape 8">
          <a:extLst>
            <a:ext uri="{FF2B5EF4-FFF2-40B4-BE49-F238E27FC236}">
              <a16:creationId xmlns:a16="http://schemas.microsoft.com/office/drawing/2014/main" id="{6B621A92-7F30-4C76-A518-A9289C6D3182}"/>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94" name="Shape 8">
          <a:extLst>
            <a:ext uri="{FF2B5EF4-FFF2-40B4-BE49-F238E27FC236}">
              <a16:creationId xmlns:a16="http://schemas.microsoft.com/office/drawing/2014/main" id="{B5953596-9764-4324-BE67-A213A279BC31}"/>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95" name="Shape 7">
          <a:extLst>
            <a:ext uri="{FF2B5EF4-FFF2-40B4-BE49-F238E27FC236}">
              <a16:creationId xmlns:a16="http://schemas.microsoft.com/office/drawing/2014/main" id="{3F1AF26A-4A9D-4901-86B9-724AC82F9057}"/>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96" name="Shape 8">
          <a:extLst>
            <a:ext uri="{FF2B5EF4-FFF2-40B4-BE49-F238E27FC236}">
              <a16:creationId xmlns:a16="http://schemas.microsoft.com/office/drawing/2014/main" id="{4FBAC986-9CCF-4161-889F-521E4685FAB2}"/>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97" name="Shape 8">
          <a:extLst>
            <a:ext uri="{FF2B5EF4-FFF2-40B4-BE49-F238E27FC236}">
              <a16:creationId xmlns:a16="http://schemas.microsoft.com/office/drawing/2014/main" id="{4201ADF8-19AD-44DB-BF99-EC3460ADC6D1}"/>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198" name="Shape 7">
          <a:extLst>
            <a:ext uri="{FF2B5EF4-FFF2-40B4-BE49-F238E27FC236}">
              <a16:creationId xmlns:a16="http://schemas.microsoft.com/office/drawing/2014/main" id="{BA9606F4-DB66-49EA-90B5-D3371035DA32}"/>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199" name="Shape 8">
          <a:extLst>
            <a:ext uri="{FF2B5EF4-FFF2-40B4-BE49-F238E27FC236}">
              <a16:creationId xmlns:a16="http://schemas.microsoft.com/office/drawing/2014/main" id="{8DEFA750-049D-4D9B-87A1-F99F9F9F036A}"/>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00" name="Shape 8">
          <a:extLst>
            <a:ext uri="{FF2B5EF4-FFF2-40B4-BE49-F238E27FC236}">
              <a16:creationId xmlns:a16="http://schemas.microsoft.com/office/drawing/2014/main" id="{6883ED81-7451-4C92-BA8E-F714EC7B8439}"/>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201" name="Shape 7">
          <a:extLst>
            <a:ext uri="{FF2B5EF4-FFF2-40B4-BE49-F238E27FC236}">
              <a16:creationId xmlns:a16="http://schemas.microsoft.com/office/drawing/2014/main" id="{2FE947E6-BE27-4348-9D5C-6FF21811A19A}"/>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202" name="Shape 7">
          <a:extLst>
            <a:ext uri="{FF2B5EF4-FFF2-40B4-BE49-F238E27FC236}">
              <a16:creationId xmlns:a16="http://schemas.microsoft.com/office/drawing/2014/main" id="{5A2509E5-E5B2-495C-8FD3-05373F08A858}"/>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03" name="Shape 8">
          <a:extLst>
            <a:ext uri="{FF2B5EF4-FFF2-40B4-BE49-F238E27FC236}">
              <a16:creationId xmlns:a16="http://schemas.microsoft.com/office/drawing/2014/main" id="{092B2BDD-E841-4521-B4A6-8A3B451A2728}"/>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04" name="Shape 8">
          <a:extLst>
            <a:ext uri="{FF2B5EF4-FFF2-40B4-BE49-F238E27FC236}">
              <a16:creationId xmlns:a16="http://schemas.microsoft.com/office/drawing/2014/main" id="{86D8AF01-DD50-48E7-8E25-F1CDBDA46D85}"/>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205" name="Shape 7">
          <a:extLst>
            <a:ext uri="{FF2B5EF4-FFF2-40B4-BE49-F238E27FC236}">
              <a16:creationId xmlns:a16="http://schemas.microsoft.com/office/drawing/2014/main" id="{27ED6791-F682-46BA-8A08-3E4F21DF7BAA}"/>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206" name="Shape 7">
          <a:extLst>
            <a:ext uri="{FF2B5EF4-FFF2-40B4-BE49-F238E27FC236}">
              <a16:creationId xmlns:a16="http://schemas.microsoft.com/office/drawing/2014/main" id="{F8DA15B9-A53B-482D-B011-349C76DF7CCB}"/>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07" name="Shape 8">
          <a:extLst>
            <a:ext uri="{FF2B5EF4-FFF2-40B4-BE49-F238E27FC236}">
              <a16:creationId xmlns:a16="http://schemas.microsoft.com/office/drawing/2014/main" id="{AA1CEBA9-583B-4A59-BAF1-9C5774E28BC5}"/>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08" name="Shape 7">
          <a:extLst>
            <a:ext uri="{FF2B5EF4-FFF2-40B4-BE49-F238E27FC236}">
              <a16:creationId xmlns:a16="http://schemas.microsoft.com/office/drawing/2014/main" id="{E1BC25EB-F397-4748-B550-3D086FE85767}"/>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09" name="Shape 8">
          <a:extLst>
            <a:ext uri="{FF2B5EF4-FFF2-40B4-BE49-F238E27FC236}">
              <a16:creationId xmlns:a16="http://schemas.microsoft.com/office/drawing/2014/main" id="{37E88D22-EDEA-4862-85BC-C638DCF7ED86}"/>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10" name="Shape 7">
          <a:extLst>
            <a:ext uri="{FF2B5EF4-FFF2-40B4-BE49-F238E27FC236}">
              <a16:creationId xmlns:a16="http://schemas.microsoft.com/office/drawing/2014/main" id="{D1D4EDD6-0CFF-45C2-98F7-7AE2705BA578}"/>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11" name="Shape 8">
          <a:extLst>
            <a:ext uri="{FF2B5EF4-FFF2-40B4-BE49-F238E27FC236}">
              <a16:creationId xmlns:a16="http://schemas.microsoft.com/office/drawing/2014/main" id="{AE40A014-D223-46C5-9DA0-6137DD0F2934}"/>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12" name="Shape 7">
          <a:extLst>
            <a:ext uri="{FF2B5EF4-FFF2-40B4-BE49-F238E27FC236}">
              <a16:creationId xmlns:a16="http://schemas.microsoft.com/office/drawing/2014/main" id="{F37F2E2D-AC6C-4ABB-97AB-806135527E30}"/>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13" name="Shape 8">
          <a:extLst>
            <a:ext uri="{FF2B5EF4-FFF2-40B4-BE49-F238E27FC236}">
              <a16:creationId xmlns:a16="http://schemas.microsoft.com/office/drawing/2014/main" id="{12EEA8D2-68D4-4AC9-8A51-D98ECAA63C42}"/>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14" name="Shape 8">
          <a:extLst>
            <a:ext uri="{FF2B5EF4-FFF2-40B4-BE49-F238E27FC236}">
              <a16:creationId xmlns:a16="http://schemas.microsoft.com/office/drawing/2014/main" id="{067E7D6B-39BB-4534-A5B5-83C75664710B}"/>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15" name="Shape 7">
          <a:extLst>
            <a:ext uri="{FF2B5EF4-FFF2-40B4-BE49-F238E27FC236}">
              <a16:creationId xmlns:a16="http://schemas.microsoft.com/office/drawing/2014/main" id="{C0B55124-277A-4C2C-9002-3099547E1344}"/>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16" name="Shape 8">
          <a:extLst>
            <a:ext uri="{FF2B5EF4-FFF2-40B4-BE49-F238E27FC236}">
              <a16:creationId xmlns:a16="http://schemas.microsoft.com/office/drawing/2014/main" id="{39CF4F2F-95F2-45CB-AD1B-2BA1202AF6FE}"/>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17" name="Shape 8">
          <a:extLst>
            <a:ext uri="{FF2B5EF4-FFF2-40B4-BE49-F238E27FC236}">
              <a16:creationId xmlns:a16="http://schemas.microsoft.com/office/drawing/2014/main" id="{50D76E08-43A0-4F29-B43C-0AA59F080A21}"/>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18" name="Shape 7">
          <a:extLst>
            <a:ext uri="{FF2B5EF4-FFF2-40B4-BE49-F238E27FC236}">
              <a16:creationId xmlns:a16="http://schemas.microsoft.com/office/drawing/2014/main" id="{49E93E8B-7D63-47C1-B277-E07777B3C3FD}"/>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19" name="Shape 8">
          <a:extLst>
            <a:ext uri="{FF2B5EF4-FFF2-40B4-BE49-F238E27FC236}">
              <a16:creationId xmlns:a16="http://schemas.microsoft.com/office/drawing/2014/main" id="{8DFB78ED-2332-470D-8800-6EC62E614292}"/>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20" name="Shape 8">
          <a:extLst>
            <a:ext uri="{FF2B5EF4-FFF2-40B4-BE49-F238E27FC236}">
              <a16:creationId xmlns:a16="http://schemas.microsoft.com/office/drawing/2014/main" id="{6482BD19-6763-4A46-A568-60C42677D8B5}"/>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21" name="Shape 7">
          <a:extLst>
            <a:ext uri="{FF2B5EF4-FFF2-40B4-BE49-F238E27FC236}">
              <a16:creationId xmlns:a16="http://schemas.microsoft.com/office/drawing/2014/main" id="{80880EAA-C0FD-4DAB-8237-42D918E110B9}"/>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22" name="Shape 8">
          <a:extLst>
            <a:ext uri="{FF2B5EF4-FFF2-40B4-BE49-F238E27FC236}">
              <a16:creationId xmlns:a16="http://schemas.microsoft.com/office/drawing/2014/main" id="{EAF3F590-E5D0-4DAF-8C03-29214D823EC1}"/>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23" name="Shape 8">
          <a:extLst>
            <a:ext uri="{FF2B5EF4-FFF2-40B4-BE49-F238E27FC236}">
              <a16:creationId xmlns:a16="http://schemas.microsoft.com/office/drawing/2014/main" id="{84A57DEB-450E-4713-87C0-39C5B2637B2C}"/>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24" name="Shape 7">
          <a:extLst>
            <a:ext uri="{FF2B5EF4-FFF2-40B4-BE49-F238E27FC236}">
              <a16:creationId xmlns:a16="http://schemas.microsoft.com/office/drawing/2014/main" id="{6B4327BF-67F8-4146-A348-E741B29F3AE7}"/>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25" name="Shape 8">
          <a:extLst>
            <a:ext uri="{FF2B5EF4-FFF2-40B4-BE49-F238E27FC236}">
              <a16:creationId xmlns:a16="http://schemas.microsoft.com/office/drawing/2014/main" id="{5820B258-A62A-4A57-B0B9-4E43CCD8328C}"/>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26" name="Shape 8">
          <a:extLst>
            <a:ext uri="{FF2B5EF4-FFF2-40B4-BE49-F238E27FC236}">
              <a16:creationId xmlns:a16="http://schemas.microsoft.com/office/drawing/2014/main" id="{34FFE9FF-F544-4645-B39E-6236C8B11304}"/>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27" name="Shape 7">
          <a:extLst>
            <a:ext uri="{FF2B5EF4-FFF2-40B4-BE49-F238E27FC236}">
              <a16:creationId xmlns:a16="http://schemas.microsoft.com/office/drawing/2014/main" id="{D4223811-B856-499A-A7ED-E5DE50156B06}"/>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28" name="Shape 7">
          <a:extLst>
            <a:ext uri="{FF2B5EF4-FFF2-40B4-BE49-F238E27FC236}">
              <a16:creationId xmlns:a16="http://schemas.microsoft.com/office/drawing/2014/main" id="{031493A2-93CB-4DFE-80FB-D0149A2BED43}"/>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29" name="Shape 8">
          <a:extLst>
            <a:ext uri="{FF2B5EF4-FFF2-40B4-BE49-F238E27FC236}">
              <a16:creationId xmlns:a16="http://schemas.microsoft.com/office/drawing/2014/main" id="{DC51D338-3068-4CD7-8C31-DCE219FCE237}"/>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30" name="Shape 8">
          <a:extLst>
            <a:ext uri="{FF2B5EF4-FFF2-40B4-BE49-F238E27FC236}">
              <a16:creationId xmlns:a16="http://schemas.microsoft.com/office/drawing/2014/main" id="{28022FFF-73C8-4951-B0B4-6FB618419896}"/>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31" name="Shape 7">
          <a:extLst>
            <a:ext uri="{FF2B5EF4-FFF2-40B4-BE49-F238E27FC236}">
              <a16:creationId xmlns:a16="http://schemas.microsoft.com/office/drawing/2014/main" id="{B04877FD-FF00-49A9-B4D8-950A4E7C8AD6}"/>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32" name="Shape 7">
          <a:extLst>
            <a:ext uri="{FF2B5EF4-FFF2-40B4-BE49-F238E27FC236}">
              <a16:creationId xmlns:a16="http://schemas.microsoft.com/office/drawing/2014/main" id="{6597E341-78BE-40B1-88C3-F5591D0FEE7F}"/>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33" name="Shape 7">
          <a:extLst>
            <a:ext uri="{FF2B5EF4-FFF2-40B4-BE49-F238E27FC236}">
              <a16:creationId xmlns:a16="http://schemas.microsoft.com/office/drawing/2014/main" id="{9A19401F-AA10-4816-8FF1-926826962FB9}"/>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34" name="Shape 7">
          <a:extLst>
            <a:ext uri="{FF2B5EF4-FFF2-40B4-BE49-F238E27FC236}">
              <a16:creationId xmlns:a16="http://schemas.microsoft.com/office/drawing/2014/main" id="{55D70EC8-84A8-48EF-9376-7F24E6DEDEE5}"/>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35" name="Shape 7">
          <a:extLst>
            <a:ext uri="{FF2B5EF4-FFF2-40B4-BE49-F238E27FC236}">
              <a16:creationId xmlns:a16="http://schemas.microsoft.com/office/drawing/2014/main" id="{8B0DAE45-00FC-4BDC-BB69-7639262AEC66}"/>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36" name="Shape 7">
          <a:extLst>
            <a:ext uri="{FF2B5EF4-FFF2-40B4-BE49-F238E27FC236}">
              <a16:creationId xmlns:a16="http://schemas.microsoft.com/office/drawing/2014/main" id="{A76AC20D-8DFE-4DFB-B0FC-95C9E76F83DB}"/>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37" name="Shape 7">
          <a:extLst>
            <a:ext uri="{FF2B5EF4-FFF2-40B4-BE49-F238E27FC236}">
              <a16:creationId xmlns:a16="http://schemas.microsoft.com/office/drawing/2014/main" id="{9474753E-5C68-449A-8487-533568D55218}"/>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38" name="Shape 7">
          <a:extLst>
            <a:ext uri="{FF2B5EF4-FFF2-40B4-BE49-F238E27FC236}">
              <a16:creationId xmlns:a16="http://schemas.microsoft.com/office/drawing/2014/main" id="{30DFC771-B7EE-4FB6-94CE-FA00B067F11A}"/>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39" name="Shape 7">
          <a:extLst>
            <a:ext uri="{FF2B5EF4-FFF2-40B4-BE49-F238E27FC236}">
              <a16:creationId xmlns:a16="http://schemas.microsoft.com/office/drawing/2014/main" id="{409F9DA0-8767-418E-8C1D-DD026A9B4CEA}"/>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40" name="Shape 7">
          <a:extLst>
            <a:ext uri="{FF2B5EF4-FFF2-40B4-BE49-F238E27FC236}">
              <a16:creationId xmlns:a16="http://schemas.microsoft.com/office/drawing/2014/main" id="{BD786D7D-C5B5-43C4-8855-D3D770B35A47}"/>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41" name="Shape 7">
          <a:extLst>
            <a:ext uri="{FF2B5EF4-FFF2-40B4-BE49-F238E27FC236}">
              <a16:creationId xmlns:a16="http://schemas.microsoft.com/office/drawing/2014/main" id="{135C3F3F-6EF8-4E07-A878-A74F346530F8}"/>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42" name="Shape 7">
          <a:extLst>
            <a:ext uri="{FF2B5EF4-FFF2-40B4-BE49-F238E27FC236}">
              <a16:creationId xmlns:a16="http://schemas.microsoft.com/office/drawing/2014/main" id="{47C969BF-3899-4E1D-9A55-4712015FB222}"/>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43" name="Shape 7">
          <a:extLst>
            <a:ext uri="{FF2B5EF4-FFF2-40B4-BE49-F238E27FC236}">
              <a16:creationId xmlns:a16="http://schemas.microsoft.com/office/drawing/2014/main" id="{7AF6F2F8-7419-4B96-8C83-9050479FC879}"/>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44" name="Shape 7">
          <a:extLst>
            <a:ext uri="{FF2B5EF4-FFF2-40B4-BE49-F238E27FC236}">
              <a16:creationId xmlns:a16="http://schemas.microsoft.com/office/drawing/2014/main" id="{3FFAC782-51CF-417C-BF20-F86C06D66919}"/>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45" name="Shape 7">
          <a:extLst>
            <a:ext uri="{FF2B5EF4-FFF2-40B4-BE49-F238E27FC236}">
              <a16:creationId xmlns:a16="http://schemas.microsoft.com/office/drawing/2014/main" id="{ED20F0B4-9EA3-4F52-8E4D-941D4A7A6CDE}"/>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46" name="Shape 7">
          <a:extLst>
            <a:ext uri="{FF2B5EF4-FFF2-40B4-BE49-F238E27FC236}">
              <a16:creationId xmlns:a16="http://schemas.microsoft.com/office/drawing/2014/main" id="{63953014-3E2F-4F45-86B6-DA16C60C4A4F}"/>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47" name="Shape 7">
          <a:extLst>
            <a:ext uri="{FF2B5EF4-FFF2-40B4-BE49-F238E27FC236}">
              <a16:creationId xmlns:a16="http://schemas.microsoft.com/office/drawing/2014/main" id="{29FAAE37-28BC-4EE7-95F6-72102A94422A}"/>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248" name="Shape 7">
          <a:extLst>
            <a:ext uri="{FF2B5EF4-FFF2-40B4-BE49-F238E27FC236}">
              <a16:creationId xmlns:a16="http://schemas.microsoft.com/office/drawing/2014/main" id="{DF73A2FD-278C-41E3-AF4E-13A0689F3F4C}"/>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249" name="Shape 7">
          <a:extLst>
            <a:ext uri="{FF2B5EF4-FFF2-40B4-BE49-F238E27FC236}">
              <a16:creationId xmlns:a16="http://schemas.microsoft.com/office/drawing/2014/main" id="{011F9A53-E9E9-4CF8-9157-9378A26395E4}"/>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50" name="Shape 8">
          <a:extLst>
            <a:ext uri="{FF2B5EF4-FFF2-40B4-BE49-F238E27FC236}">
              <a16:creationId xmlns:a16="http://schemas.microsoft.com/office/drawing/2014/main" id="{799A0A76-49E9-45D5-9A30-1F686F46E571}"/>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251" name="Shape 7">
          <a:extLst>
            <a:ext uri="{FF2B5EF4-FFF2-40B4-BE49-F238E27FC236}">
              <a16:creationId xmlns:a16="http://schemas.microsoft.com/office/drawing/2014/main" id="{CA74E397-4709-4BB7-9E93-7F4EAD93C5C0}"/>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52" name="Shape 8">
          <a:extLst>
            <a:ext uri="{FF2B5EF4-FFF2-40B4-BE49-F238E27FC236}">
              <a16:creationId xmlns:a16="http://schemas.microsoft.com/office/drawing/2014/main" id="{B1624E8E-D80D-4ABA-AD1A-5BCDC23F7330}"/>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253" name="Shape 7">
          <a:extLst>
            <a:ext uri="{FF2B5EF4-FFF2-40B4-BE49-F238E27FC236}">
              <a16:creationId xmlns:a16="http://schemas.microsoft.com/office/drawing/2014/main" id="{CB174725-67CA-46A7-AC8A-4336DDD4C257}"/>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54" name="Shape 8">
          <a:extLst>
            <a:ext uri="{FF2B5EF4-FFF2-40B4-BE49-F238E27FC236}">
              <a16:creationId xmlns:a16="http://schemas.microsoft.com/office/drawing/2014/main" id="{4B86255F-73D3-4C3E-98CD-50DE4DFCC45E}"/>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55" name="Shape 8">
          <a:extLst>
            <a:ext uri="{FF2B5EF4-FFF2-40B4-BE49-F238E27FC236}">
              <a16:creationId xmlns:a16="http://schemas.microsoft.com/office/drawing/2014/main" id="{F71685D6-7BFF-4BE4-8417-8CC46B15E48D}"/>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256" name="Shape 7">
          <a:extLst>
            <a:ext uri="{FF2B5EF4-FFF2-40B4-BE49-F238E27FC236}">
              <a16:creationId xmlns:a16="http://schemas.microsoft.com/office/drawing/2014/main" id="{B2766556-2B58-4C1E-AEDE-AA6FCBFE4460}"/>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57" name="Shape 8">
          <a:extLst>
            <a:ext uri="{FF2B5EF4-FFF2-40B4-BE49-F238E27FC236}">
              <a16:creationId xmlns:a16="http://schemas.microsoft.com/office/drawing/2014/main" id="{3A099880-C7D3-4A15-B6AD-6C517EF09B88}"/>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58" name="Shape 8">
          <a:extLst>
            <a:ext uri="{FF2B5EF4-FFF2-40B4-BE49-F238E27FC236}">
              <a16:creationId xmlns:a16="http://schemas.microsoft.com/office/drawing/2014/main" id="{A8F37FEB-3284-44B2-A202-3E84514CF0DB}"/>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259" name="Shape 7">
          <a:extLst>
            <a:ext uri="{FF2B5EF4-FFF2-40B4-BE49-F238E27FC236}">
              <a16:creationId xmlns:a16="http://schemas.microsoft.com/office/drawing/2014/main" id="{CEFA966B-EEE5-4249-A668-8952CED1510B}"/>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60" name="Shape 8">
          <a:extLst>
            <a:ext uri="{FF2B5EF4-FFF2-40B4-BE49-F238E27FC236}">
              <a16:creationId xmlns:a16="http://schemas.microsoft.com/office/drawing/2014/main" id="{2F01E6FF-C114-4C19-913E-6B816525011B}"/>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61" name="Shape 8">
          <a:extLst>
            <a:ext uri="{FF2B5EF4-FFF2-40B4-BE49-F238E27FC236}">
              <a16:creationId xmlns:a16="http://schemas.microsoft.com/office/drawing/2014/main" id="{6071BA65-7236-4FA6-9826-79BAC2FEE1ED}"/>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262" name="Shape 7">
          <a:extLst>
            <a:ext uri="{FF2B5EF4-FFF2-40B4-BE49-F238E27FC236}">
              <a16:creationId xmlns:a16="http://schemas.microsoft.com/office/drawing/2014/main" id="{9C53AC2B-1284-4F8F-A1CE-6DC759A61540}"/>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63" name="Shape 8">
          <a:extLst>
            <a:ext uri="{FF2B5EF4-FFF2-40B4-BE49-F238E27FC236}">
              <a16:creationId xmlns:a16="http://schemas.microsoft.com/office/drawing/2014/main" id="{6D9BDC52-ECF3-4B7B-8AF5-FC80BF865DB3}"/>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64" name="Shape 8">
          <a:extLst>
            <a:ext uri="{FF2B5EF4-FFF2-40B4-BE49-F238E27FC236}">
              <a16:creationId xmlns:a16="http://schemas.microsoft.com/office/drawing/2014/main" id="{6219A2B0-5EA2-4B66-86D6-2ACC980A46AB}"/>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265" name="Shape 7">
          <a:extLst>
            <a:ext uri="{FF2B5EF4-FFF2-40B4-BE49-F238E27FC236}">
              <a16:creationId xmlns:a16="http://schemas.microsoft.com/office/drawing/2014/main" id="{7B9325CE-86FB-44B6-9B5C-49BFFCA39028}"/>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66" name="Shape 8">
          <a:extLst>
            <a:ext uri="{FF2B5EF4-FFF2-40B4-BE49-F238E27FC236}">
              <a16:creationId xmlns:a16="http://schemas.microsoft.com/office/drawing/2014/main" id="{08B1892A-78FF-4DB9-8856-E9C62E8A5530}"/>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67" name="Shape 8">
          <a:extLst>
            <a:ext uri="{FF2B5EF4-FFF2-40B4-BE49-F238E27FC236}">
              <a16:creationId xmlns:a16="http://schemas.microsoft.com/office/drawing/2014/main" id="{1C488B5A-F3E3-4501-B3CB-6294C027B0D4}"/>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268" name="Shape 7">
          <a:extLst>
            <a:ext uri="{FF2B5EF4-FFF2-40B4-BE49-F238E27FC236}">
              <a16:creationId xmlns:a16="http://schemas.microsoft.com/office/drawing/2014/main" id="{0F6DBA56-58FE-4845-9EE9-B03C5BC0821A}"/>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269" name="Shape 7">
          <a:extLst>
            <a:ext uri="{FF2B5EF4-FFF2-40B4-BE49-F238E27FC236}">
              <a16:creationId xmlns:a16="http://schemas.microsoft.com/office/drawing/2014/main" id="{EA43A437-A3E3-41C5-9D00-A00CB7E92A93}"/>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70" name="Shape 8">
          <a:extLst>
            <a:ext uri="{FF2B5EF4-FFF2-40B4-BE49-F238E27FC236}">
              <a16:creationId xmlns:a16="http://schemas.microsoft.com/office/drawing/2014/main" id="{AA6BFAE0-B791-477A-B71E-88F315C70A1D}"/>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71" name="Shape 8">
          <a:extLst>
            <a:ext uri="{FF2B5EF4-FFF2-40B4-BE49-F238E27FC236}">
              <a16:creationId xmlns:a16="http://schemas.microsoft.com/office/drawing/2014/main" id="{657D64F8-1BDA-4C61-92F9-74FD9F8482DD}"/>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272" name="Shape 7">
          <a:extLst>
            <a:ext uri="{FF2B5EF4-FFF2-40B4-BE49-F238E27FC236}">
              <a16:creationId xmlns:a16="http://schemas.microsoft.com/office/drawing/2014/main" id="{E77F50B9-1993-4BC7-A8BE-DE1B66178F16}"/>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273" name="Shape 7">
          <a:extLst>
            <a:ext uri="{FF2B5EF4-FFF2-40B4-BE49-F238E27FC236}">
              <a16:creationId xmlns:a16="http://schemas.microsoft.com/office/drawing/2014/main" id="{D1B917D7-0DCE-442A-A9BB-8C81FB34F126}"/>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274" name="Shape 8">
          <a:extLst>
            <a:ext uri="{FF2B5EF4-FFF2-40B4-BE49-F238E27FC236}">
              <a16:creationId xmlns:a16="http://schemas.microsoft.com/office/drawing/2014/main" id="{96E7E7EC-48B6-4FAD-8482-E517C6820F34}"/>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75" name="Shape 7">
          <a:extLst>
            <a:ext uri="{FF2B5EF4-FFF2-40B4-BE49-F238E27FC236}">
              <a16:creationId xmlns:a16="http://schemas.microsoft.com/office/drawing/2014/main" id="{34FF02B1-2BC4-412D-A3F6-2CE1D1954B99}"/>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76" name="Shape 8">
          <a:extLst>
            <a:ext uri="{FF2B5EF4-FFF2-40B4-BE49-F238E27FC236}">
              <a16:creationId xmlns:a16="http://schemas.microsoft.com/office/drawing/2014/main" id="{8D6CE3CB-A3F6-4D28-A2AF-1F1106909538}"/>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77" name="Shape 7">
          <a:extLst>
            <a:ext uri="{FF2B5EF4-FFF2-40B4-BE49-F238E27FC236}">
              <a16:creationId xmlns:a16="http://schemas.microsoft.com/office/drawing/2014/main" id="{910006E5-8755-4B42-AFF6-40B926B5DAAF}"/>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78" name="Shape 8">
          <a:extLst>
            <a:ext uri="{FF2B5EF4-FFF2-40B4-BE49-F238E27FC236}">
              <a16:creationId xmlns:a16="http://schemas.microsoft.com/office/drawing/2014/main" id="{C304E998-CA77-469F-B80F-CC39FF662717}"/>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79" name="Shape 7">
          <a:extLst>
            <a:ext uri="{FF2B5EF4-FFF2-40B4-BE49-F238E27FC236}">
              <a16:creationId xmlns:a16="http://schemas.microsoft.com/office/drawing/2014/main" id="{73A6C9B9-FBD5-487B-8ED7-9AF839CA4BEC}"/>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80" name="Shape 8">
          <a:extLst>
            <a:ext uri="{FF2B5EF4-FFF2-40B4-BE49-F238E27FC236}">
              <a16:creationId xmlns:a16="http://schemas.microsoft.com/office/drawing/2014/main" id="{73E490C9-6B0E-475B-9941-F2100652CA7F}"/>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81" name="Shape 8">
          <a:extLst>
            <a:ext uri="{FF2B5EF4-FFF2-40B4-BE49-F238E27FC236}">
              <a16:creationId xmlns:a16="http://schemas.microsoft.com/office/drawing/2014/main" id="{D211A479-C685-4D37-BA7C-8A8437AAB771}"/>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82" name="Shape 7">
          <a:extLst>
            <a:ext uri="{FF2B5EF4-FFF2-40B4-BE49-F238E27FC236}">
              <a16:creationId xmlns:a16="http://schemas.microsoft.com/office/drawing/2014/main" id="{4ABA7350-15C4-4169-BB07-02DF10402E69}"/>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83" name="Shape 8">
          <a:extLst>
            <a:ext uri="{FF2B5EF4-FFF2-40B4-BE49-F238E27FC236}">
              <a16:creationId xmlns:a16="http://schemas.microsoft.com/office/drawing/2014/main" id="{4539F772-8A31-43C5-9EA0-2596C8350FA8}"/>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84" name="Shape 8">
          <a:extLst>
            <a:ext uri="{FF2B5EF4-FFF2-40B4-BE49-F238E27FC236}">
              <a16:creationId xmlns:a16="http://schemas.microsoft.com/office/drawing/2014/main" id="{3102FFD1-B2BC-4272-AEF0-A22FEC2FF1E4}"/>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85" name="Shape 7">
          <a:extLst>
            <a:ext uri="{FF2B5EF4-FFF2-40B4-BE49-F238E27FC236}">
              <a16:creationId xmlns:a16="http://schemas.microsoft.com/office/drawing/2014/main" id="{959BE6C8-BC07-4534-8824-9292D2A71181}"/>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86" name="Shape 8">
          <a:extLst>
            <a:ext uri="{FF2B5EF4-FFF2-40B4-BE49-F238E27FC236}">
              <a16:creationId xmlns:a16="http://schemas.microsoft.com/office/drawing/2014/main" id="{0E89276B-381E-45F1-9921-73E77F91394A}"/>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87" name="Shape 8">
          <a:extLst>
            <a:ext uri="{FF2B5EF4-FFF2-40B4-BE49-F238E27FC236}">
              <a16:creationId xmlns:a16="http://schemas.microsoft.com/office/drawing/2014/main" id="{F1071126-FF9E-4FE1-97F7-26CA1F9D0938}"/>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88" name="Shape 7">
          <a:extLst>
            <a:ext uri="{FF2B5EF4-FFF2-40B4-BE49-F238E27FC236}">
              <a16:creationId xmlns:a16="http://schemas.microsoft.com/office/drawing/2014/main" id="{DD24657A-6BBE-4771-9B34-94D810818A6E}"/>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89" name="Shape 8">
          <a:extLst>
            <a:ext uri="{FF2B5EF4-FFF2-40B4-BE49-F238E27FC236}">
              <a16:creationId xmlns:a16="http://schemas.microsoft.com/office/drawing/2014/main" id="{5A048034-BCB3-47E3-9F90-DCA4A063828C}"/>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90" name="Shape 8">
          <a:extLst>
            <a:ext uri="{FF2B5EF4-FFF2-40B4-BE49-F238E27FC236}">
              <a16:creationId xmlns:a16="http://schemas.microsoft.com/office/drawing/2014/main" id="{D5D425F9-0C72-4CEB-9000-6A673519FE34}"/>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91" name="Shape 7">
          <a:extLst>
            <a:ext uri="{FF2B5EF4-FFF2-40B4-BE49-F238E27FC236}">
              <a16:creationId xmlns:a16="http://schemas.microsoft.com/office/drawing/2014/main" id="{6B757E8D-CDD6-4F54-8235-6971A98977ED}"/>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92" name="Shape 8">
          <a:extLst>
            <a:ext uri="{FF2B5EF4-FFF2-40B4-BE49-F238E27FC236}">
              <a16:creationId xmlns:a16="http://schemas.microsoft.com/office/drawing/2014/main" id="{3B9D2AC2-9C4B-4C25-BAEC-634BD752C5DB}"/>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93" name="Shape 8">
          <a:extLst>
            <a:ext uri="{FF2B5EF4-FFF2-40B4-BE49-F238E27FC236}">
              <a16:creationId xmlns:a16="http://schemas.microsoft.com/office/drawing/2014/main" id="{E5B96413-9082-44C8-8401-723E3E34497C}"/>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94" name="Shape 7">
          <a:extLst>
            <a:ext uri="{FF2B5EF4-FFF2-40B4-BE49-F238E27FC236}">
              <a16:creationId xmlns:a16="http://schemas.microsoft.com/office/drawing/2014/main" id="{158C4D98-4C38-41F8-8EA9-84BF665136FA}"/>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95" name="Shape 7">
          <a:extLst>
            <a:ext uri="{FF2B5EF4-FFF2-40B4-BE49-F238E27FC236}">
              <a16:creationId xmlns:a16="http://schemas.microsoft.com/office/drawing/2014/main" id="{F0B012EB-E024-41DD-B745-0F751B4E5CB4}"/>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96" name="Shape 8">
          <a:extLst>
            <a:ext uri="{FF2B5EF4-FFF2-40B4-BE49-F238E27FC236}">
              <a16:creationId xmlns:a16="http://schemas.microsoft.com/office/drawing/2014/main" id="{D3FCCC40-1CAF-4E64-ADF3-9416C6B352DA}"/>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297" name="Shape 8">
          <a:extLst>
            <a:ext uri="{FF2B5EF4-FFF2-40B4-BE49-F238E27FC236}">
              <a16:creationId xmlns:a16="http://schemas.microsoft.com/office/drawing/2014/main" id="{3A290823-6DBD-4FE7-9174-271B95E55954}"/>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98" name="Shape 7">
          <a:extLst>
            <a:ext uri="{FF2B5EF4-FFF2-40B4-BE49-F238E27FC236}">
              <a16:creationId xmlns:a16="http://schemas.microsoft.com/office/drawing/2014/main" id="{C76569A2-EE01-49D0-9263-D9822FC25B5F}"/>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299" name="Shape 7">
          <a:extLst>
            <a:ext uri="{FF2B5EF4-FFF2-40B4-BE49-F238E27FC236}">
              <a16:creationId xmlns:a16="http://schemas.microsoft.com/office/drawing/2014/main" id="{A4571AB3-D37B-47D4-A621-3A9CC425095C}"/>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300" name="Shape 8">
          <a:extLst>
            <a:ext uri="{FF2B5EF4-FFF2-40B4-BE49-F238E27FC236}">
              <a16:creationId xmlns:a16="http://schemas.microsoft.com/office/drawing/2014/main" id="{1C36EFF2-B814-405C-8DBB-497E01A4E253}"/>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301" name="Shape 8">
          <a:extLst>
            <a:ext uri="{FF2B5EF4-FFF2-40B4-BE49-F238E27FC236}">
              <a16:creationId xmlns:a16="http://schemas.microsoft.com/office/drawing/2014/main" id="{F76729C4-7284-47AF-A7E7-66AA14BFB55C}"/>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02" name="Shape 7">
          <a:extLst>
            <a:ext uri="{FF2B5EF4-FFF2-40B4-BE49-F238E27FC236}">
              <a16:creationId xmlns:a16="http://schemas.microsoft.com/office/drawing/2014/main" id="{7656BAEB-C2D0-45D4-B1BF-1B5275D5C9F5}"/>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03" name="Shape 7">
          <a:extLst>
            <a:ext uri="{FF2B5EF4-FFF2-40B4-BE49-F238E27FC236}">
              <a16:creationId xmlns:a16="http://schemas.microsoft.com/office/drawing/2014/main" id="{B3B24B81-5A5F-44A9-8442-B9303459EDBC}"/>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04" name="Shape 7">
          <a:extLst>
            <a:ext uri="{FF2B5EF4-FFF2-40B4-BE49-F238E27FC236}">
              <a16:creationId xmlns:a16="http://schemas.microsoft.com/office/drawing/2014/main" id="{38BC1E59-EFFB-4BDA-9C3E-EB073D2D86C2}"/>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05" name="Shape 7">
          <a:extLst>
            <a:ext uri="{FF2B5EF4-FFF2-40B4-BE49-F238E27FC236}">
              <a16:creationId xmlns:a16="http://schemas.microsoft.com/office/drawing/2014/main" id="{9EE75F98-CED0-4C9F-AB70-C0A2BE63C3A1}"/>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06" name="Shape 7">
          <a:extLst>
            <a:ext uri="{FF2B5EF4-FFF2-40B4-BE49-F238E27FC236}">
              <a16:creationId xmlns:a16="http://schemas.microsoft.com/office/drawing/2014/main" id="{FE60772B-20ED-4039-859B-ECAC6A5D5D84}"/>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07" name="Shape 7">
          <a:extLst>
            <a:ext uri="{FF2B5EF4-FFF2-40B4-BE49-F238E27FC236}">
              <a16:creationId xmlns:a16="http://schemas.microsoft.com/office/drawing/2014/main" id="{7FF1807A-933E-4405-918F-6E60D641EB23}"/>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08" name="Shape 7">
          <a:extLst>
            <a:ext uri="{FF2B5EF4-FFF2-40B4-BE49-F238E27FC236}">
              <a16:creationId xmlns:a16="http://schemas.microsoft.com/office/drawing/2014/main" id="{C39A514B-0597-46FF-B25D-83D4510BF692}"/>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09" name="Shape 7">
          <a:extLst>
            <a:ext uri="{FF2B5EF4-FFF2-40B4-BE49-F238E27FC236}">
              <a16:creationId xmlns:a16="http://schemas.microsoft.com/office/drawing/2014/main" id="{71075FBA-0082-477C-8586-466DB28DFB69}"/>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10" name="Shape 7">
          <a:extLst>
            <a:ext uri="{FF2B5EF4-FFF2-40B4-BE49-F238E27FC236}">
              <a16:creationId xmlns:a16="http://schemas.microsoft.com/office/drawing/2014/main" id="{B26BE02C-2567-4631-809E-8339CA1A68E6}"/>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11" name="Shape 7">
          <a:extLst>
            <a:ext uri="{FF2B5EF4-FFF2-40B4-BE49-F238E27FC236}">
              <a16:creationId xmlns:a16="http://schemas.microsoft.com/office/drawing/2014/main" id="{1ED74E0A-2C96-4E90-8A84-71F15730CD36}"/>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12" name="Shape 7">
          <a:extLst>
            <a:ext uri="{FF2B5EF4-FFF2-40B4-BE49-F238E27FC236}">
              <a16:creationId xmlns:a16="http://schemas.microsoft.com/office/drawing/2014/main" id="{76173956-0250-4ADB-9590-D53AF8618796}"/>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13" name="Shape 7">
          <a:extLst>
            <a:ext uri="{FF2B5EF4-FFF2-40B4-BE49-F238E27FC236}">
              <a16:creationId xmlns:a16="http://schemas.microsoft.com/office/drawing/2014/main" id="{2FD5F66A-7E2E-4EAF-917D-EE7410938380}"/>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14" name="Shape 7">
          <a:extLst>
            <a:ext uri="{FF2B5EF4-FFF2-40B4-BE49-F238E27FC236}">
              <a16:creationId xmlns:a16="http://schemas.microsoft.com/office/drawing/2014/main" id="{F02309D5-B7C5-4052-AC6B-A0B550674E13}"/>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15" name="Shape 7">
          <a:extLst>
            <a:ext uri="{FF2B5EF4-FFF2-40B4-BE49-F238E27FC236}">
              <a16:creationId xmlns:a16="http://schemas.microsoft.com/office/drawing/2014/main" id="{026BEBD5-DC32-4AF4-B56D-D0C34E38908E}"/>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16" name="Shape 7">
          <a:extLst>
            <a:ext uri="{FF2B5EF4-FFF2-40B4-BE49-F238E27FC236}">
              <a16:creationId xmlns:a16="http://schemas.microsoft.com/office/drawing/2014/main" id="{6EFEEB8C-08A2-4DEE-B604-A89259F4528B}"/>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317" name="Shape 7">
          <a:extLst>
            <a:ext uri="{FF2B5EF4-FFF2-40B4-BE49-F238E27FC236}">
              <a16:creationId xmlns:a16="http://schemas.microsoft.com/office/drawing/2014/main" id="{6607323E-BD54-42D6-BDE3-AB1FA9C286FC}"/>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18" name="Shape 7">
          <a:extLst>
            <a:ext uri="{FF2B5EF4-FFF2-40B4-BE49-F238E27FC236}">
              <a16:creationId xmlns:a16="http://schemas.microsoft.com/office/drawing/2014/main" id="{ABA4837A-F6BE-435B-B174-8C915FB57BBD}"/>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19" name="Shape 8">
          <a:extLst>
            <a:ext uri="{FF2B5EF4-FFF2-40B4-BE49-F238E27FC236}">
              <a16:creationId xmlns:a16="http://schemas.microsoft.com/office/drawing/2014/main" id="{1DC6383E-7F4D-4CAA-B1DA-D5D844DED091}"/>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20" name="Shape 7">
          <a:extLst>
            <a:ext uri="{FF2B5EF4-FFF2-40B4-BE49-F238E27FC236}">
              <a16:creationId xmlns:a16="http://schemas.microsoft.com/office/drawing/2014/main" id="{C13D908A-E397-46ED-A964-CEFA0DDFB2DA}"/>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21" name="Shape 8">
          <a:extLst>
            <a:ext uri="{FF2B5EF4-FFF2-40B4-BE49-F238E27FC236}">
              <a16:creationId xmlns:a16="http://schemas.microsoft.com/office/drawing/2014/main" id="{A19D02F5-947F-4C50-87A8-B4F6DC764DAB}"/>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22" name="Shape 7">
          <a:extLst>
            <a:ext uri="{FF2B5EF4-FFF2-40B4-BE49-F238E27FC236}">
              <a16:creationId xmlns:a16="http://schemas.microsoft.com/office/drawing/2014/main" id="{1652AFD4-9087-4361-934B-92041E2DDC20}"/>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23" name="Shape 8">
          <a:extLst>
            <a:ext uri="{FF2B5EF4-FFF2-40B4-BE49-F238E27FC236}">
              <a16:creationId xmlns:a16="http://schemas.microsoft.com/office/drawing/2014/main" id="{024426F8-3496-4CD7-9597-7EB9E7ECD572}"/>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24" name="Shape 8">
          <a:extLst>
            <a:ext uri="{FF2B5EF4-FFF2-40B4-BE49-F238E27FC236}">
              <a16:creationId xmlns:a16="http://schemas.microsoft.com/office/drawing/2014/main" id="{436133DC-810B-4609-B8D4-AEC7CF7ABC27}"/>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25" name="Shape 7">
          <a:extLst>
            <a:ext uri="{FF2B5EF4-FFF2-40B4-BE49-F238E27FC236}">
              <a16:creationId xmlns:a16="http://schemas.microsoft.com/office/drawing/2014/main" id="{B1F619C7-E4B0-409C-A6FC-83566B1B3331}"/>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26" name="Shape 8">
          <a:extLst>
            <a:ext uri="{FF2B5EF4-FFF2-40B4-BE49-F238E27FC236}">
              <a16:creationId xmlns:a16="http://schemas.microsoft.com/office/drawing/2014/main" id="{A3FB8582-4FF5-49E9-9B78-0BF5BB4AE3A5}"/>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27" name="Shape 8">
          <a:extLst>
            <a:ext uri="{FF2B5EF4-FFF2-40B4-BE49-F238E27FC236}">
              <a16:creationId xmlns:a16="http://schemas.microsoft.com/office/drawing/2014/main" id="{84388E25-6536-4CC4-816A-5496E54D7FE5}"/>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28" name="Shape 7">
          <a:extLst>
            <a:ext uri="{FF2B5EF4-FFF2-40B4-BE49-F238E27FC236}">
              <a16:creationId xmlns:a16="http://schemas.microsoft.com/office/drawing/2014/main" id="{B85C1DCD-F484-4FBF-8121-CABBF8D32BD2}"/>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29" name="Shape 8">
          <a:extLst>
            <a:ext uri="{FF2B5EF4-FFF2-40B4-BE49-F238E27FC236}">
              <a16:creationId xmlns:a16="http://schemas.microsoft.com/office/drawing/2014/main" id="{A30AC489-46B8-40DD-A78F-23C3972A2939}"/>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30" name="Shape 8">
          <a:extLst>
            <a:ext uri="{FF2B5EF4-FFF2-40B4-BE49-F238E27FC236}">
              <a16:creationId xmlns:a16="http://schemas.microsoft.com/office/drawing/2014/main" id="{D28B4ADC-F98A-4D7A-8C30-E727E160A191}"/>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31" name="Shape 7">
          <a:extLst>
            <a:ext uri="{FF2B5EF4-FFF2-40B4-BE49-F238E27FC236}">
              <a16:creationId xmlns:a16="http://schemas.microsoft.com/office/drawing/2014/main" id="{043E54D6-87A6-4D83-8F10-E4A55BEBED76}"/>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32" name="Shape 8">
          <a:extLst>
            <a:ext uri="{FF2B5EF4-FFF2-40B4-BE49-F238E27FC236}">
              <a16:creationId xmlns:a16="http://schemas.microsoft.com/office/drawing/2014/main" id="{E1C315DA-B38B-4C50-AD4D-63F58309BAFB}"/>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33" name="Shape 8">
          <a:extLst>
            <a:ext uri="{FF2B5EF4-FFF2-40B4-BE49-F238E27FC236}">
              <a16:creationId xmlns:a16="http://schemas.microsoft.com/office/drawing/2014/main" id="{E8AFF48A-E394-4AAF-9E24-430F91D4240E}"/>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34" name="Shape 7">
          <a:extLst>
            <a:ext uri="{FF2B5EF4-FFF2-40B4-BE49-F238E27FC236}">
              <a16:creationId xmlns:a16="http://schemas.microsoft.com/office/drawing/2014/main" id="{94543A3D-DF0A-41E8-A366-154C2B570B2F}"/>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35" name="Shape 8">
          <a:extLst>
            <a:ext uri="{FF2B5EF4-FFF2-40B4-BE49-F238E27FC236}">
              <a16:creationId xmlns:a16="http://schemas.microsoft.com/office/drawing/2014/main" id="{0B904048-9C1D-4AA7-95B7-0A93C126EB03}"/>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36" name="Shape 8">
          <a:extLst>
            <a:ext uri="{FF2B5EF4-FFF2-40B4-BE49-F238E27FC236}">
              <a16:creationId xmlns:a16="http://schemas.microsoft.com/office/drawing/2014/main" id="{534A176A-4E7B-485E-82B2-8367FDBA1F13}"/>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37" name="Shape 7">
          <a:extLst>
            <a:ext uri="{FF2B5EF4-FFF2-40B4-BE49-F238E27FC236}">
              <a16:creationId xmlns:a16="http://schemas.microsoft.com/office/drawing/2014/main" id="{57F1D941-A716-4C67-8E29-D2E712C124A0}"/>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38" name="Shape 7">
          <a:extLst>
            <a:ext uri="{FF2B5EF4-FFF2-40B4-BE49-F238E27FC236}">
              <a16:creationId xmlns:a16="http://schemas.microsoft.com/office/drawing/2014/main" id="{4D995BE6-DD70-4262-8B69-3070A2E1956D}"/>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39" name="Shape 8">
          <a:extLst>
            <a:ext uri="{FF2B5EF4-FFF2-40B4-BE49-F238E27FC236}">
              <a16:creationId xmlns:a16="http://schemas.microsoft.com/office/drawing/2014/main" id="{4BCBE13E-46C7-4DA6-890A-B89320C0EDDD}"/>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40" name="Shape 8">
          <a:extLst>
            <a:ext uri="{FF2B5EF4-FFF2-40B4-BE49-F238E27FC236}">
              <a16:creationId xmlns:a16="http://schemas.microsoft.com/office/drawing/2014/main" id="{6F29F919-7E2E-49EE-A312-76B72D3D6DBA}"/>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41" name="Shape 7">
          <a:extLst>
            <a:ext uri="{FF2B5EF4-FFF2-40B4-BE49-F238E27FC236}">
              <a16:creationId xmlns:a16="http://schemas.microsoft.com/office/drawing/2014/main" id="{404EC2DB-3400-4C1F-A0A1-17770CF38D58}"/>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42" name="Shape 7">
          <a:extLst>
            <a:ext uri="{FF2B5EF4-FFF2-40B4-BE49-F238E27FC236}">
              <a16:creationId xmlns:a16="http://schemas.microsoft.com/office/drawing/2014/main" id="{D8E2EA8B-25FA-4AEB-8405-190B8E7AA3D9}"/>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43" name="Shape 8">
          <a:extLst>
            <a:ext uri="{FF2B5EF4-FFF2-40B4-BE49-F238E27FC236}">
              <a16:creationId xmlns:a16="http://schemas.microsoft.com/office/drawing/2014/main" id="{5AB08CFF-7536-4ADB-A272-094C11CE44DC}"/>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44" name="Shape 7">
          <a:extLst>
            <a:ext uri="{FF2B5EF4-FFF2-40B4-BE49-F238E27FC236}">
              <a16:creationId xmlns:a16="http://schemas.microsoft.com/office/drawing/2014/main" id="{EF84945E-4A8D-482A-84B9-9DEFD998C2DE}"/>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45" name="Shape 8">
          <a:extLst>
            <a:ext uri="{FF2B5EF4-FFF2-40B4-BE49-F238E27FC236}">
              <a16:creationId xmlns:a16="http://schemas.microsoft.com/office/drawing/2014/main" id="{9E7CB51D-89D5-4029-BBCD-B9A1ED06B2EE}"/>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46" name="Shape 7">
          <a:extLst>
            <a:ext uri="{FF2B5EF4-FFF2-40B4-BE49-F238E27FC236}">
              <a16:creationId xmlns:a16="http://schemas.microsoft.com/office/drawing/2014/main" id="{F86011DB-AA41-4145-9F3C-3311393DB628}"/>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47" name="Shape 8">
          <a:extLst>
            <a:ext uri="{FF2B5EF4-FFF2-40B4-BE49-F238E27FC236}">
              <a16:creationId xmlns:a16="http://schemas.microsoft.com/office/drawing/2014/main" id="{C7894641-DB63-4A48-9672-BD2B89FB7865}"/>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48" name="Shape 7">
          <a:extLst>
            <a:ext uri="{FF2B5EF4-FFF2-40B4-BE49-F238E27FC236}">
              <a16:creationId xmlns:a16="http://schemas.microsoft.com/office/drawing/2014/main" id="{1262FB57-E1F2-43A4-9EC3-27E0B0A3F35E}"/>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49" name="Shape 8">
          <a:extLst>
            <a:ext uri="{FF2B5EF4-FFF2-40B4-BE49-F238E27FC236}">
              <a16:creationId xmlns:a16="http://schemas.microsoft.com/office/drawing/2014/main" id="{A573C2DA-44EF-4217-9896-66055EC9DC2C}"/>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50" name="Shape 8">
          <a:extLst>
            <a:ext uri="{FF2B5EF4-FFF2-40B4-BE49-F238E27FC236}">
              <a16:creationId xmlns:a16="http://schemas.microsoft.com/office/drawing/2014/main" id="{E5ED9139-2F4C-4778-833B-07CBA431A910}"/>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51" name="Shape 7">
          <a:extLst>
            <a:ext uri="{FF2B5EF4-FFF2-40B4-BE49-F238E27FC236}">
              <a16:creationId xmlns:a16="http://schemas.microsoft.com/office/drawing/2014/main" id="{0657528E-A680-499E-B819-A448D70F100A}"/>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52" name="Shape 8">
          <a:extLst>
            <a:ext uri="{FF2B5EF4-FFF2-40B4-BE49-F238E27FC236}">
              <a16:creationId xmlns:a16="http://schemas.microsoft.com/office/drawing/2014/main" id="{AB3137B4-B397-4BDD-86AE-E9EB22630382}"/>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53" name="Shape 8">
          <a:extLst>
            <a:ext uri="{FF2B5EF4-FFF2-40B4-BE49-F238E27FC236}">
              <a16:creationId xmlns:a16="http://schemas.microsoft.com/office/drawing/2014/main" id="{4D7384E6-2EC4-4577-A899-FA281BD69AE7}"/>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54" name="Shape 7">
          <a:extLst>
            <a:ext uri="{FF2B5EF4-FFF2-40B4-BE49-F238E27FC236}">
              <a16:creationId xmlns:a16="http://schemas.microsoft.com/office/drawing/2014/main" id="{7AA5E5A0-631C-4FFD-B61B-EE458BBB9416}"/>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55" name="Shape 8">
          <a:extLst>
            <a:ext uri="{FF2B5EF4-FFF2-40B4-BE49-F238E27FC236}">
              <a16:creationId xmlns:a16="http://schemas.microsoft.com/office/drawing/2014/main" id="{350E2832-A1EB-4A0D-AFDA-927F0D992E31}"/>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56" name="Shape 8">
          <a:extLst>
            <a:ext uri="{FF2B5EF4-FFF2-40B4-BE49-F238E27FC236}">
              <a16:creationId xmlns:a16="http://schemas.microsoft.com/office/drawing/2014/main" id="{B0F94F8F-702B-428E-BF89-003E369AD517}"/>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57" name="Shape 7">
          <a:extLst>
            <a:ext uri="{FF2B5EF4-FFF2-40B4-BE49-F238E27FC236}">
              <a16:creationId xmlns:a16="http://schemas.microsoft.com/office/drawing/2014/main" id="{0585C875-ED72-4FF0-83DC-2B870A1E5616}"/>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58" name="Shape 8">
          <a:extLst>
            <a:ext uri="{FF2B5EF4-FFF2-40B4-BE49-F238E27FC236}">
              <a16:creationId xmlns:a16="http://schemas.microsoft.com/office/drawing/2014/main" id="{6A488265-7380-4B87-B2F7-25B025168409}"/>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59" name="Shape 8">
          <a:extLst>
            <a:ext uri="{FF2B5EF4-FFF2-40B4-BE49-F238E27FC236}">
              <a16:creationId xmlns:a16="http://schemas.microsoft.com/office/drawing/2014/main" id="{6968226A-45F7-41B8-9F6A-FC730668A671}"/>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60" name="Shape 7">
          <a:extLst>
            <a:ext uri="{FF2B5EF4-FFF2-40B4-BE49-F238E27FC236}">
              <a16:creationId xmlns:a16="http://schemas.microsoft.com/office/drawing/2014/main" id="{67C3D0C0-0C0A-466D-8567-6F50F13C80B1}"/>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61" name="Shape 8">
          <a:extLst>
            <a:ext uri="{FF2B5EF4-FFF2-40B4-BE49-F238E27FC236}">
              <a16:creationId xmlns:a16="http://schemas.microsoft.com/office/drawing/2014/main" id="{BFA10CEA-F8DF-4968-B91C-FC62E72A8D24}"/>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62" name="Shape 8">
          <a:extLst>
            <a:ext uri="{FF2B5EF4-FFF2-40B4-BE49-F238E27FC236}">
              <a16:creationId xmlns:a16="http://schemas.microsoft.com/office/drawing/2014/main" id="{8C3CF54A-654E-424E-81B2-B3FD34778FFB}"/>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63" name="Shape 7">
          <a:extLst>
            <a:ext uri="{FF2B5EF4-FFF2-40B4-BE49-F238E27FC236}">
              <a16:creationId xmlns:a16="http://schemas.microsoft.com/office/drawing/2014/main" id="{5E1B7F4A-B12D-47CE-99EB-DD6ADF65A57D}"/>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64" name="Shape 7">
          <a:extLst>
            <a:ext uri="{FF2B5EF4-FFF2-40B4-BE49-F238E27FC236}">
              <a16:creationId xmlns:a16="http://schemas.microsoft.com/office/drawing/2014/main" id="{868D7F2C-0397-4779-BB02-C99B28F3D709}"/>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65" name="Shape 8">
          <a:extLst>
            <a:ext uri="{FF2B5EF4-FFF2-40B4-BE49-F238E27FC236}">
              <a16:creationId xmlns:a16="http://schemas.microsoft.com/office/drawing/2014/main" id="{699FAB82-4982-4FED-95F8-234C3900C001}"/>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66" name="Shape 8">
          <a:extLst>
            <a:ext uri="{FF2B5EF4-FFF2-40B4-BE49-F238E27FC236}">
              <a16:creationId xmlns:a16="http://schemas.microsoft.com/office/drawing/2014/main" id="{E8C2CC61-322E-4B8F-BF47-B90EE8F6BE7D}"/>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67" name="Shape 7">
          <a:extLst>
            <a:ext uri="{FF2B5EF4-FFF2-40B4-BE49-F238E27FC236}">
              <a16:creationId xmlns:a16="http://schemas.microsoft.com/office/drawing/2014/main" id="{E4F5548B-DBEA-4430-AF7C-1BE52C6EF4F0}"/>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68" name="Shape 7">
          <a:extLst>
            <a:ext uri="{FF2B5EF4-FFF2-40B4-BE49-F238E27FC236}">
              <a16:creationId xmlns:a16="http://schemas.microsoft.com/office/drawing/2014/main" id="{B7AC0B6C-FBA5-42AC-B949-F270336F877D}"/>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69" name="Shape 8">
          <a:extLst>
            <a:ext uri="{FF2B5EF4-FFF2-40B4-BE49-F238E27FC236}">
              <a16:creationId xmlns:a16="http://schemas.microsoft.com/office/drawing/2014/main" id="{9765B03E-5C28-4BCE-B8F7-AA247BBAC875}"/>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70" name="Shape 7">
          <a:extLst>
            <a:ext uri="{FF2B5EF4-FFF2-40B4-BE49-F238E27FC236}">
              <a16:creationId xmlns:a16="http://schemas.microsoft.com/office/drawing/2014/main" id="{6D37656B-F357-4549-8595-5BD79950F2B7}"/>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71" name="Shape 8">
          <a:extLst>
            <a:ext uri="{FF2B5EF4-FFF2-40B4-BE49-F238E27FC236}">
              <a16:creationId xmlns:a16="http://schemas.microsoft.com/office/drawing/2014/main" id="{112DF9B0-36F1-4FF9-AA9C-5AA03C78E58C}"/>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72" name="Shape 7">
          <a:extLst>
            <a:ext uri="{FF2B5EF4-FFF2-40B4-BE49-F238E27FC236}">
              <a16:creationId xmlns:a16="http://schemas.microsoft.com/office/drawing/2014/main" id="{7F1A3AF8-4DD3-4DA2-8B53-1CEFC901A85F}"/>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73" name="Shape 8">
          <a:extLst>
            <a:ext uri="{FF2B5EF4-FFF2-40B4-BE49-F238E27FC236}">
              <a16:creationId xmlns:a16="http://schemas.microsoft.com/office/drawing/2014/main" id="{4D4F7C57-8064-47C0-B803-B4816A8CC89C}"/>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74" name="Shape 7">
          <a:extLst>
            <a:ext uri="{FF2B5EF4-FFF2-40B4-BE49-F238E27FC236}">
              <a16:creationId xmlns:a16="http://schemas.microsoft.com/office/drawing/2014/main" id="{376F1039-2B9E-40F2-A843-FDDECF30D3E5}"/>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75" name="Shape 8">
          <a:extLst>
            <a:ext uri="{FF2B5EF4-FFF2-40B4-BE49-F238E27FC236}">
              <a16:creationId xmlns:a16="http://schemas.microsoft.com/office/drawing/2014/main" id="{2E1DE4B8-0B1B-4249-B24A-31A5D5E087AC}"/>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76" name="Shape 8">
          <a:extLst>
            <a:ext uri="{FF2B5EF4-FFF2-40B4-BE49-F238E27FC236}">
              <a16:creationId xmlns:a16="http://schemas.microsoft.com/office/drawing/2014/main" id="{0B231394-DB12-4FA0-A700-78706A7C6917}"/>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77" name="Shape 7">
          <a:extLst>
            <a:ext uri="{FF2B5EF4-FFF2-40B4-BE49-F238E27FC236}">
              <a16:creationId xmlns:a16="http://schemas.microsoft.com/office/drawing/2014/main" id="{9ABD1EAA-45DF-4454-9296-EFBC95F7BF94}"/>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78" name="Shape 8">
          <a:extLst>
            <a:ext uri="{FF2B5EF4-FFF2-40B4-BE49-F238E27FC236}">
              <a16:creationId xmlns:a16="http://schemas.microsoft.com/office/drawing/2014/main" id="{4EE20EC4-C40A-4FF1-A65E-3D61F2965E6B}"/>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79" name="Shape 8">
          <a:extLst>
            <a:ext uri="{FF2B5EF4-FFF2-40B4-BE49-F238E27FC236}">
              <a16:creationId xmlns:a16="http://schemas.microsoft.com/office/drawing/2014/main" id="{2D2D7042-412A-4076-AB42-D1388245252A}"/>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80" name="Shape 7">
          <a:extLst>
            <a:ext uri="{FF2B5EF4-FFF2-40B4-BE49-F238E27FC236}">
              <a16:creationId xmlns:a16="http://schemas.microsoft.com/office/drawing/2014/main" id="{56ED0AA2-6E1B-4A5C-8BAE-214E92048E60}"/>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81" name="Shape 8">
          <a:extLst>
            <a:ext uri="{FF2B5EF4-FFF2-40B4-BE49-F238E27FC236}">
              <a16:creationId xmlns:a16="http://schemas.microsoft.com/office/drawing/2014/main" id="{B5AAAC18-4C11-4979-90A8-F2C49994BD76}"/>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82" name="Shape 8">
          <a:extLst>
            <a:ext uri="{FF2B5EF4-FFF2-40B4-BE49-F238E27FC236}">
              <a16:creationId xmlns:a16="http://schemas.microsoft.com/office/drawing/2014/main" id="{86101A1B-6A1D-48E8-AED0-8378BDB20D7D}"/>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83" name="Shape 7">
          <a:extLst>
            <a:ext uri="{FF2B5EF4-FFF2-40B4-BE49-F238E27FC236}">
              <a16:creationId xmlns:a16="http://schemas.microsoft.com/office/drawing/2014/main" id="{7EB76307-B7B2-40F8-A0A2-09485AECD07F}"/>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84" name="Shape 8">
          <a:extLst>
            <a:ext uri="{FF2B5EF4-FFF2-40B4-BE49-F238E27FC236}">
              <a16:creationId xmlns:a16="http://schemas.microsoft.com/office/drawing/2014/main" id="{3F6675A2-5EA8-4ED3-83B7-4D8953DAA34D}"/>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85" name="Shape 8">
          <a:extLst>
            <a:ext uri="{FF2B5EF4-FFF2-40B4-BE49-F238E27FC236}">
              <a16:creationId xmlns:a16="http://schemas.microsoft.com/office/drawing/2014/main" id="{AE1591A4-2542-4F11-BF3F-698A550020E4}"/>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86" name="Shape 7">
          <a:extLst>
            <a:ext uri="{FF2B5EF4-FFF2-40B4-BE49-F238E27FC236}">
              <a16:creationId xmlns:a16="http://schemas.microsoft.com/office/drawing/2014/main" id="{8C865E74-21A9-4134-B155-A1512B52CDD3}"/>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87" name="Shape 8">
          <a:extLst>
            <a:ext uri="{FF2B5EF4-FFF2-40B4-BE49-F238E27FC236}">
              <a16:creationId xmlns:a16="http://schemas.microsoft.com/office/drawing/2014/main" id="{BF2481D2-9897-420F-8E9F-CC0F0CD8BFFC}"/>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88" name="Shape 8">
          <a:extLst>
            <a:ext uri="{FF2B5EF4-FFF2-40B4-BE49-F238E27FC236}">
              <a16:creationId xmlns:a16="http://schemas.microsoft.com/office/drawing/2014/main" id="{011E8138-F5F9-4A87-A92F-DDFB7230AA4E}"/>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89" name="Shape 7">
          <a:extLst>
            <a:ext uri="{FF2B5EF4-FFF2-40B4-BE49-F238E27FC236}">
              <a16:creationId xmlns:a16="http://schemas.microsoft.com/office/drawing/2014/main" id="{F1E974A4-DF26-4480-B3A2-EEA6E62F62D9}"/>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90" name="Shape 7">
          <a:extLst>
            <a:ext uri="{FF2B5EF4-FFF2-40B4-BE49-F238E27FC236}">
              <a16:creationId xmlns:a16="http://schemas.microsoft.com/office/drawing/2014/main" id="{C59413A5-2BFB-4ECD-9252-91E16B15AA1A}"/>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91" name="Shape 8">
          <a:extLst>
            <a:ext uri="{FF2B5EF4-FFF2-40B4-BE49-F238E27FC236}">
              <a16:creationId xmlns:a16="http://schemas.microsoft.com/office/drawing/2014/main" id="{A0E23DD9-64E3-4EB8-8F11-48180D35EF4E}"/>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92" name="Shape 8">
          <a:extLst>
            <a:ext uri="{FF2B5EF4-FFF2-40B4-BE49-F238E27FC236}">
              <a16:creationId xmlns:a16="http://schemas.microsoft.com/office/drawing/2014/main" id="{EFDC9485-EEC0-4436-83FC-8442127A3713}"/>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93" name="Shape 7">
          <a:extLst>
            <a:ext uri="{FF2B5EF4-FFF2-40B4-BE49-F238E27FC236}">
              <a16:creationId xmlns:a16="http://schemas.microsoft.com/office/drawing/2014/main" id="{BA2FFF29-4C12-41DB-810F-1CBA5360FA5E}"/>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94" name="Shape 7">
          <a:extLst>
            <a:ext uri="{FF2B5EF4-FFF2-40B4-BE49-F238E27FC236}">
              <a16:creationId xmlns:a16="http://schemas.microsoft.com/office/drawing/2014/main" id="{8B0E8098-4E09-4C44-A7CB-E047A0943A5B}"/>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95" name="Shape 8">
          <a:extLst>
            <a:ext uri="{FF2B5EF4-FFF2-40B4-BE49-F238E27FC236}">
              <a16:creationId xmlns:a16="http://schemas.microsoft.com/office/drawing/2014/main" id="{08E8C73A-A318-406E-A13B-72BB79A79A1A}"/>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96" name="Shape 7">
          <a:extLst>
            <a:ext uri="{FF2B5EF4-FFF2-40B4-BE49-F238E27FC236}">
              <a16:creationId xmlns:a16="http://schemas.microsoft.com/office/drawing/2014/main" id="{7DFCA53F-7932-4AA0-B96C-2616075EBB04}"/>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97" name="Shape 8">
          <a:extLst>
            <a:ext uri="{FF2B5EF4-FFF2-40B4-BE49-F238E27FC236}">
              <a16:creationId xmlns:a16="http://schemas.microsoft.com/office/drawing/2014/main" id="{51455318-96CA-4557-BF79-7A77F361F4B9}"/>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398" name="Shape 7">
          <a:extLst>
            <a:ext uri="{FF2B5EF4-FFF2-40B4-BE49-F238E27FC236}">
              <a16:creationId xmlns:a16="http://schemas.microsoft.com/office/drawing/2014/main" id="{2B5AF857-7F01-4D47-BA11-92D0570E6BDE}"/>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399" name="Shape 8">
          <a:extLst>
            <a:ext uri="{FF2B5EF4-FFF2-40B4-BE49-F238E27FC236}">
              <a16:creationId xmlns:a16="http://schemas.microsoft.com/office/drawing/2014/main" id="{1B5556D3-6A7A-441B-808C-E76759ADBC22}"/>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00" name="Shape 7">
          <a:extLst>
            <a:ext uri="{FF2B5EF4-FFF2-40B4-BE49-F238E27FC236}">
              <a16:creationId xmlns:a16="http://schemas.microsoft.com/office/drawing/2014/main" id="{9FDA6112-98A2-48E7-AFDD-D129856654FA}"/>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01" name="Shape 8">
          <a:extLst>
            <a:ext uri="{FF2B5EF4-FFF2-40B4-BE49-F238E27FC236}">
              <a16:creationId xmlns:a16="http://schemas.microsoft.com/office/drawing/2014/main" id="{FBB788B6-50BE-4583-9513-4804B06C5C3E}"/>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02" name="Shape 8">
          <a:extLst>
            <a:ext uri="{FF2B5EF4-FFF2-40B4-BE49-F238E27FC236}">
              <a16:creationId xmlns:a16="http://schemas.microsoft.com/office/drawing/2014/main" id="{89B03F31-00A5-4494-A41A-DA44A36974CD}"/>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03" name="Shape 7">
          <a:extLst>
            <a:ext uri="{FF2B5EF4-FFF2-40B4-BE49-F238E27FC236}">
              <a16:creationId xmlns:a16="http://schemas.microsoft.com/office/drawing/2014/main" id="{367C1783-B4D7-4195-B3F1-FE03B683A3FF}"/>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04" name="Shape 8">
          <a:extLst>
            <a:ext uri="{FF2B5EF4-FFF2-40B4-BE49-F238E27FC236}">
              <a16:creationId xmlns:a16="http://schemas.microsoft.com/office/drawing/2014/main" id="{B7F96562-CB09-4E01-84F7-8979140DE6B0}"/>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05" name="Shape 8">
          <a:extLst>
            <a:ext uri="{FF2B5EF4-FFF2-40B4-BE49-F238E27FC236}">
              <a16:creationId xmlns:a16="http://schemas.microsoft.com/office/drawing/2014/main" id="{283C3250-CB49-4E9B-8BDB-922DF97FB366}"/>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06" name="Shape 7">
          <a:extLst>
            <a:ext uri="{FF2B5EF4-FFF2-40B4-BE49-F238E27FC236}">
              <a16:creationId xmlns:a16="http://schemas.microsoft.com/office/drawing/2014/main" id="{EDCDA7F4-4ACE-4196-A515-961D760CD816}"/>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07" name="Shape 8">
          <a:extLst>
            <a:ext uri="{FF2B5EF4-FFF2-40B4-BE49-F238E27FC236}">
              <a16:creationId xmlns:a16="http://schemas.microsoft.com/office/drawing/2014/main" id="{6F3717F9-3719-476B-9421-44002DB59E5C}"/>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08" name="Shape 8">
          <a:extLst>
            <a:ext uri="{FF2B5EF4-FFF2-40B4-BE49-F238E27FC236}">
              <a16:creationId xmlns:a16="http://schemas.microsoft.com/office/drawing/2014/main" id="{5548D564-06D2-4325-90CE-700590BC8DB0}"/>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09" name="Shape 7">
          <a:extLst>
            <a:ext uri="{FF2B5EF4-FFF2-40B4-BE49-F238E27FC236}">
              <a16:creationId xmlns:a16="http://schemas.microsoft.com/office/drawing/2014/main" id="{594BD91E-8242-4220-AF62-3980A38F95B2}"/>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10" name="Shape 8">
          <a:extLst>
            <a:ext uri="{FF2B5EF4-FFF2-40B4-BE49-F238E27FC236}">
              <a16:creationId xmlns:a16="http://schemas.microsoft.com/office/drawing/2014/main" id="{34F55181-AA32-4876-875D-F8F0AEEB91A0}"/>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11" name="Shape 8">
          <a:extLst>
            <a:ext uri="{FF2B5EF4-FFF2-40B4-BE49-F238E27FC236}">
              <a16:creationId xmlns:a16="http://schemas.microsoft.com/office/drawing/2014/main" id="{B2D98905-9ACE-484D-9F71-519C3F1B3FA4}"/>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12" name="Shape 7">
          <a:extLst>
            <a:ext uri="{FF2B5EF4-FFF2-40B4-BE49-F238E27FC236}">
              <a16:creationId xmlns:a16="http://schemas.microsoft.com/office/drawing/2014/main" id="{2D44D191-2440-495D-AC3C-42E7B205F7FB}"/>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13" name="Shape 8">
          <a:extLst>
            <a:ext uri="{FF2B5EF4-FFF2-40B4-BE49-F238E27FC236}">
              <a16:creationId xmlns:a16="http://schemas.microsoft.com/office/drawing/2014/main" id="{996BA83F-2FF1-4147-BBB4-28A4FB15D57A}"/>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14" name="Shape 8">
          <a:extLst>
            <a:ext uri="{FF2B5EF4-FFF2-40B4-BE49-F238E27FC236}">
              <a16:creationId xmlns:a16="http://schemas.microsoft.com/office/drawing/2014/main" id="{04016B8E-9AB1-4619-8971-739EC647B5E2}"/>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15" name="Shape 7">
          <a:extLst>
            <a:ext uri="{FF2B5EF4-FFF2-40B4-BE49-F238E27FC236}">
              <a16:creationId xmlns:a16="http://schemas.microsoft.com/office/drawing/2014/main" id="{81659DC1-3101-4AFA-953F-5EA20B284E3B}"/>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16" name="Shape 7">
          <a:extLst>
            <a:ext uri="{FF2B5EF4-FFF2-40B4-BE49-F238E27FC236}">
              <a16:creationId xmlns:a16="http://schemas.microsoft.com/office/drawing/2014/main" id="{D88E2FB8-DBF5-4A00-BF7D-46BF8E540FFB}"/>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17" name="Shape 8">
          <a:extLst>
            <a:ext uri="{FF2B5EF4-FFF2-40B4-BE49-F238E27FC236}">
              <a16:creationId xmlns:a16="http://schemas.microsoft.com/office/drawing/2014/main" id="{A52A028F-1060-40EC-8D20-2D4B5FFE5242}"/>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18" name="Shape 8">
          <a:extLst>
            <a:ext uri="{FF2B5EF4-FFF2-40B4-BE49-F238E27FC236}">
              <a16:creationId xmlns:a16="http://schemas.microsoft.com/office/drawing/2014/main" id="{7420C59E-C0FF-49A9-A25A-5187390F65CC}"/>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19" name="Shape 7">
          <a:extLst>
            <a:ext uri="{FF2B5EF4-FFF2-40B4-BE49-F238E27FC236}">
              <a16:creationId xmlns:a16="http://schemas.microsoft.com/office/drawing/2014/main" id="{33B029E6-B0FD-485E-8521-A13DADA34763}"/>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20" name="Shape 7">
          <a:extLst>
            <a:ext uri="{FF2B5EF4-FFF2-40B4-BE49-F238E27FC236}">
              <a16:creationId xmlns:a16="http://schemas.microsoft.com/office/drawing/2014/main" id="{8D605F9F-3C03-43B3-84ED-584AA92DDB60}"/>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21" name="Shape 8">
          <a:extLst>
            <a:ext uri="{FF2B5EF4-FFF2-40B4-BE49-F238E27FC236}">
              <a16:creationId xmlns:a16="http://schemas.microsoft.com/office/drawing/2014/main" id="{61E11A29-F09A-4BC1-9E8D-81954D0C4B0A}"/>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22" name="Shape 7">
          <a:extLst>
            <a:ext uri="{FF2B5EF4-FFF2-40B4-BE49-F238E27FC236}">
              <a16:creationId xmlns:a16="http://schemas.microsoft.com/office/drawing/2014/main" id="{E3494370-0146-4277-B729-419E7D8B046C}"/>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23" name="Shape 8">
          <a:extLst>
            <a:ext uri="{FF2B5EF4-FFF2-40B4-BE49-F238E27FC236}">
              <a16:creationId xmlns:a16="http://schemas.microsoft.com/office/drawing/2014/main" id="{92664883-9795-4E72-BC56-5FBAF953807E}"/>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24" name="Shape 7">
          <a:extLst>
            <a:ext uri="{FF2B5EF4-FFF2-40B4-BE49-F238E27FC236}">
              <a16:creationId xmlns:a16="http://schemas.microsoft.com/office/drawing/2014/main" id="{166719E7-1240-4A35-B1C0-9103E26E16A4}"/>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25" name="Shape 8">
          <a:extLst>
            <a:ext uri="{FF2B5EF4-FFF2-40B4-BE49-F238E27FC236}">
              <a16:creationId xmlns:a16="http://schemas.microsoft.com/office/drawing/2014/main" id="{09E8F1BB-5FD1-4E09-93DE-7E8CD827C877}"/>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26" name="Shape 7">
          <a:extLst>
            <a:ext uri="{FF2B5EF4-FFF2-40B4-BE49-F238E27FC236}">
              <a16:creationId xmlns:a16="http://schemas.microsoft.com/office/drawing/2014/main" id="{81CAD8D6-A570-40FD-B472-906FFE5030AC}"/>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27" name="Shape 8">
          <a:extLst>
            <a:ext uri="{FF2B5EF4-FFF2-40B4-BE49-F238E27FC236}">
              <a16:creationId xmlns:a16="http://schemas.microsoft.com/office/drawing/2014/main" id="{4D1A9642-EBC0-46EB-ACA9-C947F7E5C21A}"/>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28" name="Shape 8">
          <a:extLst>
            <a:ext uri="{FF2B5EF4-FFF2-40B4-BE49-F238E27FC236}">
              <a16:creationId xmlns:a16="http://schemas.microsoft.com/office/drawing/2014/main" id="{1533BA1C-D9C9-40EC-9A60-7DCBE1E57701}"/>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29" name="Shape 7">
          <a:extLst>
            <a:ext uri="{FF2B5EF4-FFF2-40B4-BE49-F238E27FC236}">
              <a16:creationId xmlns:a16="http://schemas.microsoft.com/office/drawing/2014/main" id="{A93D9BD5-F6DC-45A9-8871-2E224B556C9D}"/>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30" name="Shape 8">
          <a:extLst>
            <a:ext uri="{FF2B5EF4-FFF2-40B4-BE49-F238E27FC236}">
              <a16:creationId xmlns:a16="http://schemas.microsoft.com/office/drawing/2014/main" id="{AB159877-0F87-4DC0-A69B-04259B33C6A3}"/>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31" name="Shape 8">
          <a:extLst>
            <a:ext uri="{FF2B5EF4-FFF2-40B4-BE49-F238E27FC236}">
              <a16:creationId xmlns:a16="http://schemas.microsoft.com/office/drawing/2014/main" id="{FED889B0-DE72-4AD0-A9AE-68B02C096966}"/>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32" name="Shape 7">
          <a:extLst>
            <a:ext uri="{FF2B5EF4-FFF2-40B4-BE49-F238E27FC236}">
              <a16:creationId xmlns:a16="http://schemas.microsoft.com/office/drawing/2014/main" id="{09852622-FC8A-438F-8C66-1890B4D23C0D}"/>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33" name="Shape 8">
          <a:extLst>
            <a:ext uri="{FF2B5EF4-FFF2-40B4-BE49-F238E27FC236}">
              <a16:creationId xmlns:a16="http://schemas.microsoft.com/office/drawing/2014/main" id="{7677D099-CDCD-4195-A62A-206538A90C01}"/>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34" name="Shape 8">
          <a:extLst>
            <a:ext uri="{FF2B5EF4-FFF2-40B4-BE49-F238E27FC236}">
              <a16:creationId xmlns:a16="http://schemas.microsoft.com/office/drawing/2014/main" id="{64D4FC1E-3659-47DC-AD75-C41AB51FA5D7}"/>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35" name="Shape 7">
          <a:extLst>
            <a:ext uri="{FF2B5EF4-FFF2-40B4-BE49-F238E27FC236}">
              <a16:creationId xmlns:a16="http://schemas.microsoft.com/office/drawing/2014/main" id="{A37AB811-C79F-4E2B-BEFD-3B04E33DE987}"/>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36" name="Shape 8">
          <a:extLst>
            <a:ext uri="{FF2B5EF4-FFF2-40B4-BE49-F238E27FC236}">
              <a16:creationId xmlns:a16="http://schemas.microsoft.com/office/drawing/2014/main" id="{795C30EE-8022-434A-A62A-45B4763826FF}"/>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37" name="Shape 8">
          <a:extLst>
            <a:ext uri="{FF2B5EF4-FFF2-40B4-BE49-F238E27FC236}">
              <a16:creationId xmlns:a16="http://schemas.microsoft.com/office/drawing/2014/main" id="{76C537C6-47E8-4554-B2A3-34B28487D002}"/>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38" name="Shape 7">
          <a:extLst>
            <a:ext uri="{FF2B5EF4-FFF2-40B4-BE49-F238E27FC236}">
              <a16:creationId xmlns:a16="http://schemas.microsoft.com/office/drawing/2014/main" id="{19981603-9F2C-43DD-8853-2DD281645CF8}"/>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39" name="Shape 8">
          <a:extLst>
            <a:ext uri="{FF2B5EF4-FFF2-40B4-BE49-F238E27FC236}">
              <a16:creationId xmlns:a16="http://schemas.microsoft.com/office/drawing/2014/main" id="{830F97F9-B4D3-4F12-84AA-C478138E8F25}"/>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40" name="Shape 8">
          <a:extLst>
            <a:ext uri="{FF2B5EF4-FFF2-40B4-BE49-F238E27FC236}">
              <a16:creationId xmlns:a16="http://schemas.microsoft.com/office/drawing/2014/main" id="{DA969CD6-EF8A-4A3C-A740-131B2A7592EB}"/>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41" name="Shape 7">
          <a:extLst>
            <a:ext uri="{FF2B5EF4-FFF2-40B4-BE49-F238E27FC236}">
              <a16:creationId xmlns:a16="http://schemas.microsoft.com/office/drawing/2014/main" id="{B188D8CE-6626-4513-B09D-3705242FEA8A}"/>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42" name="Shape 7">
          <a:extLst>
            <a:ext uri="{FF2B5EF4-FFF2-40B4-BE49-F238E27FC236}">
              <a16:creationId xmlns:a16="http://schemas.microsoft.com/office/drawing/2014/main" id="{FD91A5E1-4428-423B-857D-DD0645C47A16}"/>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43" name="Shape 8">
          <a:extLst>
            <a:ext uri="{FF2B5EF4-FFF2-40B4-BE49-F238E27FC236}">
              <a16:creationId xmlns:a16="http://schemas.microsoft.com/office/drawing/2014/main" id="{670F1681-E671-4629-8967-922F28B57BFE}"/>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44" name="Shape 8">
          <a:extLst>
            <a:ext uri="{FF2B5EF4-FFF2-40B4-BE49-F238E27FC236}">
              <a16:creationId xmlns:a16="http://schemas.microsoft.com/office/drawing/2014/main" id="{B738A368-4E79-42E8-A5C0-9774E30872A1}"/>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45" name="Shape 7">
          <a:extLst>
            <a:ext uri="{FF2B5EF4-FFF2-40B4-BE49-F238E27FC236}">
              <a16:creationId xmlns:a16="http://schemas.microsoft.com/office/drawing/2014/main" id="{20039F84-2DBB-48E0-A6F4-A3B070EE1396}"/>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46" name="Shape 7">
          <a:extLst>
            <a:ext uri="{FF2B5EF4-FFF2-40B4-BE49-F238E27FC236}">
              <a16:creationId xmlns:a16="http://schemas.microsoft.com/office/drawing/2014/main" id="{4A1B82AD-F948-4E68-B36A-73DC65C28F4F}"/>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47" name="Shape 7">
          <a:extLst>
            <a:ext uri="{FF2B5EF4-FFF2-40B4-BE49-F238E27FC236}">
              <a16:creationId xmlns:a16="http://schemas.microsoft.com/office/drawing/2014/main" id="{2619AD96-BE47-4034-871D-D7709CA2FF33}"/>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48" name="Shape 7">
          <a:extLst>
            <a:ext uri="{FF2B5EF4-FFF2-40B4-BE49-F238E27FC236}">
              <a16:creationId xmlns:a16="http://schemas.microsoft.com/office/drawing/2014/main" id="{DA1001A7-10D1-48F5-923A-3A5891748CAF}"/>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49" name="Shape 7">
          <a:extLst>
            <a:ext uri="{FF2B5EF4-FFF2-40B4-BE49-F238E27FC236}">
              <a16:creationId xmlns:a16="http://schemas.microsoft.com/office/drawing/2014/main" id="{04D0315B-CDE8-4FA5-9A12-CC0597BCE0FA}"/>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50" name="Shape 7">
          <a:extLst>
            <a:ext uri="{FF2B5EF4-FFF2-40B4-BE49-F238E27FC236}">
              <a16:creationId xmlns:a16="http://schemas.microsoft.com/office/drawing/2014/main" id="{772B3300-A8CA-41AF-B7E2-8BD35E13B09B}"/>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51" name="Shape 7">
          <a:extLst>
            <a:ext uri="{FF2B5EF4-FFF2-40B4-BE49-F238E27FC236}">
              <a16:creationId xmlns:a16="http://schemas.microsoft.com/office/drawing/2014/main" id="{998A5507-6DCF-488C-93FD-454AF680BD1D}"/>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52" name="Shape 7">
          <a:extLst>
            <a:ext uri="{FF2B5EF4-FFF2-40B4-BE49-F238E27FC236}">
              <a16:creationId xmlns:a16="http://schemas.microsoft.com/office/drawing/2014/main" id="{8C40A417-5060-482F-8FDA-31FECF72B6D7}"/>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53" name="Shape 7">
          <a:extLst>
            <a:ext uri="{FF2B5EF4-FFF2-40B4-BE49-F238E27FC236}">
              <a16:creationId xmlns:a16="http://schemas.microsoft.com/office/drawing/2014/main" id="{5FA97C01-DD8D-45CC-967A-0AA42B0A8447}"/>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54" name="Shape 7">
          <a:extLst>
            <a:ext uri="{FF2B5EF4-FFF2-40B4-BE49-F238E27FC236}">
              <a16:creationId xmlns:a16="http://schemas.microsoft.com/office/drawing/2014/main" id="{61B42B6E-497C-444D-ACC3-E6940FC750F2}"/>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55" name="Shape 7">
          <a:extLst>
            <a:ext uri="{FF2B5EF4-FFF2-40B4-BE49-F238E27FC236}">
              <a16:creationId xmlns:a16="http://schemas.microsoft.com/office/drawing/2014/main" id="{4CAE4683-971E-48A9-8C21-5B82D01CA189}"/>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56" name="Shape 7">
          <a:extLst>
            <a:ext uri="{FF2B5EF4-FFF2-40B4-BE49-F238E27FC236}">
              <a16:creationId xmlns:a16="http://schemas.microsoft.com/office/drawing/2014/main" id="{45C477D8-2B4B-4401-9F36-CBE5B506B620}"/>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57" name="Shape 7">
          <a:extLst>
            <a:ext uri="{FF2B5EF4-FFF2-40B4-BE49-F238E27FC236}">
              <a16:creationId xmlns:a16="http://schemas.microsoft.com/office/drawing/2014/main" id="{2E144778-0BA9-4D88-BD4D-467CD8132CB1}"/>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58" name="Shape 7">
          <a:extLst>
            <a:ext uri="{FF2B5EF4-FFF2-40B4-BE49-F238E27FC236}">
              <a16:creationId xmlns:a16="http://schemas.microsoft.com/office/drawing/2014/main" id="{488814EF-A866-4E03-8592-17175A6287D1}"/>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59" name="Shape 7">
          <a:extLst>
            <a:ext uri="{FF2B5EF4-FFF2-40B4-BE49-F238E27FC236}">
              <a16:creationId xmlns:a16="http://schemas.microsoft.com/office/drawing/2014/main" id="{2DD5E8DC-7043-4684-A11B-2CF663F154D2}"/>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60" name="Shape 7">
          <a:extLst>
            <a:ext uri="{FF2B5EF4-FFF2-40B4-BE49-F238E27FC236}">
              <a16:creationId xmlns:a16="http://schemas.microsoft.com/office/drawing/2014/main" id="{3E72E609-579E-42D1-9D9D-E792B5979FD7}"/>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61" name="Shape 7">
          <a:extLst>
            <a:ext uri="{FF2B5EF4-FFF2-40B4-BE49-F238E27FC236}">
              <a16:creationId xmlns:a16="http://schemas.microsoft.com/office/drawing/2014/main" id="{F438E94D-EAC0-487C-B7F3-3E0A814C2065}"/>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462" name="Shape 7">
          <a:extLst>
            <a:ext uri="{FF2B5EF4-FFF2-40B4-BE49-F238E27FC236}">
              <a16:creationId xmlns:a16="http://schemas.microsoft.com/office/drawing/2014/main" id="{1E6E795D-F086-4240-8F7C-9DDC5F087730}"/>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63" name="Shape 7">
          <a:extLst>
            <a:ext uri="{FF2B5EF4-FFF2-40B4-BE49-F238E27FC236}">
              <a16:creationId xmlns:a16="http://schemas.microsoft.com/office/drawing/2014/main" id="{BEF90D04-9535-4319-B638-98EDB537FF0E}"/>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64" name="Shape 8">
          <a:extLst>
            <a:ext uri="{FF2B5EF4-FFF2-40B4-BE49-F238E27FC236}">
              <a16:creationId xmlns:a16="http://schemas.microsoft.com/office/drawing/2014/main" id="{E923BD9E-CEC7-478B-8F81-B4694ADC9DBB}"/>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65" name="Shape 7">
          <a:extLst>
            <a:ext uri="{FF2B5EF4-FFF2-40B4-BE49-F238E27FC236}">
              <a16:creationId xmlns:a16="http://schemas.microsoft.com/office/drawing/2014/main" id="{4306C710-0B14-4429-AA0C-26E5136AA0F3}"/>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66" name="Shape 8">
          <a:extLst>
            <a:ext uri="{FF2B5EF4-FFF2-40B4-BE49-F238E27FC236}">
              <a16:creationId xmlns:a16="http://schemas.microsoft.com/office/drawing/2014/main" id="{C1836FF7-8F15-40D9-8AA1-1382D66A2794}"/>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67" name="Shape 7">
          <a:extLst>
            <a:ext uri="{FF2B5EF4-FFF2-40B4-BE49-F238E27FC236}">
              <a16:creationId xmlns:a16="http://schemas.microsoft.com/office/drawing/2014/main" id="{B56A53AE-CE47-45FB-AA69-EE6B76F00C05}"/>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68" name="Shape 8">
          <a:extLst>
            <a:ext uri="{FF2B5EF4-FFF2-40B4-BE49-F238E27FC236}">
              <a16:creationId xmlns:a16="http://schemas.microsoft.com/office/drawing/2014/main" id="{5DA31DC3-C1E0-49C7-BEB6-829E91292319}"/>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69" name="Shape 8">
          <a:extLst>
            <a:ext uri="{FF2B5EF4-FFF2-40B4-BE49-F238E27FC236}">
              <a16:creationId xmlns:a16="http://schemas.microsoft.com/office/drawing/2014/main" id="{F5A72928-95E2-44BE-A9EB-280E4305E6AC}"/>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70" name="Shape 7">
          <a:extLst>
            <a:ext uri="{FF2B5EF4-FFF2-40B4-BE49-F238E27FC236}">
              <a16:creationId xmlns:a16="http://schemas.microsoft.com/office/drawing/2014/main" id="{5AF9CBE6-34FB-4D23-97A5-68942B4EAD34}"/>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71" name="Shape 8">
          <a:extLst>
            <a:ext uri="{FF2B5EF4-FFF2-40B4-BE49-F238E27FC236}">
              <a16:creationId xmlns:a16="http://schemas.microsoft.com/office/drawing/2014/main" id="{DA2DF34B-0BD3-43AC-8577-C7BA1FBF0A89}"/>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72" name="Shape 8">
          <a:extLst>
            <a:ext uri="{FF2B5EF4-FFF2-40B4-BE49-F238E27FC236}">
              <a16:creationId xmlns:a16="http://schemas.microsoft.com/office/drawing/2014/main" id="{3E7E1097-5071-4845-ACF7-71D35983E6A2}"/>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73" name="Shape 7">
          <a:extLst>
            <a:ext uri="{FF2B5EF4-FFF2-40B4-BE49-F238E27FC236}">
              <a16:creationId xmlns:a16="http://schemas.microsoft.com/office/drawing/2014/main" id="{157B7034-31F4-4593-965B-AB205A64EB44}"/>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74" name="Shape 8">
          <a:extLst>
            <a:ext uri="{FF2B5EF4-FFF2-40B4-BE49-F238E27FC236}">
              <a16:creationId xmlns:a16="http://schemas.microsoft.com/office/drawing/2014/main" id="{34FA5C6F-EC7F-46CB-9368-1931F5ECAF80}"/>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75" name="Shape 8">
          <a:extLst>
            <a:ext uri="{FF2B5EF4-FFF2-40B4-BE49-F238E27FC236}">
              <a16:creationId xmlns:a16="http://schemas.microsoft.com/office/drawing/2014/main" id="{30E1DFF2-F931-4DA1-AE06-43E65984CF18}"/>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76" name="Shape 7">
          <a:extLst>
            <a:ext uri="{FF2B5EF4-FFF2-40B4-BE49-F238E27FC236}">
              <a16:creationId xmlns:a16="http://schemas.microsoft.com/office/drawing/2014/main" id="{C8FDF147-1E52-4D70-A595-AD8906B230F8}"/>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77" name="Shape 8">
          <a:extLst>
            <a:ext uri="{FF2B5EF4-FFF2-40B4-BE49-F238E27FC236}">
              <a16:creationId xmlns:a16="http://schemas.microsoft.com/office/drawing/2014/main" id="{1931A098-F628-4250-B35A-5588BD159BB6}"/>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78" name="Shape 8">
          <a:extLst>
            <a:ext uri="{FF2B5EF4-FFF2-40B4-BE49-F238E27FC236}">
              <a16:creationId xmlns:a16="http://schemas.microsoft.com/office/drawing/2014/main" id="{6ACD29DD-FB78-4C3C-A77B-3385286C0555}"/>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79" name="Shape 7">
          <a:extLst>
            <a:ext uri="{FF2B5EF4-FFF2-40B4-BE49-F238E27FC236}">
              <a16:creationId xmlns:a16="http://schemas.microsoft.com/office/drawing/2014/main" id="{64FDB306-FD4A-4CF4-9B50-20DC21079643}"/>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80" name="Shape 8">
          <a:extLst>
            <a:ext uri="{FF2B5EF4-FFF2-40B4-BE49-F238E27FC236}">
              <a16:creationId xmlns:a16="http://schemas.microsoft.com/office/drawing/2014/main" id="{87F52E44-A363-4343-90BD-77FFB7380F8B}"/>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81" name="Shape 8">
          <a:extLst>
            <a:ext uri="{FF2B5EF4-FFF2-40B4-BE49-F238E27FC236}">
              <a16:creationId xmlns:a16="http://schemas.microsoft.com/office/drawing/2014/main" id="{87A29095-D27F-4E79-B792-CCD550CA5F1F}"/>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82" name="Shape 7">
          <a:extLst>
            <a:ext uri="{FF2B5EF4-FFF2-40B4-BE49-F238E27FC236}">
              <a16:creationId xmlns:a16="http://schemas.microsoft.com/office/drawing/2014/main" id="{CA18ED82-4F46-4D1D-8729-CC3821B3DA52}"/>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83" name="Shape 7">
          <a:extLst>
            <a:ext uri="{FF2B5EF4-FFF2-40B4-BE49-F238E27FC236}">
              <a16:creationId xmlns:a16="http://schemas.microsoft.com/office/drawing/2014/main" id="{0E7F8DA9-BC87-4E3F-97CE-F1EA1CCB34AD}"/>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84" name="Shape 8">
          <a:extLst>
            <a:ext uri="{FF2B5EF4-FFF2-40B4-BE49-F238E27FC236}">
              <a16:creationId xmlns:a16="http://schemas.microsoft.com/office/drawing/2014/main" id="{7DB81AEC-9C83-4D83-BC30-61585EB560A5}"/>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85" name="Shape 8">
          <a:extLst>
            <a:ext uri="{FF2B5EF4-FFF2-40B4-BE49-F238E27FC236}">
              <a16:creationId xmlns:a16="http://schemas.microsoft.com/office/drawing/2014/main" id="{6BC067B5-3F90-4538-9B8B-70B91A713EA7}"/>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86" name="Shape 7">
          <a:extLst>
            <a:ext uri="{FF2B5EF4-FFF2-40B4-BE49-F238E27FC236}">
              <a16:creationId xmlns:a16="http://schemas.microsoft.com/office/drawing/2014/main" id="{4B5F3C14-8674-4ECB-8297-902A6DBBF6BF}"/>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487" name="Shape 7">
          <a:extLst>
            <a:ext uri="{FF2B5EF4-FFF2-40B4-BE49-F238E27FC236}">
              <a16:creationId xmlns:a16="http://schemas.microsoft.com/office/drawing/2014/main" id="{3F0CC2C7-379A-475F-91B7-BC2D2FC55BC1}"/>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488" name="Shape 8">
          <a:extLst>
            <a:ext uri="{FF2B5EF4-FFF2-40B4-BE49-F238E27FC236}">
              <a16:creationId xmlns:a16="http://schemas.microsoft.com/office/drawing/2014/main" id="{63BECEF3-CEE8-4118-8C18-36E82495712A}"/>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89" name="Shape 7">
          <a:extLst>
            <a:ext uri="{FF2B5EF4-FFF2-40B4-BE49-F238E27FC236}">
              <a16:creationId xmlns:a16="http://schemas.microsoft.com/office/drawing/2014/main" id="{E6AB6B03-05B7-49ED-A89B-F50358529392}"/>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90" name="Shape 8">
          <a:extLst>
            <a:ext uri="{FF2B5EF4-FFF2-40B4-BE49-F238E27FC236}">
              <a16:creationId xmlns:a16="http://schemas.microsoft.com/office/drawing/2014/main" id="{A24812C8-B0AD-4BAE-946C-8B31E5CEC8A9}"/>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91" name="Shape 7">
          <a:extLst>
            <a:ext uri="{FF2B5EF4-FFF2-40B4-BE49-F238E27FC236}">
              <a16:creationId xmlns:a16="http://schemas.microsoft.com/office/drawing/2014/main" id="{5D221FBC-3F1C-42B5-8CF2-EEC165611C08}"/>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92" name="Shape 8">
          <a:extLst>
            <a:ext uri="{FF2B5EF4-FFF2-40B4-BE49-F238E27FC236}">
              <a16:creationId xmlns:a16="http://schemas.microsoft.com/office/drawing/2014/main" id="{585777F1-F817-42D7-B5B4-BB93389B1802}"/>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93" name="Shape 7">
          <a:extLst>
            <a:ext uri="{FF2B5EF4-FFF2-40B4-BE49-F238E27FC236}">
              <a16:creationId xmlns:a16="http://schemas.microsoft.com/office/drawing/2014/main" id="{6F053D5E-C890-4C02-95EC-FA1A00363ABE}"/>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94" name="Shape 8">
          <a:extLst>
            <a:ext uri="{FF2B5EF4-FFF2-40B4-BE49-F238E27FC236}">
              <a16:creationId xmlns:a16="http://schemas.microsoft.com/office/drawing/2014/main" id="{0F29366D-3E64-454C-896F-26A8EAC91363}"/>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95" name="Shape 8">
          <a:extLst>
            <a:ext uri="{FF2B5EF4-FFF2-40B4-BE49-F238E27FC236}">
              <a16:creationId xmlns:a16="http://schemas.microsoft.com/office/drawing/2014/main" id="{945A552E-175C-4C79-AA97-DDB18A9ACD59}"/>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96" name="Shape 7">
          <a:extLst>
            <a:ext uri="{FF2B5EF4-FFF2-40B4-BE49-F238E27FC236}">
              <a16:creationId xmlns:a16="http://schemas.microsoft.com/office/drawing/2014/main" id="{7BE10B31-FF82-40D5-BC1B-9247B760D4F1}"/>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97" name="Shape 8">
          <a:extLst>
            <a:ext uri="{FF2B5EF4-FFF2-40B4-BE49-F238E27FC236}">
              <a16:creationId xmlns:a16="http://schemas.microsoft.com/office/drawing/2014/main" id="{6DDFEEC2-FBFE-411A-8D02-7F2884364249}"/>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498" name="Shape 8">
          <a:extLst>
            <a:ext uri="{FF2B5EF4-FFF2-40B4-BE49-F238E27FC236}">
              <a16:creationId xmlns:a16="http://schemas.microsoft.com/office/drawing/2014/main" id="{A99EF948-A3CB-4048-ADAA-110188290ADD}"/>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499" name="Shape 7">
          <a:extLst>
            <a:ext uri="{FF2B5EF4-FFF2-40B4-BE49-F238E27FC236}">
              <a16:creationId xmlns:a16="http://schemas.microsoft.com/office/drawing/2014/main" id="{148E5802-9F64-473B-82C2-19E6ED51B5C5}"/>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00" name="Shape 8">
          <a:extLst>
            <a:ext uri="{FF2B5EF4-FFF2-40B4-BE49-F238E27FC236}">
              <a16:creationId xmlns:a16="http://schemas.microsoft.com/office/drawing/2014/main" id="{013B6866-CBE1-459C-A6C0-552F1C954082}"/>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01" name="Shape 8">
          <a:extLst>
            <a:ext uri="{FF2B5EF4-FFF2-40B4-BE49-F238E27FC236}">
              <a16:creationId xmlns:a16="http://schemas.microsoft.com/office/drawing/2014/main" id="{8F4F3DC8-95DD-4B37-A34E-7E9D70961F7E}"/>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02" name="Shape 7">
          <a:extLst>
            <a:ext uri="{FF2B5EF4-FFF2-40B4-BE49-F238E27FC236}">
              <a16:creationId xmlns:a16="http://schemas.microsoft.com/office/drawing/2014/main" id="{2DB9A2C8-6C16-4CD0-80DF-89E2A2FDFD86}"/>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03" name="Shape 8">
          <a:extLst>
            <a:ext uri="{FF2B5EF4-FFF2-40B4-BE49-F238E27FC236}">
              <a16:creationId xmlns:a16="http://schemas.microsoft.com/office/drawing/2014/main" id="{B6A65B1A-47C1-4E81-B6F4-36C9F447E10F}"/>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04" name="Shape 8">
          <a:extLst>
            <a:ext uri="{FF2B5EF4-FFF2-40B4-BE49-F238E27FC236}">
              <a16:creationId xmlns:a16="http://schemas.microsoft.com/office/drawing/2014/main" id="{9487CC01-575C-4DC5-834C-E54884DE3821}"/>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05" name="Shape 7">
          <a:extLst>
            <a:ext uri="{FF2B5EF4-FFF2-40B4-BE49-F238E27FC236}">
              <a16:creationId xmlns:a16="http://schemas.microsoft.com/office/drawing/2014/main" id="{6D98B140-A485-43C7-A6CB-18D7A45867A9}"/>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06" name="Shape 8">
          <a:extLst>
            <a:ext uri="{FF2B5EF4-FFF2-40B4-BE49-F238E27FC236}">
              <a16:creationId xmlns:a16="http://schemas.microsoft.com/office/drawing/2014/main" id="{66920FBE-4975-4B9B-84E2-7BC48D0D9A0A}"/>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07" name="Shape 8">
          <a:extLst>
            <a:ext uri="{FF2B5EF4-FFF2-40B4-BE49-F238E27FC236}">
              <a16:creationId xmlns:a16="http://schemas.microsoft.com/office/drawing/2014/main" id="{A4CE8765-BE7E-4F5C-98DA-4EA3028BB023}"/>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08" name="Shape 7">
          <a:extLst>
            <a:ext uri="{FF2B5EF4-FFF2-40B4-BE49-F238E27FC236}">
              <a16:creationId xmlns:a16="http://schemas.microsoft.com/office/drawing/2014/main" id="{F517262C-B108-42FD-AD59-82BF8B37184D}"/>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09" name="Shape 7">
          <a:extLst>
            <a:ext uri="{FF2B5EF4-FFF2-40B4-BE49-F238E27FC236}">
              <a16:creationId xmlns:a16="http://schemas.microsoft.com/office/drawing/2014/main" id="{E0514B22-52E2-4312-AF7B-01189401F40C}"/>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10" name="Shape 8">
          <a:extLst>
            <a:ext uri="{FF2B5EF4-FFF2-40B4-BE49-F238E27FC236}">
              <a16:creationId xmlns:a16="http://schemas.microsoft.com/office/drawing/2014/main" id="{14FE3D61-99A9-4ADF-A9CD-ACE877DA0785}"/>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11" name="Shape 8">
          <a:extLst>
            <a:ext uri="{FF2B5EF4-FFF2-40B4-BE49-F238E27FC236}">
              <a16:creationId xmlns:a16="http://schemas.microsoft.com/office/drawing/2014/main" id="{C9979B18-97EC-4F02-A125-DB300DF221AC}"/>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12" name="Shape 7">
          <a:extLst>
            <a:ext uri="{FF2B5EF4-FFF2-40B4-BE49-F238E27FC236}">
              <a16:creationId xmlns:a16="http://schemas.microsoft.com/office/drawing/2014/main" id="{203BFA8A-4BBF-435A-920A-00F0093763EC}"/>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13" name="Shape 7">
          <a:extLst>
            <a:ext uri="{FF2B5EF4-FFF2-40B4-BE49-F238E27FC236}">
              <a16:creationId xmlns:a16="http://schemas.microsoft.com/office/drawing/2014/main" id="{97A35A76-BD35-47EE-BF45-8C62AD40FEE1}"/>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14" name="Shape 7">
          <a:extLst>
            <a:ext uri="{FF2B5EF4-FFF2-40B4-BE49-F238E27FC236}">
              <a16:creationId xmlns:a16="http://schemas.microsoft.com/office/drawing/2014/main" id="{C12C29F6-109A-4EC8-9E53-30AC98CC1FA0}"/>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15" name="Shape 7">
          <a:extLst>
            <a:ext uri="{FF2B5EF4-FFF2-40B4-BE49-F238E27FC236}">
              <a16:creationId xmlns:a16="http://schemas.microsoft.com/office/drawing/2014/main" id="{06851F54-65EB-4969-AC56-1396184D4728}"/>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16" name="Shape 7">
          <a:extLst>
            <a:ext uri="{FF2B5EF4-FFF2-40B4-BE49-F238E27FC236}">
              <a16:creationId xmlns:a16="http://schemas.microsoft.com/office/drawing/2014/main" id="{F25026A8-B292-4017-A1BF-3E4AA391D210}"/>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17" name="Shape 7">
          <a:extLst>
            <a:ext uri="{FF2B5EF4-FFF2-40B4-BE49-F238E27FC236}">
              <a16:creationId xmlns:a16="http://schemas.microsoft.com/office/drawing/2014/main" id="{A03ECB70-49D2-4F24-902E-76A92FD1C44F}"/>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18" name="Shape 7">
          <a:extLst>
            <a:ext uri="{FF2B5EF4-FFF2-40B4-BE49-F238E27FC236}">
              <a16:creationId xmlns:a16="http://schemas.microsoft.com/office/drawing/2014/main" id="{81DF2938-C645-40B0-A9CB-CB0C97C0389B}"/>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19" name="Shape 7">
          <a:extLst>
            <a:ext uri="{FF2B5EF4-FFF2-40B4-BE49-F238E27FC236}">
              <a16:creationId xmlns:a16="http://schemas.microsoft.com/office/drawing/2014/main" id="{9A65AA4E-BC3D-4AA9-8380-39567EB3ECA3}"/>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20" name="Shape 7">
          <a:extLst>
            <a:ext uri="{FF2B5EF4-FFF2-40B4-BE49-F238E27FC236}">
              <a16:creationId xmlns:a16="http://schemas.microsoft.com/office/drawing/2014/main" id="{823F78C7-3D64-45EF-B99C-EF057327BBD9}"/>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21" name="Shape 7">
          <a:extLst>
            <a:ext uri="{FF2B5EF4-FFF2-40B4-BE49-F238E27FC236}">
              <a16:creationId xmlns:a16="http://schemas.microsoft.com/office/drawing/2014/main" id="{269CD9B8-5327-4E7D-9479-4D5A88C497FA}"/>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22" name="Shape 7">
          <a:extLst>
            <a:ext uri="{FF2B5EF4-FFF2-40B4-BE49-F238E27FC236}">
              <a16:creationId xmlns:a16="http://schemas.microsoft.com/office/drawing/2014/main" id="{4D27C0C4-BAE3-439F-AC4F-6D7B22CB8E3A}"/>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23" name="Shape 7">
          <a:extLst>
            <a:ext uri="{FF2B5EF4-FFF2-40B4-BE49-F238E27FC236}">
              <a16:creationId xmlns:a16="http://schemas.microsoft.com/office/drawing/2014/main" id="{6CACF746-4F46-4967-9C8A-ACE833F54810}"/>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24" name="Shape 7">
          <a:extLst>
            <a:ext uri="{FF2B5EF4-FFF2-40B4-BE49-F238E27FC236}">
              <a16:creationId xmlns:a16="http://schemas.microsoft.com/office/drawing/2014/main" id="{D425D5CA-2689-4BB7-8A0F-645265A9B3DB}"/>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25" name="Shape 7">
          <a:extLst>
            <a:ext uri="{FF2B5EF4-FFF2-40B4-BE49-F238E27FC236}">
              <a16:creationId xmlns:a16="http://schemas.microsoft.com/office/drawing/2014/main" id="{5E0A8097-53D9-49B4-A5A9-43CFC1289DF8}"/>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26" name="Shape 7">
          <a:extLst>
            <a:ext uri="{FF2B5EF4-FFF2-40B4-BE49-F238E27FC236}">
              <a16:creationId xmlns:a16="http://schemas.microsoft.com/office/drawing/2014/main" id="{893E236E-660E-4BEE-A63E-37AE22099EEF}"/>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27" name="Shape 7">
          <a:extLst>
            <a:ext uri="{FF2B5EF4-FFF2-40B4-BE49-F238E27FC236}">
              <a16:creationId xmlns:a16="http://schemas.microsoft.com/office/drawing/2014/main" id="{AF9F3F01-BE28-4B3F-86B7-85CB39A5F2D5}"/>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28" name="Shape 7">
          <a:extLst>
            <a:ext uri="{FF2B5EF4-FFF2-40B4-BE49-F238E27FC236}">
              <a16:creationId xmlns:a16="http://schemas.microsoft.com/office/drawing/2014/main" id="{DA1618A7-251D-4D4E-A582-8335CE2067D2}"/>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29" name="Shape 7">
          <a:extLst>
            <a:ext uri="{FF2B5EF4-FFF2-40B4-BE49-F238E27FC236}">
              <a16:creationId xmlns:a16="http://schemas.microsoft.com/office/drawing/2014/main" id="{E65FD6DD-6748-4EBC-8348-6568DE1B5D45}"/>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530" name="Shape 7">
          <a:extLst>
            <a:ext uri="{FF2B5EF4-FFF2-40B4-BE49-F238E27FC236}">
              <a16:creationId xmlns:a16="http://schemas.microsoft.com/office/drawing/2014/main" id="{21CC028F-8BE3-4167-9DE2-F9BD1D130F6B}"/>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531" name="Shape 8">
          <a:extLst>
            <a:ext uri="{FF2B5EF4-FFF2-40B4-BE49-F238E27FC236}">
              <a16:creationId xmlns:a16="http://schemas.microsoft.com/office/drawing/2014/main" id="{4D117C68-5C61-4E06-A53A-E9FEA91F3C8C}"/>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532" name="Shape 7">
          <a:extLst>
            <a:ext uri="{FF2B5EF4-FFF2-40B4-BE49-F238E27FC236}">
              <a16:creationId xmlns:a16="http://schemas.microsoft.com/office/drawing/2014/main" id="{9478D1D9-E069-46AB-A024-D14B811A7141}"/>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533" name="Shape 8">
          <a:extLst>
            <a:ext uri="{FF2B5EF4-FFF2-40B4-BE49-F238E27FC236}">
              <a16:creationId xmlns:a16="http://schemas.microsoft.com/office/drawing/2014/main" id="{BBC720AB-B75C-4344-BD9A-F80040CFF8FA}"/>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534" name="Shape 7">
          <a:extLst>
            <a:ext uri="{FF2B5EF4-FFF2-40B4-BE49-F238E27FC236}">
              <a16:creationId xmlns:a16="http://schemas.microsoft.com/office/drawing/2014/main" id="{107A8CCC-5106-4322-963C-C4369A569272}"/>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535" name="Shape 8">
          <a:extLst>
            <a:ext uri="{FF2B5EF4-FFF2-40B4-BE49-F238E27FC236}">
              <a16:creationId xmlns:a16="http://schemas.microsoft.com/office/drawing/2014/main" id="{66E8C6A0-B020-4AA5-8F7A-FC937DC1CFFE}"/>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536" name="Shape 8">
          <a:extLst>
            <a:ext uri="{FF2B5EF4-FFF2-40B4-BE49-F238E27FC236}">
              <a16:creationId xmlns:a16="http://schemas.microsoft.com/office/drawing/2014/main" id="{6720F7A8-641C-487A-AF30-AEE3D661BC9F}"/>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537" name="Shape 7">
          <a:extLst>
            <a:ext uri="{FF2B5EF4-FFF2-40B4-BE49-F238E27FC236}">
              <a16:creationId xmlns:a16="http://schemas.microsoft.com/office/drawing/2014/main" id="{791E9ECC-4D18-4115-BEC0-E176451B5803}"/>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538" name="Shape 8">
          <a:extLst>
            <a:ext uri="{FF2B5EF4-FFF2-40B4-BE49-F238E27FC236}">
              <a16:creationId xmlns:a16="http://schemas.microsoft.com/office/drawing/2014/main" id="{B7B6947A-B582-4135-A10B-B997A4045BF8}"/>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539" name="Shape 8">
          <a:extLst>
            <a:ext uri="{FF2B5EF4-FFF2-40B4-BE49-F238E27FC236}">
              <a16:creationId xmlns:a16="http://schemas.microsoft.com/office/drawing/2014/main" id="{173EDD93-182F-4621-BB42-BCAAFA4942D1}"/>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540" name="Shape 7">
          <a:extLst>
            <a:ext uri="{FF2B5EF4-FFF2-40B4-BE49-F238E27FC236}">
              <a16:creationId xmlns:a16="http://schemas.microsoft.com/office/drawing/2014/main" id="{1552830D-21A3-49FE-BDB1-3BFB5CAC6E1F}"/>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541" name="Shape 8">
          <a:extLst>
            <a:ext uri="{FF2B5EF4-FFF2-40B4-BE49-F238E27FC236}">
              <a16:creationId xmlns:a16="http://schemas.microsoft.com/office/drawing/2014/main" id="{E30841F5-CCFE-4EE7-AD09-A86D3F9A325D}"/>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542" name="Shape 8">
          <a:extLst>
            <a:ext uri="{FF2B5EF4-FFF2-40B4-BE49-F238E27FC236}">
              <a16:creationId xmlns:a16="http://schemas.microsoft.com/office/drawing/2014/main" id="{CE9B035C-747C-4E2A-9B20-B8F8C4359CFE}"/>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543" name="Shape 7">
          <a:extLst>
            <a:ext uri="{FF2B5EF4-FFF2-40B4-BE49-F238E27FC236}">
              <a16:creationId xmlns:a16="http://schemas.microsoft.com/office/drawing/2014/main" id="{D4EBE713-D4AF-4421-9F78-EFDBBEE4FCC9}"/>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544" name="Shape 8">
          <a:extLst>
            <a:ext uri="{FF2B5EF4-FFF2-40B4-BE49-F238E27FC236}">
              <a16:creationId xmlns:a16="http://schemas.microsoft.com/office/drawing/2014/main" id="{6C5A8E34-4877-4DDD-B4AF-131314E30110}"/>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545" name="Shape 8">
          <a:extLst>
            <a:ext uri="{FF2B5EF4-FFF2-40B4-BE49-F238E27FC236}">
              <a16:creationId xmlns:a16="http://schemas.microsoft.com/office/drawing/2014/main" id="{BE9C59A3-37BE-4252-8B76-52C2F4D6FDD7}"/>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546" name="Shape 7">
          <a:extLst>
            <a:ext uri="{FF2B5EF4-FFF2-40B4-BE49-F238E27FC236}">
              <a16:creationId xmlns:a16="http://schemas.microsoft.com/office/drawing/2014/main" id="{DD7C9ACE-9CAC-4B55-889C-D2ECFC576ABE}"/>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547" name="Shape 8">
          <a:extLst>
            <a:ext uri="{FF2B5EF4-FFF2-40B4-BE49-F238E27FC236}">
              <a16:creationId xmlns:a16="http://schemas.microsoft.com/office/drawing/2014/main" id="{2B83B5BE-097D-4D62-B25B-DAC717704B7A}"/>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548" name="Shape 8">
          <a:extLst>
            <a:ext uri="{FF2B5EF4-FFF2-40B4-BE49-F238E27FC236}">
              <a16:creationId xmlns:a16="http://schemas.microsoft.com/office/drawing/2014/main" id="{CDD6BC9C-617D-4101-9F28-A56DFA5D8130}"/>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549" name="Shape 7">
          <a:extLst>
            <a:ext uri="{FF2B5EF4-FFF2-40B4-BE49-F238E27FC236}">
              <a16:creationId xmlns:a16="http://schemas.microsoft.com/office/drawing/2014/main" id="{C72C44AE-52DB-4572-A13B-A469842B1E86}"/>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550" name="Shape 7">
          <a:extLst>
            <a:ext uri="{FF2B5EF4-FFF2-40B4-BE49-F238E27FC236}">
              <a16:creationId xmlns:a16="http://schemas.microsoft.com/office/drawing/2014/main" id="{6ABAF7E7-F902-45AF-99BD-09597E81C39E}"/>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551" name="Shape 8">
          <a:extLst>
            <a:ext uri="{FF2B5EF4-FFF2-40B4-BE49-F238E27FC236}">
              <a16:creationId xmlns:a16="http://schemas.microsoft.com/office/drawing/2014/main" id="{B051CD53-8C42-48E3-A175-CA654F8CE6D9}"/>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552" name="Shape 8">
          <a:extLst>
            <a:ext uri="{FF2B5EF4-FFF2-40B4-BE49-F238E27FC236}">
              <a16:creationId xmlns:a16="http://schemas.microsoft.com/office/drawing/2014/main" id="{27A8C784-53C5-4EB9-BA0E-DBBA054FD9C1}"/>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553" name="Shape 7">
          <a:extLst>
            <a:ext uri="{FF2B5EF4-FFF2-40B4-BE49-F238E27FC236}">
              <a16:creationId xmlns:a16="http://schemas.microsoft.com/office/drawing/2014/main" id="{A8EA5E8F-C3F1-49A9-BD9A-6FA56B25A249}"/>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554" name="Shape 7">
          <a:extLst>
            <a:ext uri="{FF2B5EF4-FFF2-40B4-BE49-F238E27FC236}">
              <a16:creationId xmlns:a16="http://schemas.microsoft.com/office/drawing/2014/main" id="{E2BDDC1A-D52A-4971-AD36-6F733773E6A5}"/>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555" name="Shape 8">
          <a:extLst>
            <a:ext uri="{FF2B5EF4-FFF2-40B4-BE49-F238E27FC236}">
              <a16:creationId xmlns:a16="http://schemas.microsoft.com/office/drawing/2014/main" id="{2F06AE88-C013-4A6D-86B6-32E8B6CDE913}"/>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56" name="Shape 7">
          <a:extLst>
            <a:ext uri="{FF2B5EF4-FFF2-40B4-BE49-F238E27FC236}">
              <a16:creationId xmlns:a16="http://schemas.microsoft.com/office/drawing/2014/main" id="{8C32F692-9D07-4F1D-BF66-1EB1A196EBDE}"/>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57" name="Shape 8">
          <a:extLst>
            <a:ext uri="{FF2B5EF4-FFF2-40B4-BE49-F238E27FC236}">
              <a16:creationId xmlns:a16="http://schemas.microsoft.com/office/drawing/2014/main" id="{28771472-04FA-4A64-9A4D-E9CBDB6B9D51}"/>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58" name="Shape 7">
          <a:extLst>
            <a:ext uri="{FF2B5EF4-FFF2-40B4-BE49-F238E27FC236}">
              <a16:creationId xmlns:a16="http://schemas.microsoft.com/office/drawing/2014/main" id="{E83AF28A-3DB5-4DC7-9F3A-F3501A1D0AFE}"/>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59" name="Shape 8">
          <a:extLst>
            <a:ext uri="{FF2B5EF4-FFF2-40B4-BE49-F238E27FC236}">
              <a16:creationId xmlns:a16="http://schemas.microsoft.com/office/drawing/2014/main" id="{8C266C7D-7901-4AEE-9DAD-2B7D744F950D}"/>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60" name="Shape 7">
          <a:extLst>
            <a:ext uri="{FF2B5EF4-FFF2-40B4-BE49-F238E27FC236}">
              <a16:creationId xmlns:a16="http://schemas.microsoft.com/office/drawing/2014/main" id="{A8C34F3B-E996-4980-8C08-9120CD951236}"/>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61" name="Shape 8">
          <a:extLst>
            <a:ext uri="{FF2B5EF4-FFF2-40B4-BE49-F238E27FC236}">
              <a16:creationId xmlns:a16="http://schemas.microsoft.com/office/drawing/2014/main" id="{EEFADCCB-4E73-44DD-A32D-E8AB1B94B3E8}"/>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62" name="Shape 8">
          <a:extLst>
            <a:ext uri="{FF2B5EF4-FFF2-40B4-BE49-F238E27FC236}">
              <a16:creationId xmlns:a16="http://schemas.microsoft.com/office/drawing/2014/main" id="{EC2E277D-D179-4C19-82BE-2A2F742D9CBF}"/>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63" name="Shape 7">
          <a:extLst>
            <a:ext uri="{FF2B5EF4-FFF2-40B4-BE49-F238E27FC236}">
              <a16:creationId xmlns:a16="http://schemas.microsoft.com/office/drawing/2014/main" id="{896C20DC-CE06-4214-A018-BE9F207A4986}"/>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64" name="Shape 8">
          <a:extLst>
            <a:ext uri="{FF2B5EF4-FFF2-40B4-BE49-F238E27FC236}">
              <a16:creationId xmlns:a16="http://schemas.microsoft.com/office/drawing/2014/main" id="{265E255F-0FE6-4F3C-B72F-8DD80AAC4690}"/>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65" name="Shape 8">
          <a:extLst>
            <a:ext uri="{FF2B5EF4-FFF2-40B4-BE49-F238E27FC236}">
              <a16:creationId xmlns:a16="http://schemas.microsoft.com/office/drawing/2014/main" id="{8379B4EC-4D33-4B00-AD27-60BCA6EE600F}"/>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66" name="Shape 7">
          <a:extLst>
            <a:ext uri="{FF2B5EF4-FFF2-40B4-BE49-F238E27FC236}">
              <a16:creationId xmlns:a16="http://schemas.microsoft.com/office/drawing/2014/main" id="{A43BAB4B-0799-42ED-B34C-B032C82C3414}"/>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67" name="Shape 8">
          <a:extLst>
            <a:ext uri="{FF2B5EF4-FFF2-40B4-BE49-F238E27FC236}">
              <a16:creationId xmlns:a16="http://schemas.microsoft.com/office/drawing/2014/main" id="{E4921F1D-B488-47FB-9A71-261CF94E2CF5}"/>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68" name="Shape 8">
          <a:extLst>
            <a:ext uri="{FF2B5EF4-FFF2-40B4-BE49-F238E27FC236}">
              <a16:creationId xmlns:a16="http://schemas.microsoft.com/office/drawing/2014/main" id="{03B268F5-726F-4E3C-9EB5-E865C05818FD}"/>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69" name="Shape 7">
          <a:extLst>
            <a:ext uri="{FF2B5EF4-FFF2-40B4-BE49-F238E27FC236}">
              <a16:creationId xmlns:a16="http://schemas.microsoft.com/office/drawing/2014/main" id="{2A294AFF-EBE1-416B-9327-C112D2242E28}"/>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70" name="Shape 8">
          <a:extLst>
            <a:ext uri="{FF2B5EF4-FFF2-40B4-BE49-F238E27FC236}">
              <a16:creationId xmlns:a16="http://schemas.microsoft.com/office/drawing/2014/main" id="{E9AFEDCE-A200-42EA-8ECD-FC3252E4F24A}"/>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71" name="Shape 8">
          <a:extLst>
            <a:ext uri="{FF2B5EF4-FFF2-40B4-BE49-F238E27FC236}">
              <a16:creationId xmlns:a16="http://schemas.microsoft.com/office/drawing/2014/main" id="{D71C5F6F-278B-44C0-8163-B5DFDE3768C0}"/>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72" name="Shape 7">
          <a:extLst>
            <a:ext uri="{FF2B5EF4-FFF2-40B4-BE49-F238E27FC236}">
              <a16:creationId xmlns:a16="http://schemas.microsoft.com/office/drawing/2014/main" id="{AC974F35-E7EE-4112-9A71-AB3757937906}"/>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73" name="Shape 8">
          <a:extLst>
            <a:ext uri="{FF2B5EF4-FFF2-40B4-BE49-F238E27FC236}">
              <a16:creationId xmlns:a16="http://schemas.microsoft.com/office/drawing/2014/main" id="{E68FC1F8-E52A-4DD9-8F93-A8109FDFEFAE}"/>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74" name="Shape 8">
          <a:extLst>
            <a:ext uri="{FF2B5EF4-FFF2-40B4-BE49-F238E27FC236}">
              <a16:creationId xmlns:a16="http://schemas.microsoft.com/office/drawing/2014/main" id="{48363994-0018-4965-89F7-5C2638D3E216}"/>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75" name="Shape 7">
          <a:extLst>
            <a:ext uri="{FF2B5EF4-FFF2-40B4-BE49-F238E27FC236}">
              <a16:creationId xmlns:a16="http://schemas.microsoft.com/office/drawing/2014/main" id="{5E77F0F3-5377-45F1-8941-4BB71E199823}"/>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76" name="Shape 7">
          <a:extLst>
            <a:ext uri="{FF2B5EF4-FFF2-40B4-BE49-F238E27FC236}">
              <a16:creationId xmlns:a16="http://schemas.microsoft.com/office/drawing/2014/main" id="{4937107D-91BA-4C05-952C-EE61A2A62F05}"/>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77" name="Shape 8">
          <a:extLst>
            <a:ext uri="{FF2B5EF4-FFF2-40B4-BE49-F238E27FC236}">
              <a16:creationId xmlns:a16="http://schemas.microsoft.com/office/drawing/2014/main" id="{118E7FE4-DF71-4D6A-AF35-EB2786487BBD}"/>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78" name="Shape 8">
          <a:extLst>
            <a:ext uri="{FF2B5EF4-FFF2-40B4-BE49-F238E27FC236}">
              <a16:creationId xmlns:a16="http://schemas.microsoft.com/office/drawing/2014/main" id="{53E20AF2-7D39-4C2F-AC7E-89BF7814E0EE}"/>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79" name="Shape 7">
          <a:extLst>
            <a:ext uri="{FF2B5EF4-FFF2-40B4-BE49-F238E27FC236}">
              <a16:creationId xmlns:a16="http://schemas.microsoft.com/office/drawing/2014/main" id="{B0A7CD79-7321-49DB-8ED8-3178C4C0341B}"/>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580" name="Shape 7">
          <a:extLst>
            <a:ext uri="{FF2B5EF4-FFF2-40B4-BE49-F238E27FC236}">
              <a16:creationId xmlns:a16="http://schemas.microsoft.com/office/drawing/2014/main" id="{00D4C879-DA42-41CE-8FD5-689C04099D36}"/>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81" name="Shape 8">
          <a:extLst>
            <a:ext uri="{FF2B5EF4-FFF2-40B4-BE49-F238E27FC236}">
              <a16:creationId xmlns:a16="http://schemas.microsoft.com/office/drawing/2014/main" id="{FCFCED7B-FF77-4609-ABF5-0771DAB17948}"/>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582" name="Shape 8">
          <a:extLst>
            <a:ext uri="{FF2B5EF4-FFF2-40B4-BE49-F238E27FC236}">
              <a16:creationId xmlns:a16="http://schemas.microsoft.com/office/drawing/2014/main" id="{C86A2EA1-5E27-4874-9A88-8B339C7165D6}"/>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83" name="Shape 7">
          <a:extLst>
            <a:ext uri="{FF2B5EF4-FFF2-40B4-BE49-F238E27FC236}">
              <a16:creationId xmlns:a16="http://schemas.microsoft.com/office/drawing/2014/main" id="{BBB5558C-A9FD-4ACE-A0FD-C46F626AAE9D}"/>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84" name="Shape 7">
          <a:extLst>
            <a:ext uri="{FF2B5EF4-FFF2-40B4-BE49-F238E27FC236}">
              <a16:creationId xmlns:a16="http://schemas.microsoft.com/office/drawing/2014/main" id="{F655F2D0-10E1-448D-AF3D-CEDFF3E53B5C}"/>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85" name="Shape 7">
          <a:extLst>
            <a:ext uri="{FF2B5EF4-FFF2-40B4-BE49-F238E27FC236}">
              <a16:creationId xmlns:a16="http://schemas.microsoft.com/office/drawing/2014/main" id="{969756A2-FDA4-4DB6-8497-158AC332F5D0}"/>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86" name="Shape 7">
          <a:extLst>
            <a:ext uri="{FF2B5EF4-FFF2-40B4-BE49-F238E27FC236}">
              <a16:creationId xmlns:a16="http://schemas.microsoft.com/office/drawing/2014/main" id="{6A56724A-C609-494D-A66C-297963D1A021}"/>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87" name="Shape 7">
          <a:extLst>
            <a:ext uri="{FF2B5EF4-FFF2-40B4-BE49-F238E27FC236}">
              <a16:creationId xmlns:a16="http://schemas.microsoft.com/office/drawing/2014/main" id="{383D4C62-C13C-4731-836A-EC3B61A24452}"/>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88" name="Shape 7">
          <a:extLst>
            <a:ext uri="{FF2B5EF4-FFF2-40B4-BE49-F238E27FC236}">
              <a16:creationId xmlns:a16="http://schemas.microsoft.com/office/drawing/2014/main" id="{D923D76C-8809-4179-9DFE-A9A0F31ACE15}"/>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89" name="Shape 7">
          <a:extLst>
            <a:ext uri="{FF2B5EF4-FFF2-40B4-BE49-F238E27FC236}">
              <a16:creationId xmlns:a16="http://schemas.microsoft.com/office/drawing/2014/main" id="{E65EF026-3559-4183-89A3-B6CDD8674F08}"/>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90" name="Shape 7">
          <a:extLst>
            <a:ext uri="{FF2B5EF4-FFF2-40B4-BE49-F238E27FC236}">
              <a16:creationId xmlns:a16="http://schemas.microsoft.com/office/drawing/2014/main" id="{A50CE861-58FE-41CD-A0DA-62BF22A19CF3}"/>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91" name="Shape 7">
          <a:extLst>
            <a:ext uri="{FF2B5EF4-FFF2-40B4-BE49-F238E27FC236}">
              <a16:creationId xmlns:a16="http://schemas.microsoft.com/office/drawing/2014/main" id="{14FD0B6D-0DFE-4C01-B094-F2474D3479FB}"/>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92" name="Shape 7">
          <a:extLst>
            <a:ext uri="{FF2B5EF4-FFF2-40B4-BE49-F238E27FC236}">
              <a16:creationId xmlns:a16="http://schemas.microsoft.com/office/drawing/2014/main" id="{99BF4A15-BE93-4277-AA86-2B75C679484E}"/>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93" name="Shape 7">
          <a:extLst>
            <a:ext uri="{FF2B5EF4-FFF2-40B4-BE49-F238E27FC236}">
              <a16:creationId xmlns:a16="http://schemas.microsoft.com/office/drawing/2014/main" id="{5AD6E3D6-70B8-4C8C-A8D3-26303E3FAC49}"/>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94" name="Shape 7">
          <a:extLst>
            <a:ext uri="{FF2B5EF4-FFF2-40B4-BE49-F238E27FC236}">
              <a16:creationId xmlns:a16="http://schemas.microsoft.com/office/drawing/2014/main" id="{D05F90D2-F7F6-48EF-B4EE-0EA18892AB43}"/>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95" name="Shape 7">
          <a:extLst>
            <a:ext uri="{FF2B5EF4-FFF2-40B4-BE49-F238E27FC236}">
              <a16:creationId xmlns:a16="http://schemas.microsoft.com/office/drawing/2014/main" id="{0809F357-64CD-44D2-A589-D0B0D9C5A648}"/>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96" name="Shape 7">
          <a:extLst>
            <a:ext uri="{FF2B5EF4-FFF2-40B4-BE49-F238E27FC236}">
              <a16:creationId xmlns:a16="http://schemas.microsoft.com/office/drawing/2014/main" id="{0F70D9CC-D622-410A-AFCF-825AAA4F0649}"/>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97" name="Shape 7">
          <a:extLst>
            <a:ext uri="{FF2B5EF4-FFF2-40B4-BE49-F238E27FC236}">
              <a16:creationId xmlns:a16="http://schemas.microsoft.com/office/drawing/2014/main" id="{F1CCBCBC-5D72-4320-AF45-A35C5A1DFDF3}"/>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598" name="Shape 7">
          <a:extLst>
            <a:ext uri="{FF2B5EF4-FFF2-40B4-BE49-F238E27FC236}">
              <a16:creationId xmlns:a16="http://schemas.microsoft.com/office/drawing/2014/main" id="{3DFB36FB-7BC9-4CFD-A216-D5E741F88489}"/>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599" name="Shape 7">
          <a:extLst>
            <a:ext uri="{FF2B5EF4-FFF2-40B4-BE49-F238E27FC236}">
              <a16:creationId xmlns:a16="http://schemas.microsoft.com/office/drawing/2014/main" id="{F7FE5D97-E576-4469-86D7-47D061ACF3DD}"/>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00" name="Shape 8">
          <a:extLst>
            <a:ext uri="{FF2B5EF4-FFF2-40B4-BE49-F238E27FC236}">
              <a16:creationId xmlns:a16="http://schemas.microsoft.com/office/drawing/2014/main" id="{78A31094-3BF4-4214-B0FD-99D987B8F4EA}"/>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01" name="Shape 7">
          <a:extLst>
            <a:ext uri="{FF2B5EF4-FFF2-40B4-BE49-F238E27FC236}">
              <a16:creationId xmlns:a16="http://schemas.microsoft.com/office/drawing/2014/main" id="{65C71262-301D-4DA0-8BD0-8F657453DACF}"/>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02" name="Shape 8">
          <a:extLst>
            <a:ext uri="{FF2B5EF4-FFF2-40B4-BE49-F238E27FC236}">
              <a16:creationId xmlns:a16="http://schemas.microsoft.com/office/drawing/2014/main" id="{8F267D61-DF08-4DCA-A6E9-6699B1E071B6}"/>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03" name="Shape 7">
          <a:extLst>
            <a:ext uri="{FF2B5EF4-FFF2-40B4-BE49-F238E27FC236}">
              <a16:creationId xmlns:a16="http://schemas.microsoft.com/office/drawing/2014/main" id="{E7EDBE9A-6BB8-403A-9F4C-97825292D47C}"/>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04" name="Shape 8">
          <a:extLst>
            <a:ext uri="{FF2B5EF4-FFF2-40B4-BE49-F238E27FC236}">
              <a16:creationId xmlns:a16="http://schemas.microsoft.com/office/drawing/2014/main" id="{CC724006-76A6-4B10-A126-DA32B8F5298D}"/>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05" name="Shape 8">
          <a:extLst>
            <a:ext uri="{FF2B5EF4-FFF2-40B4-BE49-F238E27FC236}">
              <a16:creationId xmlns:a16="http://schemas.microsoft.com/office/drawing/2014/main" id="{6593964E-9763-4999-9CBD-FACCE7D4114A}"/>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06" name="Shape 7">
          <a:extLst>
            <a:ext uri="{FF2B5EF4-FFF2-40B4-BE49-F238E27FC236}">
              <a16:creationId xmlns:a16="http://schemas.microsoft.com/office/drawing/2014/main" id="{6DB45A0A-33F5-452F-979B-6429E5B7BACB}"/>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07" name="Shape 8">
          <a:extLst>
            <a:ext uri="{FF2B5EF4-FFF2-40B4-BE49-F238E27FC236}">
              <a16:creationId xmlns:a16="http://schemas.microsoft.com/office/drawing/2014/main" id="{ED938D8D-126F-4321-BF3D-70B174A1C886}"/>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08" name="Shape 8">
          <a:extLst>
            <a:ext uri="{FF2B5EF4-FFF2-40B4-BE49-F238E27FC236}">
              <a16:creationId xmlns:a16="http://schemas.microsoft.com/office/drawing/2014/main" id="{75E6880F-1069-4E7A-95A2-8DA5A66D350C}"/>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09" name="Shape 7">
          <a:extLst>
            <a:ext uri="{FF2B5EF4-FFF2-40B4-BE49-F238E27FC236}">
              <a16:creationId xmlns:a16="http://schemas.microsoft.com/office/drawing/2014/main" id="{373815FD-6F08-4B04-94BB-25597986779E}"/>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10" name="Shape 8">
          <a:extLst>
            <a:ext uri="{FF2B5EF4-FFF2-40B4-BE49-F238E27FC236}">
              <a16:creationId xmlns:a16="http://schemas.microsoft.com/office/drawing/2014/main" id="{ED1564F8-3217-44C7-BB8B-771FDBED2372}"/>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11" name="Shape 8">
          <a:extLst>
            <a:ext uri="{FF2B5EF4-FFF2-40B4-BE49-F238E27FC236}">
              <a16:creationId xmlns:a16="http://schemas.microsoft.com/office/drawing/2014/main" id="{F2DBC4E8-31D4-4DD8-888D-1EB155123410}"/>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12" name="Shape 7">
          <a:extLst>
            <a:ext uri="{FF2B5EF4-FFF2-40B4-BE49-F238E27FC236}">
              <a16:creationId xmlns:a16="http://schemas.microsoft.com/office/drawing/2014/main" id="{82F071B8-0A57-4429-AF39-30EB2051A861}"/>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13" name="Shape 8">
          <a:extLst>
            <a:ext uri="{FF2B5EF4-FFF2-40B4-BE49-F238E27FC236}">
              <a16:creationId xmlns:a16="http://schemas.microsoft.com/office/drawing/2014/main" id="{ADB94A09-5A69-4A9A-9E14-11D4E041345F}"/>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14" name="Shape 8">
          <a:extLst>
            <a:ext uri="{FF2B5EF4-FFF2-40B4-BE49-F238E27FC236}">
              <a16:creationId xmlns:a16="http://schemas.microsoft.com/office/drawing/2014/main" id="{7F33ED40-4B54-473E-9B1D-1BABEEC27155}"/>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15" name="Shape 7">
          <a:extLst>
            <a:ext uri="{FF2B5EF4-FFF2-40B4-BE49-F238E27FC236}">
              <a16:creationId xmlns:a16="http://schemas.microsoft.com/office/drawing/2014/main" id="{1559B35B-2B97-47F9-8D7F-2C1479A94A82}"/>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16" name="Shape 8">
          <a:extLst>
            <a:ext uri="{FF2B5EF4-FFF2-40B4-BE49-F238E27FC236}">
              <a16:creationId xmlns:a16="http://schemas.microsoft.com/office/drawing/2014/main" id="{A1BEFF3D-DE80-44BD-B23C-9C1849DC8C04}"/>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17" name="Shape 8">
          <a:extLst>
            <a:ext uri="{FF2B5EF4-FFF2-40B4-BE49-F238E27FC236}">
              <a16:creationId xmlns:a16="http://schemas.microsoft.com/office/drawing/2014/main" id="{3B35F197-191C-40C2-86D3-984068FD87CB}"/>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18" name="Shape 7">
          <a:extLst>
            <a:ext uri="{FF2B5EF4-FFF2-40B4-BE49-F238E27FC236}">
              <a16:creationId xmlns:a16="http://schemas.microsoft.com/office/drawing/2014/main" id="{66DD2246-5AFB-4C7E-850C-2AEBEEA707EC}"/>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19" name="Shape 7">
          <a:extLst>
            <a:ext uri="{FF2B5EF4-FFF2-40B4-BE49-F238E27FC236}">
              <a16:creationId xmlns:a16="http://schemas.microsoft.com/office/drawing/2014/main" id="{BC5AC2FF-04FB-42FB-9BF8-61E9FB45D079}"/>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20" name="Shape 8">
          <a:extLst>
            <a:ext uri="{FF2B5EF4-FFF2-40B4-BE49-F238E27FC236}">
              <a16:creationId xmlns:a16="http://schemas.microsoft.com/office/drawing/2014/main" id="{7946F3B7-1F0F-4CD0-B717-8CE27AD06E60}"/>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21" name="Shape 8">
          <a:extLst>
            <a:ext uri="{FF2B5EF4-FFF2-40B4-BE49-F238E27FC236}">
              <a16:creationId xmlns:a16="http://schemas.microsoft.com/office/drawing/2014/main" id="{B2DC5F8C-6FF5-4143-BF4F-A747CFD54EB3}"/>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22" name="Shape 7">
          <a:extLst>
            <a:ext uri="{FF2B5EF4-FFF2-40B4-BE49-F238E27FC236}">
              <a16:creationId xmlns:a16="http://schemas.microsoft.com/office/drawing/2014/main" id="{CC733A06-B55E-4CAC-9CBF-4A87FC8A2F3B}"/>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23" name="Shape 7">
          <a:extLst>
            <a:ext uri="{FF2B5EF4-FFF2-40B4-BE49-F238E27FC236}">
              <a16:creationId xmlns:a16="http://schemas.microsoft.com/office/drawing/2014/main" id="{B621DC16-B8CE-409C-921F-1B6211C5D087}"/>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24" name="Shape 8">
          <a:extLst>
            <a:ext uri="{FF2B5EF4-FFF2-40B4-BE49-F238E27FC236}">
              <a16:creationId xmlns:a16="http://schemas.microsoft.com/office/drawing/2014/main" id="{E67DDC47-50F3-48BF-93C2-6450646AD95C}"/>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25" name="Shape 7">
          <a:extLst>
            <a:ext uri="{FF2B5EF4-FFF2-40B4-BE49-F238E27FC236}">
              <a16:creationId xmlns:a16="http://schemas.microsoft.com/office/drawing/2014/main" id="{B2874C5B-A493-4675-8F42-8DBE3FE04020}"/>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26" name="Shape 8">
          <a:extLst>
            <a:ext uri="{FF2B5EF4-FFF2-40B4-BE49-F238E27FC236}">
              <a16:creationId xmlns:a16="http://schemas.microsoft.com/office/drawing/2014/main" id="{C89B885C-2D1F-43D3-AC53-AA59A2E64FD0}"/>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27" name="Shape 7">
          <a:extLst>
            <a:ext uri="{FF2B5EF4-FFF2-40B4-BE49-F238E27FC236}">
              <a16:creationId xmlns:a16="http://schemas.microsoft.com/office/drawing/2014/main" id="{8C8D88C7-BD9D-42FC-A4E6-9C863062737E}"/>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28" name="Shape 8">
          <a:extLst>
            <a:ext uri="{FF2B5EF4-FFF2-40B4-BE49-F238E27FC236}">
              <a16:creationId xmlns:a16="http://schemas.microsoft.com/office/drawing/2014/main" id="{8E20BF21-AFFB-487D-AC2A-57E026D4B773}"/>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29" name="Shape 7">
          <a:extLst>
            <a:ext uri="{FF2B5EF4-FFF2-40B4-BE49-F238E27FC236}">
              <a16:creationId xmlns:a16="http://schemas.microsoft.com/office/drawing/2014/main" id="{B06DEB7F-0802-42E0-967E-8F90E65AA77E}"/>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30" name="Shape 8">
          <a:extLst>
            <a:ext uri="{FF2B5EF4-FFF2-40B4-BE49-F238E27FC236}">
              <a16:creationId xmlns:a16="http://schemas.microsoft.com/office/drawing/2014/main" id="{44B009F8-5D5C-4419-8AD2-5E8521846972}"/>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31" name="Shape 8">
          <a:extLst>
            <a:ext uri="{FF2B5EF4-FFF2-40B4-BE49-F238E27FC236}">
              <a16:creationId xmlns:a16="http://schemas.microsoft.com/office/drawing/2014/main" id="{B7878E45-E037-462F-8484-AA395CCDB75B}"/>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32" name="Shape 7">
          <a:extLst>
            <a:ext uri="{FF2B5EF4-FFF2-40B4-BE49-F238E27FC236}">
              <a16:creationId xmlns:a16="http://schemas.microsoft.com/office/drawing/2014/main" id="{DD63D093-D36E-4EE4-BC21-B40A78052E66}"/>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33" name="Shape 8">
          <a:extLst>
            <a:ext uri="{FF2B5EF4-FFF2-40B4-BE49-F238E27FC236}">
              <a16:creationId xmlns:a16="http://schemas.microsoft.com/office/drawing/2014/main" id="{882575F1-AE14-463C-94EB-5DCB123A1956}"/>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34" name="Shape 8">
          <a:extLst>
            <a:ext uri="{FF2B5EF4-FFF2-40B4-BE49-F238E27FC236}">
              <a16:creationId xmlns:a16="http://schemas.microsoft.com/office/drawing/2014/main" id="{C52312AF-7CD6-40F6-8BC2-ACC869DF4B9C}"/>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35" name="Shape 7">
          <a:extLst>
            <a:ext uri="{FF2B5EF4-FFF2-40B4-BE49-F238E27FC236}">
              <a16:creationId xmlns:a16="http://schemas.microsoft.com/office/drawing/2014/main" id="{376D90B1-6D37-47D7-BDC8-3B6C4777EA37}"/>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36" name="Shape 8">
          <a:extLst>
            <a:ext uri="{FF2B5EF4-FFF2-40B4-BE49-F238E27FC236}">
              <a16:creationId xmlns:a16="http://schemas.microsoft.com/office/drawing/2014/main" id="{99D90C16-5389-49D4-8E7A-BCE9EE56DDBA}"/>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37" name="Shape 8">
          <a:extLst>
            <a:ext uri="{FF2B5EF4-FFF2-40B4-BE49-F238E27FC236}">
              <a16:creationId xmlns:a16="http://schemas.microsoft.com/office/drawing/2014/main" id="{5CB3C146-4B6D-47B8-9423-5E6B7AC21E76}"/>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38" name="Shape 7">
          <a:extLst>
            <a:ext uri="{FF2B5EF4-FFF2-40B4-BE49-F238E27FC236}">
              <a16:creationId xmlns:a16="http://schemas.microsoft.com/office/drawing/2014/main" id="{C58D1E56-B64A-4F0E-BED9-67E3024BC73C}"/>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39" name="Shape 8">
          <a:extLst>
            <a:ext uri="{FF2B5EF4-FFF2-40B4-BE49-F238E27FC236}">
              <a16:creationId xmlns:a16="http://schemas.microsoft.com/office/drawing/2014/main" id="{63939DC3-9622-4BA4-BE8D-E845DA851420}"/>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40" name="Shape 8">
          <a:extLst>
            <a:ext uri="{FF2B5EF4-FFF2-40B4-BE49-F238E27FC236}">
              <a16:creationId xmlns:a16="http://schemas.microsoft.com/office/drawing/2014/main" id="{26BE5328-0C5A-4DE2-9847-ABBEE3FD497A}"/>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41" name="Shape 7">
          <a:extLst>
            <a:ext uri="{FF2B5EF4-FFF2-40B4-BE49-F238E27FC236}">
              <a16:creationId xmlns:a16="http://schemas.microsoft.com/office/drawing/2014/main" id="{1D4FCB71-75CF-4986-8A90-BE4DC71980AE}"/>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42" name="Shape 8">
          <a:extLst>
            <a:ext uri="{FF2B5EF4-FFF2-40B4-BE49-F238E27FC236}">
              <a16:creationId xmlns:a16="http://schemas.microsoft.com/office/drawing/2014/main" id="{51317C5C-4138-4414-A9F4-F7B2C667D81E}"/>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43" name="Shape 8">
          <a:extLst>
            <a:ext uri="{FF2B5EF4-FFF2-40B4-BE49-F238E27FC236}">
              <a16:creationId xmlns:a16="http://schemas.microsoft.com/office/drawing/2014/main" id="{78DB0CA0-4732-42EF-94B0-601960630C74}"/>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44" name="Shape 7">
          <a:extLst>
            <a:ext uri="{FF2B5EF4-FFF2-40B4-BE49-F238E27FC236}">
              <a16:creationId xmlns:a16="http://schemas.microsoft.com/office/drawing/2014/main" id="{33484598-1266-407A-ACD8-66C6E8FB931C}"/>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45" name="Shape 7">
          <a:extLst>
            <a:ext uri="{FF2B5EF4-FFF2-40B4-BE49-F238E27FC236}">
              <a16:creationId xmlns:a16="http://schemas.microsoft.com/office/drawing/2014/main" id="{A98EDCBC-0197-42FC-89E3-4395CFF48663}"/>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46" name="Shape 8">
          <a:extLst>
            <a:ext uri="{FF2B5EF4-FFF2-40B4-BE49-F238E27FC236}">
              <a16:creationId xmlns:a16="http://schemas.microsoft.com/office/drawing/2014/main" id="{9087D600-B6D8-4F04-AFEF-418DA5C73384}"/>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47" name="Shape 8">
          <a:extLst>
            <a:ext uri="{FF2B5EF4-FFF2-40B4-BE49-F238E27FC236}">
              <a16:creationId xmlns:a16="http://schemas.microsoft.com/office/drawing/2014/main" id="{004C275C-1F79-4BAB-8E37-A7DB6616CD95}"/>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48" name="Shape 7">
          <a:extLst>
            <a:ext uri="{FF2B5EF4-FFF2-40B4-BE49-F238E27FC236}">
              <a16:creationId xmlns:a16="http://schemas.microsoft.com/office/drawing/2014/main" id="{62899FFD-1A51-40F5-A371-56CA12E94A40}"/>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49" name="Shape 7">
          <a:extLst>
            <a:ext uri="{FF2B5EF4-FFF2-40B4-BE49-F238E27FC236}">
              <a16:creationId xmlns:a16="http://schemas.microsoft.com/office/drawing/2014/main" id="{A82684AA-FA00-4E3B-9C0D-AD030BD3A092}"/>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50" name="Shape 8">
          <a:extLst>
            <a:ext uri="{FF2B5EF4-FFF2-40B4-BE49-F238E27FC236}">
              <a16:creationId xmlns:a16="http://schemas.microsoft.com/office/drawing/2014/main" id="{302B42A2-FD1D-4BEE-9D4A-B13B4EA88ABC}"/>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51" name="Shape 7">
          <a:extLst>
            <a:ext uri="{FF2B5EF4-FFF2-40B4-BE49-F238E27FC236}">
              <a16:creationId xmlns:a16="http://schemas.microsoft.com/office/drawing/2014/main" id="{98A4FF9D-2DD0-4513-B58A-333F55F431C5}"/>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52" name="Shape 8">
          <a:extLst>
            <a:ext uri="{FF2B5EF4-FFF2-40B4-BE49-F238E27FC236}">
              <a16:creationId xmlns:a16="http://schemas.microsoft.com/office/drawing/2014/main" id="{FCDDA813-6E88-4671-A84C-BED31E757471}"/>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53" name="Shape 7">
          <a:extLst>
            <a:ext uri="{FF2B5EF4-FFF2-40B4-BE49-F238E27FC236}">
              <a16:creationId xmlns:a16="http://schemas.microsoft.com/office/drawing/2014/main" id="{0CA731A5-6080-4EF5-9FD7-43A789FBACCE}"/>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54" name="Shape 8">
          <a:extLst>
            <a:ext uri="{FF2B5EF4-FFF2-40B4-BE49-F238E27FC236}">
              <a16:creationId xmlns:a16="http://schemas.microsoft.com/office/drawing/2014/main" id="{DFF232AC-B71B-43CB-8A02-11A6C2E29B2F}"/>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55" name="Shape 7">
          <a:extLst>
            <a:ext uri="{FF2B5EF4-FFF2-40B4-BE49-F238E27FC236}">
              <a16:creationId xmlns:a16="http://schemas.microsoft.com/office/drawing/2014/main" id="{BACF1C23-7397-40ED-AC5F-CC80A0B93880}"/>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56" name="Shape 8">
          <a:extLst>
            <a:ext uri="{FF2B5EF4-FFF2-40B4-BE49-F238E27FC236}">
              <a16:creationId xmlns:a16="http://schemas.microsoft.com/office/drawing/2014/main" id="{8402530C-B500-4106-9AC6-7F89EF160DFD}"/>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57" name="Shape 8">
          <a:extLst>
            <a:ext uri="{FF2B5EF4-FFF2-40B4-BE49-F238E27FC236}">
              <a16:creationId xmlns:a16="http://schemas.microsoft.com/office/drawing/2014/main" id="{FC8C63AB-01FB-4CEC-9077-AE1F283FF0AC}"/>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58" name="Shape 7">
          <a:extLst>
            <a:ext uri="{FF2B5EF4-FFF2-40B4-BE49-F238E27FC236}">
              <a16:creationId xmlns:a16="http://schemas.microsoft.com/office/drawing/2014/main" id="{EC258EF5-3B59-42B5-8656-CF7E316D081F}"/>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59" name="Shape 8">
          <a:extLst>
            <a:ext uri="{FF2B5EF4-FFF2-40B4-BE49-F238E27FC236}">
              <a16:creationId xmlns:a16="http://schemas.microsoft.com/office/drawing/2014/main" id="{D1BFAAB7-F5AF-4D3C-8240-5BF1981B20B6}"/>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60" name="Shape 8">
          <a:extLst>
            <a:ext uri="{FF2B5EF4-FFF2-40B4-BE49-F238E27FC236}">
              <a16:creationId xmlns:a16="http://schemas.microsoft.com/office/drawing/2014/main" id="{17DA8F25-F932-4C35-AA10-992513B99C8E}"/>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61" name="Shape 7">
          <a:extLst>
            <a:ext uri="{FF2B5EF4-FFF2-40B4-BE49-F238E27FC236}">
              <a16:creationId xmlns:a16="http://schemas.microsoft.com/office/drawing/2014/main" id="{2C2A931E-6DDB-422B-8E3A-41C85E0A60DD}"/>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62" name="Shape 8">
          <a:extLst>
            <a:ext uri="{FF2B5EF4-FFF2-40B4-BE49-F238E27FC236}">
              <a16:creationId xmlns:a16="http://schemas.microsoft.com/office/drawing/2014/main" id="{B44425FA-FEE2-4B9B-BF78-676D9C4BB8F6}"/>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63" name="Shape 8">
          <a:extLst>
            <a:ext uri="{FF2B5EF4-FFF2-40B4-BE49-F238E27FC236}">
              <a16:creationId xmlns:a16="http://schemas.microsoft.com/office/drawing/2014/main" id="{5ABF2575-96E6-4315-8FDF-CEB1FFFE9C47}"/>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64" name="Shape 7">
          <a:extLst>
            <a:ext uri="{FF2B5EF4-FFF2-40B4-BE49-F238E27FC236}">
              <a16:creationId xmlns:a16="http://schemas.microsoft.com/office/drawing/2014/main" id="{5B87EBAF-C273-4E07-9165-7CAF7B2978E5}"/>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65" name="Shape 8">
          <a:extLst>
            <a:ext uri="{FF2B5EF4-FFF2-40B4-BE49-F238E27FC236}">
              <a16:creationId xmlns:a16="http://schemas.microsoft.com/office/drawing/2014/main" id="{8114CD66-A857-4FB9-9196-1A9FEA531FD9}"/>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66" name="Shape 8">
          <a:extLst>
            <a:ext uri="{FF2B5EF4-FFF2-40B4-BE49-F238E27FC236}">
              <a16:creationId xmlns:a16="http://schemas.microsoft.com/office/drawing/2014/main" id="{0C78B398-287B-43FB-82E6-D546D33F700E}"/>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67" name="Shape 7">
          <a:extLst>
            <a:ext uri="{FF2B5EF4-FFF2-40B4-BE49-F238E27FC236}">
              <a16:creationId xmlns:a16="http://schemas.microsoft.com/office/drawing/2014/main" id="{E7382D9A-CBB3-4CF2-A61B-D5C30968B280}"/>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68" name="Shape 8">
          <a:extLst>
            <a:ext uri="{FF2B5EF4-FFF2-40B4-BE49-F238E27FC236}">
              <a16:creationId xmlns:a16="http://schemas.microsoft.com/office/drawing/2014/main" id="{07EC0D07-CD97-4522-8F71-69C4472B3EA4}"/>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69" name="Shape 8">
          <a:extLst>
            <a:ext uri="{FF2B5EF4-FFF2-40B4-BE49-F238E27FC236}">
              <a16:creationId xmlns:a16="http://schemas.microsoft.com/office/drawing/2014/main" id="{6C7B9294-3A54-4EC7-AA77-D7847550160E}"/>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70" name="Shape 7">
          <a:extLst>
            <a:ext uri="{FF2B5EF4-FFF2-40B4-BE49-F238E27FC236}">
              <a16:creationId xmlns:a16="http://schemas.microsoft.com/office/drawing/2014/main" id="{28B82137-DD55-4F5E-B4A7-9D7C6ED64981}"/>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71" name="Shape 7">
          <a:extLst>
            <a:ext uri="{FF2B5EF4-FFF2-40B4-BE49-F238E27FC236}">
              <a16:creationId xmlns:a16="http://schemas.microsoft.com/office/drawing/2014/main" id="{6F8930EE-E867-4D75-80C0-C6068EAD9B93}"/>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72" name="Shape 8">
          <a:extLst>
            <a:ext uri="{FF2B5EF4-FFF2-40B4-BE49-F238E27FC236}">
              <a16:creationId xmlns:a16="http://schemas.microsoft.com/office/drawing/2014/main" id="{40E4E3BE-0111-4D78-8FF5-84B29B738BD9}"/>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73" name="Shape 8">
          <a:extLst>
            <a:ext uri="{FF2B5EF4-FFF2-40B4-BE49-F238E27FC236}">
              <a16:creationId xmlns:a16="http://schemas.microsoft.com/office/drawing/2014/main" id="{5A983F96-9EC9-4B87-9915-900DB2F1ECA1}"/>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74" name="Shape 7">
          <a:extLst>
            <a:ext uri="{FF2B5EF4-FFF2-40B4-BE49-F238E27FC236}">
              <a16:creationId xmlns:a16="http://schemas.microsoft.com/office/drawing/2014/main" id="{DF741BDC-1CB4-4B36-9073-46C4BFE74671}"/>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75" name="Shape 7">
          <a:extLst>
            <a:ext uri="{FF2B5EF4-FFF2-40B4-BE49-F238E27FC236}">
              <a16:creationId xmlns:a16="http://schemas.microsoft.com/office/drawing/2014/main" id="{5DF33708-FE1D-457D-AF37-682BD4825261}"/>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76" name="Shape 8">
          <a:extLst>
            <a:ext uri="{FF2B5EF4-FFF2-40B4-BE49-F238E27FC236}">
              <a16:creationId xmlns:a16="http://schemas.microsoft.com/office/drawing/2014/main" id="{D2B89CB1-5E51-468E-8A57-A91BC8C7C154}"/>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77" name="Shape 7">
          <a:extLst>
            <a:ext uri="{FF2B5EF4-FFF2-40B4-BE49-F238E27FC236}">
              <a16:creationId xmlns:a16="http://schemas.microsoft.com/office/drawing/2014/main" id="{73B8702E-03D7-441C-84C3-8306A3A30B54}"/>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78" name="Shape 8">
          <a:extLst>
            <a:ext uri="{FF2B5EF4-FFF2-40B4-BE49-F238E27FC236}">
              <a16:creationId xmlns:a16="http://schemas.microsoft.com/office/drawing/2014/main" id="{4ABB39BE-E3F8-4AC2-A64D-332A306DD5C3}"/>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79" name="Shape 7">
          <a:extLst>
            <a:ext uri="{FF2B5EF4-FFF2-40B4-BE49-F238E27FC236}">
              <a16:creationId xmlns:a16="http://schemas.microsoft.com/office/drawing/2014/main" id="{D833893C-DCDF-4D90-B346-21E2CB7D46A4}"/>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80" name="Shape 8">
          <a:extLst>
            <a:ext uri="{FF2B5EF4-FFF2-40B4-BE49-F238E27FC236}">
              <a16:creationId xmlns:a16="http://schemas.microsoft.com/office/drawing/2014/main" id="{B38B5CF5-BE17-457C-89A2-950404B6D306}"/>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81" name="Shape 7">
          <a:extLst>
            <a:ext uri="{FF2B5EF4-FFF2-40B4-BE49-F238E27FC236}">
              <a16:creationId xmlns:a16="http://schemas.microsoft.com/office/drawing/2014/main" id="{60938B0F-953D-4E70-8A45-88FDA6DCB5F2}"/>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82" name="Shape 8">
          <a:extLst>
            <a:ext uri="{FF2B5EF4-FFF2-40B4-BE49-F238E27FC236}">
              <a16:creationId xmlns:a16="http://schemas.microsoft.com/office/drawing/2014/main" id="{AAB1163B-F947-4397-A46B-95F9A72D87F1}"/>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83" name="Shape 8">
          <a:extLst>
            <a:ext uri="{FF2B5EF4-FFF2-40B4-BE49-F238E27FC236}">
              <a16:creationId xmlns:a16="http://schemas.microsoft.com/office/drawing/2014/main" id="{F72BACAE-B8CD-4DDE-B48C-3E3C305BF853}"/>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84" name="Shape 7">
          <a:extLst>
            <a:ext uri="{FF2B5EF4-FFF2-40B4-BE49-F238E27FC236}">
              <a16:creationId xmlns:a16="http://schemas.microsoft.com/office/drawing/2014/main" id="{4DDDEEE4-C076-4A53-A100-FC55F9F16706}"/>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85" name="Shape 8">
          <a:extLst>
            <a:ext uri="{FF2B5EF4-FFF2-40B4-BE49-F238E27FC236}">
              <a16:creationId xmlns:a16="http://schemas.microsoft.com/office/drawing/2014/main" id="{DF400939-8BA4-4135-B795-5FE7FA76AEEB}"/>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86" name="Shape 8">
          <a:extLst>
            <a:ext uri="{FF2B5EF4-FFF2-40B4-BE49-F238E27FC236}">
              <a16:creationId xmlns:a16="http://schemas.microsoft.com/office/drawing/2014/main" id="{9184926C-7D89-45E2-8964-666999857A18}"/>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87" name="Shape 7">
          <a:extLst>
            <a:ext uri="{FF2B5EF4-FFF2-40B4-BE49-F238E27FC236}">
              <a16:creationId xmlns:a16="http://schemas.microsoft.com/office/drawing/2014/main" id="{B4B4D855-5C95-4434-902D-97C781CDBE33}"/>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88" name="Shape 8">
          <a:extLst>
            <a:ext uri="{FF2B5EF4-FFF2-40B4-BE49-F238E27FC236}">
              <a16:creationId xmlns:a16="http://schemas.microsoft.com/office/drawing/2014/main" id="{F97AF09B-C8A5-4E34-BEA9-ABB11FBE8C86}"/>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89" name="Shape 8">
          <a:extLst>
            <a:ext uri="{FF2B5EF4-FFF2-40B4-BE49-F238E27FC236}">
              <a16:creationId xmlns:a16="http://schemas.microsoft.com/office/drawing/2014/main" id="{5E4F4136-6BF0-4146-9528-11D66EDC33C7}"/>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90" name="Shape 7">
          <a:extLst>
            <a:ext uri="{FF2B5EF4-FFF2-40B4-BE49-F238E27FC236}">
              <a16:creationId xmlns:a16="http://schemas.microsoft.com/office/drawing/2014/main" id="{E8C12BB1-F5F0-44F4-BBAF-873298F91685}"/>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91" name="Shape 8">
          <a:extLst>
            <a:ext uri="{FF2B5EF4-FFF2-40B4-BE49-F238E27FC236}">
              <a16:creationId xmlns:a16="http://schemas.microsoft.com/office/drawing/2014/main" id="{2D43ABFD-8F70-4127-9B4E-63996B6CB84B}"/>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92" name="Shape 8">
          <a:extLst>
            <a:ext uri="{FF2B5EF4-FFF2-40B4-BE49-F238E27FC236}">
              <a16:creationId xmlns:a16="http://schemas.microsoft.com/office/drawing/2014/main" id="{3940B7F5-F9C6-4AED-969D-5ED6F3A81B5C}"/>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93" name="Shape 7">
          <a:extLst>
            <a:ext uri="{FF2B5EF4-FFF2-40B4-BE49-F238E27FC236}">
              <a16:creationId xmlns:a16="http://schemas.microsoft.com/office/drawing/2014/main" id="{4C33C8FB-FF7B-4E89-A014-54E30DA3945D}"/>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94" name="Shape 8">
          <a:extLst>
            <a:ext uri="{FF2B5EF4-FFF2-40B4-BE49-F238E27FC236}">
              <a16:creationId xmlns:a16="http://schemas.microsoft.com/office/drawing/2014/main" id="{D579CB86-EDA8-4170-A2E5-13B30BAF81C4}"/>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95" name="Shape 8">
          <a:extLst>
            <a:ext uri="{FF2B5EF4-FFF2-40B4-BE49-F238E27FC236}">
              <a16:creationId xmlns:a16="http://schemas.microsoft.com/office/drawing/2014/main" id="{0F3C9F77-9927-4FFC-B5E8-573E94919E24}"/>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96" name="Shape 7">
          <a:extLst>
            <a:ext uri="{FF2B5EF4-FFF2-40B4-BE49-F238E27FC236}">
              <a16:creationId xmlns:a16="http://schemas.microsoft.com/office/drawing/2014/main" id="{69B2B57A-7A1A-49BD-81E9-D6B5AD3E18A7}"/>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697" name="Shape 7">
          <a:extLst>
            <a:ext uri="{FF2B5EF4-FFF2-40B4-BE49-F238E27FC236}">
              <a16:creationId xmlns:a16="http://schemas.microsoft.com/office/drawing/2014/main" id="{FBC527DD-7AC9-48C4-AE0F-81A6AEF2F8A5}"/>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98" name="Shape 8">
          <a:extLst>
            <a:ext uri="{FF2B5EF4-FFF2-40B4-BE49-F238E27FC236}">
              <a16:creationId xmlns:a16="http://schemas.microsoft.com/office/drawing/2014/main" id="{247ED0BD-0668-4D9B-9FF0-9D964F3F0A52}"/>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699" name="Shape 8">
          <a:extLst>
            <a:ext uri="{FF2B5EF4-FFF2-40B4-BE49-F238E27FC236}">
              <a16:creationId xmlns:a16="http://schemas.microsoft.com/office/drawing/2014/main" id="{2E824CC0-CCBE-4C3C-BA49-EF4F1382A663}"/>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700" name="Shape 7">
          <a:extLst>
            <a:ext uri="{FF2B5EF4-FFF2-40B4-BE49-F238E27FC236}">
              <a16:creationId xmlns:a16="http://schemas.microsoft.com/office/drawing/2014/main" id="{242E75FB-7995-415A-A89D-37707A527621}"/>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701" name="Shape 7">
          <a:extLst>
            <a:ext uri="{FF2B5EF4-FFF2-40B4-BE49-F238E27FC236}">
              <a16:creationId xmlns:a16="http://schemas.microsoft.com/office/drawing/2014/main" id="{8D419765-4AE8-4A73-9712-B8D42937C698}"/>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02" name="Shape 8">
          <a:extLst>
            <a:ext uri="{FF2B5EF4-FFF2-40B4-BE49-F238E27FC236}">
              <a16:creationId xmlns:a16="http://schemas.microsoft.com/office/drawing/2014/main" id="{C1C7929D-A63E-483B-9DD4-D226DBF2EF40}"/>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03" name="Shape 7">
          <a:extLst>
            <a:ext uri="{FF2B5EF4-FFF2-40B4-BE49-F238E27FC236}">
              <a16:creationId xmlns:a16="http://schemas.microsoft.com/office/drawing/2014/main" id="{35558CB9-4F7F-43E4-981D-AF290CCFCC22}"/>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04" name="Shape 8">
          <a:extLst>
            <a:ext uri="{FF2B5EF4-FFF2-40B4-BE49-F238E27FC236}">
              <a16:creationId xmlns:a16="http://schemas.microsoft.com/office/drawing/2014/main" id="{FD53144C-E3BD-4CD1-A530-CF45C97722B5}"/>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05" name="Shape 7">
          <a:extLst>
            <a:ext uri="{FF2B5EF4-FFF2-40B4-BE49-F238E27FC236}">
              <a16:creationId xmlns:a16="http://schemas.microsoft.com/office/drawing/2014/main" id="{50606966-C053-45AB-AD08-EDF71C3C5307}"/>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06" name="Shape 8">
          <a:extLst>
            <a:ext uri="{FF2B5EF4-FFF2-40B4-BE49-F238E27FC236}">
              <a16:creationId xmlns:a16="http://schemas.microsoft.com/office/drawing/2014/main" id="{E141A4A9-CD33-4189-96E9-67B923AF016D}"/>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07" name="Shape 7">
          <a:extLst>
            <a:ext uri="{FF2B5EF4-FFF2-40B4-BE49-F238E27FC236}">
              <a16:creationId xmlns:a16="http://schemas.microsoft.com/office/drawing/2014/main" id="{F7278C72-7852-4631-A598-C1A1D4712FD4}"/>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08" name="Shape 8">
          <a:extLst>
            <a:ext uri="{FF2B5EF4-FFF2-40B4-BE49-F238E27FC236}">
              <a16:creationId xmlns:a16="http://schemas.microsoft.com/office/drawing/2014/main" id="{FAECC987-B077-4BDD-9E47-A949E693C212}"/>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09" name="Shape 8">
          <a:extLst>
            <a:ext uri="{FF2B5EF4-FFF2-40B4-BE49-F238E27FC236}">
              <a16:creationId xmlns:a16="http://schemas.microsoft.com/office/drawing/2014/main" id="{6C4A54DD-1CCA-4EC4-98F4-82EB4EFABAFC}"/>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10" name="Shape 7">
          <a:extLst>
            <a:ext uri="{FF2B5EF4-FFF2-40B4-BE49-F238E27FC236}">
              <a16:creationId xmlns:a16="http://schemas.microsoft.com/office/drawing/2014/main" id="{98F39F35-D0F9-4A8D-A0C9-E9B7670B4796}"/>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11" name="Shape 8">
          <a:extLst>
            <a:ext uri="{FF2B5EF4-FFF2-40B4-BE49-F238E27FC236}">
              <a16:creationId xmlns:a16="http://schemas.microsoft.com/office/drawing/2014/main" id="{BDC4DBEC-6595-413C-ADD3-234938C8FD82}"/>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12" name="Shape 8">
          <a:extLst>
            <a:ext uri="{FF2B5EF4-FFF2-40B4-BE49-F238E27FC236}">
              <a16:creationId xmlns:a16="http://schemas.microsoft.com/office/drawing/2014/main" id="{C2CF277B-BB22-4574-B74D-B47F187303BD}"/>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13" name="Shape 7">
          <a:extLst>
            <a:ext uri="{FF2B5EF4-FFF2-40B4-BE49-F238E27FC236}">
              <a16:creationId xmlns:a16="http://schemas.microsoft.com/office/drawing/2014/main" id="{A3A57A03-1772-4583-B0AD-3F930599D3BB}"/>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14" name="Shape 8">
          <a:extLst>
            <a:ext uri="{FF2B5EF4-FFF2-40B4-BE49-F238E27FC236}">
              <a16:creationId xmlns:a16="http://schemas.microsoft.com/office/drawing/2014/main" id="{9C7BA0BC-6DF9-4EB8-B339-B405F4376529}"/>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15" name="Shape 8">
          <a:extLst>
            <a:ext uri="{FF2B5EF4-FFF2-40B4-BE49-F238E27FC236}">
              <a16:creationId xmlns:a16="http://schemas.microsoft.com/office/drawing/2014/main" id="{A22FAAB4-63EA-4275-BCC8-DD4415CDA798}"/>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16" name="Shape 7">
          <a:extLst>
            <a:ext uri="{FF2B5EF4-FFF2-40B4-BE49-F238E27FC236}">
              <a16:creationId xmlns:a16="http://schemas.microsoft.com/office/drawing/2014/main" id="{52C97FF1-10A9-48EB-8EDB-BA589027EF3E}"/>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17" name="Shape 8">
          <a:extLst>
            <a:ext uri="{FF2B5EF4-FFF2-40B4-BE49-F238E27FC236}">
              <a16:creationId xmlns:a16="http://schemas.microsoft.com/office/drawing/2014/main" id="{505E3B7B-C856-474E-9EC2-093EE34E88A7}"/>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18" name="Shape 8">
          <a:extLst>
            <a:ext uri="{FF2B5EF4-FFF2-40B4-BE49-F238E27FC236}">
              <a16:creationId xmlns:a16="http://schemas.microsoft.com/office/drawing/2014/main" id="{D6E37104-A599-4976-92ED-CA3EE51AD9CA}"/>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19" name="Shape 7">
          <a:extLst>
            <a:ext uri="{FF2B5EF4-FFF2-40B4-BE49-F238E27FC236}">
              <a16:creationId xmlns:a16="http://schemas.microsoft.com/office/drawing/2014/main" id="{F1D00C76-8337-402D-9149-A065175D239E}"/>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20" name="Shape 8">
          <a:extLst>
            <a:ext uri="{FF2B5EF4-FFF2-40B4-BE49-F238E27FC236}">
              <a16:creationId xmlns:a16="http://schemas.microsoft.com/office/drawing/2014/main" id="{BBB377E1-9799-4475-8600-FDD6F6BD8AD4}"/>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21" name="Shape 8">
          <a:extLst>
            <a:ext uri="{FF2B5EF4-FFF2-40B4-BE49-F238E27FC236}">
              <a16:creationId xmlns:a16="http://schemas.microsoft.com/office/drawing/2014/main" id="{C151A117-C5D7-4422-94D7-25AF47F45D3F}"/>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22" name="Shape 7">
          <a:extLst>
            <a:ext uri="{FF2B5EF4-FFF2-40B4-BE49-F238E27FC236}">
              <a16:creationId xmlns:a16="http://schemas.microsoft.com/office/drawing/2014/main" id="{2C9E0878-0436-4313-A6F1-FD90CEA640E1}"/>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23" name="Shape 7">
          <a:extLst>
            <a:ext uri="{FF2B5EF4-FFF2-40B4-BE49-F238E27FC236}">
              <a16:creationId xmlns:a16="http://schemas.microsoft.com/office/drawing/2014/main" id="{11A2065C-CFBC-456D-BEAB-E5389DEBC7D9}"/>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24" name="Shape 8">
          <a:extLst>
            <a:ext uri="{FF2B5EF4-FFF2-40B4-BE49-F238E27FC236}">
              <a16:creationId xmlns:a16="http://schemas.microsoft.com/office/drawing/2014/main" id="{7A83973C-C337-4372-A7B9-399021D56521}"/>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25" name="Shape 8">
          <a:extLst>
            <a:ext uri="{FF2B5EF4-FFF2-40B4-BE49-F238E27FC236}">
              <a16:creationId xmlns:a16="http://schemas.microsoft.com/office/drawing/2014/main" id="{14F4BFE0-8893-4F9F-A8EF-7C50BE8B7859}"/>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26" name="Shape 7">
          <a:extLst>
            <a:ext uri="{FF2B5EF4-FFF2-40B4-BE49-F238E27FC236}">
              <a16:creationId xmlns:a16="http://schemas.microsoft.com/office/drawing/2014/main" id="{065BA40A-24F3-493F-BD79-C7B4F906630A}"/>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27" name="Shape 7">
          <a:extLst>
            <a:ext uri="{FF2B5EF4-FFF2-40B4-BE49-F238E27FC236}">
              <a16:creationId xmlns:a16="http://schemas.microsoft.com/office/drawing/2014/main" id="{76F3C63C-1308-4717-AB51-0783AAB5B0C0}"/>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28" name="Shape 7">
          <a:extLst>
            <a:ext uri="{FF2B5EF4-FFF2-40B4-BE49-F238E27FC236}">
              <a16:creationId xmlns:a16="http://schemas.microsoft.com/office/drawing/2014/main" id="{8ECAE6B5-26E0-4A64-951E-585BB7A7E41F}"/>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29" name="Shape 7">
          <a:extLst>
            <a:ext uri="{FF2B5EF4-FFF2-40B4-BE49-F238E27FC236}">
              <a16:creationId xmlns:a16="http://schemas.microsoft.com/office/drawing/2014/main" id="{C40F6941-FE2F-4878-AF0F-279A0C398B10}"/>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30" name="Shape 7">
          <a:extLst>
            <a:ext uri="{FF2B5EF4-FFF2-40B4-BE49-F238E27FC236}">
              <a16:creationId xmlns:a16="http://schemas.microsoft.com/office/drawing/2014/main" id="{7B711095-7C3C-4978-BA2F-5B76EAD80E20}"/>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31" name="Shape 7">
          <a:extLst>
            <a:ext uri="{FF2B5EF4-FFF2-40B4-BE49-F238E27FC236}">
              <a16:creationId xmlns:a16="http://schemas.microsoft.com/office/drawing/2014/main" id="{5DDBB361-F37B-4ADD-ADE0-5649E31557D1}"/>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32" name="Shape 7">
          <a:extLst>
            <a:ext uri="{FF2B5EF4-FFF2-40B4-BE49-F238E27FC236}">
              <a16:creationId xmlns:a16="http://schemas.microsoft.com/office/drawing/2014/main" id="{26631358-5839-47CA-87FA-5A89AE74FE30}"/>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33" name="Shape 7">
          <a:extLst>
            <a:ext uri="{FF2B5EF4-FFF2-40B4-BE49-F238E27FC236}">
              <a16:creationId xmlns:a16="http://schemas.microsoft.com/office/drawing/2014/main" id="{AD8243B0-F55C-4681-9A5D-054D89DE52CA}"/>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34" name="Shape 7">
          <a:extLst>
            <a:ext uri="{FF2B5EF4-FFF2-40B4-BE49-F238E27FC236}">
              <a16:creationId xmlns:a16="http://schemas.microsoft.com/office/drawing/2014/main" id="{FF4981D1-FC70-4285-A397-622FD91B6AE8}"/>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35" name="Shape 7">
          <a:extLst>
            <a:ext uri="{FF2B5EF4-FFF2-40B4-BE49-F238E27FC236}">
              <a16:creationId xmlns:a16="http://schemas.microsoft.com/office/drawing/2014/main" id="{C874CADA-502A-4DDB-8B3D-3A168DF84001}"/>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36" name="Shape 7">
          <a:extLst>
            <a:ext uri="{FF2B5EF4-FFF2-40B4-BE49-F238E27FC236}">
              <a16:creationId xmlns:a16="http://schemas.microsoft.com/office/drawing/2014/main" id="{8734BA25-C57B-450D-A049-EB728434F491}"/>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37" name="Shape 7">
          <a:extLst>
            <a:ext uri="{FF2B5EF4-FFF2-40B4-BE49-F238E27FC236}">
              <a16:creationId xmlns:a16="http://schemas.microsoft.com/office/drawing/2014/main" id="{61C7D272-CD18-450C-AB06-228333FF7D9E}"/>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38" name="Shape 7">
          <a:extLst>
            <a:ext uri="{FF2B5EF4-FFF2-40B4-BE49-F238E27FC236}">
              <a16:creationId xmlns:a16="http://schemas.microsoft.com/office/drawing/2014/main" id="{13CB47B1-E4F1-4FB7-AECC-DED8A0251AB5}"/>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39" name="Shape 7">
          <a:extLst>
            <a:ext uri="{FF2B5EF4-FFF2-40B4-BE49-F238E27FC236}">
              <a16:creationId xmlns:a16="http://schemas.microsoft.com/office/drawing/2014/main" id="{87BD9594-CCE5-40B9-BBF9-4F6284972007}"/>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40" name="Shape 7">
          <a:extLst>
            <a:ext uri="{FF2B5EF4-FFF2-40B4-BE49-F238E27FC236}">
              <a16:creationId xmlns:a16="http://schemas.microsoft.com/office/drawing/2014/main" id="{A58CBA7A-60C1-4324-BB18-C3B0AF2CCE72}"/>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41" name="Shape 7">
          <a:extLst>
            <a:ext uri="{FF2B5EF4-FFF2-40B4-BE49-F238E27FC236}">
              <a16:creationId xmlns:a16="http://schemas.microsoft.com/office/drawing/2014/main" id="{40093BC8-C533-4579-B049-392D7B909DAF}"/>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42" name="Shape 7">
          <a:extLst>
            <a:ext uri="{FF2B5EF4-FFF2-40B4-BE49-F238E27FC236}">
              <a16:creationId xmlns:a16="http://schemas.microsoft.com/office/drawing/2014/main" id="{0BAC61E7-C8F0-419A-8E55-FFE6623C96E2}"/>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43" name="Shape 7">
          <a:extLst>
            <a:ext uri="{FF2B5EF4-FFF2-40B4-BE49-F238E27FC236}">
              <a16:creationId xmlns:a16="http://schemas.microsoft.com/office/drawing/2014/main" id="{406467E9-1940-4504-9CCB-AE01A561F298}"/>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744" name="Shape 7">
          <a:extLst>
            <a:ext uri="{FF2B5EF4-FFF2-40B4-BE49-F238E27FC236}">
              <a16:creationId xmlns:a16="http://schemas.microsoft.com/office/drawing/2014/main" id="{47B04B96-F326-4CFC-80A1-A9F1C1B64450}"/>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45" name="Shape 8">
          <a:extLst>
            <a:ext uri="{FF2B5EF4-FFF2-40B4-BE49-F238E27FC236}">
              <a16:creationId xmlns:a16="http://schemas.microsoft.com/office/drawing/2014/main" id="{E0D6192A-9FE0-41F6-8648-CD9A47A0DCE9}"/>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746" name="Shape 7">
          <a:extLst>
            <a:ext uri="{FF2B5EF4-FFF2-40B4-BE49-F238E27FC236}">
              <a16:creationId xmlns:a16="http://schemas.microsoft.com/office/drawing/2014/main" id="{F5173124-FC6D-4356-A745-FECDD4BB136D}"/>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47" name="Shape 8">
          <a:extLst>
            <a:ext uri="{FF2B5EF4-FFF2-40B4-BE49-F238E27FC236}">
              <a16:creationId xmlns:a16="http://schemas.microsoft.com/office/drawing/2014/main" id="{1B0ADDEA-D8A5-4C10-B595-69EA63969664}"/>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748" name="Shape 7">
          <a:extLst>
            <a:ext uri="{FF2B5EF4-FFF2-40B4-BE49-F238E27FC236}">
              <a16:creationId xmlns:a16="http://schemas.microsoft.com/office/drawing/2014/main" id="{186B99C5-3E58-4DCC-9D0C-BCC28F7CD799}"/>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49" name="Shape 8">
          <a:extLst>
            <a:ext uri="{FF2B5EF4-FFF2-40B4-BE49-F238E27FC236}">
              <a16:creationId xmlns:a16="http://schemas.microsoft.com/office/drawing/2014/main" id="{5A420CEE-7503-49DA-B74A-9F0AEFB90641}"/>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50" name="Shape 8">
          <a:extLst>
            <a:ext uri="{FF2B5EF4-FFF2-40B4-BE49-F238E27FC236}">
              <a16:creationId xmlns:a16="http://schemas.microsoft.com/office/drawing/2014/main" id="{95877069-F679-424C-9DB1-6853A29C0BF9}"/>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751" name="Shape 7">
          <a:extLst>
            <a:ext uri="{FF2B5EF4-FFF2-40B4-BE49-F238E27FC236}">
              <a16:creationId xmlns:a16="http://schemas.microsoft.com/office/drawing/2014/main" id="{BBA7FD98-753E-48AA-8824-676646FCF783}"/>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52" name="Shape 8">
          <a:extLst>
            <a:ext uri="{FF2B5EF4-FFF2-40B4-BE49-F238E27FC236}">
              <a16:creationId xmlns:a16="http://schemas.microsoft.com/office/drawing/2014/main" id="{2F098B75-D377-442D-9CF5-6B80BAE8BB70}"/>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53" name="Shape 8">
          <a:extLst>
            <a:ext uri="{FF2B5EF4-FFF2-40B4-BE49-F238E27FC236}">
              <a16:creationId xmlns:a16="http://schemas.microsoft.com/office/drawing/2014/main" id="{7D6352A0-1FB6-4292-AB9C-2F920B7584B5}"/>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754" name="Shape 7">
          <a:extLst>
            <a:ext uri="{FF2B5EF4-FFF2-40B4-BE49-F238E27FC236}">
              <a16:creationId xmlns:a16="http://schemas.microsoft.com/office/drawing/2014/main" id="{BC54F228-2559-47CD-8289-2CB7197EE5CE}"/>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55" name="Shape 8">
          <a:extLst>
            <a:ext uri="{FF2B5EF4-FFF2-40B4-BE49-F238E27FC236}">
              <a16:creationId xmlns:a16="http://schemas.microsoft.com/office/drawing/2014/main" id="{CF4665E2-F6A9-47F3-A955-D8596F453D7E}"/>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56" name="Shape 8">
          <a:extLst>
            <a:ext uri="{FF2B5EF4-FFF2-40B4-BE49-F238E27FC236}">
              <a16:creationId xmlns:a16="http://schemas.microsoft.com/office/drawing/2014/main" id="{3D9519D1-2B83-4FAB-9D4C-DA2C47957FF3}"/>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757" name="Shape 7">
          <a:extLst>
            <a:ext uri="{FF2B5EF4-FFF2-40B4-BE49-F238E27FC236}">
              <a16:creationId xmlns:a16="http://schemas.microsoft.com/office/drawing/2014/main" id="{D7AF9995-1773-4710-8A12-74A036FF1100}"/>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58" name="Shape 8">
          <a:extLst>
            <a:ext uri="{FF2B5EF4-FFF2-40B4-BE49-F238E27FC236}">
              <a16:creationId xmlns:a16="http://schemas.microsoft.com/office/drawing/2014/main" id="{7B5A9B22-0577-4669-82A5-237F40B324E3}"/>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59" name="Shape 8">
          <a:extLst>
            <a:ext uri="{FF2B5EF4-FFF2-40B4-BE49-F238E27FC236}">
              <a16:creationId xmlns:a16="http://schemas.microsoft.com/office/drawing/2014/main" id="{383E7177-0F63-4C21-A0A4-469690E9B9A8}"/>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760" name="Shape 7">
          <a:extLst>
            <a:ext uri="{FF2B5EF4-FFF2-40B4-BE49-F238E27FC236}">
              <a16:creationId xmlns:a16="http://schemas.microsoft.com/office/drawing/2014/main" id="{6546CC12-F9EE-4451-98C5-222B18D11E0E}"/>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61" name="Shape 8">
          <a:extLst>
            <a:ext uri="{FF2B5EF4-FFF2-40B4-BE49-F238E27FC236}">
              <a16:creationId xmlns:a16="http://schemas.microsoft.com/office/drawing/2014/main" id="{C1E06315-D1C1-4BF9-BFF7-4B7416C75A1F}"/>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62" name="Shape 8">
          <a:extLst>
            <a:ext uri="{FF2B5EF4-FFF2-40B4-BE49-F238E27FC236}">
              <a16:creationId xmlns:a16="http://schemas.microsoft.com/office/drawing/2014/main" id="{8F1C53B9-C6E1-4BA8-87FC-A19096A16922}"/>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763" name="Shape 7">
          <a:extLst>
            <a:ext uri="{FF2B5EF4-FFF2-40B4-BE49-F238E27FC236}">
              <a16:creationId xmlns:a16="http://schemas.microsoft.com/office/drawing/2014/main" id="{05C88276-5299-4393-A1B4-0B93324AA5CF}"/>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764" name="Shape 7">
          <a:extLst>
            <a:ext uri="{FF2B5EF4-FFF2-40B4-BE49-F238E27FC236}">
              <a16:creationId xmlns:a16="http://schemas.microsoft.com/office/drawing/2014/main" id="{062AB45A-D117-4A4C-83A1-67FAA14CBB37}"/>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65" name="Shape 8">
          <a:extLst>
            <a:ext uri="{FF2B5EF4-FFF2-40B4-BE49-F238E27FC236}">
              <a16:creationId xmlns:a16="http://schemas.microsoft.com/office/drawing/2014/main" id="{8E99456A-7F4A-40F0-A467-A7FDDEB58575}"/>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66" name="Shape 8">
          <a:extLst>
            <a:ext uri="{FF2B5EF4-FFF2-40B4-BE49-F238E27FC236}">
              <a16:creationId xmlns:a16="http://schemas.microsoft.com/office/drawing/2014/main" id="{1C750162-33C7-4148-9AB9-20F2333E0011}"/>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767" name="Shape 7">
          <a:extLst>
            <a:ext uri="{FF2B5EF4-FFF2-40B4-BE49-F238E27FC236}">
              <a16:creationId xmlns:a16="http://schemas.microsoft.com/office/drawing/2014/main" id="{DE6A7387-4677-4CBE-B1B9-4BE50FFB1604}"/>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768" name="Shape 7">
          <a:extLst>
            <a:ext uri="{FF2B5EF4-FFF2-40B4-BE49-F238E27FC236}">
              <a16:creationId xmlns:a16="http://schemas.microsoft.com/office/drawing/2014/main" id="{2E577DB0-CDF8-4C36-A8E9-6C47EABFF65C}"/>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769" name="Shape 8">
          <a:extLst>
            <a:ext uri="{FF2B5EF4-FFF2-40B4-BE49-F238E27FC236}">
              <a16:creationId xmlns:a16="http://schemas.microsoft.com/office/drawing/2014/main" id="{E0AEE740-96BE-48DF-9002-8E0C40104909}"/>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70" name="Shape 7">
          <a:extLst>
            <a:ext uri="{FF2B5EF4-FFF2-40B4-BE49-F238E27FC236}">
              <a16:creationId xmlns:a16="http://schemas.microsoft.com/office/drawing/2014/main" id="{83E9FEF1-8768-40D5-AB2A-056EC31F4892}"/>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71" name="Shape 8">
          <a:extLst>
            <a:ext uri="{FF2B5EF4-FFF2-40B4-BE49-F238E27FC236}">
              <a16:creationId xmlns:a16="http://schemas.microsoft.com/office/drawing/2014/main" id="{A266571E-5988-4405-BCB0-89733B792F3F}"/>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72" name="Shape 7">
          <a:extLst>
            <a:ext uri="{FF2B5EF4-FFF2-40B4-BE49-F238E27FC236}">
              <a16:creationId xmlns:a16="http://schemas.microsoft.com/office/drawing/2014/main" id="{FE207B17-B13B-4C17-B3DA-8A8BC7A410A0}"/>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73" name="Shape 8">
          <a:extLst>
            <a:ext uri="{FF2B5EF4-FFF2-40B4-BE49-F238E27FC236}">
              <a16:creationId xmlns:a16="http://schemas.microsoft.com/office/drawing/2014/main" id="{B24354A7-9D74-4B30-9D3C-0B61A299C6A2}"/>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74" name="Shape 7">
          <a:extLst>
            <a:ext uri="{FF2B5EF4-FFF2-40B4-BE49-F238E27FC236}">
              <a16:creationId xmlns:a16="http://schemas.microsoft.com/office/drawing/2014/main" id="{3A46C8E9-D2F5-451F-923C-81132291CD82}"/>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75" name="Shape 8">
          <a:extLst>
            <a:ext uri="{FF2B5EF4-FFF2-40B4-BE49-F238E27FC236}">
              <a16:creationId xmlns:a16="http://schemas.microsoft.com/office/drawing/2014/main" id="{89BE6AFD-DBEA-4E7D-958C-69013614B560}"/>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76" name="Shape 8">
          <a:extLst>
            <a:ext uri="{FF2B5EF4-FFF2-40B4-BE49-F238E27FC236}">
              <a16:creationId xmlns:a16="http://schemas.microsoft.com/office/drawing/2014/main" id="{644078A8-98A2-49F5-A92B-896F728F4C0E}"/>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77" name="Shape 7">
          <a:extLst>
            <a:ext uri="{FF2B5EF4-FFF2-40B4-BE49-F238E27FC236}">
              <a16:creationId xmlns:a16="http://schemas.microsoft.com/office/drawing/2014/main" id="{40370114-5523-457E-9B7D-B7026FD57683}"/>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78" name="Shape 8">
          <a:extLst>
            <a:ext uri="{FF2B5EF4-FFF2-40B4-BE49-F238E27FC236}">
              <a16:creationId xmlns:a16="http://schemas.microsoft.com/office/drawing/2014/main" id="{1DFEC2D8-6936-4F0D-B622-10B783D12D8A}"/>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79" name="Shape 8">
          <a:extLst>
            <a:ext uri="{FF2B5EF4-FFF2-40B4-BE49-F238E27FC236}">
              <a16:creationId xmlns:a16="http://schemas.microsoft.com/office/drawing/2014/main" id="{31FB4706-49C9-4510-891D-024D997C949D}"/>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80" name="Shape 7">
          <a:extLst>
            <a:ext uri="{FF2B5EF4-FFF2-40B4-BE49-F238E27FC236}">
              <a16:creationId xmlns:a16="http://schemas.microsoft.com/office/drawing/2014/main" id="{FD1E195C-1B9B-43A0-BADA-DE56C800DD6B}"/>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81" name="Shape 8">
          <a:extLst>
            <a:ext uri="{FF2B5EF4-FFF2-40B4-BE49-F238E27FC236}">
              <a16:creationId xmlns:a16="http://schemas.microsoft.com/office/drawing/2014/main" id="{38420F5B-8A50-4CAB-9897-C7FBF3DB952C}"/>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82" name="Shape 8">
          <a:extLst>
            <a:ext uri="{FF2B5EF4-FFF2-40B4-BE49-F238E27FC236}">
              <a16:creationId xmlns:a16="http://schemas.microsoft.com/office/drawing/2014/main" id="{0F91EF46-623B-4A52-ABFD-CCBD3F649BDC}"/>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83" name="Shape 7">
          <a:extLst>
            <a:ext uri="{FF2B5EF4-FFF2-40B4-BE49-F238E27FC236}">
              <a16:creationId xmlns:a16="http://schemas.microsoft.com/office/drawing/2014/main" id="{3E13BF1E-D1AF-409B-9691-CECBD0370424}"/>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84" name="Shape 8">
          <a:extLst>
            <a:ext uri="{FF2B5EF4-FFF2-40B4-BE49-F238E27FC236}">
              <a16:creationId xmlns:a16="http://schemas.microsoft.com/office/drawing/2014/main" id="{0C6A9989-00C0-4B5C-AA97-D99C0F64A7E5}"/>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85" name="Shape 8">
          <a:extLst>
            <a:ext uri="{FF2B5EF4-FFF2-40B4-BE49-F238E27FC236}">
              <a16:creationId xmlns:a16="http://schemas.microsoft.com/office/drawing/2014/main" id="{48E9BA85-E8FD-43A1-BB58-987D5030EC6F}"/>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86" name="Shape 7">
          <a:extLst>
            <a:ext uri="{FF2B5EF4-FFF2-40B4-BE49-F238E27FC236}">
              <a16:creationId xmlns:a16="http://schemas.microsoft.com/office/drawing/2014/main" id="{025F8D79-E01E-47C4-804A-22F7F53B6E21}"/>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87" name="Shape 8">
          <a:extLst>
            <a:ext uri="{FF2B5EF4-FFF2-40B4-BE49-F238E27FC236}">
              <a16:creationId xmlns:a16="http://schemas.microsoft.com/office/drawing/2014/main" id="{22A0B547-AB70-4B47-8299-ADECF40106BA}"/>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88" name="Shape 8">
          <a:extLst>
            <a:ext uri="{FF2B5EF4-FFF2-40B4-BE49-F238E27FC236}">
              <a16:creationId xmlns:a16="http://schemas.microsoft.com/office/drawing/2014/main" id="{C00AD654-2CB2-4B51-94C0-93E36930C215}"/>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89" name="Shape 7">
          <a:extLst>
            <a:ext uri="{FF2B5EF4-FFF2-40B4-BE49-F238E27FC236}">
              <a16:creationId xmlns:a16="http://schemas.microsoft.com/office/drawing/2014/main" id="{A06AE544-5B55-447F-9C55-C1A4DB60F75D}"/>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90" name="Shape 7">
          <a:extLst>
            <a:ext uri="{FF2B5EF4-FFF2-40B4-BE49-F238E27FC236}">
              <a16:creationId xmlns:a16="http://schemas.microsoft.com/office/drawing/2014/main" id="{03E41083-E9EF-4C1A-BDC0-1BA6E0258F6B}"/>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91" name="Shape 8">
          <a:extLst>
            <a:ext uri="{FF2B5EF4-FFF2-40B4-BE49-F238E27FC236}">
              <a16:creationId xmlns:a16="http://schemas.microsoft.com/office/drawing/2014/main" id="{05C9F2E8-D6C9-4306-9A2D-45CC2F456486}"/>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792" name="Shape 8">
          <a:extLst>
            <a:ext uri="{FF2B5EF4-FFF2-40B4-BE49-F238E27FC236}">
              <a16:creationId xmlns:a16="http://schemas.microsoft.com/office/drawing/2014/main" id="{29AF9871-40B5-4386-96D3-17E39A887976}"/>
            </a:ext>
          </a:extLst>
        </xdr:cNvPr>
        <xdr:cNvSpPr>
          <a:spLocks noChangeArrowheads="1"/>
        </xdr:cNvSpPr>
      </xdr:nvSpPr>
      <xdr:spPr bwMode="auto">
        <a:xfrm>
          <a:off x="11944350" y="505777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93" name="Shape 7">
          <a:extLst>
            <a:ext uri="{FF2B5EF4-FFF2-40B4-BE49-F238E27FC236}">
              <a16:creationId xmlns:a16="http://schemas.microsoft.com/office/drawing/2014/main" id="{B31D380A-8C7E-47B9-8C04-7DCB36753135}"/>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794" name="Shape 7">
          <a:extLst>
            <a:ext uri="{FF2B5EF4-FFF2-40B4-BE49-F238E27FC236}">
              <a16:creationId xmlns:a16="http://schemas.microsoft.com/office/drawing/2014/main" id="{F6E2ADA8-D996-46A6-BB4E-26EE5675C006}"/>
            </a:ext>
          </a:extLst>
        </xdr:cNvPr>
        <xdr:cNvSpPr>
          <a:spLocks noChangeArrowheads="1"/>
        </xdr:cNvSpPr>
      </xdr:nvSpPr>
      <xdr:spPr bwMode="auto">
        <a:xfrm>
          <a:off x="11210925"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95" name="Shape 7">
          <a:extLst>
            <a:ext uri="{FF2B5EF4-FFF2-40B4-BE49-F238E27FC236}">
              <a16:creationId xmlns:a16="http://schemas.microsoft.com/office/drawing/2014/main" id="{889FEDD4-8C70-4D93-B5E0-9E1FB83E9455}"/>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96" name="Shape 7">
          <a:extLst>
            <a:ext uri="{FF2B5EF4-FFF2-40B4-BE49-F238E27FC236}">
              <a16:creationId xmlns:a16="http://schemas.microsoft.com/office/drawing/2014/main" id="{18A6E7FC-642B-4144-ACB9-A0FB184088D2}"/>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97" name="Shape 7">
          <a:extLst>
            <a:ext uri="{FF2B5EF4-FFF2-40B4-BE49-F238E27FC236}">
              <a16:creationId xmlns:a16="http://schemas.microsoft.com/office/drawing/2014/main" id="{52CEEB18-5649-49C4-A0F6-FE64624161CB}"/>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98" name="Shape 7">
          <a:extLst>
            <a:ext uri="{FF2B5EF4-FFF2-40B4-BE49-F238E27FC236}">
              <a16:creationId xmlns:a16="http://schemas.microsoft.com/office/drawing/2014/main" id="{A3A91079-AA99-44C4-BE2D-FB8A8D8E2F89}"/>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799" name="Shape 7">
          <a:extLst>
            <a:ext uri="{FF2B5EF4-FFF2-40B4-BE49-F238E27FC236}">
              <a16:creationId xmlns:a16="http://schemas.microsoft.com/office/drawing/2014/main" id="{FEDF6110-90F2-4B2B-B116-1303096D370F}"/>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00" name="Shape 7">
          <a:extLst>
            <a:ext uri="{FF2B5EF4-FFF2-40B4-BE49-F238E27FC236}">
              <a16:creationId xmlns:a16="http://schemas.microsoft.com/office/drawing/2014/main" id="{E595824A-0A69-4882-8CCF-D0B0AA525FBF}"/>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01" name="Shape 7">
          <a:extLst>
            <a:ext uri="{FF2B5EF4-FFF2-40B4-BE49-F238E27FC236}">
              <a16:creationId xmlns:a16="http://schemas.microsoft.com/office/drawing/2014/main" id="{766F16C9-A278-4428-BA40-AD3D1F86C0EA}"/>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02" name="Shape 7">
          <a:extLst>
            <a:ext uri="{FF2B5EF4-FFF2-40B4-BE49-F238E27FC236}">
              <a16:creationId xmlns:a16="http://schemas.microsoft.com/office/drawing/2014/main" id="{422DC0E8-9D0E-4EFD-A53A-15D682E9C84C}"/>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03" name="Shape 7">
          <a:extLst>
            <a:ext uri="{FF2B5EF4-FFF2-40B4-BE49-F238E27FC236}">
              <a16:creationId xmlns:a16="http://schemas.microsoft.com/office/drawing/2014/main" id="{0F7A9134-FBD9-4351-9AC9-27D8E36A1751}"/>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04" name="Shape 7">
          <a:extLst>
            <a:ext uri="{FF2B5EF4-FFF2-40B4-BE49-F238E27FC236}">
              <a16:creationId xmlns:a16="http://schemas.microsoft.com/office/drawing/2014/main" id="{DD29FBDB-8899-4A23-BBBE-7B5E8F896E58}"/>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05" name="Shape 7">
          <a:extLst>
            <a:ext uri="{FF2B5EF4-FFF2-40B4-BE49-F238E27FC236}">
              <a16:creationId xmlns:a16="http://schemas.microsoft.com/office/drawing/2014/main" id="{3A481AA6-709E-4853-9A29-54F6763F4C5F}"/>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06" name="Shape 7">
          <a:extLst>
            <a:ext uri="{FF2B5EF4-FFF2-40B4-BE49-F238E27FC236}">
              <a16:creationId xmlns:a16="http://schemas.microsoft.com/office/drawing/2014/main" id="{D820EAF1-B6BC-469F-9CD3-DE5F81BADE8E}"/>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07" name="Shape 7">
          <a:extLst>
            <a:ext uri="{FF2B5EF4-FFF2-40B4-BE49-F238E27FC236}">
              <a16:creationId xmlns:a16="http://schemas.microsoft.com/office/drawing/2014/main" id="{87703023-6385-4091-9848-8DDED5326119}"/>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08" name="Shape 7">
          <a:extLst>
            <a:ext uri="{FF2B5EF4-FFF2-40B4-BE49-F238E27FC236}">
              <a16:creationId xmlns:a16="http://schemas.microsoft.com/office/drawing/2014/main" id="{04488EF9-B5C4-405E-9DA0-AAFBC14030AB}"/>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09" name="Shape 7">
          <a:extLst>
            <a:ext uri="{FF2B5EF4-FFF2-40B4-BE49-F238E27FC236}">
              <a16:creationId xmlns:a16="http://schemas.microsoft.com/office/drawing/2014/main" id="{6B58679C-3734-42EF-B404-810E4BA6DAFC}"/>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10" name="Shape 7">
          <a:extLst>
            <a:ext uri="{FF2B5EF4-FFF2-40B4-BE49-F238E27FC236}">
              <a16:creationId xmlns:a16="http://schemas.microsoft.com/office/drawing/2014/main" id="{D9C420C0-A7BD-431F-AC32-4B68BBA4228B}"/>
            </a:ext>
          </a:extLst>
        </xdr:cNvPr>
        <xdr:cNvSpPr>
          <a:spLocks noChangeArrowheads="1"/>
        </xdr:cNvSpPr>
      </xdr:nvSpPr>
      <xdr:spPr bwMode="auto">
        <a:xfrm>
          <a:off x="12534900" y="505777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11" name="Shape 7">
          <a:extLst>
            <a:ext uri="{FF2B5EF4-FFF2-40B4-BE49-F238E27FC236}">
              <a16:creationId xmlns:a16="http://schemas.microsoft.com/office/drawing/2014/main" id="{66AFAA96-4371-4B61-8A33-757C370C55AB}"/>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12" name="Shape 8">
          <a:extLst>
            <a:ext uri="{FF2B5EF4-FFF2-40B4-BE49-F238E27FC236}">
              <a16:creationId xmlns:a16="http://schemas.microsoft.com/office/drawing/2014/main" id="{A08A1964-5183-4766-90E7-DFDCDC83857B}"/>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13" name="Shape 7">
          <a:extLst>
            <a:ext uri="{FF2B5EF4-FFF2-40B4-BE49-F238E27FC236}">
              <a16:creationId xmlns:a16="http://schemas.microsoft.com/office/drawing/2014/main" id="{98502B44-62CE-43D8-86DB-BF5135332132}"/>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14" name="Shape 8">
          <a:extLst>
            <a:ext uri="{FF2B5EF4-FFF2-40B4-BE49-F238E27FC236}">
              <a16:creationId xmlns:a16="http://schemas.microsoft.com/office/drawing/2014/main" id="{60389FC9-F9A5-4115-91D2-044DB218AA80}"/>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15" name="Shape 7">
          <a:extLst>
            <a:ext uri="{FF2B5EF4-FFF2-40B4-BE49-F238E27FC236}">
              <a16:creationId xmlns:a16="http://schemas.microsoft.com/office/drawing/2014/main" id="{0AF3A293-4A47-4F97-A372-CA4167013CDB}"/>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16" name="Shape 8">
          <a:extLst>
            <a:ext uri="{FF2B5EF4-FFF2-40B4-BE49-F238E27FC236}">
              <a16:creationId xmlns:a16="http://schemas.microsoft.com/office/drawing/2014/main" id="{E041FD26-386C-4576-91E9-33B696545AE5}"/>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17" name="Shape 8">
          <a:extLst>
            <a:ext uri="{FF2B5EF4-FFF2-40B4-BE49-F238E27FC236}">
              <a16:creationId xmlns:a16="http://schemas.microsoft.com/office/drawing/2014/main" id="{8643D02A-0EA2-4C47-BFB6-581DA4C7302A}"/>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18" name="Shape 7">
          <a:extLst>
            <a:ext uri="{FF2B5EF4-FFF2-40B4-BE49-F238E27FC236}">
              <a16:creationId xmlns:a16="http://schemas.microsoft.com/office/drawing/2014/main" id="{2C5EA654-19B3-4117-B2D5-2F96FB6855C9}"/>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19" name="Shape 8">
          <a:extLst>
            <a:ext uri="{FF2B5EF4-FFF2-40B4-BE49-F238E27FC236}">
              <a16:creationId xmlns:a16="http://schemas.microsoft.com/office/drawing/2014/main" id="{BF536BE1-B615-4298-8E84-22FF41FEC9C6}"/>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20" name="Shape 8">
          <a:extLst>
            <a:ext uri="{FF2B5EF4-FFF2-40B4-BE49-F238E27FC236}">
              <a16:creationId xmlns:a16="http://schemas.microsoft.com/office/drawing/2014/main" id="{A4021A89-96A3-43C9-B62B-26F074DE43C8}"/>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21" name="Shape 7">
          <a:extLst>
            <a:ext uri="{FF2B5EF4-FFF2-40B4-BE49-F238E27FC236}">
              <a16:creationId xmlns:a16="http://schemas.microsoft.com/office/drawing/2014/main" id="{63079F77-B860-422E-A262-6162B1E8DC33}"/>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22" name="Shape 8">
          <a:extLst>
            <a:ext uri="{FF2B5EF4-FFF2-40B4-BE49-F238E27FC236}">
              <a16:creationId xmlns:a16="http://schemas.microsoft.com/office/drawing/2014/main" id="{11D67FA7-1E88-40C4-AD49-51785CDB3B17}"/>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23" name="Shape 8">
          <a:extLst>
            <a:ext uri="{FF2B5EF4-FFF2-40B4-BE49-F238E27FC236}">
              <a16:creationId xmlns:a16="http://schemas.microsoft.com/office/drawing/2014/main" id="{644D7102-4652-486D-8B7F-0E7EA0DA169A}"/>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24" name="Shape 7">
          <a:extLst>
            <a:ext uri="{FF2B5EF4-FFF2-40B4-BE49-F238E27FC236}">
              <a16:creationId xmlns:a16="http://schemas.microsoft.com/office/drawing/2014/main" id="{A4379000-2570-4F30-9D99-0A55EC118601}"/>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25" name="Shape 8">
          <a:extLst>
            <a:ext uri="{FF2B5EF4-FFF2-40B4-BE49-F238E27FC236}">
              <a16:creationId xmlns:a16="http://schemas.microsoft.com/office/drawing/2014/main" id="{6020D441-B08A-432E-B89E-311E2120D95D}"/>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26" name="Shape 8">
          <a:extLst>
            <a:ext uri="{FF2B5EF4-FFF2-40B4-BE49-F238E27FC236}">
              <a16:creationId xmlns:a16="http://schemas.microsoft.com/office/drawing/2014/main" id="{7A28834A-A63F-48FA-A50A-0F13F861DFAF}"/>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27" name="Shape 7">
          <a:extLst>
            <a:ext uri="{FF2B5EF4-FFF2-40B4-BE49-F238E27FC236}">
              <a16:creationId xmlns:a16="http://schemas.microsoft.com/office/drawing/2014/main" id="{DF3BD3B3-1538-416A-A4D1-061A786CC2DD}"/>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28" name="Shape 8">
          <a:extLst>
            <a:ext uri="{FF2B5EF4-FFF2-40B4-BE49-F238E27FC236}">
              <a16:creationId xmlns:a16="http://schemas.microsoft.com/office/drawing/2014/main" id="{F81B2824-D6BE-4E5C-9393-3CBBC485FA32}"/>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29" name="Shape 8">
          <a:extLst>
            <a:ext uri="{FF2B5EF4-FFF2-40B4-BE49-F238E27FC236}">
              <a16:creationId xmlns:a16="http://schemas.microsoft.com/office/drawing/2014/main" id="{FD820D1B-5B47-4B41-9E04-A1AE3A60BF19}"/>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30" name="Shape 7">
          <a:extLst>
            <a:ext uri="{FF2B5EF4-FFF2-40B4-BE49-F238E27FC236}">
              <a16:creationId xmlns:a16="http://schemas.microsoft.com/office/drawing/2014/main" id="{91CCD8E3-14FD-498E-9E1B-9F0FE1319BB8}"/>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31" name="Shape 7">
          <a:extLst>
            <a:ext uri="{FF2B5EF4-FFF2-40B4-BE49-F238E27FC236}">
              <a16:creationId xmlns:a16="http://schemas.microsoft.com/office/drawing/2014/main" id="{5B0B3CFD-12F3-4263-AACC-87E0820EFE6D}"/>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32" name="Shape 8">
          <a:extLst>
            <a:ext uri="{FF2B5EF4-FFF2-40B4-BE49-F238E27FC236}">
              <a16:creationId xmlns:a16="http://schemas.microsoft.com/office/drawing/2014/main" id="{218195E2-DC3F-4C47-A60F-480FB86AD48E}"/>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33" name="Shape 8">
          <a:extLst>
            <a:ext uri="{FF2B5EF4-FFF2-40B4-BE49-F238E27FC236}">
              <a16:creationId xmlns:a16="http://schemas.microsoft.com/office/drawing/2014/main" id="{1D68B65D-A13E-4272-ADB1-284F01831C16}"/>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34" name="Shape 7">
          <a:extLst>
            <a:ext uri="{FF2B5EF4-FFF2-40B4-BE49-F238E27FC236}">
              <a16:creationId xmlns:a16="http://schemas.microsoft.com/office/drawing/2014/main" id="{1F126D24-6809-4441-90CF-AD7CAF5A0194}"/>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35" name="Shape 7">
          <a:extLst>
            <a:ext uri="{FF2B5EF4-FFF2-40B4-BE49-F238E27FC236}">
              <a16:creationId xmlns:a16="http://schemas.microsoft.com/office/drawing/2014/main" id="{7DFFC026-868F-4175-BD86-764B6556CED5}"/>
            </a:ext>
          </a:extLst>
        </xdr:cNvPr>
        <xdr:cNvSpPr>
          <a:spLocks noChangeArrowheads="1"/>
        </xdr:cNvSpPr>
      </xdr:nvSpPr>
      <xdr:spPr bwMode="auto">
        <a:xfrm>
          <a:off x="11210925" y="521970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36" name="Shape 8">
          <a:extLst>
            <a:ext uri="{FF2B5EF4-FFF2-40B4-BE49-F238E27FC236}">
              <a16:creationId xmlns:a16="http://schemas.microsoft.com/office/drawing/2014/main" id="{BB76856A-53FB-47C8-B9B8-2825CE613C85}"/>
            </a:ext>
          </a:extLst>
        </xdr:cNvPr>
        <xdr:cNvSpPr>
          <a:spLocks noChangeArrowheads="1"/>
        </xdr:cNvSpPr>
      </xdr:nvSpPr>
      <xdr:spPr bwMode="auto">
        <a:xfrm>
          <a:off x="11944350" y="521970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837" name="Shape 7">
          <a:extLst>
            <a:ext uri="{FF2B5EF4-FFF2-40B4-BE49-F238E27FC236}">
              <a16:creationId xmlns:a16="http://schemas.microsoft.com/office/drawing/2014/main" id="{7F05092E-4C5B-47E0-8EEE-0B4B42273F77}"/>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38" name="Shape 8">
          <a:extLst>
            <a:ext uri="{FF2B5EF4-FFF2-40B4-BE49-F238E27FC236}">
              <a16:creationId xmlns:a16="http://schemas.microsoft.com/office/drawing/2014/main" id="{EA357DD2-7051-4551-94FA-DCAB1528737E}"/>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839" name="Shape 7">
          <a:extLst>
            <a:ext uri="{FF2B5EF4-FFF2-40B4-BE49-F238E27FC236}">
              <a16:creationId xmlns:a16="http://schemas.microsoft.com/office/drawing/2014/main" id="{11A4AB03-DF79-4AA1-AF98-C4B6FBE5FC45}"/>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40" name="Shape 8">
          <a:extLst>
            <a:ext uri="{FF2B5EF4-FFF2-40B4-BE49-F238E27FC236}">
              <a16:creationId xmlns:a16="http://schemas.microsoft.com/office/drawing/2014/main" id="{0C51F1D8-4780-4F1C-8FBC-FE3B6F0E2BCB}"/>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841" name="Shape 7">
          <a:extLst>
            <a:ext uri="{FF2B5EF4-FFF2-40B4-BE49-F238E27FC236}">
              <a16:creationId xmlns:a16="http://schemas.microsoft.com/office/drawing/2014/main" id="{6EA6E30C-11CC-42D4-B1C4-003535B6105E}"/>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42" name="Shape 8">
          <a:extLst>
            <a:ext uri="{FF2B5EF4-FFF2-40B4-BE49-F238E27FC236}">
              <a16:creationId xmlns:a16="http://schemas.microsoft.com/office/drawing/2014/main" id="{EF3D5A0F-158B-4C71-9A14-474B1CEBDF02}"/>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43" name="Shape 8">
          <a:extLst>
            <a:ext uri="{FF2B5EF4-FFF2-40B4-BE49-F238E27FC236}">
              <a16:creationId xmlns:a16="http://schemas.microsoft.com/office/drawing/2014/main" id="{1EA0F9CA-B911-4780-8284-44BD1687EBFB}"/>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844" name="Shape 7">
          <a:extLst>
            <a:ext uri="{FF2B5EF4-FFF2-40B4-BE49-F238E27FC236}">
              <a16:creationId xmlns:a16="http://schemas.microsoft.com/office/drawing/2014/main" id="{D1958883-E261-40CD-ACC0-43269D70CDF8}"/>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45" name="Shape 8">
          <a:extLst>
            <a:ext uri="{FF2B5EF4-FFF2-40B4-BE49-F238E27FC236}">
              <a16:creationId xmlns:a16="http://schemas.microsoft.com/office/drawing/2014/main" id="{3CFC8BB6-CF78-4E2F-952E-7C008B55B16D}"/>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46" name="Shape 8">
          <a:extLst>
            <a:ext uri="{FF2B5EF4-FFF2-40B4-BE49-F238E27FC236}">
              <a16:creationId xmlns:a16="http://schemas.microsoft.com/office/drawing/2014/main" id="{A49DF5F9-E5D1-4825-B76B-F1CCE43D08A6}"/>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847" name="Shape 7">
          <a:extLst>
            <a:ext uri="{FF2B5EF4-FFF2-40B4-BE49-F238E27FC236}">
              <a16:creationId xmlns:a16="http://schemas.microsoft.com/office/drawing/2014/main" id="{51E06E4E-83C1-4491-B8F5-A4894C43D10F}"/>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48" name="Shape 8">
          <a:extLst>
            <a:ext uri="{FF2B5EF4-FFF2-40B4-BE49-F238E27FC236}">
              <a16:creationId xmlns:a16="http://schemas.microsoft.com/office/drawing/2014/main" id="{FB29AD56-3891-406C-AF68-097D2DC3E559}"/>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49" name="Shape 8">
          <a:extLst>
            <a:ext uri="{FF2B5EF4-FFF2-40B4-BE49-F238E27FC236}">
              <a16:creationId xmlns:a16="http://schemas.microsoft.com/office/drawing/2014/main" id="{300C5310-FA78-43FB-821B-20A3C67FAD73}"/>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850" name="Shape 7">
          <a:extLst>
            <a:ext uri="{FF2B5EF4-FFF2-40B4-BE49-F238E27FC236}">
              <a16:creationId xmlns:a16="http://schemas.microsoft.com/office/drawing/2014/main" id="{AD0330C3-D7DB-4D82-AF18-0D703F9AA06A}"/>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51" name="Shape 8">
          <a:extLst>
            <a:ext uri="{FF2B5EF4-FFF2-40B4-BE49-F238E27FC236}">
              <a16:creationId xmlns:a16="http://schemas.microsoft.com/office/drawing/2014/main" id="{D690375A-926F-4907-84B0-0FAA846195F7}"/>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52" name="Shape 8">
          <a:extLst>
            <a:ext uri="{FF2B5EF4-FFF2-40B4-BE49-F238E27FC236}">
              <a16:creationId xmlns:a16="http://schemas.microsoft.com/office/drawing/2014/main" id="{D5E280DF-554D-40F0-98FA-069A93A29CF2}"/>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853" name="Shape 7">
          <a:extLst>
            <a:ext uri="{FF2B5EF4-FFF2-40B4-BE49-F238E27FC236}">
              <a16:creationId xmlns:a16="http://schemas.microsoft.com/office/drawing/2014/main" id="{63E21E40-7298-4BEE-BEBA-4819E7E85C79}"/>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54" name="Shape 8">
          <a:extLst>
            <a:ext uri="{FF2B5EF4-FFF2-40B4-BE49-F238E27FC236}">
              <a16:creationId xmlns:a16="http://schemas.microsoft.com/office/drawing/2014/main" id="{AF7E9B27-C946-43E2-9CFF-138B3078FE9F}"/>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55" name="Shape 8">
          <a:extLst>
            <a:ext uri="{FF2B5EF4-FFF2-40B4-BE49-F238E27FC236}">
              <a16:creationId xmlns:a16="http://schemas.microsoft.com/office/drawing/2014/main" id="{D1AC7A1C-7C54-4C97-AE46-110440E52EC9}"/>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856" name="Shape 7">
          <a:extLst>
            <a:ext uri="{FF2B5EF4-FFF2-40B4-BE49-F238E27FC236}">
              <a16:creationId xmlns:a16="http://schemas.microsoft.com/office/drawing/2014/main" id="{607063EC-42AF-4B62-9475-AC68C9B64487}"/>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857" name="Shape 7">
          <a:extLst>
            <a:ext uri="{FF2B5EF4-FFF2-40B4-BE49-F238E27FC236}">
              <a16:creationId xmlns:a16="http://schemas.microsoft.com/office/drawing/2014/main" id="{8C90A65A-9EEF-499E-BA3C-11543B5A41BF}"/>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58" name="Shape 8">
          <a:extLst>
            <a:ext uri="{FF2B5EF4-FFF2-40B4-BE49-F238E27FC236}">
              <a16:creationId xmlns:a16="http://schemas.microsoft.com/office/drawing/2014/main" id="{F6FC0B27-BA8F-4AE2-A39C-5DB897E192EB}"/>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59" name="Shape 8">
          <a:extLst>
            <a:ext uri="{FF2B5EF4-FFF2-40B4-BE49-F238E27FC236}">
              <a16:creationId xmlns:a16="http://schemas.microsoft.com/office/drawing/2014/main" id="{7266E813-03F0-4FCE-B032-0B8D57D73A28}"/>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860" name="Shape 7">
          <a:extLst>
            <a:ext uri="{FF2B5EF4-FFF2-40B4-BE49-F238E27FC236}">
              <a16:creationId xmlns:a16="http://schemas.microsoft.com/office/drawing/2014/main" id="{98CF4C3F-DFE9-499A-9F40-693F5366B9D1}"/>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15</xdr:row>
      <xdr:rowOff>0</xdr:rowOff>
    </xdr:from>
    <xdr:to>
      <xdr:col>14</xdr:col>
      <xdr:colOff>38100</xdr:colOff>
      <xdr:row>15</xdr:row>
      <xdr:rowOff>38100</xdr:rowOff>
    </xdr:to>
    <xdr:sp macro="" textlink="">
      <xdr:nvSpPr>
        <xdr:cNvPr id="3861" name="Shape 7">
          <a:extLst>
            <a:ext uri="{FF2B5EF4-FFF2-40B4-BE49-F238E27FC236}">
              <a16:creationId xmlns:a16="http://schemas.microsoft.com/office/drawing/2014/main" id="{467C7669-6560-4A12-BA4B-A62993031033}"/>
            </a:ext>
          </a:extLst>
        </xdr:cNvPr>
        <xdr:cNvSpPr>
          <a:spLocks noChangeArrowheads="1"/>
        </xdr:cNvSpPr>
      </xdr:nvSpPr>
      <xdr:spPr bwMode="auto">
        <a:xfrm>
          <a:off x="11210925"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62" name="Shape 8">
          <a:extLst>
            <a:ext uri="{FF2B5EF4-FFF2-40B4-BE49-F238E27FC236}">
              <a16:creationId xmlns:a16="http://schemas.microsoft.com/office/drawing/2014/main" id="{ACFDA1BB-4AD7-4E76-871E-9A1525E1E8B2}"/>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15</xdr:row>
      <xdr:rowOff>0</xdr:rowOff>
    </xdr:from>
    <xdr:to>
      <xdr:col>15</xdr:col>
      <xdr:colOff>114300</xdr:colOff>
      <xdr:row>15</xdr:row>
      <xdr:rowOff>38100</xdr:rowOff>
    </xdr:to>
    <xdr:sp macro="" textlink="">
      <xdr:nvSpPr>
        <xdr:cNvPr id="3863" name="Shape 8">
          <a:extLst>
            <a:ext uri="{FF2B5EF4-FFF2-40B4-BE49-F238E27FC236}">
              <a16:creationId xmlns:a16="http://schemas.microsoft.com/office/drawing/2014/main" id="{465D01F0-0352-458C-8240-D378DA874A8B}"/>
            </a:ext>
          </a:extLst>
        </xdr:cNvPr>
        <xdr:cNvSpPr>
          <a:spLocks noChangeArrowheads="1"/>
        </xdr:cNvSpPr>
      </xdr:nvSpPr>
      <xdr:spPr bwMode="auto">
        <a:xfrm>
          <a:off x="11944350" y="48958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64" name="Shape 7">
          <a:extLst>
            <a:ext uri="{FF2B5EF4-FFF2-40B4-BE49-F238E27FC236}">
              <a16:creationId xmlns:a16="http://schemas.microsoft.com/office/drawing/2014/main" id="{5A8ABF9F-AD63-4126-9614-825559F0BAF7}"/>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65" name="Shape 7">
          <a:extLst>
            <a:ext uri="{FF2B5EF4-FFF2-40B4-BE49-F238E27FC236}">
              <a16:creationId xmlns:a16="http://schemas.microsoft.com/office/drawing/2014/main" id="{2763DF15-0E70-43ED-B2F9-24D907E6F154}"/>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66" name="Shape 7">
          <a:extLst>
            <a:ext uri="{FF2B5EF4-FFF2-40B4-BE49-F238E27FC236}">
              <a16:creationId xmlns:a16="http://schemas.microsoft.com/office/drawing/2014/main" id="{D8314465-7F63-44C7-A73A-8BE62934A494}"/>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67" name="Shape 7">
          <a:extLst>
            <a:ext uri="{FF2B5EF4-FFF2-40B4-BE49-F238E27FC236}">
              <a16:creationId xmlns:a16="http://schemas.microsoft.com/office/drawing/2014/main" id="{DAEBD6AA-0FB9-499F-8282-5D95B75F7E80}"/>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68" name="Shape 7">
          <a:extLst>
            <a:ext uri="{FF2B5EF4-FFF2-40B4-BE49-F238E27FC236}">
              <a16:creationId xmlns:a16="http://schemas.microsoft.com/office/drawing/2014/main" id="{546F6571-4AF4-432E-8909-392734284E69}"/>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69" name="Shape 7">
          <a:extLst>
            <a:ext uri="{FF2B5EF4-FFF2-40B4-BE49-F238E27FC236}">
              <a16:creationId xmlns:a16="http://schemas.microsoft.com/office/drawing/2014/main" id="{9522EAF2-8F65-4FE5-AA79-856E28FBC6DE}"/>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70" name="Shape 7">
          <a:extLst>
            <a:ext uri="{FF2B5EF4-FFF2-40B4-BE49-F238E27FC236}">
              <a16:creationId xmlns:a16="http://schemas.microsoft.com/office/drawing/2014/main" id="{83101E7D-0500-4F33-BB37-06A7A3DB7380}"/>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71" name="Shape 7">
          <a:extLst>
            <a:ext uri="{FF2B5EF4-FFF2-40B4-BE49-F238E27FC236}">
              <a16:creationId xmlns:a16="http://schemas.microsoft.com/office/drawing/2014/main" id="{12830AE0-6F52-44D7-ABEF-BC26FA168208}"/>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72" name="Shape 7">
          <a:extLst>
            <a:ext uri="{FF2B5EF4-FFF2-40B4-BE49-F238E27FC236}">
              <a16:creationId xmlns:a16="http://schemas.microsoft.com/office/drawing/2014/main" id="{04DF6C5B-3BBE-430A-9B9B-37B45AFD284D}"/>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73" name="Shape 7">
          <a:extLst>
            <a:ext uri="{FF2B5EF4-FFF2-40B4-BE49-F238E27FC236}">
              <a16:creationId xmlns:a16="http://schemas.microsoft.com/office/drawing/2014/main" id="{48D94B17-5629-4049-84C9-E93EA21051B7}"/>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74" name="Shape 7">
          <a:extLst>
            <a:ext uri="{FF2B5EF4-FFF2-40B4-BE49-F238E27FC236}">
              <a16:creationId xmlns:a16="http://schemas.microsoft.com/office/drawing/2014/main" id="{019155F9-9962-4818-8677-1B454004ACBF}"/>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75" name="Shape 7">
          <a:extLst>
            <a:ext uri="{FF2B5EF4-FFF2-40B4-BE49-F238E27FC236}">
              <a16:creationId xmlns:a16="http://schemas.microsoft.com/office/drawing/2014/main" id="{C53ECEDB-E118-459E-A3EB-3116E5237352}"/>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76" name="Shape 7">
          <a:extLst>
            <a:ext uri="{FF2B5EF4-FFF2-40B4-BE49-F238E27FC236}">
              <a16:creationId xmlns:a16="http://schemas.microsoft.com/office/drawing/2014/main" id="{89C6CA3F-A58B-46EC-A923-2527B0070C2D}"/>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77" name="Shape 7">
          <a:extLst>
            <a:ext uri="{FF2B5EF4-FFF2-40B4-BE49-F238E27FC236}">
              <a16:creationId xmlns:a16="http://schemas.microsoft.com/office/drawing/2014/main" id="{D892C8DE-FE0D-480D-8558-7597355A035F}"/>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78" name="Shape 7">
          <a:extLst>
            <a:ext uri="{FF2B5EF4-FFF2-40B4-BE49-F238E27FC236}">
              <a16:creationId xmlns:a16="http://schemas.microsoft.com/office/drawing/2014/main" id="{73E91480-14AF-4B3C-ACA0-F7AE559B44E9}"/>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15</xdr:col>
      <xdr:colOff>0</xdr:colOff>
      <xdr:row>15</xdr:row>
      <xdr:rowOff>0</xdr:rowOff>
    </xdr:from>
    <xdr:to>
      <xdr:col>15</xdr:col>
      <xdr:colOff>38100</xdr:colOff>
      <xdr:row>15</xdr:row>
      <xdr:rowOff>38100</xdr:rowOff>
    </xdr:to>
    <xdr:sp macro="" textlink="">
      <xdr:nvSpPr>
        <xdr:cNvPr id="3879" name="Shape 7">
          <a:extLst>
            <a:ext uri="{FF2B5EF4-FFF2-40B4-BE49-F238E27FC236}">
              <a16:creationId xmlns:a16="http://schemas.microsoft.com/office/drawing/2014/main" id="{78D06209-802E-4FF9-8593-CCD7916CF2E9}"/>
            </a:ext>
          </a:extLst>
        </xdr:cNvPr>
        <xdr:cNvSpPr>
          <a:spLocks noChangeArrowheads="1"/>
        </xdr:cNvSpPr>
      </xdr:nvSpPr>
      <xdr:spPr bwMode="auto">
        <a:xfrm>
          <a:off x="12534900" y="48958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80" name="Shape 7">
          <a:extLst>
            <a:ext uri="{FF2B5EF4-FFF2-40B4-BE49-F238E27FC236}">
              <a16:creationId xmlns:a16="http://schemas.microsoft.com/office/drawing/2014/main" id="{BEEEAF7F-06CF-45B9-AAA4-8FCBD28BE9CE}"/>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81" name="Shape 8">
          <a:extLst>
            <a:ext uri="{FF2B5EF4-FFF2-40B4-BE49-F238E27FC236}">
              <a16:creationId xmlns:a16="http://schemas.microsoft.com/office/drawing/2014/main" id="{67E27C2D-0EE0-4BDA-8EBB-634014C7F99B}"/>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82" name="Shape 7">
          <a:extLst>
            <a:ext uri="{FF2B5EF4-FFF2-40B4-BE49-F238E27FC236}">
              <a16:creationId xmlns:a16="http://schemas.microsoft.com/office/drawing/2014/main" id="{BCF8910E-2385-454F-9574-09C20F6F9B25}"/>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83" name="Shape 8">
          <a:extLst>
            <a:ext uri="{FF2B5EF4-FFF2-40B4-BE49-F238E27FC236}">
              <a16:creationId xmlns:a16="http://schemas.microsoft.com/office/drawing/2014/main" id="{E2901921-5F6B-4475-A7DC-D4BD2ED28DA8}"/>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84" name="Shape 7">
          <a:extLst>
            <a:ext uri="{FF2B5EF4-FFF2-40B4-BE49-F238E27FC236}">
              <a16:creationId xmlns:a16="http://schemas.microsoft.com/office/drawing/2014/main" id="{FB8BBEF8-DE1E-4B58-8664-7771A13EA089}"/>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85" name="Shape 8">
          <a:extLst>
            <a:ext uri="{FF2B5EF4-FFF2-40B4-BE49-F238E27FC236}">
              <a16:creationId xmlns:a16="http://schemas.microsoft.com/office/drawing/2014/main" id="{7E67AA7E-F53C-4E06-A642-1BE8E5FEA1A5}"/>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86" name="Shape 8">
          <a:extLst>
            <a:ext uri="{FF2B5EF4-FFF2-40B4-BE49-F238E27FC236}">
              <a16:creationId xmlns:a16="http://schemas.microsoft.com/office/drawing/2014/main" id="{55C64D2D-E678-4DE9-89C7-3CBD86B9A4ED}"/>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87" name="Shape 7">
          <a:extLst>
            <a:ext uri="{FF2B5EF4-FFF2-40B4-BE49-F238E27FC236}">
              <a16:creationId xmlns:a16="http://schemas.microsoft.com/office/drawing/2014/main" id="{7311FC93-B66B-41B3-9989-C2573EF40102}"/>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88" name="Shape 8">
          <a:extLst>
            <a:ext uri="{FF2B5EF4-FFF2-40B4-BE49-F238E27FC236}">
              <a16:creationId xmlns:a16="http://schemas.microsoft.com/office/drawing/2014/main" id="{02BE3A91-3F10-4FC1-965B-342401C95FF6}"/>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89" name="Shape 8">
          <a:extLst>
            <a:ext uri="{FF2B5EF4-FFF2-40B4-BE49-F238E27FC236}">
              <a16:creationId xmlns:a16="http://schemas.microsoft.com/office/drawing/2014/main" id="{F0BC1CDC-C046-4CD3-A50C-F27E105B74B9}"/>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90" name="Shape 7">
          <a:extLst>
            <a:ext uri="{FF2B5EF4-FFF2-40B4-BE49-F238E27FC236}">
              <a16:creationId xmlns:a16="http://schemas.microsoft.com/office/drawing/2014/main" id="{49CF0539-7957-4606-A701-0E500DEA55B9}"/>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91" name="Shape 8">
          <a:extLst>
            <a:ext uri="{FF2B5EF4-FFF2-40B4-BE49-F238E27FC236}">
              <a16:creationId xmlns:a16="http://schemas.microsoft.com/office/drawing/2014/main" id="{509371C9-E2E2-46BA-8A2B-8E340C38632C}"/>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92" name="Shape 8">
          <a:extLst>
            <a:ext uri="{FF2B5EF4-FFF2-40B4-BE49-F238E27FC236}">
              <a16:creationId xmlns:a16="http://schemas.microsoft.com/office/drawing/2014/main" id="{B45F48D1-ED85-4086-B6DC-97A9DC8461D3}"/>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93" name="Shape 7">
          <a:extLst>
            <a:ext uri="{FF2B5EF4-FFF2-40B4-BE49-F238E27FC236}">
              <a16:creationId xmlns:a16="http://schemas.microsoft.com/office/drawing/2014/main" id="{9BF99DB8-92C8-4885-8B62-E4C3E4BD37F6}"/>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94" name="Shape 8">
          <a:extLst>
            <a:ext uri="{FF2B5EF4-FFF2-40B4-BE49-F238E27FC236}">
              <a16:creationId xmlns:a16="http://schemas.microsoft.com/office/drawing/2014/main" id="{ACCC0FB3-FB14-4BA7-B06B-96CC26FBA75D}"/>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95" name="Shape 8">
          <a:extLst>
            <a:ext uri="{FF2B5EF4-FFF2-40B4-BE49-F238E27FC236}">
              <a16:creationId xmlns:a16="http://schemas.microsoft.com/office/drawing/2014/main" id="{D6696F9F-3614-4239-959B-D8EFB7B9D070}"/>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96" name="Shape 7">
          <a:extLst>
            <a:ext uri="{FF2B5EF4-FFF2-40B4-BE49-F238E27FC236}">
              <a16:creationId xmlns:a16="http://schemas.microsoft.com/office/drawing/2014/main" id="{E8BFE85B-EFF2-41FB-831F-69A7DE9566BE}"/>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97" name="Shape 8">
          <a:extLst>
            <a:ext uri="{FF2B5EF4-FFF2-40B4-BE49-F238E27FC236}">
              <a16:creationId xmlns:a16="http://schemas.microsoft.com/office/drawing/2014/main" id="{C2A68FA0-5849-4FE5-9050-E09921E8E239}"/>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898" name="Shape 8">
          <a:extLst>
            <a:ext uri="{FF2B5EF4-FFF2-40B4-BE49-F238E27FC236}">
              <a16:creationId xmlns:a16="http://schemas.microsoft.com/office/drawing/2014/main" id="{610FC62D-C79B-4C0D-8E82-7FE25D781249}"/>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899" name="Shape 7">
          <a:extLst>
            <a:ext uri="{FF2B5EF4-FFF2-40B4-BE49-F238E27FC236}">
              <a16:creationId xmlns:a16="http://schemas.microsoft.com/office/drawing/2014/main" id="{7E53E50A-F1D8-41B9-84BD-65B571FCD3C8}"/>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00" name="Shape 7">
          <a:extLst>
            <a:ext uri="{FF2B5EF4-FFF2-40B4-BE49-F238E27FC236}">
              <a16:creationId xmlns:a16="http://schemas.microsoft.com/office/drawing/2014/main" id="{383B0B67-1C12-4469-8969-A71E064CB06E}"/>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01" name="Shape 8">
          <a:extLst>
            <a:ext uri="{FF2B5EF4-FFF2-40B4-BE49-F238E27FC236}">
              <a16:creationId xmlns:a16="http://schemas.microsoft.com/office/drawing/2014/main" id="{8998BAC5-320C-402D-B776-A1E7EF9561B0}"/>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02" name="Shape 8">
          <a:extLst>
            <a:ext uri="{FF2B5EF4-FFF2-40B4-BE49-F238E27FC236}">
              <a16:creationId xmlns:a16="http://schemas.microsoft.com/office/drawing/2014/main" id="{14EFABF5-D361-442F-952D-F97FCD42A0D4}"/>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03" name="Shape 7">
          <a:extLst>
            <a:ext uri="{FF2B5EF4-FFF2-40B4-BE49-F238E27FC236}">
              <a16:creationId xmlns:a16="http://schemas.microsoft.com/office/drawing/2014/main" id="{E72EE351-EF19-4003-9E31-C2ABBD7F2E38}"/>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04" name="Shape 7">
          <a:extLst>
            <a:ext uri="{FF2B5EF4-FFF2-40B4-BE49-F238E27FC236}">
              <a16:creationId xmlns:a16="http://schemas.microsoft.com/office/drawing/2014/main" id="{CDD0D0CF-FC61-4B94-81EC-BDFA18C01897}"/>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05" name="Shape 8">
          <a:extLst>
            <a:ext uri="{FF2B5EF4-FFF2-40B4-BE49-F238E27FC236}">
              <a16:creationId xmlns:a16="http://schemas.microsoft.com/office/drawing/2014/main" id="{64BBC67E-02E9-4393-8D60-3CFF3A39E04F}"/>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06" name="Shape 7">
          <a:extLst>
            <a:ext uri="{FF2B5EF4-FFF2-40B4-BE49-F238E27FC236}">
              <a16:creationId xmlns:a16="http://schemas.microsoft.com/office/drawing/2014/main" id="{D6B55169-D5F5-4775-A856-92915C14DDD0}"/>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07" name="Shape 8">
          <a:extLst>
            <a:ext uri="{FF2B5EF4-FFF2-40B4-BE49-F238E27FC236}">
              <a16:creationId xmlns:a16="http://schemas.microsoft.com/office/drawing/2014/main" id="{A06A108B-6289-4A1E-8722-B13CB67AB23B}"/>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08" name="Shape 7">
          <a:extLst>
            <a:ext uri="{FF2B5EF4-FFF2-40B4-BE49-F238E27FC236}">
              <a16:creationId xmlns:a16="http://schemas.microsoft.com/office/drawing/2014/main" id="{557B8921-ACB7-43C6-8592-72728946AD54}"/>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09" name="Shape 8">
          <a:extLst>
            <a:ext uri="{FF2B5EF4-FFF2-40B4-BE49-F238E27FC236}">
              <a16:creationId xmlns:a16="http://schemas.microsoft.com/office/drawing/2014/main" id="{11D4F507-E119-40B1-A4B7-5B0EB4A18BDB}"/>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10" name="Shape 7">
          <a:extLst>
            <a:ext uri="{FF2B5EF4-FFF2-40B4-BE49-F238E27FC236}">
              <a16:creationId xmlns:a16="http://schemas.microsoft.com/office/drawing/2014/main" id="{337D0F7D-E51F-41BC-B627-4F8339941859}"/>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11" name="Shape 8">
          <a:extLst>
            <a:ext uri="{FF2B5EF4-FFF2-40B4-BE49-F238E27FC236}">
              <a16:creationId xmlns:a16="http://schemas.microsoft.com/office/drawing/2014/main" id="{71434819-0114-44D6-B226-7573BFCBB4CF}"/>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12" name="Shape 8">
          <a:extLst>
            <a:ext uri="{FF2B5EF4-FFF2-40B4-BE49-F238E27FC236}">
              <a16:creationId xmlns:a16="http://schemas.microsoft.com/office/drawing/2014/main" id="{D190CF36-8CE8-4714-A9E3-0392BDFAAE7E}"/>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13" name="Shape 7">
          <a:extLst>
            <a:ext uri="{FF2B5EF4-FFF2-40B4-BE49-F238E27FC236}">
              <a16:creationId xmlns:a16="http://schemas.microsoft.com/office/drawing/2014/main" id="{F6F63578-B695-496B-88EF-B6869B8EE818}"/>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14" name="Shape 8">
          <a:extLst>
            <a:ext uri="{FF2B5EF4-FFF2-40B4-BE49-F238E27FC236}">
              <a16:creationId xmlns:a16="http://schemas.microsoft.com/office/drawing/2014/main" id="{79A391D4-4B1C-43E2-89BF-8DEC1BAC50A0}"/>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15" name="Shape 8">
          <a:extLst>
            <a:ext uri="{FF2B5EF4-FFF2-40B4-BE49-F238E27FC236}">
              <a16:creationId xmlns:a16="http://schemas.microsoft.com/office/drawing/2014/main" id="{85462D13-5489-4C90-843D-4CD170446A56}"/>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16" name="Shape 7">
          <a:extLst>
            <a:ext uri="{FF2B5EF4-FFF2-40B4-BE49-F238E27FC236}">
              <a16:creationId xmlns:a16="http://schemas.microsoft.com/office/drawing/2014/main" id="{A5FA67EF-A39C-40C7-8842-EC691B675BCC}"/>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17" name="Shape 8">
          <a:extLst>
            <a:ext uri="{FF2B5EF4-FFF2-40B4-BE49-F238E27FC236}">
              <a16:creationId xmlns:a16="http://schemas.microsoft.com/office/drawing/2014/main" id="{983DE368-2516-40A8-81D4-5E31B76E8263}"/>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18" name="Shape 8">
          <a:extLst>
            <a:ext uri="{FF2B5EF4-FFF2-40B4-BE49-F238E27FC236}">
              <a16:creationId xmlns:a16="http://schemas.microsoft.com/office/drawing/2014/main" id="{F4202883-3780-43AD-9F44-9DAF495B16F2}"/>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19" name="Shape 7">
          <a:extLst>
            <a:ext uri="{FF2B5EF4-FFF2-40B4-BE49-F238E27FC236}">
              <a16:creationId xmlns:a16="http://schemas.microsoft.com/office/drawing/2014/main" id="{F1893AAE-F2E4-4F15-9FEF-316C1372B4F6}"/>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20" name="Shape 8">
          <a:extLst>
            <a:ext uri="{FF2B5EF4-FFF2-40B4-BE49-F238E27FC236}">
              <a16:creationId xmlns:a16="http://schemas.microsoft.com/office/drawing/2014/main" id="{1B410B7F-BC6E-4B14-AD35-EBE07EB41C68}"/>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21" name="Shape 8">
          <a:extLst>
            <a:ext uri="{FF2B5EF4-FFF2-40B4-BE49-F238E27FC236}">
              <a16:creationId xmlns:a16="http://schemas.microsoft.com/office/drawing/2014/main" id="{4E0DF5B5-CF1F-4777-B0EB-41578EB9F27A}"/>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22" name="Shape 7">
          <a:extLst>
            <a:ext uri="{FF2B5EF4-FFF2-40B4-BE49-F238E27FC236}">
              <a16:creationId xmlns:a16="http://schemas.microsoft.com/office/drawing/2014/main" id="{83400287-667D-4E3A-9E65-1152FA1BB8A2}"/>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23" name="Shape 8">
          <a:extLst>
            <a:ext uri="{FF2B5EF4-FFF2-40B4-BE49-F238E27FC236}">
              <a16:creationId xmlns:a16="http://schemas.microsoft.com/office/drawing/2014/main" id="{AF2C467D-695B-4F89-A100-7D633A39B3EB}"/>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24" name="Shape 8">
          <a:extLst>
            <a:ext uri="{FF2B5EF4-FFF2-40B4-BE49-F238E27FC236}">
              <a16:creationId xmlns:a16="http://schemas.microsoft.com/office/drawing/2014/main" id="{A61C50FE-AB6F-4BF7-81C9-769D69F3D8DF}"/>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25" name="Shape 7">
          <a:extLst>
            <a:ext uri="{FF2B5EF4-FFF2-40B4-BE49-F238E27FC236}">
              <a16:creationId xmlns:a16="http://schemas.microsoft.com/office/drawing/2014/main" id="{65602BAB-9EB0-481F-B0FC-6CD484DA548E}"/>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26" name="Shape 7">
          <a:extLst>
            <a:ext uri="{FF2B5EF4-FFF2-40B4-BE49-F238E27FC236}">
              <a16:creationId xmlns:a16="http://schemas.microsoft.com/office/drawing/2014/main" id="{F1D57F3B-C27E-43C1-8674-024013187CD7}"/>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27" name="Shape 8">
          <a:extLst>
            <a:ext uri="{FF2B5EF4-FFF2-40B4-BE49-F238E27FC236}">
              <a16:creationId xmlns:a16="http://schemas.microsoft.com/office/drawing/2014/main" id="{9E7EEBAB-AA39-4213-B76A-EBC8A3C612E8}"/>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28" name="Shape 8">
          <a:extLst>
            <a:ext uri="{FF2B5EF4-FFF2-40B4-BE49-F238E27FC236}">
              <a16:creationId xmlns:a16="http://schemas.microsoft.com/office/drawing/2014/main" id="{1B1016D0-6C92-42E4-BE04-5C546CD4A2E4}"/>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29" name="Shape 7">
          <a:extLst>
            <a:ext uri="{FF2B5EF4-FFF2-40B4-BE49-F238E27FC236}">
              <a16:creationId xmlns:a16="http://schemas.microsoft.com/office/drawing/2014/main" id="{37804688-6D1E-4FAF-9EA4-75C154640063}"/>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30" name="Shape 7">
          <a:extLst>
            <a:ext uri="{FF2B5EF4-FFF2-40B4-BE49-F238E27FC236}">
              <a16:creationId xmlns:a16="http://schemas.microsoft.com/office/drawing/2014/main" id="{D100AB28-73C7-48D3-BB1B-E7F95AEAA300}"/>
            </a:ext>
          </a:extLst>
        </xdr:cNvPr>
        <xdr:cNvSpPr>
          <a:spLocks noChangeArrowheads="1"/>
        </xdr:cNvSpPr>
      </xdr:nvSpPr>
      <xdr:spPr bwMode="auto">
        <a:xfrm>
          <a:off x="11210925" y="53816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31" name="Shape 8">
          <a:extLst>
            <a:ext uri="{FF2B5EF4-FFF2-40B4-BE49-F238E27FC236}">
              <a16:creationId xmlns:a16="http://schemas.microsoft.com/office/drawing/2014/main" id="{A455AA5A-CE29-4B01-9465-3C6BF867A998}"/>
            </a:ext>
          </a:extLst>
        </xdr:cNvPr>
        <xdr:cNvSpPr>
          <a:spLocks noChangeArrowheads="1"/>
        </xdr:cNvSpPr>
      </xdr:nvSpPr>
      <xdr:spPr bwMode="auto">
        <a:xfrm>
          <a:off x="11944350" y="53816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32" name="Shape 7">
          <a:extLst>
            <a:ext uri="{FF2B5EF4-FFF2-40B4-BE49-F238E27FC236}">
              <a16:creationId xmlns:a16="http://schemas.microsoft.com/office/drawing/2014/main" id="{EB7D7150-9D73-40F6-904A-32765C364656}"/>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33" name="Shape 8">
          <a:extLst>
            <a:ext uri="{FF2B5EF4-FFF2-40B4-BE49-F238E27FC236}">
              <a16:creationId xmlns:a16="http://schemas.microsoft.com/office/drawing/2014/main" id="{53C473EE-2169-4EC1-B4B9-A1798656DBF7}"/>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34" name="Shape 7">
          <a:extLst>
            <a:ext uri="{FF2B5EF4-FFF2-40B4-BE49-F238E27FC236}">
              <a16:creationId xmlns:a16="http://schemas.microsoft.com/office/drawing/2014/main" id="{FB224A17-1850-4BE6-B304-473D67A33D80}"/>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35" name="Shape 8">
          <a:extLst>
            <a:ext uri="{FF2B5EF4-FFF2-40B4-BE49-F238E27FC236}">
              <a16:creationId xmlns:a16="http://schemas.microsoft.com/office/drawing/2014/main" id="{1922F4AE-B8A7-447D-BDE7-653BC1E6AB39}"/>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36" name="Shape 7">
          <a:extLst>
            <a:ext uri="{FF2B5EF4-FFF2-40B4-BE49-F238E27FC236}">
              <a16:creationId xmlns:a16="http://schemas.microsoft.com/office/drawing/2014/main" id="{5D3509B2-D961-499B-81A4-BA1EDBB5AAF3}"/>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37" name="Shape 8">
          <a:extLst>
            <a:ext uri="{FF2B5EF4-FFF2-40B4-BE49-F238E27FC236}">
              <a16:creationId xmlns:a16="http://schemas.microsoft.com/office/drawing/2014/main" id="{5B24064A-C73C-4BB9-83E9-B89072FA4471}"/>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38" name="Shape 8">
          <a:extLst>
            <a:ext uri="{FF2B5EF4-FFF2-40B4-BE49-F238E27FC236}">
              <a16:creationId xmlns:a16="http://schemas.microsoft.com/office/drawing/2014/main" id="{9F065896-E1C9-464D-B9AA-C17DC2C5B39A}"/>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39" name="Shape 7">
          <a:extLst>
            <a:ext uri="{FF2B5EF4-FFF2-40B4-BE49-F238E27FC236}">
              <a16:creationId xmlns:a16="http://schemas.microsoft.com/office/drawing/2014/main" id="{531F64ED-0BCD-494C-BF94-8356AD2D30A3}"/>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40" name="Shape 8">
          <a:extLst>
            <a:ext uri="{FF2B5EF4-FFF2-40B4-BE49-F238E27FC236}">
              <a16:creationId xmlns:a16="http://schemas.microsoft.com/office/drawing/2014/main" id="{4963C89E-0CB4-43CA-8595-D6CD50841432}"/>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41" name="Shape 8">
          <a:extLst>
            <a:ext uri="{FF2B5EF4-FFF2-40B4-BE49-F238E27FC236}">
              <a16:creationId xmlns:a16="http://schemas.microsoft.com/office/drawing/2014/main" id="{EE2D7B05-9038-467D-8F96-4238868A428B}"/>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42" name="Shape 7">
          <a:extLst>
            <a:ext uri="{FF2B5EF4-FFF2-40B4-BE49-F238E27FC236}">
              <a16:creationId xmlns:a16="http://schemas.microsoft.com/office/drawing/2014/main" id="{D82C56C8-694C-4A4B-A0B0-0871F6736A84}"/>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43" name="Shape 8">
          <a:extLst>
            <a:ext uri="{FF2B5EF4-FFF2-40B4-BE49-F238E27FC236}">
              <a16:creationId xmlns:a16="http://schemas.microsoft.com/office/drawing/2014/main" id="{9359967A-217F-4FD3-B056-21E703F97C35}"/>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44" name="Shape 8">
          <a:extLst>
            <a:ext uri="{FF2B5EF4-FFF2-40B4-BE49-F238E27FC236}">
              <a16:creationId xmlns:a16="http://schemas.microsoft.com/office/drawing/2014/main" id="{0F02097D-2433-4D95-A452-D85763F2DE3D}"/>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45" name="Shape 7">
          <a:extLst>
            <a:ext uri="{FF2B5EF4-FFF2-40B4-BE49-F238E27FC236}">
              <a16:creationId xmlns:a16="http://schemas.microsoft.com/office/drawing/2014/main" id="{51FA019E-DDBC-4E94-BBEB-4AC22B39D2C9}"/>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46" name="Shape 8">
          <a:extLst>
            <a:ext uri="{FF2B5EF4-FFF2-40B4-BE49-F238E27FC236}">
              <a16:creationId xmlns:a16="http://schemas.microsoft.com/office/drawing/2014/main" id="{341B3CF8-2426-4EB5-B303-65D9B44FA10D}"/>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47" name="Shape 8">
          <a:extLst>
            <a:ext uri="{FF2B5EF4-FFF2-40B4-BE49-F238E27FC236}">
              <a16:creationId xmlns:a16="http://schemas.microsoft.com/office/drawing/2014/main" id="{80781DA8-3D0E-4B95-90FE-E8C5D559EEB8}"/>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48" name="Shape 7">
          <a:extLst>
            <a:ext uri="{FF2B5EF4-FFF2-40B4-BE49-F238E27FC236}">
              <a16:creationId xmlns:a16="http://schemas.microsoft.com/office/drawing/2014/main" id="{32251A07-0D92-4473-A07C-CB023E5DF522}"/>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49" name="Shape 8">
          <a:extLst>
            <a:ext uri="{FF2B5EF4-FFF2-40B4-BE49-F238E27FC236}">
              <a16:creationId xmlns:a16="http://schemas.microsoft.com/office/drawing/2014/main" id="{8E7C63BC-8767-44EA-B8F7-0898BE259ACD}"/>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50" name="Shape 8">
          <a:extLst>
            <a:ext uri="{FF2B5EF4-FFF2-40B4-BE49-F238E27FC236}">
              <a16:creationId xmlns:a16="http://schemas.microsoft.com/office/drawing/2014/main" id="{365579F9-76F4-4A27-81FF-12887A9987E1}"/>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51" name="Shape 7">
          <a:extLst>
            <a:ext uri="{FF2B5EF4-FFF2-40B4-BE49-F238E27FC236}">
              <a16:creationId xmlns:a16="http://schemas.microsoft.com/office/drawing/2014/main" id="{641D7B7D-43F4-4478-A9A1-46A720BC7CE0}"/>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52" name="Shape 7">
          <a:extLst>
            <a:ext uri="{FF2B5EF4-FFF2-40B4-BE49-F238E27FC236}">
              <a16:creationId xmlns:a16="http://schemas.microsoft.com/office/drawing/2014/main" id="{96CDD593-8C93-445F-A107-D1443C87C212}"/>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53" name="Shape 8">
          <a:extLst>
            <a:ext uri="{FF2B5EF4-FFF2-40B4-BE49-F238E27FC236}">
              <a16:creationId xmlns:a16="http://schemas.microsoft.com/office/drawing/2014/main" id="{19110617-64A4-4B82-BB7F-B295766FB421}"/>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54" name="Shape 8">
          <a:extLst>
            <a:ext uri="{FF2B5EF4-FFF2-40B4-BE49-F238E27FC236}">
              <a16:creationId xmlns:a16="http://schemas.microsoft.com/office/drawing/2014/main" id="{61A127FB-EA64-45EF-8A56-43318F72705C}"/>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55" name="Shape 7">
          <a:extLst>
            <a:ext uri="{FF2B5EF4-FFF2-40B4-BE49-F238E27FC236}">
              <a16:creationId xmlns:a16="http://schemas.microsoft.com/office/drawing/2014/main" id="{D81BB02D-8950-455E-9AEC-D93B73B24C4A}"/>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56" name="Shape 7">
          <a:extLst>
            <a:ext uri="{FF2B5EF4-FFF2-40B4-BE49-F238E27FC236}">
              <a16:creationId xmlns:a16="http://schemas.microsoft.com/office/drawing/2014/main" id="{CD96119C-2C2F-4A44-A35E-1A146CC673FB}"/>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57" name="Shape 8">
          <a:extLst>
            <a:ext uri="{FF2B5EF4-FFF2-40B4-BE49-F238E27FC236}">
              <a16:creationId xmlns:a16="http://schemas.microsoft.com/office/drawing/2014/main" id="{EA5786B2-B21B-4B42-8FD5-F61A190476EE}"/>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58" name="Shape 7">
          <a:extLst>
            <a:ext uri="{FF2B5EF4-FFF2-40B4-BE49-F238E27FC236}">
              <a16:creationId xmlns:a16="http://schemas.microsoft.com/office/drawing/2014/main" id="{1A14221B-AF71-43E4-AE15-36CD4755F6D5}"/>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59" name="Shape 8">
          <a:extLst>
            <a:ext uri="{FF2B5EF4-FFF2-40B4-BE49-F238E27FC236}">
              <a16:creationId xmlns:a16="http://schemas.microsoft.com/office/drawing/2014/main" id="{95F1B424-84DA-43DE-B049-180054E81822}"/>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60" name="Shape 7">
          <a:extLst>
            <a:ext uri="{FF2B5EF4-FFF2-40B4-BE49-F238E27FC236}">
              <a16:creationId xmlns:a16="http://schemas.microsoft.com/office/drawing/2014/main" id="{930C063D-543F-4334-98AA-54737C31B286}"/>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61" name="Shape 8">
          <a:extLst>
            <a:ext uri="{FF2B5EF4-FFF2-40B4-BE49-F238E27FC236}">
              <a16:creationId xmlns:a16="http://schemas.microsoft.com/office/drawing/2014/main" id="{67A44DBF-2202-4427-85C3-C698A1776BA8}"/>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62" name="Shape 7">
          <a:extLst>
            <a:ext uri="{FF2B5EF4-FFF2-40B4-BE49-F238E27FC236}">
              <a16:creationId xmlns:a16="http://schemas.microsoft.com/office/drawing/2014/main" id="{F619AC65-EF22-4F9C-B847-1D6E45E8CD41}"/>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63" name="Shape 8">
          <a:extLst>
            <a:ext uri="{FF2B5EF4-FFF2-40B4-BE49-F238E27FC236}">
              <a16:creationId xmlns:a16="http://schemas.microsoft.com/office/drawing/2014/main" id="{1FBF9F23-02D1-4A9C-B875-A2AC705CF09B}"/>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64" name="Shape 8">
          <a:extLst>
            <a:ext uri="{FF2B5EF4-FFF2-40B4-BE49-F238E27FC236}">
              <a16:creationId xmlns:a16="http://schemas.microsoft.com/office/drawing/2014/main" id="{5FFFE8C3-A9BE-400F-9596-284AE33EE5D3}"/>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65" name="Shape 7">
          <a:extLst>
            <a:ext uri="{FF2B5EF4-FFF2-40B4-BE49-F238E27FC236}">
              <a16:creationId xmlns:a16="http://schemas.microsoft.com/office/drawing/2014/main" id="{F35E20FA-A92F-42D1-B224-C2C8DE0F82D3}"/>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66" name="Shape 8">
          <a:extLst>
            <a:ext uri="{FF2B5EF4-FFF2-40B4-BE49-F238E27FC236}">
              <a16:creationId xmlns:a16="http://schemas.microsoft.com/office/drawing/2014/main" id="{52D9B9D2-865A-4967-86C1-1EC33D7664DF}"/>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67" name="Shape 8">
          <a:extLst>
            <a:ext uri="{FF2B5EF4-FFF2-40B4-BE49-F238E27FC236}">
              <a16:creationId xmlns:a16="http://schemas.microsoft.com/office/drawing/2014/main" id="{1D54C9CA-B21A-428C-88B0-08E766D6D161}"/>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68" name="Shape 7">
          <a:extLst>
            <a:ext uri="{FF2B5EF4-FFF2-40B4-BE49-F238E27FC236}">
              <a16:creationId xmlns:a16="http://schemas.microsoft.com/office/drawing/2014/main" id="{2570FEEB-4F80-479D-BECA-343455729355}"/>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69" name="Shape 8">
          <a:extLst>
            <a:ext uri="{FF2B5EF4-FFF2-40B4-BE49-F238E27FC236}">
              <a16:creationId xmlns:a16="http://schemas.microsoft.com/office/drawing/2014/main" id="{7223DD40-D17A-4CFB-917A-79706226A31F}"/>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70" name="Shape 8">
          <a:extLst>
            <a:ext uri="{FF2B5EF4-FFF2-40B4-BE49-F238E27FC236}">
              <a16:creationId xmlns:a16="http://schemas.microsoft.com/office/drawing/2014/main" id="{D5B05355-1DB0-4F76-85EC-C8DED2CBB3B7}"/>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71" name="Shape 7">
          <a:extLst>
            <a:ext uri="{FF2B5EF4-FFF2-40B4-BE49-F238E27FC236}">
              <a16:creationId xmlns:a16="http://schemas.microsoft.com/office/drawing/2014/main" id="{5A561F5C-6174-4714-BB19-3881C8F9D12C}"/>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72" name="Shape 8">
          <a:extLst>
            <a:ext uri="{FF2B5EF4-FFF2-40B4-BE49-F238E27FC236}">
              <a16:creationId xmlns:a16="http://schemas.microsoft.com/office/drawing/2014/main" id="{0590FE8A-B1DD-4DD1-9E2D-27B18AA24E42}"/>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73" name="Shape 8">
          <a:extLst>
            <a:ext uri="{FF2B5EF4-FFF2-40B4-BE49-F238E27FC236}">
              <a16:creationId xmlns:a16="http://schemas.microsoft.com/office/drawing/2014/main" id="{5E8B99BA-CA4C-41F9-BF4D-8DFC9124C5F9}"/>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74" name="Shape 7">
          <a:extLst>
            <a:ext uri="{FF2B5EF4-FFF2-40B4-BE49-F238E27FC236}">
              <a16:creationId xmlns:a16="http://schemas.microsoft.com/office/drawing/2014/main" id="{630E43EA-122E-4C8D-8729-08D295D0C768}"/>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75" name="Shape 8">
          <a:extLst>
            <a:ext uri="{FF2B5EF4-FFF2-40B4-BE49-F238E27FC236}">
              <a16:creationId xmlns:a16="http://schemas.microsoft.com/office/drawing/2014/main" id="{F5C0E2D4-B172-409D-8751-5CD63254ED86}"/>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76" name="Shape 8">
          <a:extLst>
            <a:ext uri="{FF2B5EF4-FFF2-40B4-BE49-F238E27FC236}">
              <a16:creationId xmlns:a16="http://schemas.microsoft.com/office/drawing/2014/main" id="{BB6B2F13-39CD-4836-9194-039D951CC28A}"/>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77" name="Shape 7">
          <a:extLst>
            <a:ext uri="{FF2B5EF4-FFF2-40B4-BE49-F238E27FC236}">
              <a16:creationId xmlns:a16="http://schemas.microsoft.com/office/drawing/2014/main" id="{8321F089-25B3-4531-A069-33A1C7587F23}"/>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78" name="Shape 7">
          <a:extLst>
            <a:ext uri="{FF2B5EF4-FFF2-40B4-BE49-F238E27FC236}">
              <a16:creationId xmlns:a16="http://schemas.microsoft.com/office/drawing/2014/main" id="{FAF0AB22-2DB4-4ED4-82C9-654ED08DCF73}"/>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79" name="Shape 8">
          <a:extLst>
            <a:ext uri="{FF2B5EF4-FFF2-40B4-BE49-F238E27FC236}">
              <a16:creationId xmlns:a16="http://schemas.microsoft.com/office/drawing/2014/main" id="{EEB60440-E38A-4EE9-89AA-BF0FC955E7C4}"/>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80" name="Shape 8">
          <a:extLst>
            <a:ext uri="{FF2B5EF4-FFF2-40B4-BE49-F238E27FC236}">
              <a16:creationId xmlns:a16="http://schemas.microsoft.com/office/drawing/2014/main" id="{80569559-B490-431F-B961-2C6530B5A135}"/>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81" name="Shape 7">
          <a:extLst>
            <a:ext uri="{FF2B5EF4-FFF2-40B4-BE49-F238E27FC236}">
              <a16:creationId xmlns:a16="http://schemas.microsoft.com/office/drawing/2014/main" id="{8C46B811-938F-4167-8AB4-1C6886E0112F}"/>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13</xdr:col>
      <xdr:colOff>733425</xdr:colOff>
      <xdr:row>16</xdr:row>
      <xdr:rowOff>0</xdr:rowOff>
    </xdr:from>
    <xdr:to>
      <xdr:col>14</xdr:col>
      <xdr:colOff>38100</xdr:colOff>
      <xdr:row>16</xdr:row>
      <xdr:rowOff>38100</xdr:rowOff>
    </xdr:to>
    <xdr:sp macro="" textlink="">
      <xdr:nvSpPr>
        <xdr:cNvPr id="3982" name="Shape 7">
          <a:extLst>
            <a:ext uri="{FF2B5EF4-FFF2-40B4-BE49-F238E27FC236}">
              <a16:creationId xmlns:a16="http://schemas.microsoft.com/office/drawing/2014/main" id="{6420885B-352C-4F82-B2D5-D8D5CD02EE9B}"/>
            </a:ext>
          </a:extLst>
        </xdr:cNvPr>
        <xdr:cNvSpPr>
          <a:spLocks noChangeArrowheads="1"/>
        </xdr:cNvSpPr>
      </xdr:nvSpPr>
      <xdr:spPr bwMode="auto">
        <a:xfrm>
          <a:off x="11210925" y="5543550"/>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twoCellAnchor editAs="oneCell">
    <xdr:from>
      <xdr:col>14</xdr:col>
      <xdr:colOff>733425</xdr:colOff>
      <xdr:row>16</xdr:row>
      <xdr:rowOff>0</xdr:rowOff>
    </xdr:from>
    <xdr:to>
      <xdr:col>15</xdr:col>
      <xdr:colOff>114300</xdr:colOff>
      <xdr:row>16</xdr:row>
      <xdr:rowOff>38100</xdr:rowOff>
    </xdr:to>
    <xdr:sp macro="" textlink="">
      <xdr:nvSpPr>
        <xdr:cNvPr id="3983" name="Shape 8">
          <a:extLst>
            <a:ext uri="{FF2B5EF4-FFF2-40B4-BE49-F238E27FC236}">
              <a16:creationId xmlns:a16="http://schemas.microsoft.com/office/drawing/2014/main" id="{2202E50E-D7B5-41E8-B750-6CEA0AD12CDB}"/>
            </a:ext>
          </a:extLst>
        </xdr:cNvPr>
        <xdr:cNvSpPr>
          <a:spLocks noChangeArrowheads="1"/>
        </xdr:cNvSpPr>
      </xdr:nvSpPr>
      <xdr:spPr bwMode="auto">
        <a:xfrm>
          <a:off x="11944350" y="5543550"/>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twoCellAnchor>
  <xdr:oneCellAnchor>
    <xdr:from>
      <xdr:col>13</xdr:col>
      <xdr:colOff>733425</xdr:colOff>
      <xdr:row>15</xdr:row>
      <xdr:rowOff>0</xdr:rowOff>
    </xdr:from>
    <xdr:ext cx="38100" cy="38100"/>
    <xdr:sp macro="" textlink="">
      <xdr:nvSpPr>
        <xdr:cNvPr id="3984" name="Shape 7">
          <a:extLst>
            <a:ext uri="{FF2B5EF4-FFF2-40B4-BE49-F238E27FC236}">
              <a16:creationId xmlns:a16="http://schemas.microsoft.com/office/drawing/2014/main" id="{DCF87AF2-58AE-43EA-9080-EE59DA095BF8}"/>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3985" name="Shape 8">
          <a:extLst>
            <a:ext uri="{FF2B5EF4-FFF2-40B4-BE49-F238E27FC236}">
              <a16:creationId xmlns:a16="http://schemas.microsoft.com/office/drawing/2014/main" id="{736D106A-4C97-4454-9640-D7DCBA0E7082}"/>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3986" name="Shape 7">
          <a:extLst>
            <a:ext uri="{FF2B5EF4-FFF2-40B4-BE49-F238E27FC236}">
              <a16:creationId xmlns:a16="http://schemas.microsoft.com/office/drawing/2014/main" id="{9A950918-20C0-44AC-B9F3-143E6F489E35}"/>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3987" name="Shape 8">
          <a:extLst>
            <a:ext uri="{FF2B5EF4-FFF2-40B4-BE49-F238E27FC236}">
              <a16:creationId xmlns:a16="http://schemas.microsoft.com/office/drawing/2014/main" id="{DEE92DB4-8FFB-4B1F-AD32-1DE082E9CB50}"/>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3988" name="Shape 7">
          <a:extLst>
            <a:ext uri="{FF2B5EF4-FFF2-40B4-BE49-F238E27FC236}">
              <a16:creationId xmlns:a16="http://schemas.microsoft.com/office/drawing/2014/main" id="{22E9A0ED-051A-4745-B9C0-798AADB088E7}"/>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3989" name="Shape 8">
          <a:extLst>
            <a:ext uri="{FF2B5EF4-FFF2-40B4-BE49-F238E27FC236}">
              <a16:creationId xmlns:a16="http://schemas.microsoft.com/office/drawing/2014/main" id="{69BC75F6-1A3F-43E0-9754-BBD37DEFE40B}"/>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3990" name="Shape 8">
          <a:extLst>
            <a:ext uri="{FF2B5EF4-FFF2-40B4-BE49-F238E27FC236}">
              <a16:creationId xmlns:a16="http://schemas.microsoft.com/office/drawing/2014/main" id="{DE05D1F2-72E1-4942-A97B-CBF04364E6C9}"/>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3991" name="Shape 7">
          <a:extLst>
            <a:ext uri="{FF2B5EF4-FFF2-40B4-BE49-F238E27FC236}">
              <a16:creationId xmlns:a16="http://schemas.microsoft.com/office/drawing/2014/main" id="{4ACAE0DA-41E6-4CFE-8B4D-FDF5EF72F996}"/>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3992" name="Shape 8">
          <a:extLst>
            <a:ext uri="{FF2B5EF4-FFF2-40B4-BE49-F238E27FC236}">
              <a16:creationId xmlns:a16="http://schemas.microsoft.com/office/drawing/2014/main" id="{0C8221DC-B338-43D8-ACDB-4BB807F8A478}"/>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3993" name="Shape 8">
          <a:extLst>
            <a:ext uri="{FF2B5EF4-FFF2-40B4-BE49-F238E27FC236}">
              <a16:creationId xmlns:a16="http://schemas.microsoft.com/office/drawing/2014/main" id="{9666F7F8-6C7A-4EAD-9D10-039D2FEE7D24}"/>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3994" name="Shape 7">
          <a:extLst>
            <a:ext uri="{FF2B5EF4-FFF2-40B4-BE49-F238E27FC236}">
              <a16:creationId xmlns:a16="http://schemas.microsoft.com/office/drawing/2014/main" id="{3F4FAD4B-C29B-4F94-8DC8-0B4E50D81BC1}"/>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3995" name="Shape 8">
          <a:extLst>
            <a:ext uri="{FF2B5EF4-FFF2-40B4-BE49-F238E27FC236}">
              <a16:creationId xmlns:a16="http://schemas.microsoft.com/office/drawing/2014/main" id="{2D6F8CA0-B720-4428-BACE-5208441E9B26}"/>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3996" name="Shape 8">
          <a:extLst>
            <a:ext uri="{FF2B5EF4-FFF2-40B4-BE49-F238E27FC236}">
              <a16:creationId xmlns:a16="http://schemas.microsoft.com/office/drawing/2014/main" id="{1B12BCDC-3193-4D47-B63A-FC4E93F8065B}"/>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3997" name="Shape 7">
          <a:extLst>
            <a:ext uri="{FF2B5EF4-FFF2-40B4-BE49-F238E27FC236}">
              <a16:creationId xmlns:a16="http://schemas.microsoft.com/office/drawing/2014/main" id="{1BC44A48-CA3D-42A4-AC16-A8E068ED4554}"/>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3998" name="Shape 8">
          <a:extLst>
            <a:ext uri="{FF2B5EF4-FFF2-40B4-BE49-F238E27FC236}">
              <a16:creationId xmlns:a16="http://schemas.microsoft.com/office/drawing/2014/main" id="{06435C7F-D9DB-46AB-B68E-4F809CFF4E48}"/>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3999" name="Shape 8">
          <a:extLst>
            <a:ext uri="{FF2B5EF4-FFF2-40B4-BE49-F238E27FC236}">
              <a16:creationId xmlns:a16="http://schemas.microsoft.com/office/drawing/2014/main" id="{B456A5B6-EAB9-406C-8A07-19676CB73393}"/>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00" name="Shape 7">
          <a:extLst>
            <a:ext uri="{FF2B5EF4-FFF2-40B4-BE49-F238E27FC236}">
              <a16:creationId xmlns:a16="http://schemas.microsoft.com/office/drawing/2014/main" id="{5F365B62-EBBD-48E4-86AB-F44F926E588E}"/>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01" name="Shape 8">
          <a:extLst>
            <a:ext uri="{FF2B5EF4-FFF2-40B4-BE49-F238E27FC236}">
              <a16:creationId xmlns:a16="http://schemas.microsoft.com/office/drawing/2014/main" id="{5570226C-24DC-464C-895E-0827AFE66701}"/>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02" name="Shape 8">
          <a:extLst>
            <a:ext uri="{FF2B5EF4-FFF2-40B4-BE49-F238E27FC236}">
              <a16:creationId xmlns:a16="http://schemas.microsoft.com/office/drawing/2014/main" id="{78F54B73-14A9-4AF4-8C2C-F83BA1EB1594}"/>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03" name="Shape 7">
          <a:extLst>
            <a:ext uri="{FF2B5EF4-FFF2-40B4-BE49-F238E27FC236}">
              <a16:creationId xmlns:a16="http://schemas.microsoft.com/office/drawing/2014/main" id="{3340F0AD-F7C9-469C-8599-B84418E32B03}"/>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04" name="Shape 7">
          <a:extLst>
            <a:ext uri="{FF2B5EF4-FFF2-40B4-BE49-F238E27FC236}">
              <a16:creationId xmlns:a16="http://schemas.microsoft.com/office/drawing/2014/main" id="{EFF57372-E0DB-402F-B565-082F325D3725}"/>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05" name="Shape 8">
          <a:extLst>
            <a:ext uri="{FF2B5EF4-FFF2-40B4-BE49-F238E27FC236}">
              <a16:creationId xmlns:a16="http://schemas.microsoft.com/office/drawing/2014/main" id="{45AF1CC6-4355-4241-890C-A0F4CBCC6C4B}"/>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06" name="Shape 8">
          <a:extLst>
            <a:ext uri="{FF2B5EF4-FFF2-40B4-BE49-F238E27FC236}">
              <a16:creationId xmlns:a16="http://schemas.microsoft.com/office/drawing/2014/main" id="{21BF5E5A-290E-4AE0-B62A-715FCE42C079}"/>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07" name="Shape 7">
          <a:extLst>
            <a:ext uri="{FF2B5EF4-FFF2-40B4-BE49-F238E27FC236}">
              <a16:creationId xmlns:a16="http://schemas.microsoft.com/office/drawing/2014/main" id="{1E26EBDD-48D6-48AF-BB03-FDAC0F20357F}"/>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08" name="Shape 7">
          <a:extLst>
            <a:ext uri="{FF2B5EF4-FFF2-40B4-BE49-F238E27FC236}">
              <a16:creationId xmlns:a16="http://schemas.microsoft.com/office/drawing/2014/main" id="{D773AC29-B344-4CEF-B656-99AE077810DF}"/>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09" name="Shape 8">
          <a:extLst>
            <a:ext uri="{FF2B5EF4-FFF2-40B4-BE49-F238E27FC236}">
              <a16:creationId xmlns:a16="http://schemas.microsoft.com/office/drawing/2014/main" id="{44EFBB8B-48AC-4790-BF44-38DD2D15BD1E}"/>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10" name="Shape 7">
          <a:extLst>
            <a:ext uri="{FF2B5EF4-FFF2-40B4-BE49-F238E27FC236}">
              <a16:creationId xmlns:a16="http://schemas.microsoft.com/office/drawing/2014/main" id="{C2537856-2965-4F42-B1F1-CA57FB79B767}"/>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11" name="Shape 8">
          <a:extLst>
            <a:ext uri="{FF2B5EF4-FFF2-40B4-BE49-F238E27FC236}">
              <a16:creationId xmlns:a16="http://schemas.microsoft.com/office/drawing/2014/main" id="{217E8CB6-2079-4481-8B0A-D3B4DBBF4C34}"/>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12" name="Shape 7">
          <a:extLst>
            <a:ext uri="{FF2B5EF4-FFF2-40B4-BE49-F238E27FC236}">
              <a16:creationId xmlns:a16="http://schemas.microsoft.com/office/drawing/2014/main" id="{69E48CE0-101A-48CC-A250-656586DDDF19}"/>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13" name="Shape 8">
          <a:extLst>
            <a:ext uri="{FF2B5EF4-FFF2-40B4-BE49-F238E27FC236}">
              <a16:creationId xmlns:a16="http://schemas.microsoft.com/office/drawing/2014/main" id="{3408473B-5392-4804-B6C3-C9DC8DE8689F}"/>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14" name="Shape 7">
          <a:extLst>
            <a:ext uri="{FF2B5EF4-FFF2-40B4-BE49-F238E27FC236}">
              <a16:creationId xmlns:a16="http://schemas.microsoft.com/office/drawing/2014/main" id="{04154B1E-8C04-4984-94BD-C5BA308039E6}"/>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15" name="Shape 8">
          <a:extLst>
            <a:ext uri="{FF2B5EF4-FFF2-40B4-BE49-F238E27FC236}">
              <a16:creationId xmlns:a16="http://schemas.microsoft.com/office/drawing/2014/main" id="{3C7553AD-51D3-4566-8E4C-577D1A302C6B}"/>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16" name="Shape 8">
          <a:extLst>
            <a:ext uri="{FF2B5EF4-FFF2-40B4-BE49-F238E27FC236}">
              <a16:creationId xmlns:a16="http://schemas.microsoft.com/office/drawing/2014/main" id="{7C5BB15E-9E0A-405A-BBAF-6375CC31AC13}"/>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17" name="Shape 7">
          <a:extLst>
            <a:ext uri="{FF2B5EF4-FFF2-40B4-BE49-F238E27FC236}">
              <a16:creationId xmlns:a16="http://schemas.microsoft.com/office/drawing/2014/main" id="{D5E48F6E-20D5-4903-BC12-7DEAA384B9CA}"/>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18" name="Shape 8">
          <a:extLst>
            <a:ext uri="{FF2B5EF4-FFF2-40B4-BE49-F238E27FC236}">
              <a16:creationId xmlns:a16="http://schemas.microsoft.com/office/drawing/2014/main" id="{93DB5FBC-5416-4DFE-A27B-C89C1D0BD81B}"/>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19" name="Shape 8">
          <a:extLst>
            <a:ext uri="{FF2B5EF4-FFF2-40B4-BE49-F238E27FC236}">
              <a16:creationId xmlns:a16="http://schemas.microsoft.com/office/drawing/2014/main" id="{9D46F26D-72AD-4D59-9617-0986811EDD1C}"/>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20" name="Shape 7">
          <a:extLst>
            <a:ext uri="{FF2B5EF4-FFF2-40B4-BE49-F238E27FC236}">
              <a16:creationId xmlns:a16="http://schemas.microsoft.com/office/drawing/2014/main" id="{910D2D01-FE9E-41C3-87E1-C2876F3DEA24}"/>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21" name="Shape 8">
          <a:extLst>
            <a:ext uri="{FF2B5EF4-FFF2-40B4-BE49-F238E27FC236}">
              <a16:creationId xmlns:a16="http://schemas.microsoft.com/office/drawing/2014/main" id="{77F2DFBF-3949-489C-84E0-5EDE92B32E19}"/>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22" name="Shape 8">
          <a:extLst>
            <a:ext uri="{FF2B5EF4-FFF2-40B4-BE49-F238E27FC236}">
              <a16:creationId xmlns:a16="http://schemas.microsoft.com/office/drawing/2014/main" id="{BB9EEE28-A31F-4F85-AA62-4EB94BB6FD0F}"/>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23" name="Shape 7">
          <a:extLst>
            <a:ext uri="{FF2B5EF4-FFF2-40B4-BE49-F238E27FC236}">
              <a16:creationId xmlns:a16="http://schemas.microsoft.com/office/drawing/2014/main" id="{23C0DC0D-9103-4C8F-B23C-AD74F92723EF}"/>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24" name="Shape 8">
          <a:extLst>
            <a:ext uri="{FF2B5EF4-FFF2-40B4-BE49-F238E27FC236}">
              <a16:creationId xmlns:a16="http://schemas.microsoft.com/office/drawing/2014/main" id="{C39E939C-34A0-48F2-9FFC-D7EC6BBA2F8B}"/>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25" name="Shape 8">
          <a:extLst>
            <a:ext uri="{FF2B5EF4-FFF2-40B4-BE49-F238E27FC236}">
              <a16:creationId xmlns:a16="http://schemas.microsoft.com/office/drawing/2014/main" id="{0481654F-2976-452A-9EED-3F90522D1EA1}"/>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26" name="Shape 7">
          <a:extLst>
            <a:ext uri="{FF2B5EF4-FFF2-40B4-BE49-F238E27FC236}">
              <a16:creationId xmlns:a16="http://schemas.microsoft.com/office/drawing/2014/main" id="{76E09633-6CDE-441F-90B3-83057F27A9DE}"/>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27" name="Shape 8">
          <a:extLst>
            <a:ext uri="{FF2B5EF4-FFF2-40B4-BE49-F238E27FC236}">
              <a16:creationId xmlns:a16="http://schemas.microsoft.com/office/drawing/2014/main" id="{8643AACC-F884-4640-A988-9C3788C14A6C}"/>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28" name="Shape 8">
          <a:extLst>
            <a:ext uri="{FF2B5EF4-FFF2-40B4-BE49-F238E27FC236}">
              <a16:creationId xmlns:a16="http://schemas.microsoft.com/office/drawing/2014/main" id="{E5A31506-6FEB-40FF-AEB5-645F7C80471C}"/>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29" name="Shape 7">
          <a:extLst>
            <a:ext uri="{FF2B5EF4-FFF2-40B4-BE49-F238E27FC236}">
              <a16:creationId xmlns:a16="http://schemas.microsoft.com/office/drawing/2014/main" id="{C47A3D8B-7B47-4AAD-BBEC-A0F883525210}"/>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30" name="Shape 7">
          <a:extLst>
            <a:ext uri="{FF2B5EF4-FFF2-40B4-BE49-F238E27FC236}">
              <a16:creationId xmlns:a16="http://schemas.microsoft.com/office/drawing/2014/main" id="{A4C35C5E-B0C2-44C0-84D9-F750642985E8}"/>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31" name="Shape 8">
          <a:extLst>
            <a:ext uri="{FF2B5EF4-FFF2-40B4-BE49-F238E27FC236}">
              <a16:creationId xmlns:a16="http://schemas.microsoft.com/office/drawing/2014/main" id="{48191B5C-41D5-4508-AC5A-4EDBA3350A0C}"/>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32" name="Shape 8">
          <a:extLst>
            <a:ext uri="{FF2B5EF4-FFF2-40B4-BE49-F238E27FC236}">
              <a16:creationId xmlns:a16="http://schemas.microsoft.com/office/drawing/2014/main" id="{488E6F27-8E24-48C9-8C18-F4FE3570D349}"/>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33" name="Shape 7">
          <a:extLst>
            <a:ext uri="{FF2B5EF4-FFF2-40B4-BE49-F238E27FC236}">
              <a16:creationId xmlns:a16="http://schemas.microsoft.com/office/drawing/2014/main" id="{11D5BD9A-34B6-4DEC-87FB-922234AFC1E4}"/>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34" name="Shape 7">
          <a:extLst>
            <a:ext uri="{FF2B5EF4-FFF2-40B4-BE49-F238E27FC236}">
              <a16:creationId xmlns:a16="http://schemas.microsoft.com/office/drawing/2014/main" id="{68FFDB63-CAFC-400F-B9C2-30A72CB8D8CC}"/>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35" name="Shape 8">
          <a:extLst>
            <a:ext uri="{FF2B5EF4-FFF2-40B4-BE49-F238E27FC236}">
              <a16:creationId xmlns:a16="http://schemas.microsoft.com/office/drawing/2014/main" id="{5173962A-6F69-4B17-87FF-E3B6EC7F1032}"/>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36" name="Shape 7">
          <a:extLst>
            <a:ext uri="{FF2B5EF4-FFF2-40B4-BE49-F238E27FC236}">
              <a16:creationId xmlns:a16="http://schemas.microsoft.com/office/drawing/2014/main" id="{5CF8B7C6-30C0-494C-84E8-26336B00C064}"/>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37" name="Shape 8">
          <a:extLst>
            <a:ext uri="{FF2B5EF4-FFF2-40B4-BE49-F238E27FC236}">
              <a16:creationId xmlns:a16="http://schemas.microsoft.com/office/drawing/2014/main" id="{52FBE76E-2E7F-4499-A64F-FFC2504CAFB1}"/>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38" name="Shape 7">
          <a:extLst>
            <a:ext uri="{FF2B5EF4-FFF2-40B4-BE49-F238E27FC236}">
              <a16:creationId xmlns:a16="http://schemas.microsoft.com/office/drawing/2014/main" id="{E6B62A0D-BC0D-4FEF-8BFD-82F9F6D1B429}"/>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39" name="Shape 8">
          <a:extLst>
            <a:ext uri="{FF2B5EF4-FFF2-40B4-BE49-F238E27FC236}">
              <a16:creationId xmlns:a16="http://schemas.microsoft.com/office/drawing/2014/main" id="{FA0A56FF-3140-4DD1-AE84-F6B40FFFEC50}"/>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40" name="Shape 7">
          <a:extLst>
            <a:ext uri="{FF2B5EF4-FFF2-40B4-BE49-F238E27FC236}">
              <a16:creationId xmlns:a16="http://schemas.microsoft.com/office/drawing/2014/main" id="{6451F5CD-25D9-48B7-832F-1E4A0F06746D}"/>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41" name="Shape 8">
          <a:extLst>
            <a:ext uri="{FF2B5EF4-FFF2-40B4-BE49-F238E27FC236}">
              <a16:creationId xmlns:a16="http://schemas.microsoft.com/office/drawing/2014/main" id="{E2F5234F-2D12-4786-93EC-D1BFB555643B}"/>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42" name="Shape 8">
          <a:extLst>
            <a:ext uri="{FF2B5EF4-FFF2-40B4-BE49-F238E27FC236}">
              <a16:creationId xmlns:a16="http://schemas.microsoft.com/office/drawing/2014/main" id="{4495C988-3C0B-4FA3-A027-F3023D953923}"/>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43" name="Shape 7">
          <a:extLst>
            <a:ext uri="{FF2B5EF4-FFF2-40B4-BE49-F238E27FC236}">
              <a16:creationId xmlns:a16="http://schemas.microsoft.com/office/drawing/2014/main" id="{2725FC2B-758D-41F0-ADF0-53F09F5A6FC9}"/>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44" name="Shape 8">
          <a:extLst>
            <a:ext uri="{FF2B5EF4-FFF2-40B4-BE49-F238E27FC236}">
              <a16:creationId xmlns:a16="http://schemas.microsoft.com/office/drawing/2014/main" id="{5FB41EF8-B9F6-442F-8A6B-28C2DF44C40F}"/>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45" name="Shape 8">
          <a:extLst>
            <a:ext uri="{FF2B5EF4-FFF2-40B4-BE49-F238E27FC236}">
              <a16:creationId xmlns:a16="http://schemas.microsoft.com/office/drawing/2014/main" id="{F730C8A3-C295-48BA-B92B-12D7A83FD378}"/>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46" name="Shape 7">
          <a:extLst>
            <a:ext uri="{FF2B5EF4-FFF2-40B4-BE49-F238E27FC236}">
              <a16:creationId xmlns:a16="http://schemas.microsoft.com/office/drawing/2014/main" id="{D6D04083-01CF-4A2F-9FE7-2523714CA1C3}"/>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47" name="Shape 8">
          <a:extLst>
            <a:ext uri="{FF2B5EF4-FFF2-40B4-BE49-F238E27FC236}">
              <a16:creationId xmlns:a16="http://schemas.microsoft.com/office/drawing/2014/main" id="{FC172950-E6FA-4ABF-8C59-66B41403483B}"/>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48" name="Shape 8">
          <a:extLst>
            <a:ext uri="{FF2B5EF4-FFF2-40B4-BE49-F238E27FC236}">
              <a16:creationId xmlns:a16="http://schemas.microsoft.com/office/drawing/2014/main" id="{8EA820DD-EDFE-428A-8D9F-2AEA10678FDB}"/>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49" name="Shape 7">
          <a:extLst>
            <a:ext uri="{FF2B5EF4-FFF2-40B4-BE49-F238E27FC236}">
              <a16:creationId xmlns:a16="http://schemas.microsoft.com/office/drawing/2014/main" id="{2A480D4C-7013-4658-A8E5-A10FD3957B15}"/>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50" name="Shape 8">
          <a:extLst>
            <a:ext uri="{FF2B5EF4-FFF2-40B4-BE49-F238E27FC236}">
              <a16:creationId xmlns:a16="http://schemas.microsoft.com/office/drawing/2014/main" id="{CF4E642E-CC37-48B1-8BA5-8DE9366F161F}"/>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51" name="Shape 8">
          <a:extLst>
            <a:ext uri="{FF2B5EF4-FFF2-40B4-BE49-F238E27FC236}">
              <a16:creationId xmlns:a16="http://schemas.microsoft.com/office/drawing/2014/main" id="{7AD27A3A-32B3-4E65-B2D0-C48D149F806A}"/>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52" name="Shape 7">
          <a:extLst>
            <a:ext uri="{FF2B5EF4-FFF2-40B4-BE49-F238E27FC236}">
              <a16:creationId xmlns:a16="http://schemas.microsoft.com/office/drawing/2014/main" id="{F055A6C7-51BC-4DE1-9309-5007A503012E}"/>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53" name="Shape 8">
          <a:extLst>
            <a:ext uri="{FF2B5EF4-FFF2-40B4-BE49-F238E27FC236}">
              <a16:creationId xmlns:a16="http://schemas.microsoft.com/office/drawing/2014/main" id="{7390EDC2-88DA-4598-AA59-07FBEF17DCC6}"/>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54" name="Shape 8">
          <a:extLst>
            <a:ext uri="{FF2B5EF4-FFF2-40B4-BE49-F238E27FC236}">
              <a16:creationId xmlns:a16="http://schemas.microsoft.com/office/drawing/2014/main" id="{D8F7E57A-28F3-48F0-92BE-E9B93686D7C9}"/>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55" name="Shape 7">
          <a:extLst>
            <a:ext uri="{FF2B5EF4-FFF2-40B4-BE49-F238E27FC236}">
              <a16:creationId xmlns:a16="http://schemas.microsoft.com/office/drawing/2014/main" id="{00037B21-6773-468E-BF1F-445D391A3715}"/>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56" name="Shape 7">
          <a:extLst>
            <a:ext uri="{FF2B5EF4-FFF2-40B4-BE49-F238E27FC236}">
              <a16:creationId xmlns:a16="http://schemas.microsoft.com/office/drawing/2014/main" id="{63C41AB7-0D43-4066-8E22-61750060F682}"/>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57" name="Shape 8">
          <a:extLst>
            <a:ext uri="{FF2B5EF4-FFF2-40B4-BE49-F238E27FC236}">
              <a16:creationId xmlns:a16="http://schemas.microsoft.com/office/drawing/2014/main" id="{DC42E592-1D89-4EC8-8905-AEFFC3064924}"/>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58" name="Shape 8">
          <a:extLst>
            <a:ext uri="{FF2B5EF4-FFF2-40B4-BE49-F238E27FC236}">
              <a16:creationId xmlns:a16="http://schemas.microsoft.com/office/drawing/2014/main" id="{0946DC7C-07DD-4980-A715-BC52B06A078F}"/>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59" name="Shape 7">
          <a:extLst>
            <a:ext uri="{FF2B5EF4-FFF2-40B4-BE49-F238E27FC236}">
              <a16:creationId xmlns:a16="http://schemas.microsoft.com/office/drawing/2014/main" id="{F45B52DC-B8E9-4949-9269-6C24092F0AD5}"/>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60" name="Shape 7">
          <a:extLst>
            <a:ext uri="{FF2B5EF4-FFF2-40B4-BE49-F238E27FC236}">
              <a16:creationId xmlns:a16="http://schemas.microsoft.com/office/drawing/2014/main" id="{F46E3FE8-5BBC-422B-8F8D-226745602E78}"/>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61" name="Shape 8">
          <a:extLst>
            <a:ext uri="{FF2B5EF4-FFF2-40B4-BE49-F238E27FC236}">
              <a16:creationId xmlns:a16="http://schemas.microsoft.com/office/drawing/2014/main" id="{8AB2DED1-558C-4BCB-AAE4-ADFEAD63337B}"/>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62" name="Shape 7">
          <a:extLst>
            <a:ext uri="{FF2B5EF4-FFF2-40B4-BE49-F238E27FC236}">
              <a16:creationId xmlns:a16="http://schemas.microsoft.com/office/drawing/2014/main" id="{01FDE5CE-7637-47F7-8BCE-0A979FCDAB4A}"/>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63" name="Shape 8">
          <a:extLst>
            <a:ext uri="{FF2B5EF4-FFF2-40B4-BE49-F238E27FC236}">
              <a16:creationId xmlns:a16="http://schemas.microsoft.com/office/drawing/2014/main" id="{63D62683-07BC-469E-87B5-33D42921803F}"/>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64" name="Shape 7">
          <a:extLst>
            <a:ext uri="{FF2B5EF4-FFF2-40B4-BE49-F238E27FC236}">
              <a16:creationId xmlns:a16="http://schemas.microsoft.com/office/drawing/2014/main" id="{56D72805-C89A-4720-8D9E-C75CC1228D8C}"/>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65" name="Shape 8">
          <a:extLst>
            <a:ext uri="{FF2B5EF4-FFF2-40B4-BE49-F238E27FC236}">
              <a16:creationId xmlns:a16="http://schemas.microsoft.com/office/drawing/2014/main" id="{B6275584-2C9E-4EED-AB66-B502DC77497C}"/>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66" name="Shape 7">
          <a:extLst>
            <a:ext uri="{FF2B5EF4-FFF2-40B4-BE49-F238E27FC236}">
              <a16:creationId xmlns:a16="http://schemas.microsoft.com/office/drawing/2014/main" id="{724ABF92-7E88-444F-AB9A-35293014D87E}"/>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67" name="Shape 8">
          <a:extLst>
            <a:ext uri="{FF2B5EF4-FFF2-40B4-BE49-F238E27FC236}">
              <a16:creationId xmlns:a16="http://schemas.microsoft.com/office/drawing/2014/main" id="{921598A4-40D6-4F87-B7E4-E20707F9EFC3}"/>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68" name="Shape 8">
          <a:extLst>
            <a:ext uri="{FF2B5EF4-FFF2-40B4-BE49-F238E27FC236}">
              <a16:creationId xmlns:a16="http://schemas.microsoft.com/office/drawing/2014/main" id="{8B87B22F-65E8-42BE-BC3F-46861007F017}"/>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69" name="Shape 7">
          <a:extLst>
            <a:ext uri="{FF2B5EF4-FFF2-40B4-BE49-F238E27FC236}">
              <a16:creationId xmlns:a16="http://schemas.microsoft.com/office/drawing/2014/main" id="{169D5528-8480-404A-BF2D-DE3C56A76C3A}"/>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70" name="Shape 8">
          <a:extLst>
            <a:ext uri="{FF2B5EF4-FFF2-40B4-BE49-F238E27FC236}">
              <a16:creationId xmlns:a16="http://schemas.microsoft.com/office/drawing/2014/main" id="{721212E1-AD6C-4BB9-B9E8-41763F00BBD9}"/>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71" name="Shape 8">
          <a:extLst>
            <a:ext uri="{FF2B5EF4-FFF2-40B4-BE49-F238E27FC236}">
              <a16:creationId xmlns:a16="http://schemas.microsoft.com/office/drawing/2014/main" id="{65CA370B-2EFB-440D-AE83-09837935EB78}"/>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72" name="Shape 7">
          <a:extLst>
            <a:ext uri="{FF2B5EF4-FFF2-40B4-BE49-F238E27FC236}">
              <a16:creationId xmlns:a16="http://schemas.microsoft.com/office/drawing/2014/main" id="{6087D8F2-5E22-4D53-86BC-6A340CFA4FAD}"/>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73" name="Shape 8">
          <a:extLst>
            <a:ext uri="{FF2B5EF4-FFF2-40B4-BE49-F238E27FC236}">
              <a16:creationId xmlns:a16="http://schemas.microsoft.com/office/drawing/2014/main" id="{7E87B978-144A-4B3A-8A87-527AB7BDFED9}"/>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74" name="Shape 8">
          <a:extLst>
            <a:ext uri="{FF2B5EF4-FFF2-40B4-BE49-F238E27FC236}">
              <a16:creationId xmlns:a16="http://schemas.microsoft.com/office/drawing/2014/main" id="{0DA3ECA7-DC43-4786-994B-9B9D6635C06C}"/>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75" name="Shape 7">
          <a:extLst>
            <a:ext uri="{FF2B5EF4-FFF2-40B4-BE49-F238E27FC236}">
              <a16:creationId xmlns:a16="http://schemas.microsoft.com/office/drawing/2014/main" id="{651419A8-10AA-4B5B-9081-834131EA867D}"/>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76" name="Shape 8">
          <a:extLst>
            <a:ext uri="{FF2B5EF4-FFF2-40B4-BE49-F238E27FC236}">
              <a16:creationId xmlns:a16="http://schemas.microsoft.com/office/drawing/2014/main" id="{3E27EE19-220A-41EB-998E-704EAC5862B6}"/>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77" name="Shape 8">
          <a:extLst>
            <a:ext uri="{FF2B5EF4-FFF2-40B4-BE49-F238E27FC236}">
              <a16:creationId xmlns:a16="http://schemas.microsoft.com/office/drawing/2014/main" id="{853C3CC3-E9AF-4784-B1C0-1FEB55BFDABB}"/>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78" name="Shape 7">
          <a:extLst>
            <a:ext uri="{FF2B5EF4-FFF2-40B4-BE49-F238E27FC236}">
              <a16:creationId xmlns:a16="http://schemas.microsoft.com/office/drawing/2014/main" id="{09041C0F-8EB0-4B4A-883A-528C039F2509}"/>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79" name="Shape 8">
          <a:extLst>
            <a:ext uri="{FF2B5EF4-FFF2-40B4-BE49-F238E27FC236}">
              <a16:creationId xmlns:a16="http://schemas.microsoft.com/office/drawing/2014/main" id="{B156F36F-303B-4E20-8E31-D882992224C7}"/>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80" name="Shape 8">
          <a:extLst>
            <a:ext uri="{FF2B5EF4-FFF2-40B4-BE49-F238E27FC236}">
              <a16:creationId xmlns:a16="http://schemas.microsoft.com/office/drawing/2014/main" id="{905C7FE6-02CB-457A-8416-1A091B783403}"/>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81" name="Shape 7">
          <a:extLst>
            <a:ext uri="{FF2B5EF4-FFF2-40B4-BE49-F238E27FC236}">
              <a16:creationId xmlns:a16="http://schemas.microsoft.com/office/drawing/2014/main" id="{B3CFAC7C-BF52-4A02-A2BD-38E5EBE9D41B}"/>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82" name="Shape 7">
          <a:extLst>
            <a:ext uri="{FF2B5EF4-FFF2-40B4-BE49-F238E27FC236}">
              <a16:creationId xmlns:a16="http://schemas.microsoft.com/office/drawing/2014/main" id="{EBBA15C7-1AC3-4891-9B02-9930564D2081}"/>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83" name="Shape 8">
          <a:extLst>
            <a:ext uri="{FF2B5EF4-FFF2-40B4-BE49-F238E27FC236}">
              <a16:creationId xmlns:a16="http://schemas.microsoft.com/office/drawing/2014/main" id="{5C9F058B-5F27-4F4D-99E0-27F585832191}"/>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84" name="Shape 8">
          <a:extLst>
            <a:ext uri="{FF2B5EF4-FFF2-40B4-BE49-F238E27FC236}">
              <a16:creationId xmlns:a16="http://schemas.microsoft.com/office/drawing/2014/main" id="{F53BF4AF-F39E-4EA4-8C77-4A0526B1F3FF}"/>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85" name="Shape 7">
          <a:extLst>
            <a:ext uri="{FF2B5EF4-FFF2-40B4-BE49-F238E27FC236}">
              <a16:creationId xmlns:a16="http://schemas.microsoft.com/office/drawing/2014/main" id="{06C9C78E-BBAD-4EE3-979F-CC8EE1698320}"/>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86" name="Shape 7">
          <a:extLst>
            <a:ext uri="{FF2B5EF4-FFF2-40B4-BE49-F238E27FC236}">
              <a16:creationId xmlns:a16="http://schemas.microsoft.com/office/drawing/2014/main" id="{EC939DBF-E8ED-4089-96DA-AFA10138E92B}"/>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87" name="Shape 8">
          <a:extLst>
            <a:ext uri="{FF2B5EF4-FFF2-40B4-BE49-F238E27FC236}">
              <a16:creationId xmlns:a16="http://schemas.microsoft.com/office/drawing/2014/main" id="{14F3B885-9014-4357-BDE4-20E3F172DDD4}"/>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88" name="Shape 7">
          <a:extLst>
            <a:ext uri="{FF2B5EF4-FFF2-40B4-BE49-F238E27FC236}">
              <a16:creationId xmlns:a16="http://schemas.microsoft.com/office/drawing/2014/main" id="{5F14603C-1254-48C1-BEC9-81C94FB38E0E}"/>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89" name="Shape 8">
          <a:extLst>
            <a:ext uri="{FF2B5EF4-FFF2-40B4-BE49-F238E27FC236}">
              <a16:creationId xmlns:a16="http://schemas.microsoft.com/office/drawing/2014/main" id="{9A92CEB1-7721-4B99-8FAF-DE3C4F4E6E61}"/>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90" name="Shape 7">
          <a:extLst>
            <a:ext uri="{FF2B5EF4-FFF2-40B4-BE49-F238E27FC236}">
              <a16:creationId xmlns:a16="http://schemas.microsoft.com/office/drawing/2014/main" id="{35702C7A-7451-4F21-9296-D968D4F4CD16}"/>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91" name="Shape 8">
          <a:extLst>
            <a:ext uri="{FF2B5EF4-FFF2-40B4-BE49-F238E27FC236}">
              <a16:creationId xmlns:a16="http://schemas.microsoft.com/office/drawing/2014/main" id="{6ABEAFFC-BB6E-4A73-8738-BFD21C458576}"/>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92" name="Shape 7">
          <a:extLst>
            <a:ext uri="{FF2B5EF4-FFF2-40B4-BE49-F238E27FC236}">
              <a16:creationId xmlns:a16="http://schemas.microsoft.com/office/drawing/2014/main" id="{94C7C33D-5EDC-43DE-A6D9-D77AF78A12EC}"/>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93" name="Shape 8">
          <a:extLst>
            <a:ext uri="{FF2B5EF4-FFF2-40B4-BE49-F238E27FC236}">
              <a16:creationId xmlns:a16="http://schemas.microsoft.com/office/drawing/2014/main" id="{DB3E2936-18DB-4534-93F9-4581EA1D8843}"/>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94" name="Shape 8">
          <a:extLst>
            <a:ext uri="{FF2B5EF4-FFF2-40B4-BE49-F238E27FC236}">
              <a16:creationId xmlns:a16="http://schemas.microsoft.com/office/drawing/2014/main" id="{D786EBFF-2518-4237-84E6-4EA43E803662}"/>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95" name="Shape 7">
          <a:extLst>
            <a:ext uri="{FF2B5EF4-FFF2-40B4-BE49-F238E27FC236}">
              <a16:creationId xmlns:a16="http://schemas.microsoft.com/office/drawing/2014/main" id="{28FA7179-A1E5-40D1-8D21-2EEA5CAC5C3A}"/>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96" name="Shape 8">
          <a:extLst>
            <a:ext uri="{FF2B5EF4-FFF2-40B4-BE49-F238E27FC236}">
              <a16:creationId xmlns:a16="http://schemas.microsoft.com/office/drawing/2014/main" id="{A58E172E-1C8D-453B-A091-3684BCD04485}"/>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97" name="Shape 8">
          <a:extLst>
            <a:ext uri="{FF2B5EF4-FFF2-40B4-BE49-F238E27FC236}">
              <a16:creationId xmlns:a16="http://schemas.microsoft.com/office/drawing/2014/main" id="{BB126160-0F94-444B-BCBB-B6C8361AD070}"/>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098" name="Shape 7">
          <a:extLst>
            <a:ext uri="{FF2B5EF4-FFF2-40B4-BE49-F238E27FC236}">
              <a16:creationId xmlns:a16="http://schemas.microsoft.com/office/drawing/2014/main" id="{927702BD-480F-4A34-B4CE-6E2DDC162555}"/>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099" name="Shape 8">
          <a:extLst>
            <a:ext uri="{FF2B5EF4-FFF2-40B4-BE49-F238E27FC236}">
              <a16:creationId xmlns:a16="http://schemas.microsoft.com/office/drawing/2014/main" id="{9C9D9234-BA43-401F-A3B2-3EC40EF5FFD1}"/>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00" name="Shape 8">
          <a:extLst>
            <a:ext uri="{FF2B5EF4-FFF2-40B4-BE49-F238E27FC236}">
              <a16:creationId xmlns:a16="http://schemas.microsoft.com/office/drawing/2014/main" id="{FA924E03-FE66-441C-90A4-8D6113036BC6}"/>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01" name="Shape 7">
          <a:extLst>
            <a:ext uri="{FF2B5EF4-FFF2-40B4-BE49-F238E27FC236}">
              <a16:creationId xmlns:a16="http://schemas.microsoft.com/office/drawing/2014/main" id="{497239E8-F2C1-4F0A-966D-7C8FA5E27E7C}"/>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02" name="Shape 8">
          <a:extLst>
            <a:ext uri="{FF2B5EF4-FFF2-40B4-BE49-F238E27FC236}">
              <a16:creationId xmlns:a16="http://schemas.microsoft.com/office/drawing/2014/main" id="{1B545B0F-7A5B-4922-87C3-CD9AC6FC8882}"/>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03" name="Shape 8">
          <a:extLst>
            <a:ext uri="{FF2B5EF4-FFF2-40B4-BE49-F238E27FC236}">
              <a16:creationId xmlns:a16="http://schemas.microsoft.com/office/drawing/2014/main" id="{975B4222-9218-40FA-801B-EF0702D6FDC6}"/>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04" name="Shape 7">
          <a:extLst>
            <a:ext uri="{FF2B5EF4-FFF2-40B4-BE49-F238E27FC236}">
              <a16:creationId xmlns:a16="http://schemas.microsoft.com/office/drawing/2014/main" id="{F25A49C4-5435-423E-84DB-F9AD8693FD4E}"/>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05" name="Shape 8">
          <a:extLst>
            <a:ext uri="{FF2B5EF4-FFF2-40B4-BE49-F238E27FC236}">
              <a16:creationId xmlns:a16="http://schemas.microsoft.com/office/drawing/2014/main" id="{FDEC312D-1AA2-447E-8A72-2D9E7E8C99ED}"/>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06" name="Shape 8">
          <a:extLst>
            <a:ext uri="{FF2B5EF4-FFF2-40B4-BE49-F238E27FC236}">
              <a16:creationId xmlns:a16="http://schemas.microsoft.com/office/drawing/2014/main" id="{9F027D84-24FA-4547-97E2-BF14EFADFD3E}"/>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07" name="Shape 7">
          <a:extLst>
            <a:ext uri="{FF2B5EF4-FFF2-40B4-BE49-F238E27FC236}">
              <a16:creationId xmlns:a16="http://schemas.microsoft.com/office/drawing/2014/main" id="{56522234-87B8-4746-8F33-E0DAFC793325}"/>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08" name="Shape 7">
          <a:extLst>
            <a:ext uri="{FF2B5EF4-FFF2-40B4-BE49-F238E27FC236}">
              <a16:creationId xmlns:a16="http://schemas.microsoft.com/office/drawing/2014/main" id="{B92D9FC3-5E33-4110-8491-1AED95ADBC8D}"/>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09" name="Shape 8">
          <a:extLst>
            <a:ext uri="{FF2B5EF4-FFF2-40B4-BE49-F238E27FC236}">
              <a16:creationId xmlns:a16="http://schemas.microsoft.com/office/drawing/2014/main" id="{C5CD23BA-28BC-4BDA-80F0-656E03D6A7C0}"/>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10" name="Shape 8">
          <a:extLst>
            <a:ext uri="{FF2B5EF4-FFF2-40B4-BE49-F238E27FC236}">
              <a16:creationId xmlns:a16="http://schemas.microsoft.com/office/drawing/2014/main" id="{1802B158-9739-428E-9E34-55514A269DBB}"/>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11" name="Shape 7">
          <a:extLst>
            <a:ext uri="{FF2B5EF4-FFF2-40B4-BE49-F238E27FC236}">
              <a16:creationId xmlns:a16="http://schemas.microsoft.com/office/drawing/2014/main" id="{8F29F89D-3966-4EB9-8EB4-B3A493B5ED07}"/>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12" name="Shape 7">
          <a:extLst>
            <a:ext uri="{FF2B5EF4-FFF2-40B4-BE49-F238E27FC236}">
              <a16:creationId xmlns:a16="http://schemas.microsoft.com/office/drawing/2014/main" id="{0DFAC89F-E543-4F50-94CC-2C14B5ABA0E0}"/>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13" name="Shape 8">
          <a:extLst>
            <a:ext uri="{FF2B5EF4-FFF2-40B4-BE49-F238E27FC236}">
              <a16:creationId xmlns:a16="http://schemas.microsoft.com/office/drawing/2014/main" id="{94544A20-5AB1-4C04-9876-B2620EB04D08}"/>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14" name="Shape 7">
          <a:extLst>
            <a:ext uri="{FF2B5EF4-FFF2-40B4-BE49-F238E27FC236}">
              <a16:creationId xmlns:a16="http://schemas.microsoft.com/office/drawing/2014/main" id="{003DFD59-A5AC-4AD7-8976-AECA85F0944A}"/>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15" name="Shape 8">
          <a:extLst>
            <a:ext uri="{FF2B5EF4-FFF2-40B4-BE49-F238E27FC236}">
              <a16:creationId xmlns:a16="http://schemas.microsoft.com/office/drawing/2014/main" id="{5D8D456C-A275-4AF6-86FA-49042F5263F9}"/>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16" name="Shape 7">
          <a:extLst>
            <a:ext uri="{FF2B5EF4-FFF2-40B4-BE49-F238E27FC236}">
              <a16:creationId xmlns:a16="http://schemas.microsoft.com/office/drawing/2014/main" id="{745A5EB9-A915-4EDC-A449-3F561AEE7092}"/>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17" name="Shape 8">
          <a:extLst>
            <a:ext uri="{FF2B5EF4-FFF2-40B4-BE49-F238E27FC236}">
              <a16:creationId xmlns:a16="http://schemas.microsoft.com/office/drawing/2014/main" id="{90F60C6D-D084-4F7C-80C4-9321C89DAD47}"/>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18" name="Shape 7">
          <a:extLst>
            <a:ext uri="{FF2B5EF4-FFF2-40B4-BE49-F238E27FC236}">
              <a16:creationId xmlns:a16="http://schemas.microsoft.com/office/drawing/2014/main" id="{0BD2BB50-A30A-46BD-8083-6ACBA735A8DB}"/>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19" name="Shape 8">
          <a:extLst>
            <a:ext uri="{FF2B5EF4-FFF2-40B4-BE49-F238E27FC236}">
              <a16:creationId xmlns:a16="http://schemas.microsoft.com/office/drawing/2014/main" id="{2C10F1B4-1FDA-4E34-B76E-5A5CF779770A}"/>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20" name="Shape 8">
          <a:extLst>
            <a:ext uri="{FF2B5EF4-FFF2-40B4-BE49-F238E27FC236}">
              <a16:creationId xmlns:a16="http://schemas.microsoft.com/office/drawing/2014/main" id="{6DF5F8F2-AD59-4E23-9B3E-7415104ADA9C}"/>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21" name="Shape 7">
          <a:extLst>
            <a:ext uri="{FF2B5EF4-FFF2-40B4-BE49-F238E27FC236}">
              <a16:creationId xmlns:a16="http://schemas.microsoft.com/office/drawing/2014/main" id="{5B1E6C0D-E661-4DE4-A188-85D5AD8FACA9}"/>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22" name="Shape 8">
          <a:extLst>
            <a:ext uri="{FF2B5EF4-FFF2-40B4-BE49-F238E27FC236}">
              <a16:creationId xmlns:a16="http://schemas.microsoft.com/office/drawing/2014/main" id="{13B58B19-B01B-44C4-8951-FB390E645968}"/>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23" name="Shape 8">
          <a:extLst>
            <a:ext uri="{FF2B5EF4-FFF2-40B4-BE49-F238E27FC236}">
              <a16:creationId xmlns:a16="http://schemas.microsoft.com/office/drawing/2014/main" id="{5F568846-9A41-4A28-A408-1179E83B5A2F}"/>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24" name="Shape 7">
          <a:extLst>
            <a:ext uri="{FF2B5EF4-FFF2-40B4-BE49-F238E27FC236}">
              <a16:creationId xmlns:a16="http://schemas.microsoft.com/office/drawing/2014/main" id="{E4FE0FFE-E106-4626-A983-DBB8667C56DE}"/>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25" name="Shape 8">
          <a:extLst>
            <a:ext uri="{FF2B5EF4-FFF2-40B4-BE49-F238E27FC236}">
              <a16:creationId xmlns:a16="http://schemas.microsoft.com/office/drawing/2014/main" id="{10B2321C-FCFB-4A06-AC8D-B7FC980FAA8A}"/>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26" name="Shape 8">
          <a:extLst>
            <a:ext uri="{FF2B5EF4-FFF2-40B4-BE49-F238E27FC236}">
              <a16:creationId xmlns:a16="http://schemas.microsoft.com/office/drawing/2014/main" id="{198A8139-9E7F-4B94-839D-0C130796B50A}"/>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27" name="Shape 7">
          <a:extLst>
            <a:ext uri="{FF2B5EF4-FFF2-40B4-BE49-F238E27FC236}">
              <a16:creationId xmlns:a16="http://schemas.microsoft.com/office/drawing/2014/main" id="{F8E49523-134A-4BAA-B2AB-440C2E3729F1}"/>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28" name="Shape 8">
          <a:extLst>
            <a:ext uri="{FF2B5EF4-FFF2-40B4-BE49-F238E27FC236}">
              <a16:creationId xmlns:a16="http://schemas.microsoft.com/office/drawing/2014/main" id="{590F6452-2171-40B3-931D-EF67D9A400DA}"/>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29" name="Shape 8">
          <a:extLst>
            <a:ext uri="{FF2B5EF4-FFF2-40B4-BE49-F238E27FC236}">
              <a16:creationId xmlns:a16="http://schemas.microsoft.com/office/drawing/2014/main" id="{5B1E8CF6-482B-400B-AFE1-7E6D0DC2E5E2}"/>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30" name="Shape 7">
          <a:extLst>
            <a:ext uri="{FF2B5EF4-FFF2-40B4-BE49-F238E27FC236}">
              <a16:creationId xmlns:a16="http://schemas.microsoft.com/office/drawing/2014/main" id="{5BF25F21-92C8-4027-BDEA-8C1295BBF495}"/>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31" name="Shape 8">
          <a:extLst>
            <a:ext uri="{FF2B5EF4-FFF2-40B4-BE49-F238E27FC236}">
              <a16:creationId xmlns:a16="http://schemas.microsoft.com/office/drawing/2014/main" id="{5B85D0A0-EA22-4D9F-BA07-0AC4074158BE}"/>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32" name="Shape 8">
          <a:extLst>
            <a:ext uri="{FF2B5EF4-FFF2-40B4-BE49-F238E27FC236}">
              <a16:creationId xmlns:a16="http://schemas.microsoft.com/office/drawing/2014/main" id="{8A75C2DE-62C9-4E8B-84B0-8F95805F703A}"/>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33" name="Shape 7">
          <a:extLst>
            <a:ext uri="{FF2B5EF4-FFF2-40B4-BE49-F238E27FC236}">
              <a16:creationId xmlns:a16="http://schemas.microsoft.com/office/drawing/2014/main" id="{5DDFD3D9-1314-4A38-84E4-436AD0870BB9}"/>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34" name="Shape 7">
          <a:extLst>
            <a:ext uri="{FF2B5EF4-FFF2-40B4-BE49-F238E27FC236}">
              <a16:creationId xmlns:a16="http://schemas.microsoft.com/office/drawing/2014/main" id="{C192D211-5A71-4F24-83E0-17C367BA525E}"/>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35" name="Shape 8">
          <a:extLst>
            <a:ext uri="{FF2B5EF4-FFF2-40B4-BE49-F238E27FC236}">
              <a16:creationId xmlns:a16="http://schemas.microsoft.com/office/drawing/2014/main" id="{CAE541B2-35D6-4B49-8F0F-D62288707844}"/>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36" name="Shape 8">
          <a:extLst>
            <a:ext uri="{FF2B5EF4-FFF2-40B4-BE49-F238E27FC236}">
              <a16:creationId xmlns:a16="http://schemas.microsoft.com/office/drawing/2014/main" id="{7BB89588-814D-4DAF-AAEE-B216EC5D7592}"/>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37" name="Shape 7">
          <a:extLst>
            <a:ext uri="{FF2B5EF4-FFF2-40B4-BE49-F238E27FC236}">
              <a16:creationId xmlns:a16="http://schemas.microsoft.com/office/drawing/2014/main" id="{1B0E16FF-25BD-490C-A507-14B48534F107}"/>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38" name="Shape 7">
          <a:extLst>
            <a:ext uri="{FF2B5EF4-FFF2-40B4-BE49-F238E27FC236}">
              <a16:creationId xmlns:a16="http://schemas.microsoft.com/office/drawing/2014/main" id="{9085D9F9-976F-4585-B7F6-B2CA2447978F}"/>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39" name="Shape 8">
          <a:extLst>
            <a:ext uri="{FF2B5EF4-FFF2-40B4-BE49-F238E27FC236}">
              <a16:creationId xmlns:a16="http://schemas.microsoft.com/office/drawing/2014/main" id="{808570C6-F968-45FB-8482-E3A1D1D6431C}"/>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40" name="Shape 7">
          <a:extLst>
            <a:ext uri="{FF2B5EF4-FFF2-40B4-BE49-F238E27FC236}">
              <a16:creationId xmlns:a16="http://schemas.microsoft.com/office/drawing/2014/main" id="{8C3EFBAD-2587-4334-BA42-4350989007FF}"/>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41" name="Shape 8">
          <a:extLst>
            <a:ext uri="{FF2B5EF4-FFF2-40B4-BE49-F238E27FC236}">
              <a16:creationId xmlns:a16="http://schemas.microsoft.com/office/drawing/2014/main" id="{7CE6C50E-CC8A-47B4-8966-6660B5ABFCFF}"/>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42" name="Shape 7">
          <a:extLst>
            <a:ext uri="{FF2B5EF4-FFF2-40B4-BE49-F238E27FC236}">
              <a16:creationId xmlns:a16="http://schemas.microsoft.com/office/drawing/2014/main" id="{50DCDE59-EE69-4D58-A9BF-8E27D797C31F}"/>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43" name="Shape 8">
          <a:extLst>
            <a:ext uri="{FF2B5EF4-FFF2-40B4-BE49-F238E27FC236}">
              <a16:creationId xmlns:a16="http://schemas.microsoft.com/office/drawing/2014/main" id="{7C801920-B338-48ED-B65C-FB2DCA662833}"/>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44" name="Shape 7">
          <a:extLst>
            <a:ext uri="{FF2B5EF4-FFF2-40B4-BE49-F238E27FC236}">
              <a16:creationId xmlns:a16="http://schemas.microsoft.com/office/drawing/2014/main" id="{7885FE0D-8B61-43C1-B934-FA4423F3BDBC}"/>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45" name="Shape 8">
          <a:extLst>
            <a:ext uri="{FF2B5EF4-FFF2-40B4-BE49-F238E27FC236}">
              <a16:creationId xmlns:a16="http://schemas.microsoft.com/office/drawing/2014/main" id="{5C3F8C34-38EC-45E2-A213-6A565C01B725}"/>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46" name="Shape 8">
          <a:extLst>
            <a:ext uri="{FF2B5EF4-FFF2-40B4-BE49-F238E27FC236}">
              <a16:creationId xmlns:a16="http://schemas.microsoft.com/office/drawing/2014/main" id="{3739FBC1-6D28-4821-A81E-9932E72FBFFA}"/>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47" name="Shape 7">
          <a:extLst>
            <a:ext uri="{FF2B5EF4-FFF2-40B4-BE49-F238E27FC236}">
              <a16:creationId xmlns:a16="http://schemas.microsoft.com/office/drawing/2014/main" id="{E5098D40-3DAE-4AF9-BE3D-93A2C89B5934}"/>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48" name="Shape 8">
          <a:extLst>
            <a:ext uri="{FF2B5EF4-FFF2-40B4-BE49-F238E27FC236}">
              <a16:creationId xmlns:a16="http://schemas.microsoft.com/office/drawing/2014/main" id="{13430D58-1FB7-4937-88F2-1A28ADAEC10A}"/>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49" name="Shape 8">
          <a:extLst>
            <a:ext uri="{FF2B5EF4-FFF2-40B4-BE49-F238E27FC236}">
              <a16:creationId xmlns:a16="http://schemas.microsoft.com/office/drawing/2014/main" id="{88FFA7AB-A2A6-49C8-9C1D-2CCD81B3FE87}"/>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50" name="Shape 7">
          <a:extLst>
            <a:ext uri="{FF2B5EF4-FFF2-40B4-BE49-F238E27FC236}">
              <a16:creationId xmlns:a16="http://schemas.microsoft.com/office/drawing/2014/main" id="{DE45F124-34F9-45EA-9024-284F55736922}"/>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51" name="Shape 8">
          <a:extLst>
            <a:ext uri="{FF2B5EF4-FFF2-40B4-BE49-F238E27FC236}">
              <a16:creationId xmlns:a16="http://schemas.microsoft.com/office/drawing/2014/main" id="{EA67F801-E675-4E8A-9CF1-A1C818AC83A2}"/>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52" name="Shape 8">
          <a:extLst>
            <a:ext uri="{FF2B5EF4-FFF2-40B4-BE49-F238E27FC236}">
              <a16:creationId xmlns:a16="http://schemas.microsoft.com/office/drawing/2014/main" id="{C35D468A-F708-4B89-8756-B74D538EDFB2}"/>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53" name="Shape 7">
          <a:extLst>
            <a:ext uri="{FF2B5EF4-FFF2-40B4-BE49-F238E27FC236}">
              <a16:creationId xmlns:a16="http://schemas.microsoft.com/office/drawing/2014/main" id="{2E06A40B-F833-4674-BB41-1D7462C938C2}"/>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54" name="Shape 8">
          <a:extLst>
            <a:ext uri="{FF2B5EF4-FFF2-40B4-BE49-F238E27FC236}">
              <a16:creationId xmlns:a16="http://schemas.microsoft.com/office/drawing/2014/main" id="{C7F89EEF-73BA-4C0C-8F57-9B3BFB6838BF}"/>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55" name="Shape 8">
          <a:extLst>
            <a:ext uri="{FF2B5EF4-FFF2-40B4-BE49-F238E27FC236}">
              <a16:creationId xmlns:a16="http://schemas.microsoft.com/office/drawing/2014/main" id="{668838E6-164C-49D2-ADFD-4415DFC9EE56}"/>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56" name="Shape 7">
          <a:extLst>
            <a:ext uri="{FF2B5EF4-FFF2-40B4-BE49-F238E27FC236}">
              <a16:creationId xmlns:a16="http://schemas.microsoft.com/office/drawing/2014/main" id="{BB259B6F-44AB-481E-A368-101F8135BC52}"/>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57" name="Shape 8">
          <a:extLst>
            <a:ext uri="{FF2B5EF4-FFF2-40B4-BE49-F238E27FC236}">
              <a16:creationId xmlns:a16="http://schemas.microsoft.com/office/drawing/2014/main" id="{FE474459-989D-4C28-90C7-0BC86991BDBB}"/>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58" name="Shape 8">
          <a:extLst>
            <a:ext uri="{FF2B5EF4-FFF2-40B4-BE49-F238E27FC236}">
              <a16:creationId xmlns:a16="http://schemas.microsoft.com/office/drawing/2014/main" id="{98503288-C5DF-44FD-97AC-2BCF80F74F55}"/>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59" name="Shape 7">
          <a:extLst>
            <a:ext uri="{FF2B5EF4-FFF2-40B4-BE49-F238E27FC236}">
              <a16:creationId xmlns:a16="http://schemas.microsoft.com/office/drawing/2014/main" id="{BDF04B72-4E78-490D-BCF5-F5930A0BA2AB}"/>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60" name="Shape 7">
          <a:extLst>
            <a:ext uri="{FF2B5EF4-FFF2-40B4-BE49-F238E27FC236}">
              <a16:creationId xmlns:a16="http://schemas.microsoft.com/office/drawing/2014/main" id="{048830D2-32B6-40F2-9E1F-362C8FE3C6E7}"/>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61" name="Shape 8">
          <a:extLst>
            <a:ext uri="{FF2B5EF4-FFF2-40B4-BE49-F238E27FC236}">
              <a16:creationId xmlns:a16="http://schemas.microsoft.com/office/drawing/2014/main" id="{11475718-6C1D-4B9B-8136-63709BF72D72}"/>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62" name="Shape 8">
          <a:extLst>
            <a:ext uri="{FF2B5EF4-FFF2-40B4-BE49-F238E27FC236}">
              <a16:creationId xmlns:a16="http://schemas.microsoft.com/office/drawing/2014/main" id="{DEC18BB5-3B56-4C60-B7C0-2DEC6A84F7AD}"/>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63" name="Shape 7">
          <a:extLst>
            <a:ext uri="{FF2B5EF4-FFF2-40B4-BE49-F238E27FC236}">
              <a16:creationId xmlns:a16="http://schemas.microsoft.com/office/drawing/2014/main" id="{EF2F2EE6-8313-4BDE-8BD2-F56F1012BA15}"/>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64" name="Shape 7">
          <a:extLst>
            <a:ext uri="{FF2B5EF4-FFF2-40B4-BE49-F238E27FC236}">
              <a16:creationId xmlns:a16="http://schemas.microsoft.com/office/drawing/2014/main" id="{88587469-01B7-4035-B815-B9351ECE1EA4}"/>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65" name="Shape 8">
          <a:extLst>
            <a:ext uri="{FF2B5EF4-FFF2-40B4-BE49-F238E27FC236}">
              <a16:creationId xmlns:a16="http://schemas.microsoft.com/office/drawing/2014/main" id="{A080BDE7-6D73-41FA-A7E3-008367302047}"/>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66" name="Shape 7">
          <a:extLst>
            <a:ext uri="{FF2B5EF4-FFF2-40B4-BE49-F238E27FC236}">
              <a16:creationId xmlns:a16="http://schemas.microsoft.com/office/drawing/2014/main" id="{08AE7586-082D-48BE-AD05-6C7AC3A2D1AB}"/>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67" name="Shape 8">
          <a:extLst>
            <a:ext uri="{FF2B5EF4-FFF2-40B4-BE49-F238E27FC236}">
              <a16:creationId xmlns:a16="http://schemas.microsoft.com/office/drawing/2014/main" id="{EFDAF344-9BF2-4D19-95FA-EF8A8F0BAA84}"/>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68" name="Shape 7">
          <a:extLst>
            <a:ext uri="{FF2B5EF4-FFF2-40B4-BE49-F238E27FC236}">
              <a16:creationId xmlns:a16="http://schemas.microsoft.com/office/drawing/2014/main" id="{BC37EA9B-A7A4-4FED-BD45-CCEE6AC6BAF0}"/>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69" name="Shape 8">
          <a:extLst>
            <a:ext uri="{FF2B5EF4-FFF2-40B4-BE49-F238E27FC236}">
              <a16:creationId xmlns:a16="http://schemas.microsoft.com/office/drawing/2014/main" id="{FC8C0C42-E245-4C6A-A3D6-8FDD4AB5D053}"/>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70" name="Shape 7">
          <a:extLst>
            <a:ext uri="{FF2B5EF4-FFF2-40B4-BE49-F238E27FC236}">
              <a16:creationId xmlns:a16="http://schemas.microsoft.com/office/drawing/2014/main" id="{9419C0CB-58D0-4E3F-AF29-A1A673F5A6DF}"/>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71" name="Shape 8">
          <a:extLst>
            <a:ext uri="{FF2B5EF4-FFF2-40B4-BE49-F238E27FC236}">
              <a16:creationId xmlns:a16="http://schemas.microsoft.com/office/drawing/2014/main" id="{FBF70A09-569A-4E2F-9566-3CCF43E80097}"/>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72" name="Shape 8">
          <a:extLst>
            <a:ext uri="{FF2B5EF4-FFF2-40B4-BE49-F238E27FC236}">
              <a16:creationId xmlns:a16="http://schemas.microsoft.com/office/drawing/2014/main" id="{7F4D3A79-1E97-401F-A1DE-0740F4958962}"/>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73" name="Shape 7">
          <a:extLst>
            <a:ext uri="{FF2B5EF4-FFF2-40B4-BE49-F238E27FC236}">
              <a16:creationId xmlns:a16="http://schemas.microsoft.com/office/drawing/2014/main" id="{3C0C723F-0C8A-420A-8B12-A6017E6ACA15}"/>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74" name="Shape 8">
          <a:extLst>
            <a:ext uri="{FF2B5EF4-FFF2-40B4-BE49-F238E27FC236}">
              <a16:creationId xmlns:a16="http://schemas.microsoft.com/office/drawing/2014/main" id="{BA09644D-D923-4126-993C-7E460A8FD091}"/>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75" name="Shape 8">
          <a:extLst>
            <a:ext uri="{FF2B5EF4-FFF2-40B4-BE49-F238E27FC236}">
              <a16:creationId xmlns:a16="http://schemas.microsoft.com/office/drawing/2014/main" id="{848385A9-B9FE-4915-BD99-19751EF15F30}"/>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76" name="Shape 7">
          <a:extLst>
            <a:ext uri="{FF2B5EF4-FFF2-40B4-BE49-F238E27FC236}">
              <a16:creationId xmlns:a16="http://schemas.microsoft.com/office/drawing/2014/main" id="{5B1207FF-F204-4940-B64B-D8D3503FC3E9}"/>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77" name="Shape 8">
          <a:extLst>
            <a:ext uri="{FF2B5EF4-FFF2-40B4-BE49-F238E27FC236}">
              <a16:creationId xmlns:a16="http://schemas.microsoft.com/office/drawing/2014/main" id="{72896EE4-E05A-465C-92BE-0F046D81822C}"/>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78" name="Shape 8">
          <a:extLst>
            <a:ext uri="{FF2B5EF4-FFF2-40B4-BE49-F238E27FC236}">
              <a16:creationId xmlns:a16="http://schemas.microsoft.com/office/drawing/2014/main" id="{4F27253E-9C95-47BA-A21E-6C27C1570217}"/>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79" name="Shape 7">
          <a:extLst>
            <a:ext uri="{FF2B5EF4-FFF2-40B4-BE49-F238E27FC236}">
              <a16:creationId xmlns:a16="http://schemas.microsoft.com/office/drawing/2014/main" id="{D3EEDFC2-A737-4E52-8DC2-FAA2A658CFEB}"/>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80" name="Shape 8">
          <a:extLst>
            <a:ext uri="{FF2B5EF4-FFF2-40B4-BE49-F238E27FC236}">
              <a16:creationId xmlns:a16="http://schemas.microsoft.com/office/drawing/2014/main" id="{50AAB793-A2AE-404A-ABFE-B48FDC239DA7}"/>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81" name="Shape 8">
          <a:extLst>
            <a:ext uri="{FF2B5EF4-FFF2-40B4-BE49-F238E27FC236}">
              <a16:creationId xmlns:a16="http://schemas.microsoft.com/office/drawing/2014/main" id="{F0C43570-6195-4A80-AA65-AC0BAE9EBA04}"/>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82" name="Shape 7">
          <a:extLst>
            <a:ext uri="{FF2B5EF4-FFF2-40B4-BE49-F238E27FC236}">
              <a16:creationId xmlns:a16="http://schemas.microsoft.com/office/drawing/2014/main" id="{90613F4D-9929-4C26-B8B9-C67829DA4610}"/>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83" name="Shape 8">
          <a:extLst>
            <a:ext uri="{FF2B5EF4-FFF2-40B4-BE49-F238E27FC236}">
              <a16:creationId xmlns:a16="http://schemas.microsoft.com/office/drawing/2014/main" id="{109EF010-C8F2-412B-BA3B-50EC662EB745}"/>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84" name="Shape 8">
          <a:extLst>
            <a:ext uri="{FF2B5EF4-FFF2-40B4-BE49-F238E27FC236}">
              <a16:creationId xmlns:a16="http://schemas.microsoft.com/office/drawing/2014/main" id="{2AB69472-5004-434C-9D5C-FEA671B5542C}"/>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85" name="Shape 7">
          <a:extLst>
            <a:ext uri="{FF2B5EF4-FFF2-40B4-BE49-F238E27FC236}">
              <a16:creationId xmlns:a16="http://schemas.microsoft.com/office/drawing/2014/main" id="{AD4149EF-6BEC-4D9E-82FD-5300D5AB6C78}"/>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86" name="Shape 7">
          <a:extLst>
            <a:ext uri="{FF2B5EF4-FFF2-40B4-BE49-F238E27FC236}">
              <a16:creationId xmlns:a16="http://schemas.microsoft.com/office/drawing/2014/main" id="{9108BFE5-5501-4B10-B16D-18E33F988684}"/>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87" name="Shape 8">
          <a:extLst>
            <a:ext uri="{FF2B5EF4-FFF2-40B4-BE49-F238E27FC236}">
              <a16:creationId xmlns:a16="http://schemas.microsoft.com/office/drawing/2014/main" id="{F41420C5-AE9B-431F-BCEE-19FD6BBDED36}"/>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88" name="Shape 8">
          <a:extLst>
            <a:ext uri="{FF2B5EF4-FFF2-40B4-BE49-F238E27FC236}">
              <a16:creationId xmlns:a16="http://schemas.microsoft.com/office/drawing/2014/main" id="{2A45C596-1E20-4F28-B377-E3B59B7C0017}"/>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89" name="Shape 7">
          <a:extLst>
            <a:ext uri="{FF2B5EF4-FFF2-40B4-BE49-F238E27FC236}">
              <a16:creationId xmlns:a16="http://schemas.microsoft.com/office/drawing/2014/main" id="{7EE3D37E-3BF6-44FF-90E6-AD8CCF00E8FA}"/>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13</xdr:col>
      <xdr:colOff>733425</xdr:colOff>
      <xdr:row>15</xdr:row>
      <xdr:rowOff>0</xdr:rowOff>
    </xdr:from>
    <xdr:ext cx="38100" cy="38100"/>
    <xdr:sp macro="" textlink="">
      <xdr:nvSpPr>
        <xdr:cNvPr id="4190" name="Shape 7">
          <a:extLst>
            <a:ext uri="{FF2B5EF4-FFF2-40B4-BE49-F238E27FC236}">
              <a16:creationId xmlns:a16="http://schemas.microsoft.com/office/drawing/2014/main" id="{CA0966DC-4CE1-413B-8104-CC279880E266}"/>
            </a:ext>
          </a:extLst>
        </xdr:cNvPr>
        <xdr:cNvSpPr>
          <a:spLocks noChangeArrowheads="1"/>
        </xdr:cNvSpPr>
      </xdr:nvSpPr>
      <xdr:spPr bwMode="auto">
        <a:xfrm>
          <a:off x="11210925" y="4733925"/>
          <a:ext cx="381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oneCellAnchor>
    <xdr:from>
      <xdr:col>14</xdr:col>
      <xdr:colOff>733425</xdr:colOff>
      <xdr:row>15</xdr:row>
      <xdr:rowOff>0</xdr:rowOff>
    </xdr:from>
    <xdr:ext cx="190500" cy="38100"/>
    <xdr:sp macro="" textlink="">
      <xdr:nvSpPr>
        <xdr:cNvPr id="4191" name="Shape 8">
          <a:extLst>
            <a:ext uri="{FF2B5EF4-FFF2-40B4-BE49-F238E27FC236}">
              <a16:creationId xmlns:a16="http://schemas.microsoft.com/office/drawing/2014/main" id="{BA46FEF4-7500-4B93-B687-54D870A37525}"/>
            </a:ext>
          </a:extLst>
        </xdr:cNvPr>
        <xdr:cNvSpPr>
          <a:spLocks noChangeArrowheads="1"/>
        </xdr:cNvSpPr>
      </xdr:nvSpPr>
      <xdr:spPr bwMode="auto">
        <a:xfrm>
          <a:off x="11944350" y="4733925"/>
          <a:ext cx="190500" cy="38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sp>
    <xdr:clientData fLocksWithSheet="0"/>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F568D-16BB-4159-8098-4F00E9670ED9}">
  <sheetPr>
    <pageSetUpPr fitToPage="1"/>
  </sheetPr>
  <dimension ref="A1:GR8206"/>
  <sheetViews>
    <sheetView tabSelected="1" zoomScaleNormal="100" workbookViewId="0">
      <pane xSplit="5" ySplit="1" topLeftCell="I80" activePane="bottomRight" state="frozen"/>
      <selection pane="topRight" activeCell="H1" sqref="H1"/>
      <selection pane="bottomLeft" activeCell="A2" sqref="A2"/>
      <selection pane="bottomRight" activeCell="C23" sqref="C23"/>
    </sheetView>
  </sheetViews>
  <sheetFormatPr defaultRowHeight="12.75" x14ac:dyDescent="0.2"/>
  <cols>
    <col min="1" max="1" width="49" style="318" customWidth="1"/>
    <col min="2" max="2" width="25.7109375" style="318" customWidth="1"/>
    <col min="3" max="3" width="9.28515625" style="367" customWidth="1"/>
    <col min="4" max="4" width="9.28515625" style="403" customWidth="1"/>
    <col min="5" max="5" width="9.85546875" style="369" hidden="1" customWidth="1"/>
    <col min="6" max="6" width="9.28515625" style="369" hidden="1" customWidth="1"/>
    <col min="7" max="7" width="9.85546875" style="369" hidden="1" customWidth="1"/>
    <col min="8" max="8" width="10.42578125" style="369" hidden="1" customWidth="1"/>
    <col min="9" max="9" width="11.140625" style="370" customWidth="1"/>
    <col min="10" max="10" width="6.7109375" customWidth="1"/>
    <col min="11" max="11" width="11.5703125" style="371" customWidth="1"/>
    <col min="12" max="12" width="4.7109375" style="371" customWidth="1"/>
    <col min="13" max="13" width="10.140625" style="371" customWidth="1"/>
    <col min="14" max="14" width="12.140625" style="371" customWidth="1"/>
    <col min="15" max="245" width="9.140625" style="305"/>
    <col min="246" max="246" width="49" style="305" customWidth="1"/>
    <col min="247" max="247" width="25.7109375" style="305" customWidth="1"/>
    <col min="248" max="249" width="8.7109375" style="305" customWidth="1"/>
    <col min="250" max="251" width="9.28515625" style="305" customWidth="1"/>
    <col min="252" max="252" width="9.85546875" style="305" customWidth="1"/>
    <col min="253" max="253" width="9.28515625" style="305" customWidth="1"/>
    <col min="254" max="254" width="9.85546875" style="305" customWidth="1"/>
    <col min="255" max="255" width="10.42578125" style="305" customWidth="1"/>
    <col min="256" max="256" width="11.140625" style="305" customWidth="1"/>
    <col min="257" max="257" width="6.7109375" style="305" customWidth="1"/>
    <col min="258" max="258" width="11.5703125" style="305" customWidth="1"/>
    <col min="259" max="259" width="4.7109375" style="305" customWidth="1"/>
    <col min="260" max="260" width="10.140625" style="305" customWidth="1"/>
    <col min="261" max="261" width="12.140625" style="305" customWidth="1"/>
    <col min="262" max="262" width="8.7109375" style="305" customWidth="1"/>
    <col min="263" max="263" width="7.7109375" style="305" customWidth="1"/>
    <col min="264" max="264" width="9.28515625" style="305" customWidth="1"/>
    <col min="265" max="265" width="6.5703125" style="305" customWidth="1"/>
    <col min="266" max="266" width="8.5703125" style="305" customWidth="1"/>
    <col min="267" max="267" width="11" style="305" customWidth="1"/>
    <col min="268" max="501" width="9.140625" style="305"/>
    <col min="502" max="502" width="49" style="305" customWidth="1"/>
    <col min="503" max="503" width="25.7109375" style="305" customWidth="1"/>
    <col min="504" max="505" width="8.7109375" style="305" customWidth="1"/>
    <col min="506" max="507" width="9.28515625" style="305" customWidth="1"/>
    <col min="508" max="508" width="9.85546875" style="305" customWidth="1"/>
    <col min="509" max="509" width="9.28515625" style="305" customWidth="1"/>
    <col min="510" max="510" width="9.85546875" style="305" customWidth="1"/>
    <col min="511" max="511" width="10.42578125" style="305" customWidth="1"/>
    <col min="512" max="512" width="11.140625" style="305" customWidth="1"/>
    <col min="513" max="513" width="6.7109375" style="305" customWidth="1"/>
    <col min="514" max="514" width="11.5703125" style="305" customWidth="1"/>
    <col min="515" max="515" width="4.7109375" style="305" customWidth="1"/>
    <col min="516" max="516" width="10.140625" style="305" customWidth="1"/>
    <col min="517" max="517" width="12.140625" style="305" customWidth="1"/>
    <col min="518" max="518" width="8.7109375" style="305" customWidth="1"/>
    <col min="519" max="519" width="7.7109375" style="305" customWidth="1"/>
    <col min="520" max="520" width="9.28515625" style="305" customWidth="1"/>
    <col min="521" max="521" width="6.5703125" style="305" customWidth="1"/>
    <col min="522" max="522" width="8.5703125" style="305" customWidth="1"/>
    <col min="523" max="523" width="11" style="305" customWidth="1"/>
    <col min="524" max="757" width="9.140625" style="305"/>
    <col min="758" max="758" width="49" style="305" customWidth="1"/>
    <col min="759" max="759" width="25.7109375" style="305" customWidth="1"/>
    <col min="760" max="761" width="8.7109375" style="305" customWidth="1"/>
    <col min="762" max="763" width="9.28515625" style="305" customWidth="1"/>
    <col min="764" max="764" width="9.85546875" style="305" customWidth="1"/>
    <col min="765" max="765" width="9.28515625" style="305" customWidth="1"/>
    <col min="766" max="766" width="9.85546875" style="305" customWidth="1"/>
    <col min="767" max="767" width="10.42578125" style="305" customWidth="1"/>
    <col min="768" max="768" width="11.140625" style="305" customWidth="1"/>
    <col min="769" max="769" width="6.7109375" style="305" customWidth="1"/>
    <col min="770" max="770" width="11.5703125" style="305" customWidth="1"/>
    <col min="771" max="771" width="4.7109375" style="305" customWidth="1"/>
    <col min="772" max="772" width="10.140625" style="305" customWidth="1"/>
    <col min="773" max="773" width="12.140625" style="305" customWidth="1"/>
    <col min="774" max="774" width="8.7109375" style="305" customWidth="1"/>
    <col min="775" max="775" width="7.7109375" style="305" customWidth="1"/>
    <col min="776" max="776" width="9.28515625" style="305" customWidth="1"/>
    <col min="777" max="777" width="6.5703125" style="305" customWidth="1"/>
    <col min="778" max="778" width="8.5703125" style="305" customWidth="1"/>
    <col min="779" max="779" width="11" style="305" customWidth="1"/>
    <col min="780" max="1013" width="9.140625" style="305"/>
    <col min="1014" max="1014" width="49" style="305" customWidth="1"/>
    <col min="1015" max="1015" width="25.7109375" style="305" customWidth="1"/>
    <col min="1016" max="1017" width="8.7109375" style="305" customWidth="1"/>
    <col min="1018" max="1019" width="9.28515625" style="305" customWidth="1"/>
    <col min="1020" max="1020" width="9.85546875" style="305" customWidth="1"/>
    <col min="1021" max="1021" width="9.28515625" style="305" customWidth="1"/>
    <col min="1022" max="1022" width="9.85546875" style="305" customWidth="1"/>
    <col min="1023" max="1023" width="10.42578125" style="305" customWidth="1"/>
    <col min="1024" max="1024" width="11.140625" style="305" customWidth="1"/>
    <col min="1025" max="1025" width="6.7109375" style="305" customWidth="1"/>
    <col min="1026" max="1026" width="11.5703125" style="305" customWidth="1"/>
    <col min="1027" max="1027" width="4.7109375" style="305" customWidth="1"/>
    <col min="1028" max="1028" width="10.140625" style="305" customWidth="1"/>
    <col min="1029" max="1029" width="12.140625" style="305" customWidth="1"/>
    <col min="1030" max="1030" width="8.7109375" style="305" customWidth="1"/>
    <col min="1031" max="1031" width="7.7109375" style="305" customWidth="1"/>
    <col min="1032" max="1032" width="9.28515625" style="305" customWidth="1"/>
    <col min="1033" max="1033" width="6.5703125" style="305" customWidth="1"/>
    <col min="1034" max="1034" width="8.5703125" style="305" customWidth="1"/>
    <col min="1035" max="1035" width="11" style="305" customWidth="1"/>
    <col min="1036" max="1269" width="9.140625" style="305"/>
    <col min="1270" max="1270" width="49" style="305" customWidth="1"/>
    <col min="1271" max="1271" width="25.7109375" style="305" customWidth="1"/>
    <col min="1272" max="1273" width="8.7109375" style="305" customWidth="1"/>
    <col min="1274" max="1275" width="9.28515625" style="305" customWidth="1"/>
    <col min="1276" max="1276" width="9.85546875" style="305" customWidth="1"/>
    <col min="1277" max="1277" width="9.28515625" style="305" customWidth="1"/>
    <col min="1278" max="1278" width="9.85546875" style="305" customWidth="1"/>
    <col min="1279" max="1279" width="10.42578125" style="305" customWidth="1"/>
    <col min="1280" max="1280" width="11.140625" style="305" customWidth="1"/>
    <col min="1281" max="1281" width="6.7109375" style="305" customWidth="1"/>
    <col min="1282" max="1282" width="11.5703125" style="305" customWidth="1"/>
    <col min="1283" max="1283" width="4.7109375" style="305" customWidth="1"/>
    <col min="1284" max="1284" width="10.140625" style="305" customWidth="1"/>
    <col min="1285" max="1285" width="12.140625" style="305" customWidth="1"/>
    <col min="1286" max="1286" width="8.7109375" style="305" customWidth="1"/>
    <col min="1287" max="1287" width="7.7109375" style="305" customWidth="1"/>
    <col min="1288" max="1288" width="9.28515625" style="305" customWidth="1"/>
    <col min="1289" max="1289" width="6.5703125" style="305" customWidth="1"/>
    <col min="1290" max="1290" width="8.5703125" style="305" customWidth="1"/>
    <col min="1291" max="1291" width="11" style="305" customWidth="1"/>
    <col min="1292" max="1525" width="9.140625" style="305"/>
    <col min="1526" max="1526" width="49" style="305" customWidth="1"/>
    <col min="1527" max="1527" width="25.7109375" style="305" customWidth="1"/>
    <col min="1528" max="1529" width="8.7109375" style="305" customWidth="1"/>
    <col min="1530" max="1531" width="9.28515625" style="305" customWidth="1"/>
    <col min="1532" max="1532" width="9.85546875" style="305" customWidth="1"/>
    <col min="1533" max="1533" width="9.28515625" style="305" customWidth="1"/>
    <col min="1534" max="1534" width="9.85546875" style="305" customWidth="1"/>
    <col min="1535" max="1535" width="10.42578125" style="305" customWidth="1"/>
    <col min="1536" max="1536" width="11.140625" style="305" customWidth="1"/>
    <col min="1537" max="1537" width="6.7109375" style="305" customWidth="1"/>
    <col min="1538" max="1538" width="11.5703125" style="305" customWidth="1"/>
    <col min="1539" max="1539" width="4.7109375" style="305" customWidth="1"/>
    <col min="1540" max="1540" width="10.140625" style="305" customWidth="1"/>
    <col min="1541" max="1541" width="12.140625" style="305" customWidth="1"/>
    <col min="1542" max="1542" width="8.7109375" style="305" customWidth="1"/>
    <col min="1543" max="1543" width="7.7109375" style="305" customWidth="1"/>
    <col min="1544" max="1544" width="9.28515625" style="305" customWidth="1"/>
    <col min="1545" max="1545" width="6.5703125" style="305" customWidth="1"/>
    <col min="1546" max="1546" width="8.5703125" style="305" customWidth="1"/>
    <col min="1547" max="1547" width="11" style="305" customWidth="1"/>
    <col min="1548" max="1781" width="9.140625" style="305"/>
    <col min="1782" max="1782" width="49" style="305" customWidth="1"/>
    <col min="1783" max="1783" width="25.7109375" style="305" customWidth="1"/>
    <col min="1784" max="1785" width="8.7109375" style="305" customWidth="1"/>
    <col min="1786" max="1787" width="9.28515625" style="305" customWidth="1"/>
    <col min="1788" max="1788" width="9.85546875" style="305" customWidth="1"/>
    <col min="1789" max="1789" width="9.28515625" style="305" customWidth="1"/>
    <col min="1790" max="1790" width="9.85546875" style="305" customWidth="1"/>
    <col min="1791" max="1791" width="10.42578125" style="305" customWidth="1"/>
    <col min="1792" max="1792" width="11.140625" style="305" customWidth="1"/>
    <col min="1793" max="1793" width="6.7109375" style="305" customWidth="1"/>
    <col min="1794" max="1794" width="11.5703125" style="305" customWidth="1"/>
    <col min="1795" max="1795" width="4.7109375" style="305" customWidth="1"/>
    <col min="1796" max="1796" width="10.140625" style="305" customWidth="1"/>
    <col min="1797" max="1797" width="12.140625" style="305" customWidth="1"/>
    <col min="1798" max="1798" width="8.7109375" style="305" customWidth="1"/>
    <col min="1799" max="1799" width="7.7109375" style="305" customWidth="1"/>
    <col min="1800" max="1800" width="9.28515625" style="305" customWidth="1"/>
    <col min="1801" max="1801" width="6.5703125" style="305" customWidth="1"/>
    <col min="1802" max="1802" width="8.5703125" style="305" customWidth="1"/>
    <col min="1803" max="1803" width="11" style="305" customWidth="1"/>
    <col min="1804" max="2037" width="9.140625" style="305"/>
    <col min="2038" max="2038" width="49" style="305" customWidth="1"/>
    <col min="2039" max="2039" width="25.7109375" style="305" customWidth="1"/>
    <col min="2040" max="2041" width="8.7109375" style="305" customWidth="1"/>
    <col min="2042" max="2043" width="9.28515625" style="305" customWidth="1"/>
    <col min="2044" max="2044" width="9.85546875" style="305" customWidth="1"/>
    <col min="2045" max="2045" width="9.28515625" style="305" customWidth="1"/>
    <col min="2046" max="2046" width="9.85546875" style="305" customWidth="1"/>
    <col min="2047" max="2047" width="10.42578125" style="305" customWidth="1"/>
    <col min="2048" max="2048" width="11.140625" style="305" customWidth="1"/>
    <col min="2049" max="2049" width="6.7109375" style="305" customWidth="1"/>
    <col min="2050" max="2050" width="11.5703125" style="305" customWidth="1"/>
    <col min="2051" max="2051" width="4.7109375" style="305" customWidth="1"/>
    <col min="2052" max="2052" width="10.140625" style="305" customWidth="1"/>
    <col min="2053" max="2053" width="12.140625" style="305" customWidth="1"/>
    <col min="2054" max="2054" width="8.7109375" style="305" customWidth="1"/>
    <col min="2055" max="2055" width="7.7109375" style="305" customWidth="1"/>
    <col min="2056" max="2056" width="9.28515625" style="305" customWidth="1"/>
    <col min="2057" max="2057" width="6.5703125" style="305" customWidth="1"/>
    <col min="2058" max="2058" width="8.5703125" style="305" customWidth="1"/>
    <col min="2059" max="2059" width="11" style="305" customWidth="1"/>
    <col min="2060" max="2293" width="9.140625" style="305"/>
    <col min="2294" max="2294" width="49" style="305" customWidth="1"/>
    <col min="2295" max="2295" width="25.7109375" style="305" customWidth="1"/>
    <col min="2296" max="2297" width="8.7109375" style="305" customWidth="1"/>
    <col min="2298" max="2299" width="9.28515625" style="305" customWidth="1"/>
    <col min="2300" max="2300" width="9.85546875" style="305" customWidth="1"/>
    <col min="2301" max="2301" width="9.28515625" style="305" customWidth="1"/>
    <col min="2302" max="2302" width="9.85546875" style="305" customWidth="1"/>
    <col min="2303" max="2303" width="10.42578125" style="305" customWidth="1"/>
    <col min="2304" max="2304" width="11.140625" style="305" customWidth="1"/>
    <col min="2305" max="2305" width="6.7109375" style="305" customWidth="1"/>
    <col min="2306" max="2306" width="11.5703125" style="305" customWidth="1"/>
    <col min="2307" max="2307" width="4.7109375" style="305" customWidth="1"/>
    <col min="2308" max="2308" width="10.140625" style="305" customWidth="1"/>
    <col min="2309" max="2309" width="12.140625" style="305" customWidth="1"/>
    <col min="2310" max="2310" width="8.7109375" style="305" customWidth="1"/>
    <col min="2311" max="2311" width="7.7109375" style="305" customWidth="1"/>
    <col min="2312" max="2312" width="9.28515625" style="305" customWidth="1"/>
    <col min="2313" max="2313" width="6.5703125" style="305" customWidth="1"/>
    <col min="2314" max="2314" width="8.5703125" style="305" customWidth="1"/>
    <col min="2315" max="2315" width="11" style="305" customWidth="1"/>
    <col min="2316" max="2549" width="9.140625" style="305"/>
    <col min="2550" max="2550" width="49" style="305" customWidth="1"/>
    <col min="2551" max="2551" width="25.7109375" style="305" customWidth="1"/>
    <col min="2552" max="2553" width="8.7109375" style="305" customWidth="1"/>
    <col min="2554" max="2555" width="9.28515625" style="305" customWidth="1"/>
    <col min="2556" max="2556" width="9.85546875" style="305" customWidth="1"/>
    <col min="2557" max="2557" width="9.28515625" style="305" customWidth="1"/>
    <col min="2558" max="2558" width="9.85546875" style="305" customWidth="1"/>
    <col min="2559" max="2559" width="10.42578125" style="305" customWidth="1"/>
    <col min="2560" max="2560" width="11.140625" style="305" customWidth="1"/>
    <col min="2561" max="2561" width="6.7109375" style="305" customWidth="1"/>
    <col min="2562" max="2562" width="11.5703125" style="305" customWidth="1"/>
    <col min="2563" max="2563" width="4.7109375" style="305" customWidth="1"/>
    <col min="2564" max="2564" width="10.140625" style="305" customWidth="1"/>
    <col min="2565" max="2565" width="12.140625" style="305" customWidth="1"/>
    <col min="2566" max="2566" width="8.7109375" style="305" customWidth="1"/>
    <col min="2567" max="2567" width="7.7109375" style="305" customWidth="1"/>
    <col min="2568" max="2568" width="9.28515625" style="305" customWidth="1"/>
    <col min="2569" max="2569" width="6.5703125" style="305" customWidth="1"/>
    <col min="2570" max="2570" width="8.5703125" style="305" customWidth="1"/>
    <col min="2571" max="2571" width="11" style="305" customWidth="1"/>
    <col min="2572" max="2805" width="9.140625" style="305"/>
    <col min="2806" max="2806" width="49" style="305" customWidth="1"/>
    <col min="2807" max="2807" width="25.7109375" style="305" customWidth="1"/>
    <col min="2808" max="2809" width="8.7109375" style="305" customWidth="1"/>
    <col min="2810" max="2811" width="9.28515625" style="305" customWidth="1"/>
    <col min="2812" max="2812" width="9.85546875" style="305" customWidth="1"/>
    <col min="2813" max="2813" width="9.28515625" style="305" customWidth="1"/>
    <col min="2814" max="2814" width="9.85546875" style="305" customWidth="1"/>
    <col min="2815" max="2815" width="10.42578125" style="305" customWidth="1"/>
    <col min="2816" max="2816" width="11.140625" style="305" customWidth="1"/>
    <col min="2817" max="2817" width="6.7109375" style="305" customWidth="1"/>
    <col min="2818" max="2818" width="11.5703125" style="305" customWidth="1"/>
    <col min="2819" max="2819" width="4.7109375" style="305" customWidth="1"/>
    <col min="2820" max="2820" width="10.140625" style="305" customWidth="1"/>
    <col min="2821" max="2821" width="12.140625" style="305" customWidth="1"/>
    <col min="2822" max="2822" width="8.7109375" style="305" customWidth="1"/>
    <col min="2823" max="2823" width="7.7109375" style="305" customWidth="1"/>
    <col min="2824" max="2824" width="9.28515625" style="305" customWidth="1"/>
    <col min="2825" max="2825" width="6.5703125" style="305" customWidth="1"/>
    <col min="2826" max="2826" width="8.5703125" style="305" customWidth="1"/>
    <col min="2827" max="2827" width="11" style="305" customWidth="1"/>
    <col min="2828" max="3061" width="9.140625" style="305"/>
    <col min="3062" max="3062" width="49" style="305" customWidth="1"/>
    <col min="3063" max="3063" width="25.7109375" style="305" customWidth="1"/>
    <col min="3064" max="3065" width="8.7109375" style="305" customWidth="1"/>
    <col min="3066" max="3067" width="9.28515625" style="305" customWidth="1"/>
    <col min="3068" max="3068" width="9.85546875" style="305" customWidth="1"/>
    <col min="3069" max="3069" width="9.28515625" style="305" customWidth="1"/>
    <col min="3070" max="3070" width="9.85546875" style="305" customWidth="1"/>
    <col min="3071" max="3071" width="10.42578125" style="305" customWidth="1"/>
    <col min="3072" max="3072" width="11.140625" style="305" customWidth="1"/>
    <col min="3073" max="3073" width="6.7109375" style="305" customWidth="1"/>
    <col min="3074" max="3074" width="11.5703125" style="305" customWidth="1"/>
    <col min="3075" max="3075" width="4.7109375" style="305" customWidth="1"/>
    <col min="3076" max="3076" width="10.140625" style="305" customWidth="1"/>
    <col min="3077" max="3077" width="12.140625" style="305" customWidth="1"/>
    <col min="3078" max="3078" width="8.7109375" style="305" customWidth="1"/>
    <col min="3079" max="3079" width="7.7109375" style="305" customWidth="1"/>
    <col min="3080" max="3080" width="9.28515625" style="305" customWidth="1"/>
    <col min="3081" max="3081" width="6.5703125" style="305" customWidth="1"/>
    <col min="3082" max="3082" width="8.5703125" style="305" customWidth="1"/>
    <col min="3083" max="3083" width="11" style="305" customWidth="1"/>
    <col min="3084" max="3317" width="9.140625" style="305"/>
    <col min="3318" max="3318" width="49" style="305" customWidth="1"/>
    <col min="3319" max="3319" width="25.7109375" style="305" customWidth="1"/>
    <col min="3320" max="3321" width="8.7109375" style="305" customWidth="1"/>
    <col min="3322" max="3323" width="9.28515625" style="305" customWidth="1"/>
    <col min="3324" max="3324" width="9.85546875" style="305" customWidth="1"/>
    <col min="3325" max="3325" width="9.28515625" style="305" customWidth="1"/>
    <col min="3326" max="3326" width="9.85546875" style="305" customWidth="1"/>
    <col min="3327" max="3327" width="10.42578125" style="305" customWidth="1"/>
    <col min="3328" max="3328" width="11.140625" style="305" customWidth="1"/>
    <col min="3329" max="3329" width="6.7109375" style="305" customWidth="1"/>
    <col min="3330" max="3330" width="11.5703125" style="305" customWidth="1"/>
    <col min="3331" max="3331" width="4.7109375" style="305" customWidth="1"/>
    <col min="3332" max="3332" width="10.140625" style="305" customWidth="1"/>
    <col min="3333" max="3333" width="12.140625" style="305" customWidth="1"/>
    <col min="3334" max="3334" width="8.7109375" style="305" customWidth="1"/>
    <col min="3335" max="3335" width="7.7109375" style="305" customWidth="1"/>
    <col min="3336" max="3336" width="9.28515625" style="305" customWidth="1"/>
    <col min="3337" max="3337" width="6.5703125" style="305" customWidth="1"/>
    <col min="3338" max="3338" width="8.5703125" style="305" customWidth="1"/>
    <col min="3339" max="3339" width="11" style="305" customWidth="1"/>
    <col min="3340" max="3573" width="9.140625" style="305"/>
    <col min="3574" max="3574" width="49" style="305" customWidth="1"/>
    <col min="3575" max="3575" width="25.7109375" style="305" customWidth="1"/>
    <col min="3576" max="3577" width="8.7109375" style="305" customWidth="1"/>
    <col min="3578" max="3579" width="9.28515625" style="305" customWidth="1"/>
    <col min="3580" max="3580" width="9.85546875" style="305" customWidth="1"/>
    <col min="3581" max="3581" width="9.28515625" style="305" customWidth="1"/>
    <col min="3582" max="3582" width="9.85546875" style="305" customWidth="1"/>
    <col min="3583" max="3583" width="10.42578125" style="305" customWidth="1"/>
    <col min="3584" max="3584" width="11.140625" style="305" customWidth="1"/>
    <col min="3585" max="3585" width="6.7109375" style="305" customWidth="1"/>
    <col min="3586" max="3586" width="11.5703125" style="305" customWidth="1"/>
    <col min="3587" max="3587" width="4.7109375" style="305" customWidth="1"/>
    <col min="3588" max="3588" width="10.140625" style="305" customWidth="1"/>
    <col min="3589" max="3589" width="12.140625" style="305" customWidth="1"/>
    <col min="3590" max="3590" width="8.7109375" style="305" customWidth="1"/>
    <col min="3591" max="3591" width="7.7109375" style="305" customWidth="1"/>
    <col min="3592" max="3592" width="9.28515625" style="305" customWidth="1"/>
    <col min="3593" max="3593" width="6.5703125" style="305" customWidth="1"/>
    <col min="3594" max="3594" width="8.5703125" style="305" customWidth="1"/>
    <col min="3595" max="3595" width="11" style="305" customWidth="1"/>
    <col min="3596" max="3829" width="9.140625" style="305"/>
    <col min="3830" max="3830" width="49" style="305" customWidth="1"/>
    <col min="3831" max="3831" width="25.7109375" style="305" customWidth="1"/>
    <col min="3832" max="3833" width="8.7109375" style="305" customWidth="1"/>
    <col min="3834" max="3835" width="9.28515625" style="305" customWidth="1"/>
    <col min="3836" max="3836" width="9.85546875" style="305" customWidth="1"/>
    <col min="3837" max="3837" width="9.28515625" style="305" customWidth="1"/>
    <col min="3838" max="3838" width="9.85546875" style="305" customWidth="1"/>
    <col min="3839" max="3839" width="10.42578125" style="305" customWidth="1"/>
    <col min="3840" max="3840" width="11.140625" style="305" customWidth="1"/>
    <col min="3841" max="3841" width="6.7109375" style="305" customWidth="1"/>
    <col min="3842" max="3842" width="11.5703125" style="305" customWidth="1"/>
    <col min="3843" max="3843" width="4.7109375" style="305" customWidth="1"/>
    <col min="3844" max="3844" width="10.140625" style="305" customWidth="1"/>
    <col min="3845" max="3845" width="12.140625" style="305" customWidth="1"/>
    <col min="3846" max="3846" width="8.7109375" style="305" customWidth="1"/>
    <col min="3847" max="3847" width="7.7109375" style="305" customWidth="1"/>
    <col min="3848" max="3848" width="9.28515625" style="305" customWidth="1"/>
    <col min="3849" max="3849" width="6.5703125" style="305" customWidth="1"/>
    <col min="3850" max="3850" width="8.5703125" style="305" customWidth="1"/>
    <col min="3851" max="3851" width="11" style="305" customWidth="1"/>
    <col min="3852" max="4085" width="9.140625" style="305"/>
    <col min="4086" max="4086" width="49" style="305" customWidth="1"/>
    <col min="4087" max="4087" width="25.7109375" style="305" customWidth="1"/>
    <col min="4088" max="4089" width="8.7109375" style="305" customWidth="1"/>
    <col min="4090" max="4091" width="9.28515625" style="305" customWidth="1"/>
    <col min="4092" max="4092" width="9.85546875" style="305" customWidth="1"/>
    <col min="4093" max="4093" width="9.28515625" style="305" customWidth="1"/>
    <col min="4094" max="4094" width="9.85546875" style="305" customWidth="1"/>
    <col min="4095" max="4095" width="10.42578125" style="305" customWidth="1"/>
    <col min="4096" max="4096" width="11.140625" style="305" customWidth="1"/>
    <col min="4097" max="4097" width="6.7109375" style="305" customWidth="1"/>
    <col min="4098" max="4098" width="11.5703125" style="305" customWidth="1"/>
    <col min="4099" max="4099" width="4.7109375" style="305" customWidth="1"/>
    <col min="4100" max="4100" width="10.140625" style="305" customWidth="1"/>
    <col min="4101" max="4101" width="12.140625" style="305" customWidth="1"/>
    <col min="4102" max="4102" width="8.7109375" style="305" customWidth="1"/>
    <col min="4103" max="4103" width="7.7109375" style="305" customWidth="1"/>
    <col min="4104" max="4104" width="9.28515625" style="305" customWidth="1"/>
    <col min="4105" max="4105" width="6.5703125" style="305" customWidth="1"/>
    <col min="4106" max="4106" width="8.5703125" style="305" customWidth="1"/>
    <col min="4107" max="4107" width="11" style="305" customWidth="1"/>
    <col min="4108" max="4341" width="9.140625" style="305"/>
    <col min="4342" max="4342" width="49" style="305" customWidth="1"/>
    <col min="4343" max="4343" width="25.7109375" style="305" customWidth="1"/>
    <col min="4344" max="4345" width="8.7109375" style="305" customWidth="1"/>
    <col min="4346" max="4347" width="9.28515625" style="305" customWidth="1"/>
    <col min="4348" max="4348" width="9.85546875" style="305" customWidth="1"/>
    <col min="4349" max="4349" width="9.28515625" style="305" customWidth="1"/>
    <col min="4350" max="4350" width="9.85546875" style="305" customWidth="1"/>
    <col min="4351" max="4351" width="10.42578125" style="305" customWidth="1"/>
    <col min="4352" max="4352" width="11.140625" style="305" customWidth="1"/>
    <col min="4353" max="4353" width="6.7109375" style="305" customWidth="1"/>
    <col min="4354" max="4354" width="11.5703125" style="305" customWidth="1"/>
    <col min="4355" max="4355" width="4.7109375" style="305" customWidth="1"/>
    <col min="4356" max="4356" width="10.140625" style="305" customWidth="1"/>
    <col min="4357" max="4357" width="12.140625" style="305" customWidth="1"/>
    <col min="4358" max="4358" width="8.7109375" style="305" customWidth="1"/>
    <col min="4359" max="4359" width="7.7109375" style="305" customWidth="1"/>
    <col min="4360" max="4360" width="9.28515625" style="305" customWidth="1"/>
    <col min="4361" max="4361" width="6.5703125" style="305" customWidth="1"/>
    <col min="4362" max="4362" width="8.5703125" style="305" customWidth="1"/>
    <col min="4363" max="4363" width="11" style="305" customWidth="1"/>
    <col min="4364" max="4597" width="9.140625" style="305"/>
    <col min="4598" max="4598" width="49" style="305" customWidth="1"/>
    <col min="4599" max="4599" width="25.7109375" style="305" customWidth="1"/>
    <col min="4600" max="4601" width="8.7109375" style="305" customWidth="1"/>
    <col min="4602" max="4603" width="9.28515625" style="305" customWidth="1"/>
    <col min="4604" max="4604" width="9.85546875" style="305" customWidth="1"/>
    <col min="4605" max="4605" width="9.28515625" style="305" customWidth="1"/>
    <col min="4606" max="4606" width="9.85546875" style="305" customWidth="1"/>
    <col min="4607" max="4607" width="10.42578125" style="305" customWidth="1"/>
    <col min="4608" max="4608" width="11.140625" style="305" customWidth="1"/>
    <col min="4609" max="4609" width="6.7109375" style="305" customWidth="1"/>
    <col min="4610" max="4610" width="11.5703125" style="305" customWidth="1"/>
    <col min="4611" max="4611" width="4.7109375" style="305" customWidth="1"/>
    <col min="4612" max="4612" width="10.140625" style="305" customWidth="1"/>
    <col min="4613" max="4613" width="12.140625" style="305" customWidth="1"/>
    <col min="4614" max="4614" width="8.7109375" style="305" customWidth="1"/>
    <col min="4615" max="4615" width="7.7109375" style="305" customWidth="1"/>
    <col min="4616" max="4616" width="9.28515625" style="305" customWidth="1"/>
    <col min="4617" max="4617" width="6.5703125" style="305" customWidth="1"/>
    <col min="4618" max="4618" width="8.5703125" style="305" customWidth="1"/>
    <col min="4619" max="4619" width="11" style="305" customWidth="1"/>
    <col min="4620" max="4853" width="9.140625" style="305"/>
    <col min="4854" max="4854" width="49" style="305" customWidth="1"/>
    <col min="4855" max="4855" width="25.7109375" style="305" customWidth="1"/>
    <col min="4856" max="4857" width="8.7109375" style="305" customWidth="1"/>
    <col min="4858" max="4859" width="9.28515625" style="305" customWidth="1"/>
    <col min="4860" max="4860" width="9.85546875" style="305" customWidth="1"/>
    <col min="4861" max="4861" width="9.28515625" style="305" customWidth="1"/>
    <col min="4862" max="4862" width="9.85546875" style="305" customWidth="1"/>
    <col min="4863" max="4863" width="10.42578125" style="305" customWidth="1"/>
    <col min="4864" max="4864" width="11.140625" style="305" customWidth="1"/>
    <col min="4865" max="4865" width="6.7109375" style="305" customWidth="1"/>
    <col min="4866" max="4866" width="11.5703125" style="305" customWidth="1"/>
    <col min="4867" max="4867" width="4.7109375" style="305" customWidth="1"/>
    <col min="4868" max="4868" width="10.140625" style="305" customWidth="1"/>
    <col min="4869" max="4869" width="12.140625" style="305" customWidth="1"/>
    <col min="4870" max="4870" width="8.7109375" style="305" customWidth="1"/>
    <col min="4871" max="4871" width="7.7109375" style="305" customWidth="1"/>
    <col min="4872" max="4872" width="9.28515625" style="305" customWidth="1"/>
    <col min="4873" max="4873" width="6.5703125" style="305" customWidth="1"/>
    <col min="4874" max="4874" width="8.5703125" style="305" customWidth="1"/>
    <col min="4875" max="4875" width="11" style="305" customWidth="1"/>
    <col min="4876" max="5109" width="9.140625" style="305"/>
    <col min="5110" max="5110" width="49" style="305" customWidth="1"/>
    <col min="5111" max="5111" width="25.7109375" style="305" customWidth="1"/>
    <col min="5112" max="5113" width="8.7109375" style="305" customWidth="1"/>
    <col min="5114" max="5115" width="9.28515625" style="305" customWidth="1"/>
    <col min="5116" max="5116" width="9.85546875" style="305" customWidth="1"/>
    <col min="5117" max="5117" width="9.28515625" style="305" customWidth="1"/>
    <col min="5118" max="5118" width="9.85546875" style="305" customWidth="1"/>
    <col min="5119" max="5119" width="10.42578125" style="305" customWidth="1"/>
    <col min="5120" max="5120" width="11.140625" style="305" customWidth="1"/>
    <col min="5121" max="5121" width="6.7109375" style="305" customWidth="1"/>
    <col min="5122" max="5122" width="11.5703125" style="305" customWidth="1"/>
    <col min="5123" max="5123" width="4.7109375" style="305" customWidth="1"/>
    <col min="5124" max="5124" width="10.140625" style="305" customWidth="1"/>
    <col min="5125" max="5125" width="12.140625" style="305" customWidth="1"/>
    <col min="5126" max="5126" width="8.7109375" style="305" customWidth="1"/>
    <col min="5127" max="5127" width="7.7109375" style="305" customWidth="1"/>
    <col min="5128" max="5128" width="9.28515625" style="305" customWidth="1"/>
    <col min="5129" max="5129" width="6.5703125" style="305" customWidth="1"/>
    <col min="5130" max="5130" width="8.5703125" style="305" customWidth="1"/>
    <col min="5131" max="5131" width="11" style="305" customWidth="1"/>
    <col min="5132" max="5365" width="9.140625" style="305"/>
    <col min="5366" max="5366" width="49" style="305" customWidth="1"/>
    <col min="5367" max="5367" width="25.7109375" style="305" customWidth="1"/>
    <col min="5368" max="5369" width="8.7109375" style="305" customWidth="1"/>
    <col min="5370" max="5371" width="9.28515625" style="305" customWidth="1"/>
    <col min="5372" max="5372" width="9.85546875" style="305" customWidth="1"/>
    <col min="5373" max="5373" width="9.28515625" style="305" customWidth="1"/>
    <col min="5374" max="5374" width="9.85546875" style="305" customWidth="1"/>
    <col min="5375" max="5375" width="10.42578125" style="305" customWidth="1"/>
    <col min="5376" max="5376" width="11.140625" style="305" customWidth="1"/>
    <col min="5377" max="5377" width="6.7109375" style="305" customWidth="1"/>
    <col min="5378" max="5378" width="11.5703125" style="305" customWidth="1"/>
    <col min="5379" max="5379" width="4.7109375" style="305" customWidth="1"/>
    <col min="5380" max="5380" width="10.140625" style="305" customWidth="1"/>
    <col min="5381" max="5381" width="12.140625" style="305" customWidth="1"/>
    <col min="5382" max="5382" width="8.7109375" style="305" customWidth="1"/>
    <col min="5383" max="5383" width="7.7109375" style="305" customWidth="1"/>
    <col min="5384" max="5384" width="9.28515625" style="305" customWidth="1"/>
    <col min="5385" max="5385" width="6.5703125" style="305" customWidth="1"/>
    <col min="5386" max="5386" width="8.5703125" style="305" customWidth="1"/>
    <col min="5387" max="5387" width="11" style="305" customWidth="1"/>
    <col min="5388" max="5621" width="9.140625" style="305"/>
    <col min="5622" max="5622" width="49" style="305" customWidth="1"/>
    <col min="5623" max="5623" width="25.7109375" style="305" customWidth="1"/>
    <col min="5624" max="5625" width="8.7109375" style="305" customWidth="1"/>
    <col min="5626" max="5627" width="9.28515625" style="305" customWidth="1"/>
    <col min="5628" max="5628" width="9.85546875" style="305" customWidth="1"/>
    <col min="5629" max="5629" width="9.28515625" style="305" customWidth="1"/>
    <col min="5630" max="5630" width="9.85546875" style="305" customWidth="1"/>
    <col min="5631" max="5631" width="10.42578125" style="305" customWidth="1"/>
    <col min="5632" max="5632" width="11.140625" style="305" customWidth="1"/>
    <col min="5633" max="5633" width="6.7109375" style="305" customWidth="1"/>
    <col min="5634" max="5634" width="11.5703125" style="305" customWidth="1"/>
    <col min="5635" max="5635" width="4.7109375" style="305" customWidth="1"/>
    <col min="5636" max="5636" width="10.140625" style="305" customWidth="1"/>
    <col min="5637" max="5637" width="12.140625" style="305" customWidth="1"/>
    <col min="5638" max="5638" width="8.7109375" style="305" customWidth="1"/>
    <col min="5639" max="5639" width="7.7109375" style="305" customWidth="1"/>
    <col min="5640" max="5640" width="9.28515625" style="305" customWidth="1"/>
    <col min="5641" max="5641" width="6.5703125" style="305" customWidth="1"/>
    <col min="5642" max="5642" width="8.5703125" style="305" customWidth="1"/>
    <col min="5643" max="5643" width="11" style="305" customWidth="1"/>
    <col min="5644" max="5877" width="9.140625" style="305"/>
    <col min="5878" max="5878" width="49" style="305" customWidth="1"/>
    <col min="5879" max="5879" width="25.7109375" style="305" customWidth="1"/>
    <col min="5880" max="5881" width="8.7109375" style="305" customWidth="1"/>
    <col min="5882" max="5883" width="9.28515625" style="305" customWidth="1"/>
    <col min="5884" max="5884" width="9.85546875" style="305" customWidth="1"/>
    <col min="5885" max="5885" width="9.28515625" style="305" customWidth="1"/>
    <col min="5886" max="5886" width="9.85546875" style="305" customWidth="1"/>
    <col min="5887" max="5887" width="10.42578125" style="305" customWidth="1"/>
    <col min="5888" max="5888" width="11.140625" style="305" customWidth="1"/>
    <col min="5889" max="5889" width="6.7109375" style="305" customWidth="1"/>
    <col min="5890" max="5890" width="11.5703125" style="305" customWidth="1"/>
    <col min="5891" max="5891" width="4.7109375" style="305" customWidth="1"/>
    <col min="5892" max="5892" width="10.140625" style="305" customWidth="1"/>
    <col min="5893" max="5893" width="12.140625" style="305" customWidth="1"/>
    <col min="5894" max="5894" width="8.7109375" style="305" customWidth="1"/>
    <col min="5895" max="5895" width="7.7109375" style="305" customWidth="1"/>
    <col min="5896" max="5896" width="9.28515625" style="305" customWidth="1"/>
    <col min="5897" max="5897" width="6.5703125" style="305" customWidth="1"/>
    <col min="5898" max="5898" width="8.5703125" style="305" customWidth="1"/>
    <col min="5899" max="5899" width="11" style="305" customWidth="1"/>
    <col min="5900" max="6133" width="9.140625" style="305"/>
    <col min="6134" max="6134" width="49" style="305" customWidth="1"/>
    <col min="6135" max="6135" width="25.7109375" style="305" customWidth="1"/>
    <col min="6136" max="6137" width="8.7109375" style="305" customWidth="1"/>
    <col min="6138" max="6139" width="9.28515625" style="305" customWidth="1"/>
    <col min="6140" max="6140" width="9.85546875" style="305" customWidth="1"/>
    <col min="6141" max="6141" width="9.28515625" style="305" customWidth="1"/>
    <col min="6142" max="6142" width="9.85546875" style="305" customWidth="1"/>
    <col min="6143" max="6143" width="10.42578125" style="305" customWidth="1"/>
    <col min="6144" max="6144" width="11.140625" style="305" customWidth="1"/>
    <col min="6145" max="6145" width="6.7109375" style="305" customWidth="1"/>
    <col min="6146" max="6146" width="11.5703125" style="305" customWidth="1"/>
    <col min="6147" max="6147" width="4.7109375" style="305" customWidth="1"/>
    <col min="6148" max="6148" width="10.140625" style="305" customWidth="1"/>
    <col min="6149" max="6149" width="12.140625" style="305" customWidth="1"/>
    <col min="6150" max="6150" width="8.7109375" style="305" customWidth="1"/>
    <col min="6151" max="6151" width="7.7109375" style="305" customWidth="1"/>
    <col min="6152" max="6152" width="9.28515625" style="305" customWidth="1"/>
    <col min="6153" max="6153" width="6.5703125" style="305" customWidth="1"/>
    <col min="6154" max="6154" width="8.5703125" style="305" customWidth="1"/>
    <col min="6155" max="6155" width="11" style="305" customWidth="1"/>
    <col min="6156" max="6389" width="9.140625" style="305"/>
    <col min="6390" max="6390" width="49" style="305" customWidth="1"/>
    <col min="6391" max="6391" width="25.7109375" style="305" customWidth="1"/>
    <col min="6392" max="6393" width="8.7109375" style="305" customWidth="1"/>
    <col min="6394" max="6395" width="9.28515625" style="305" customWidth="1"/>
    <col min="6396" max="6396" width="9.85546875" style="305" customWidth="1"/>
    <col min="6397" max="6397" width="9.28515625" style="305" customWidth="1"/>
    <col min="6398" max="6398" width="9.85546875" style="305" customWidth="1"/>
    <col min="6399" max="6399" width="10.42578125" style="305" customWidth="1"/>
    <col min="6400" max="6400" width="11.140625" style="305" customWidth="1"/>
    <col min="6401" max="6401" width="6.7109375" style="305" customWidth="1"/>
    <col min="6402" max="6402" width="11.5703125" style="305" customWidth="1"/>
    <col min="6403" max="6403" width="4.7109375" style="305" customWidth="1"/>
    <col min="6404" max="6404" width="10.140625" style="305" customWidth="1"/>
    <col min="6405" max="6405" width="12.140625" style="305" customWidth="1"/>
    <col min="6406" max="6406" width="8.7109375" style="305" customWidth="1"/>
    <col min="6407" max="6407" width="7.7109375" style="305" customWidth="1"/>
    <col min="6408" max="6408" width="9.28515625" style="305" customWidth="1"/>
    <col min="6409" max="6409" width="6.5703125" style="305" customWidth="1"/>
    <col min="6410" max="6410" width="8.5703125" style="305" customWidth="1"/>
    <col min="6411" max="6411" width="11" style="305" customWidth="1"/>
    <col min="6412" max="6645" width="9.140625" style="305"/>
    <col min="6646" max="6646" width="49" style="305" customWidth="1"/>
    <col min="6647" max="6647" width="25.7109375" style="305" customWidth="1"/>
    <col min="6648" max="6649" width="8.7109375" style="305" customWidth="1"/>
    <col min="6650" max="6651" width="9.28515625" style="305" customWidth="1"/>
    <col min="6652" max="6652" width="9.85546875" style="305" customWidth="1"/>
    <col min="6653" max="6653" width="9.28515625" style="305" customWidth="1"/>
    <col min="6654" max="6654" width="9.85546875" style="305" customWidth="1"/>
    <col min="6655" max="6655" width="10.42578125" style="305" customWidth="1"/>
    <col min="6656" max="6656" width="11.140625" style="305" customWidth="1"/>
    <col min="6657" max="6657" width="6.7109375" style="305" customWidth="1"/>
    <col min="6658" max="6658" width="11.5703125" style="305" customWidth="1"/>
    <col min="6659" max="6659" width="4.7109375" style="305" customWidth="1"/>
    <col min="6660" max="6660" width="10.140625" style="305" customWidth="1"/>
    <col min="6661" max="6661" width="12.140625" style="305" customWidth="1"/>
    <col min="6662" max="6662" width="8.7109375" style="305" customWidth="1"/>
    <col min="6663" max="6663" width="7.7109375" style="305" customWidth="1"/>
    <col min="6664" max="6664" width="9.28515625" style="305" customWidth="1"/>
    <col min="6665" max="6665" width="6.5703125" style="305" customWidth="1"/>
    <col min="6666" max="6666" width="8.5703125" style="305" customWidth="1"/>
    <col min="6667" max="6667" width="11" style="305" customWidth="1"/>
    <col min="6668" max="6901" width="9.140625" style="305"/>
    <col min="6902" max="6902" width="49" style="305" customWidth="1"/>
    <col min="6903" max="6903" width="25.7109375" style="305" customWidth="1"/>
    <col min="6904" max="6905" width="8.7109375" style="305" customWidth="1"/>
    <col min="6906" max="6907" width="9.28515625" style="305" customWidth="1"/>
    <col min="6908" max="6908" width="9.85546875" style="305" customWidth="1"/>
    <col min="6909" max="6909" width="9.28515625" style="305" customWidth="1"/>
    <col min="6910" max="6910" width="9.85546875" style="305" customWidth="1"/>
    <col min="6911" max="6911" width="10.42578125" style="305" customWidth="1"/>
    <col min="6912" max="6912" width="11.140625" style="305" customWidth="1"/>
    <col min="6913" max="6913" width="6.7109375" style="305" customWidth="1"/>
    <col min="6914" max="6914" width="11.5703125" style="305" customWidth="1"/>
    <col min="6915" max="6915" width="4.7109375" style="305" customWidth="1"/>
    <col min="6916" max="6916" width="10.140625" style="305" customWidth="1"/>
    <col min="6917" max="6917" width="12.140625" style="305" customWidth="1"/>
    <col min="6918" max="6918" width="8.7109375" style="305" customWidth="1"/>
    <col min="6919" max="6919" width="7.7109375" style="305" customWidth="1"/>
    <col min="6920" max="6920" width="9.28515625" style="305" customWidth="1"/>
    <col min="6921" max="6921" width="6.5703125" style="305" customWidth="1"/>
    <col min="6922" max="6922" width="8.5703125" style="305" customWidth="1"/>
    <col min="6923" max="6923" width="11" style="305" customWidth="1"/>
    <col min="6924" max="7157" width="9.140625" style="305"/>
    <col min="7158" max="7158" width="49" style="305" customWidth="1"/>
    <col min="7159" max="7159" width="25.7109375" style="305" customWidth="1"/>
    <col min="7160" max="7161" width="8.7109375" style="305" customWidth="1"/>
    <col min="7162" max="7163" width="9.28515625" style="305" customWidth="1"/>
    <col min="7164" max="7164" width="9.85546875" style="305" customWidth="1"/>
    <col min="7165" max="7165" width="9.28515625" style="305" customWidth="1"/>
    <col min="7166" max="7166" width="9.85546875" style="305" customWidth="1"/>
    <col min="7167" max="7167" width="10.42578125" style="305" customWidth="1"/>
    <col min="7168" max="7168" width="11.140625" style="305" customWidth="1"/>
    <col min="7169" max="7169" width="6.7109375" style="305" customWidth="1"/>
    <col min="7170" max="7170" width="11.5703125" style="305" customWidth="1"/>
    <col min="7171" max="7171" width="4.7109375" style="305" customWidth="1"/>
    <col min="7172" max="7172" width="10.140625" style="305" customWidth="1"/>
    <col min="7173" max="7173" width="12.140625" style="305" customWidth="1"/>
    <col min="7174" max="7174" width="8.7109375" style="305" customWidth="1"/>
    <col min="7175" max="7175" width="7.7109375" style="305" customWidth="1"/>
    <col min="7176" max="7176" width="9.28515625" style="305" customWidth="1"/>
    <col min="7177" max="7177" width="6.5703125" style="305" customWidth="1"/>
    <col min="7178" max="7178" width="8.5703125" style="305" customWidth="1"/>
    <col min="7179" max="7179" width="11" style="305" customWidth="1"/>
    <col min="7180" max="7413" width="9.140625" style="305"/>
    <col min="7414" max="7414" width="49" style="305" customWidth="1"/>
    <col min="7415" max="7415" width="25.7109375" style="305" customWidth="1"/>
    <col min="7416" max="7417" width="8.7109375" style="305" customWidth="1"/>
    <col min="7418" max="7419" width="9.28515625" style="305" customWidth="1"/>
    <col min="7420" max="7420" width="9.85546875" style="305" customWidth="1"/>
    <col min="7421" max="7421" width="9.28515625" style="305" customWidth="1"/>
    <col min="7422" max="7422" width="9.85546875" style="305" customWidth="1"/>
    <col min="7423" max="7423" width="10.42578125" style="305" customWidth="1"/>
    <col min="7424" max="7424" width="11.140625" style="305" customWidth="1"/>
    <col min="7425" max="7425" width="6.7109375" style="305" customWidth="1"/>
    <col min="7426" max="7426" width="11.5703125" style="305" customWidth="1"/>
    <col min="7427" max="7427" width="4.7109375" style="305" customWidth="1"/>
    <col min="7428" max="7428" width="10.140625" style="305" customWidth="1"/>
    <col min="7429" max="7429" width="12.140625" style="305" customWidth="1"/>
    <col min="7430" max="7430" width="8.7109375" style="305" customWidth="1"/>
    <col min="7431" max="7431" width="7.7109375" style="305" customWidth="1"/>
    <col min="7432" max="7432" width="9.28515625" style="305" customWidth="1"/>
    <col min="7433" max="7433" width="6.5703125" style="305" customWidth="1"/>
    <col min="7434" max="7434" width="8.5703125" style="305" customWidth="1"/>
    <col min="7435" max="7435" width="11" style="305" customWidth="1"/>
    <col min="7436" max="7669" width="9.140625" style="305"/>
    <col min="7670" max="7670" width="49" style="305" customWidth="1"/>
    <col min="7671" max="7671" width="25.7109375" style="305" customWidth="1"/>
    <col min="7672" max="7673" width="8.7109375" style="305" customWidth="1"/>
    <col min="7674" max="7675" width="9.28515625" style="305" customWidth="1"/>
    <col min="7676" max="7676" width="9.85546875" style="305" customWidth="1"/>
    <col min="7677" max="7677" width="9.28515625" style="305" customWidth="1"/>
    <col min="7678" max="7678" width="9.85546875" style="305" customWidth="1"/>
    <col min="7679" max="7679" width="10.42578125" style="305" customWidth="1"/>
    <col min="7680" max="7680" width="11.140625" style="305" customWidth="1"/>
    <col min="7681" max="7681" width="6.7109375" style="305" customWidth="1"/>
    <col min="7682" max="7682" width="11.5703125" style="305" customWidth="1"/>
    <col min="7683" max="7683" width="4.7109375" style="305" customWidth="1"/>
    <col min="7684" max="7684" width="10.140625" style="305" customWidth="1"/>
    <col min="7685" max="7685" width="12.140625" style="305" customWidth="1"/>
    <col min="7686" max="7686" width="8.7109375" style="305" customWidth="1"/>
    <col min="7687" max="7687" width="7.7109375" style="305" customWidth="1"/>
    <col min="7688" max="7688" width="9.28515625" style="305" customWidth="1"/>
    <col min="7689" max="7689" width="6.5703125" style="305" customWidth="1"/>
    <col min="7690" max="7690" width="8.5703125" style="305" customWidth="1"/>
    <col min="7691" max="7691" width="11" style="305" customWidth="1"/>
    <col min="7692" max="7925" width="9.140625" style="305"/>
    <col min="7926" max="7926" width="49" style="305" customWidth="1"/>
    <col min="7927" max="7927" width="25.7109375" style="305" customWidth="1"/>
    <col min="7928" max="7929" width="8.7109375" style="305" customWidth="1"/>
    <col min="7930" max="7931" width="9.28515625" style="305" customWidth="1"/>
    <col min="7932" max="7932" width="9.85546875" style="305" customWidth="1"/>
    <col min="7933" max="7933" width="9.28515625" style="305" customWidth="1"/>
    <col min="7934" max="7934" width="9.85546875" style="305" customWidth="1"/>
    <col min="7935" max="7935" width="10.42578125" style="305" customWidth="1"/>
    <col min="7936" max="7936" width="11.140625" style="305" customWidth="1"/>
    <col min="7937" max="7937" width="6.7109375" style="305" customWidth="1"/>
    <col min="7938" max="7938" width="11.5703125" style="305" customWidth="1"/>
    <col min="7939" max="7939" width="4.7109375" style="305" customWidth="1"/>
    <col min="7940" max="7940" width="10.140625" style="305" customWidth="1"/>
    <col min="7941" max="7941" width="12.140625" style="305" customWidth="1"/>
    <col min="7942" max="7942" width="8.7109375" style="305" customWidth="1"/>
    <col min="7943" max="7943" width="7.7109375" style="305" customWidth="1"/>
    <col min="7944" max="7944" width="9.28515625" style="305" customWidth="1"/>
    <col min="7945" max="7945" width="6.5703125" style="305" customWidth="1"/>
    <col min="7946" max="7946" width="8.5703125" style="305" customWidth="1"/>
    <col min="7947" max="7947" width="11" style="305" customWidth="1"/>
    <col min="7948" max="8181" width="9.140625" style="305"/>
    <col min="8182" max="8182" width="49" style="305" customWidth="1"/>
    <col min="8183" max="8183" width="25.7109375" style="305" customWidth="1"/>
    <col min="8184" max="8185" width="8.7109375" style="305" customWidth="1"/>
    <col min="8186" max="8187" width="9.28515625" style="305" customWidth="1"/>
    <col min="8188" max="8188" width="9.85546875" style="305" customWidth="1"/>
    <col min="8189" max="8189" width="9.28515625" style="305" customWidth="1"/>
    <col min="8190" max="8190" width="9.85546875" style="305" customWidth="1"/>
    <col min="8191" max="8191" width="10.42578125" style="305" customWidth="1"/>
    <col min="8192" max="8192" width="11.140625" style="305" customWidth="1"/>
    <col min="8193" max="8193" width="6.7109375" style="305" customWidth="1"/>
    <col min="8194" max="8194" width="11.5703125" style="305" customWidth="1"/>
    <col min="8195" max="8195" width="4.7109375" style="305" customWidth="1"/>
    <col min="8196" max="8196" width="10.140625" style="305" customWidth="1"/>
    <col min="8197" max="8197" width="12.140625" style="305" customWidth="1"/>
    <col min="8198" max="8198" width="8.7109375" style="305" customWidth="1"/>
    <col min="8199" max="8199" width="7.7109375" style="305" customWidth="1"/>
    <col min="8200" max="8200" width="9.28515625" style="305" customWidth="1"/>
    <col min="8201" max="8201" width="6.5703125" style="305" customWidth="1"/>
    <col min="8202" max="8202" width="8.5703125" style="305" customWidth="1"/>
    <col min="8203" max="8203" width="11" style="305" customWidth="1"/>
    <col min="8204" max="8437" width="9.140625" style="305"/>
    <col min="8438" max="8438" width="49" style="305" customWidth="1"/>
    <col min="8439" max="8439" width="25.7109375" style="305" customWidth="1"/>
    <col min="8440" max="8441" width="8.7109375" style="305" customWidth="1"/>
    <col min="8442" max="8443" width="9.28515625" style="305" customWidth="1"/>
    <col min="8444" max="8444" width="9.85546875" style="305" customWidth="1"/>
    <col min="8445" max="8445" width="9.28515625" style="305" customWidth="1"/>
    <col min="8446" max="8446" width="9.85546875" style="305" customWidth="1"/>
    <col min="8447" max="8447" width="10.42578125" style="305" customWidth="1"/>
    <col min="8448" max="8448" width="11.140625" style="305" customWidth="1"/>
    <col min="8449" max="8449" width="6.7109375" style="305" customWidth="1"/>
    <col min="8450" max="8450" width="11.5703125" style="305" customWidth="1"/>
    <col min="8451" max="8451" width="4.7109375" style="305" customWidth="1"/>
    <col min="8452" max="8452" width="10.140625" style="305" customWidth="1"/>
    <col min="8453" max="8453" width="12.140625" style="305" customWidth="1"/>
    <col min="8454" max="8454" width="8.7109375" style="305" customWidth="1"/>
    <col min="8455" max="8455" width="7.7109375" style="305" customWidth="1"/>
    <col min="8456" max="8456" width="9.28515625" style="305" customWidth="1"/>
    <col min="8457" max="8457" width="6.5703125" style="305" customWidth="1"/>
    <col min="8458" max="8458" width="8.5703125" style="305" customWidth="1"/>
    <col min="8459" max="8459" width="11" style="305" customWidth="1"/>
    <col min="8460" max="8693" width="9.140625" style="305"/>
    <col min="8694" max="8694" width="49" style="305" customWidth="1"/>
    <col min="8695" max="8695" width="25.7109375" style="305" customWidth="1"/>
    <col min="8696" max="8697" width="8.7109375" style="305" customWidth="1"/>
    <col min="8698" max="8699" width="9.28515625" style="305" customWidth="1"/>
    <col min="8700" max="8700" width="9.85546875" style="305" customWidth="1"/>
    <col min="8701" max="8701" width="9.28515625" style="305" customWidth="1"/>
    <col min="8702" max="8702" width="9.85546875" style="305" customWidth="1"/>
    <col min="8703" max="8703" width="10.42578125" style="305" customWidth="1"/>
    <col min="8704" max="8704" width="11.140625" style="305" customWidth="1"/>
    <col min="8705" max="8705" width="6.7109375" style="305" customWidth="1"/>
    <col min="8706" max="8706" width="11.5703125" style="305" customWidth="1"/>
    <col min="8707" max="8707" width="4.7109375" style="305" customWidth="1"/>
    <col min="8708" max="8708" width="10.140625" style="305" customWidth="1"/>
    <col min="8709" max="8709" width="12.140625" style="305" customWidth="1"/>
    <col min="8710" max="8710" width="8.7109375" style="305" customWidth="1"/>
    <col min="8711" max="8711" width="7.7109375" style="305" customWidth="1"/>
    <col min="8712" max="8712" width="9.28515625" style="305" customWidth="1"/>
    <col min="8713" max="8713" width="6.5703125" style="305" customWidth="1"/>
    <col min="8714" max="8714" width="8.5703125" style="305" customWidth="1"/>
    <col min="8715" max="8715" width="11" style="305" customWidth="1"/>
    <col min="8716" max="8949" width="9.140625" style="305"/>
    <col min="8950" max="8950" width="49" style="305" customWidth="1"/>
    <col min="8951" max="8951" width="25.7109375" style="305" customWidth="1"/>
    <col min="8952" max="8953" width="8.7109375" style="305" customWidth="1"/>
    <col min="8954" max="8955" width="9.28515625" style="305" customWidth="1"/>
    <col min="8956" max="8956" width="9.85546875" style="305" customWidth="1"/>
    <col min="8957" max="8957" width="9.28515625" style="305" customWidth="1"/>
    <col min="8958" max="8958" width="9.85546875" style="305" customWidth="1"/>
    <col min="8959" max="8959" width="10.42578125" style="305" customWidth="1"/>
    <col min="8960" max="8960" width="11.140625" style="305" customWidth="1"/>
    <col min="8961" max="8961" width="6.7109375" style="305" customWidth="1"/>
    <col min="8962" max="8962" width="11.5703125" style="305" customWidth="1"/>
    <col min="8963" max="8963" width="4.7109375" style="305" customWidth="1"/>
    <col min="8964" max="8964" width="10.140625" style="305" customWidth="1"/>
    <col min="8965" max="8965" width="12.140625" style="305" customWidth="1"/>
    <col min="8966" max="8966" width="8.7109375" style="305" customWidth="1"/>
    <col min="8967" max="8967" width="7.7109375" style="305" customWidth="1"/>
    <col min="8968" max="8968" width="9.28515625" style="305" customWidth="1"/>
    <col min="8969" max="8969" width="6.5703125" style="305" customWidth="1"/>
    <col min="8970" max="8970" width="8.5703125" style="305" customWidth="1"/>
    <col min="8971" max="8971" width="11" style="305" customWidth="1"/>
    <col min="8972" max="9205" width="9.140625" style="305"/>
    <col min="9206" max="9206" width="49" style="305" customWidth="1"/>
    <col min="9207" max="9207" width="25.7109375" style="305" customWidth="1"/>
    <col min="9208" max="9209" width="8.7109375" style="305" customWidth="1"/>
    <col min="9210" max="9211" width="9.28515625" style="305" customWidth="1"/>
    <col min="9212" max="9212" width="9.85546875" style="305" customWidth="1"/>
    <col min="9213" max="9213" width="9.28515625" style="305" customWidth="1"/>
    <col min="9214" max="9214" width="9.85546875" style="305" customWidth="1"/>
    <col min="9215" max="9215" width="10.42578125" style="305" customWidth="1"/>
    <col min="9216" max="9216" width="11.140625" style="305" customWidth="1"/>
    <col min="9217" max="9217" width="6.7109375" style="305" customWidth="1"/>
    <col min="9218" max="9218" width="11.5703125" style="305" customWidth="1"/>
    <col min="9219" max="9219" width="4.7109375" style="305" customWidth="1"/>
    <col min="9220" max="9220" width="10.140625" style="305" customWidth="1"/>
    <col min="9221" max="9221" width="12.140625" style="305" customWidth="1"/>
    <col min="9222" max="9222" width="8.7109375" style="305" customWidth="1"/>
    <col min="9223" max="9223" width="7.7109375" style="305" customWidth="1"/>
    <col min="9224" max="9224" width="9.28515625" style="305" customWidth="1"/>
    <col min="9225" max="9225" width="6.5703125" style="305" customWidth="1"/>
    <col min="9226" max="9226" width="8.5703125" style="305" customWidth="1"/>
    <col min="9227" max="9227" width="11" style="305" customWidth="1"/>
    <col min="9228" max="9461" width="9.140625" style="305"/>
    <col min="9462" max="9462" width="49" style="305" customWidth="1"/>
    <col min="9463" max="9463" width="25.7109375" style="305" customWidth="1"/>
    <col min="9464" max="9465" width="8.7109375" style="305" customWidth="1"/>
    <col min="9466" max="9467" width="9.28515625" style="305" customWidth="1"/>
    <col min="9468" max="9468" width="9.85546875" style="305" customWidth="1"/>
    <col min="9469" max="9469" width="9.28515625" style="305" customWidth="1"/>
    <col min="9470" max="9470" width="9.85546875" style="305" customWidth="1"/>
    <col min="9471" max="9471" width="10.42578125" style="305" customWidth="1"/>
    <col min="9472" max="9472" width="11.140625" style="305" customWidth="1"/>
    <col min="9473" max="9473" width="6.7109375" style="305" customWidth="1"/>
    <col min="9474" max="9474" width="11.5703125" style="305" customWidth="1"/>
    <col min="9475" max="9475" width="4.7109375" style="305" customWidth="1"/>
    <col min="9476" max="9476" width="10.140625" style="305" customWidth="1"/>
    <col min="9477" max="9477" width="12.140625" style="305" customWidth="1"/>
    <col min="9478" max="9478" width="8.7109375" style="305" customWidth="1"/>
    <col min="9479" max="9479" width="7.7109375" style="305" customWidth="1"/>
    <col min="9480" max="9480" width="9.28515625" style="305" customWidth="1"/>
    <col min="9481" max="9481" width="6.5703125" style="305" customWidth="1"/>
    <col min="9482" max="9482" width="8.5703125" style="305" customWidth="1"/>
    <col min="9483" max="9483" width="11" style="305" customWidth="1"/>
    <col min="9484" max="9717" width="9.140625" style="305"/>
    <col min="9718" max="9718" width="49" style="305" customWidth="1"/>
    <col min="9719" max="9719" width="25.7109375" style="305" customWidth="1"/>
    <col min="9720" max="9721" width="8.7109375" style="305" customWidth="1"/>
    <col min="9722" max="9723" width="9.28515625" style="305" customWidth="1"/>
    <col min="9724" max="9724" width="9.85546875" style="305" customWidth="1"/>
    <col min="9725" max="9725" width="9.28515625" style="305" customWidth="1"/>
    <col min="9726" max="9726" width="9.85546875" style="305" customWidth="1"/>
    <col min="9727" max="9727" width="10.42578125" style="305" customWidth="1"/>
    <col min="9728" max="9728" width="11.140625" style="305" customWidth="1"/>
    <col min="9729" max="9729" width="6.7109375" style="305" customWidth="1"/>
    <col min="9730" max="9730" width="11.5703125" style="305" customWidth="1"/>
    <col min="9731" max="9731" width="4.7109375" style="305" customWidth="1"/>
    <col min="9732" max="9732" width="10.140625" style="305" customWidth="1"/>
    <col min="9733" max="9733" width="12.140625" style="305" customWidth="1"/>
    <col min="9734" max="9734" width="8.7109375" style="305" customWidth="1"/>
    <col min="9735" max="9735" width="7.7109375" style="305" customWidth="1"/>
    <col min="9736" max="9736" width="9.28515625" style="305" customWidth="1"/>
    <col min="9737" max="9737" width="6.5703125" style="305" customWidth="1"/>
    <col min="9738" max="9738" width="8.5703125" style="305" customWidth="1"/>
    <col min="9739" max="9739" width="11" style="305" customWidth="1"/>
    <col min="9740" max="9973" width="9.140625" style="305"/>
    <col min="9974" max="9974" width="49" style="305" customWidth="1"/>
    <col min="9975" max="9975" width="25.7109375" style="305" customWidth="1"/>
    <col min="9976" max="9977" width="8.7109375" style="305" customWidth="1"/>
    <col min="9978" max="9979" width="9.28515625" style="305" customWidth="1"/>
    <col min="9980" max="9980" width="9.85546875" style="305" customWidth="1"/>
    <col min="9981" max="9981" width="9.28515625" style="305" customWidth="1"/>
    <col min="9982" max="9982" width="9.85546875" style="305" customWidth="1"/>
    <col min="9983" max="9983" width="10.42578125" style="305" customWidth="1"/>
    <col min="9984" max="9984" width="11.140625" style="305" customWidth="1"/>
    <col min="9985" max="9985" width="6.7109375" style="305" customWidth="1"/>
    <col min="9986" max="9986" width="11.5703125" style="305" customWidth="1"/>
    <col min="9987" max="9987" width="4.7109375" style="305" customWidth="1"/>
    <col min="9988" max="9988" width="10.140625" style="305" customWidth="1"/>
    <col min="9989" max="9989" width="12.140625" style="305" customWidth="1"/>
    <col min="9990" max="9990" width="8.7109375" style="305" customWidth="1"/>
    <col min="9991" max="9991" width="7.7109375" style="305" customWidth="1"/>
    <col min="9992" max="9992" width="9.28515625" style="305" customWidth="1"/>
    <col min="9993" max="9993" width="6.5703125" style="305" customWidth="1"/>
    <col min="9994" max="9994" width="8.5703125" style="305" customWidth="1"/>
    <col min="9995" max="9995" width="11" style="305" customWidth="1"/>
    <col min="9996" max="10229" width="9.140625" style="305"/>
    <col min="10230" max="10230" width="49" style="305" customWidth="1"/>
    <col min="10231" max="10231" width="25.7109375" style="305" customWidth="1"/>
    <col min="10232" max="10233" width="8.7109375" style="305" customWidth="1"/>
    <col min="10234" max="10235" width="9.28515625" style="305" customWidth="1"/>
    <col min="10236" max="10236" width="9.85546875" style="305" customWidth="1"/>
    <col min="10237" max="10237" width="9.28515625" style="305" customWidth="1"/>
    <col min="10238" max="10238" width="9.85546875" style="305" customWidth="1"/>
    <col min="10239" max="10239" width="10.42578125" style="305" customWidth="1"/>
    <col min="10240" max="10240" width="11.140625" style="305" customWidth="1"/>
    <col min="10241" max="10241" width="6.7109375" style="305" customWidth="1"/>
    <col min="10242" max="10242" width="11.5703125" style="305" customWidth="1"/>
    <col min="10243" max="10243" width="4.7109375" style="305" customWidth="1"/>
    <col min="10244" max="10244" width="10.140625" style="305" customWidth="1"/>
    <col min="10245" max="10245" width="12.140625" style="305" customWidth="1"/>
    <col min="10246" max="10246" width="8.7109375" style="305" customWidth="1"/>
    <col min="10247" max="10247" width="7.7109375" style="305" customWidth="1"/>
    <col min="10248" max="10248" width="9.28515625" style="305" customWidth="1"/>
    <col min="10249" max="10249" width="6.5703125" style="305" customWidth="1"/>
    <col min="10250" max="10250" width="8.5703125" style="305" customWidth="1"/>
    <col min="10251" max="10251" width="11" style="305" customWidth="1"/>
    <col min="10252" max="10485" width="9.140625" style="305"/>
    <col min="10486" max="10486" width="49" style="305" customWidth="1"/>
    <col min="10487" max="10487" width="25.7109375" style="305" customWidth="1"/>
    <col min="10488" max="10489" width="8.7109375" style="305" customWidth="1"/>
    <col min="10490" max="10491" width="9.28515625" style="305" customWidth="1"/>
    <col min="10492" max="10492" width="9.85546875" style="305" customWidth="1"/>
    <col min="10493" max="10493" width="9.28515625" style="305" customWidth="1"/>
    <col min="10494" max="10494" width="9.85546875" style="305" customWidth="1"/>
    <col min="10495" max="10495" width="10.42578125" style="305" customWidth="1"/>
    <col min="10496" max="10496" width="11.140625" style="305" customWidth="1"/>
    <col min="10497" max="10497" width="6.7109375" style="305" customWidth="1"/>
    <col min="10498" max="10498" width="11.5703125" style="305" customWidth="1"/>
    <col min="10499" max="10499" width="4.7109375" style="305" customWidth="1"/>
    <col min="10500" max="10500" width="10.140625" style="305" customWidth="1"/>
    <col min="10501" max="10501" width="12.140625" style="305" customWidth="1"/>
    <col min="10502" max="10502" width="8.7109375" style="305" customWidth="1"/>
    <col min="10503" max="10503" width="7.7109375" style="305" customWidth="1"/>
    <col min="10504" max="10504" width="9.28515625" style="305" customWidth="1"/>
    <col min="10505" max="10505" width="6.5703125" style="305" customWidth="1"/>
    <col min="10506" max="10506" width="8.5703125" style="305" customWidth="1"/>
    <col min="10507" max="10507" width="11" style="305" customWidth="1"/>
    <col min="10508" max="10741" width="9.140625" style="305"/>
    <col min="10742" max="10742" width="49" style="305" customWidth="1"/>
    <col min="10743" max="10743" width="25.7109375" style="305" customWidth="1"/>
    <col min="10744" max="10745" width="8.7109375" style="305" customWidth="1"/>
    <col min="10746" max="10747" width="9.28515625" style="305" customWidth="1"/>
    <col min="10748" max="10748" width="9.85546875" style="305" customWidth="1"/>
    <col min="10749" max="10749" width="9.28515625" style="305" customWidth="1"/>
    <col min="10750" max="10750" width="9.85546875" style="305" customWidth="1"/>
    <col min="10751" max="10751" width="10.42578125" style="305" customWidth="1"/>
    <col min="10752" max="10752" width="11.140625" style="305" customWidth="1"/>
    <col min="10753" max="10753" width="6.7109375" style="305" customWidth="1"/>
    <col min="10754" max="10754" width="11.5703125" style="305" customWidth="1"/>
    <col min="10755" max="10755" width="4.7109375" style="305" customWidth="1"/>
    <col min="10756" max="10756" width="10.140625" style="305" customWidth="1"/>
    <col min="10757" max="10757" width="12.140625" style="305" customWidth="1"/>
    <col min="10758" max="10758" width="8.7109375" style="305" customWidth="1"/>
    <col min="10759" max="10759" width="7.7109375" style="305" customWidth="1"/>
    <col min="10760" max="10760" width="9.28515625" style="305" customWidth="1"/>
    <col min="10761" max="10761" width="6.5703125" style="305" customWidth="1"/>
    <col min="10762" max="10762" width="8.5703125" style="305" customWidth="1"/>
    <col min="10763" max="10763" width="11" style="305" customWidth="1"/>
    <col min="10764" max="10997" width="9.140625" style="305"/>
    <col min="10998" max="10998" width="49" style="305" customWidth="1"/>
    <col min="10999" max="10999" width="25.7109375" style="305" customWidth="1"/>
    <col min="11000" max="11001" width="8.7109375" style="305" customWidth="1"/>
    <col min="11002" max="11003" width="9.28515625" style="305" customWidth="1"/>
    <col min="11004" max="11004" width="9.85546875" style="305" customWidth="1"/>
    <col min="11005" max="11005" width="9.28515625" style="305" customWidth="1"/>
    <col min="11006" max="11006" width="9.85546875" style="305" customWidth="1"/>
    <col min="11007" max="11007" width="10.42578125" style="305" customWidth="1"/>
    <col min="11008" max="11008" width="11.140625" style="305" customWidth="1"/>
    <col min="11009" max="11009" width="6.7109375" style="305" customWidth="1"/>
    <col min="11010" max="11010" width="11.5703125" style="305" customWidth="1"/>
    <col min="11011" max="11011" width="4.7109375" style="305" customWidth="1"/>
    <col min="11012" max="11012" width="10.140625" style="305" customWidth="1"/>
    <col min="11013" max="11013" width="12.140625" style="305" customWidth="1"/>
    <col min="11014" max="11014" width="8.7109375" style="305" customWidth="1"/>
    <col min="11015" max="11015" width="7.7109375" style="305" customWidth="1"/>
    <col min="11016" max="11016" width="9.28515625" style="305" customWidth="1"/>
    <col min="11017" max="11017" width="6.5703125" style="305" customWidth="1"/>
    <col min="11018" max="11018" width="8.5703125" style="305" customWidth="1"/>
    <col min="11019" max="11019" width="11" style="305" customWidth="1"/>
    <col min="11020" max="11253" width="9.140625" style="305"/>
    <col min="11254" max="11254" width="49" style="305" customWidth="1"/>
    <col min="11255" max="11255" width="25.7109375" style="305" customWidth="1"/>
    <col min="11256" max="11257" width="8.7109375" style="305" customWidth="1"/>
    <col min="11258" max="11259" width="9.28515625" style="305" customWidth="1"/>
    <col min="11260" max="11260" width="9.85546875" style="305" customWidth="1"/>
    <col min="11261" max="11261" width="9.28515625" style="305" customWidth="1"/>
    <col min="11262" max="11262" width="9.85546875" style="305" customWidth="1"/>
    <col min="11263" max="11263" width="10.42578125" style="305" customWidth="1"/>
    <col min="11264" max="11264" width="11.140625" style="305" customWidth="1"/>
    <col min="11265" max="11265" width="6.7109375" style="305" customWidth="1"/>
    <col min="11266" max="11266" width="11.5703125" style="305" customWidth="1"/>
    <col min="11267" max="11267" width="4.7109375" style="305" customWidth="1"/>
    <col min="11268" max="11268" width="10.140625" style="305" customWidth="1"/>
    <col min="11269" max="11269" width="12.140625" style="305" customWidth="1"/>
    <col min="11270" max="11270" width="8.7109375" style="305" customWidth="1"/>
    <col min="11271" max="11271" width="7.7109375" style="305" customWidth="1"/>
    <col min="11272" max="11272" width="9.28515625" style="305" customWidth="1"/>
    <col min="11273" max="11273" width="6.5703125" style="305" customWidth="1"/>
    <col min="11274" max="11274" width="8.5703125" style="305" customWidth="1"/>
    <col min="11275" max="11275" width="11" style="305" customWidth="1"/>
    <col min="11276" max="11509" width="9.140625" style="305"/>
    <col min="11510" max="11510" width="49" style="305" customWidth="1"/>
    <col min="11511" max="11511" width="25.7109375" style="305" customWidth="1"/>
    <col min="11512" max="11513" width="8.7109375" style="305" customWidth="1"/>
    <col min="11514" max="11515" width="9.28515625" style="305" customWidth="1"/>
    <col min="11516" max="11516" width="9.85546875" style="305" customWidth="1"/>
    <col min="11517" max="11517" width="9.28515625" style="305" customWidth="1"/>
    <col min="11518" max="11518" width="9.85546875" style="305" customWidth="1"/>
    <col min="11519" max="11519" width="10.42578125" style="305" customWidth="1"/>
    <col min="11520" max="11520" width="11.140625" style="305" customWidth="1"/>
    <col min="11521" max="11521" width="6.7109375" style="305" customWidth="1"/>
    <col min="11522" max="11522" width="11.5703125" style="305" customWidth="1"/>
    <col min="11523" max="11523" width="4.7109375" style="305" customWidth="1"/>
    <col min="11524" max="11524" width="10.140625" style="305" customWidth="1"/>
    <col min="11525" max="11525" width="12.140625" style="305" customWidth="1"/>
    <col min="11526" max="11526" width="8.7109375" style="305" customWidth="1"/>
    <col min="11527" max="11527" width="7.7109375" style="305" customWidth="1"/>
    <col min="11528" max="11528" width="9.28515625" style="305" customWidth="1"/>
    <col min="11529" max="11529" width="6.5703125" style="305" customWidth="1"/>
    <col min="11530" max="11530" width="8.5703125" style="305" customWidth="1"/>
    <col min="11531" max="11531" width="11" style="305" customWidth="1"/>
    <col min="11532" max="11765" width="9.140625" style="305"/>
    <col min="11766" max="11766" width="49" style="305" customWidth="1"/>
    <col min="11767" max="11767" width="25.7109375" style="305" customWidth="1"/>
    <col min="11768" max="11769" width="8.7109375" style="305" customWidth="1"/>
    <col min="11770" max="11771" width="9.28515625" style="305" customWidth="1"/>
    <col min="11772" max="11772" width="9.85546875" style="305" customWidth="1"/>
    <col min="11773" max="11773" width="9.28515625" style="305" customWidth="1"/>
    <col min="11774" max="11774" width="9.85546875" style="305" customWidth="1"/>
    <col min="11775" max="11775" width="10.42578125" style="305" customWidth="1"/>
    <col min="11776" max="11776" width="11.140625" style="305" customWidth="1"/>
    <col min="11777" max="11777" width="6.7109375" style="305" customWidth="1"/>
    <col min="11778" max="11778" width="11.5703125" style="305" customWidth="1"/>
    <col min="11779" max="11779" width="4.7109375" style="305" customWidth="1"/>
    <col min="11780" max="11780" width="10.140625" style="305" customWidth="1"/>
    <col min="11781" max="11781" width="12.140625" style="305" customWidth="1"/>
    <col min="11782" max="11782" width="8.7109375" style="305" customWidth="1"/>
    <col min="11783" max="11783" width="7.7109375" style="305" customWidth="1"/>
    <col min="11784" max="11784" width="9.28515625" style="305" customWidth="1"/>
    <col min="11785" max="11785" width="6.5703125" style="305" customWidth="1"/>
    <col min="11786" max="11786" width="8.5703125" style="305" customWidth="1"/>
    <col min="11787" max="11787" width="11" style="305" customWidth="1"/>
    <col min="11788" max="12021" width="9.140625" style="305"/>
    <col min="12022" max="12022" width="49" style="305" customWidth="1"/>
    <col min="12023" max="12023" width="25.7109375" style="305" customWidth="1"/>
    <col min="12024" max="12025" width="8.7109375" style="305" customWidth="1"/>
    <col min="12026" max="12027" width="9.28515625" style="305" customWidth="1"/>
    <col min="12028" max="12028" width="9.85546875" style="305" customWidth="1"/>
    <col min="12029" max="12029" width="9.28515625" style="305" customWidth="1"/>
    <col min="12030" max="12030" width="9.85546875" style="305" customWidth="1"/>
    <col min="12031" max="12031" width="10.42578125" style="305" customWidth="1"/>
    <col min="12032" max="12032" width="11.140625" style="305" customWidth="1"/>
    <col min="12033" max="12033" width="6.7109375" style="305" customWidth="1"/>
    <col min="12034" max="12034" width="11.5703125" style="305" customWidth="1"/>
    <col min="12035" max="12035" width="4.7109375" style="305" customWidth="1"/>
    <col min="12036" max="12036" width="10.140625" style="305" customWidth="1"/>
    <col min="12037" max="12037" width="12.140625" style="305" customWidth="1"/>
    <col min="12038" max="12038" width="8.7109375" style="305" customWidth="1"/>
    <col min="12039" max="12039" width="7.7109375" style="305" customWidth="1"/>
    <col min="12040" max="12040" width="9.28515625" style="305" customWidth="1"/>
    <col min="12041" max="12041" width="6.5703125" style="305" customWidth="1"/>
    <col min="12042" max="12042" width="8.5703125" style="305" customWidth="1"/>
    <col min="12043" max="12043" width="11" style="305" customWidth="1"/>
    <col min="12044" max="12277" width="9.140625" style="305"/>
    <col min="12278" max="12278" width="49" style="305" customWidth="1"/>
    <col min="12279" max="12279" width="25.7109375" style="305" customWidth="1"/>
    <col min="12280" max="12281" width="8.7109375" style="305" customWidth="1"/>
    <col min="12282" max="12283" width="9.28515625" style="305" customWidth="1"/>
    <col min="12284" max="12284" width="9.85546875" style="305" customWidth="1"/>
    <col min="12285" max="12285" width="9.28515625" style="305" customWidth="1"/>
    <col min="12286" max="12286" width="9.85546875" style="305" customWidth="1"/>
    <col min="12287" max="12287" width="10.42578125" style="305" customWidth="1"/>
    <col min="12288" max="12288" width="11.140625" style="305" customWidth="1"/>
    <col min="12289" max="12289" width="6.7109375" style="305" customWidth="1"/>
    <col min="12290" max="12290" width="11.5703125" style="305" customWidth="1"/>
    <col min="12291" max="12291" width="4.7109375" style="305" customWidth="1"/>
    <col min="12292" max="12292" width="10.140625" style="305" customWidth="1"/>
    <col min="12293" max="12293" width="12.140625" style="305" customWidth="1"/>
    <col min="12294" max="12294" width="8.7109375" style="305" customWidth="1"/>
    <col min="12295" max="12295" width="7.7109375" style="305" customWidth="1"/>
    <col min="12296" max="12296" width="9.28515625" style="305" customWidth="1"/>
    <col min="12297" max="12297" width="6.5703125" style="305" customWidth="1"/>
    <col min="12298" max="12298" width="8.5703125" style="305" customWidth="1"/>
    <col min="12299" max="12299" width="11" style="305" customWidth="1"/>
    <col min="12300" max="12533" width="9.140625" style="305"/>
    <col min="12534" max="12534" width="49" style="305" customWidth="1"/>
    <col min="12535" max="12535" width="25.7109375" style="305" customWidth="1"/>
    <col min="12536" max="12537" width="8.7109375" style="305" customWidth="1"/>
    <col min="12538" max="12539" width="9.28515625" style="305" customWidth="1"/>
    <col min="12540" max="12540" width="9.85546875" style="305" customWidth="1"/>
    <col min="12541" max="12541" width="9.28515625" style="305" customWidth="1"/>
    <col min="12542" max="12542" width="9.85546875" style="305" customWidth="1"/>
    <col min="12543" max="12543" width="10.42578125" style="305" customWidth="1"/>
    <col min="12544" max="12544" width="11.140625" style="305" customWidth="1"/>
    <col min="12545" max="12545" width="6.7109375" style="305" customWidth="1"/>
    <col min="12546" max="12546" width="11.5703125" style="305" customWidth="1"/>
    <col min="12547" max="12547" width="4.7109375" style="305" customWidth="1"/>
    <col min="12548" max="12548" width="10.140625" style="305" customWidth="1"/>
    <col min="12549" max="12549" width="12.140625" style="305" customWidth="1"/>
    <col min="12550" max="12550" width="8.7109375" style="305" customWidth="1"/>
    <col min="12551" max="12551" width="7.7109375" style="305" customWidth="1"/>
    <col min="12552" max="12552" width="9.28515625" style="305" customWidth="1"/>
    <col min="12553" max="12553" width="6.5703125" style="305" customWidth="1"/>
    <col min="12554" max="12554" width="8.5703125" style="305" customWidth="1"/>
    <col min="12555" max="12555" width="11" style="305" customWidth="1"/>
    <col min="12556" max="12789" width="9.140625" style="305"/>
    <col min="12790" max="12790" width="49" style="305" customWidth="1"/>
    <col min="12791" max="12791" width="25.7109375" style="305" customWidth="1"/>
    <col min="12792" max="12793" width="8.7109375" style="305" customWidth="1"/>
    <col min="12794" max="12795" width="9.28515625" style="305" customWidth="1"/>
    <col min="12796" max="12796" width="9.85546875" style="305" customWidth="1"/>
    <col min="12797" max="12797" width="9.28515625" style="305" customWidth="1"/>
    <col min="12798" max="12798" width="9.85546875" style="305" customWidth="1"/>
    <col min="12799" max="12799" width="10.42578125" style="305" customWidth="1"/>
    <col min="12800" max="12800" width="11.140625" style="305" customWidth="1"/>
    <col min="12801" max="12801" width="6.7109375" style="305" customWidth="1"/>
    <col min="12802" max="12802" width="11.5703125" style="305" customWidth="1"/>
    <col min="12803" max="12803" width="4.7109375" style="305" customWidth="1"/>
    <col min="12804" max="12804" width="10.140625" style="305" customWidth="1"/>
    <col min="12805" max="12805" width="12.140625" style="305" customWidth="1"/>
    <col min="12806" max="12806" width="8.7109375" style="305" customWidth="1"/>
    <col min="12807" max="12807" width="7.7109375" style="305" customWidth="1"/>
    <col min="12808" max="12808" width="9.28515625" style="305" customWidth="1"/>
    <col min="12809" max="12809" width="6.5703125" style="305" customWidth="1"/>
    <col min="12810" max="12810" width="8.5703125" style="305" customWidth="1"/>
    <col min="12811" max="12811" width="11" style="305" customWidth="1"/>
    <col min="12812" max="13045" width="9.140625" style="305"/>
    <col min="13046" max="13046" width="49" style="305" customWidth="1"/>
    <col min="13047" max="13047" width="25.7109375" style="305" customWidth="1"/>
    <col min="13048" max="13049" width="8.7109375" style="305" customWidth="1"/>
    <col min="13050" max="13051" width="9.28515625" style="305" customWidth="1"/>
    <col min="13052" max="13052" width="9.85546875" style="305" customWidth="1"/>
    <col min="13053" max="13053" width="9.28515625" style="305" customWidth="1"/>
    <col min="13054" max="13054" width="9.85546875" style="305" customWidth="1"/>
    <col min="13055" max="13055" width="10.42578125" style="305" customWidth="1"/>
    <col min="13056" max="13056" width="11.140625" style="305" customWidth="1"/>
    <col min="13057" max="13057" width="6.7109375" style="305" customWidth="1"/>
    <col min="13058" max="13058" width="11.5703125" style="305" customWidth="1"/>
    <col min="13059" max="13059" width="4.7109375" style="305" customWidth="1"/>
    <col min="13060" max="13060" width="10.140625" style="305" customWidth="1"/>
    <col min="13061" max="13061" width="12.140625" style="305" customWidth="1"/>
    <col min="13062" max="13062" width="8.7109375" style="305" customWidth="1"/>
    <col min="13063" max="13063" width="7.7109375" style="305" customWidth="1"/>
    <col min="13064" max="13064" width="9.28515625" style="305" customWidth="1"/>
    <col min="13065" max="13065" width="6.5703125" style="305" customWidth="1"/>
    <col min="13066" max="13066" width="8.5703125" style="305" customWidth="1"/>
    <col min="13067" max="13067" width="11" style="305" customWidth="1"/>
    <col min="13068" max="13301" width="9.140625" style="305"/>
    <col min="13302" max="13302" width="49" style="305" customWidth="1"/>
    <col min="13303" max="13303" width="25.7109375" style="305" customWidth="1"/>
    <col min="13304" max="13305" width="8.7109375" style="305" customWidth="1"/>
    <col min="13306" max="13307" width="9.28515625" style="305" customWidth="1"/>
    <col min="13308" max="13308" width="9.85546875" style="305" customWidth="1"/>
    <col min="13309" max="13309" width="9.28515625" style="305" customWidth="1"/>
    <col min="13310" max="13310" width="9.85546875" style="305" customWidth="1"/>
    <col min="13311" max="13311" width="10.42578125" style="305" customWidth="1"/>
    <col min="13312" max="13312" width="11.140625" style="305" customWidth="1"/>
    <col min="13313" max="13313" width="6.7109375" style="305" customWidth="1"/>
    <col min="13314" max="13314" width="11.5703125" style="305" customWidth="1"/>
    <col min="13315" max="13315" width="4.7109375" style="305" customWidth="1"/>
    <col min="13316" max="13316" width="10.140625" style="305" customWidth="1"/>
    <col min="13317" max="13317" width="12.140625" style="305" customWidth="1"/>
    <col min="13318" max="13318" width="8.7109375" style="305" customWidth="1"/>
    <col min="13319" max="13319" width="7.7109375" style="305" customWidth="1"/>
    <col min="13320" max="13320" width="9.28515625" style="305" customWidth="1"/>
    <col min="13321" max="13321" width="6.5703125" style="305" customWidth="1"/>
    <col min="13322" max="13322" width="8.5703125" style="305" customWidth="1"/>
    <col min="13323" max="13323" width="11" style="305" customWidth="1"/>
    <col min="13324" max="13557" width="9.140625" style="305"/>
    <col min="13558" max="13558" width="49" style="305" customWidth="1"/>
    <col min="13559" max="13559" width="25.7109375" style="305" customWidth="1"/>
    <col min="13560" max="13561" width="8.7109375" style="305" customWidth="1"/>
    <col min="13562" max="13563" width="9.28515625" style="305" customWidth="1"/>
    <col min="13564" max="13564" width="9.85546875" style="305" customWidth="1"/>
    <col min="13565" max="13565" width="9.28515625" style="305" customWidth="1"/>
    <col min="13566" max="13566" width="9.85546875" style="305" customWidth="1"/>
    <col min="13567" max="13567" width="10.42578125" style="305" customWidth="1"/>
    <col min="13568" max="13568" width="11.140625" style="305" customWidth="1"/>
    <col min="13569" max="13569" width="6.7109375" style="305" customWidth="1"/>
    <col min="13570" max="13570" width="11.5703125" style="305" customWidth="1"/>
    <col min="13571" max="13571" width="4.7109375" style="305" customWidth="1"/>
    <col min="13572" max="13572" width="10.140625" style="305" customWidth="1"/>
    <col min="13573" max="13573" width="12.140625" style="305" customWidth="1"/>
    <col min="13574" max="13574" width="8.7109375" style="305" customWidth="1"/>
    <col min="13575" max="13575" width="7.7109375" style="305" customWidth="1"/>
    <col min="13576" max="13576" width="9.28515625" style="305" customWidth="1"/>
    <col min="13577" max="13577" width="6.5703125" style="305" customWidth="1"/>
    <col min="13578" max="13578" width="8.5703125" style="305" customWidth="1"/>
    <col min="13579" max="13579" width="11" style="305" customWidth="1"/>
    <col min="13580" max="13813" width="9.140625" style="305"/>
    <col min="13814" max="13814" width="49" style="305" customWidth="1"/>
    <col min="13815" max="13815" width="25.7109375" style="305" customWidth="1"/>
    <col min="13816" max="13817" width="8.7109375" style="305" customWidth="1"/>
    <col min="13818" max="13819" width="9.28515625" style="305" customWidth="1"/>
    <col min="13820" max="13820" width="9.85546875" style="305" customWidth="1"/>
    <col min="13821" max="13821" width="9.28515625" style="305" customWidth="1"/>
    <col min="13822" max="13822" width="9.85546875" style="305" customWidth="1"/>
    <col min="13823" max="13823" width="10.42578125" style="305" customWidth="1"/>
    <col min="13824" max="13824" width="11.140625" style="305" customWidth="1"/>
    <col min="13825" max="13825" width="6.7109375" style="305" customWidth="1"/>
    <col min="13826" max="13826" width="11.5703125" style="305" customWidth="1"/>
    <col min="13827" max="13827" width="4.7109375" style="305" customWidth="1"/>
    <col min="13828" max="13828" width="10.140625" style="305" customWidth="1"/>
    <col min="13829" max="13829" width="12.140625" style="305" customWidth="1"/>
    <col min="13830" max="13830" width="8.7109375" style="305" customWidth="1"/>
    <col min="13831" max="13831" width="7.7109375" style="305" customWidth="1"/>
    <col min="13832" max="13832" width="9.28515625" style="305" customWidth="1"/>
    <col min="13833" max="13833" width="6.5703125" style="305" customWidth="1"/>
    <col min="13834" max="13834" width="8.5703125" style="305" customWidth="1"/>
    <col min="13835" max="13835" width="11" style="305" customWidth="1"/>
    <col min="13836" max="14069" width="9.140625" style="305"/>
    <col min="14070" max="14070" width="49" style="305" customWidth="1"/>
    <col min="14071" max="14071" width="25.7109375" style="305" customWidth="1"/>
    <col min="14072" max="14073" width="8.7109375" style="305" customWidth="1"/>
    <col min="14074" max="14075" width="9.28515625" style="305" customWidth="1"/>
    <col min="14076" max="14076" width="9.85546875" style="305" customWidth="1"/>
    <col min="14077" max="14077" width="9.28515625" style="305" customWidth="1"/>
    <col min="14078" max="14078" width="9.85546875" style="305" customWidth="1"/>
    <col min="14079" max="14079" width="10.42578125" style="305" customWidth="1"/>
    <col min="14080" max="14080" width="11.140625" style="305" customWidth="1"/>
    <col min="14081" max="14081" width="6.7109375" style="305" customWidth="1"/>
    <col min="14082" max="14082" width="11.5703125" style="305" customWidth="1"/>
    <col min="14083" max="14083" width="4.7109375" style="305" customWidth="1"/>
    <col min="14084" max="14084" width="10.140625" style="305" customWidth="1"/>
    <col min="14085" max="14085" width="12.140625" style="305" customWidth="1"/>
    <col min="14086" max="14086" width="8.7109375" style="305" customWidth="1"/>
    <col min="14087" max="14087" width="7.7109375" style="305" customWidth="1"/>
    <col min="14088" max="14088" width="9.28515625" style="305" customWidth="1"/>
    <col min="14089" max="14089" width="6.5703125" style="305" customWidth="1"/>
    <col min="14090" max="14090" width="8.5703125" style="305" customWidth="1"/>
    <col min="14091" max="14091" width="11" style="305" customWidth="1"/>
    <col min="14092" max="14325" width="9.140625" style="305"/>
    <col min="14326" max="14326" width="49" style="305" customWidth="1"/>
    <col min="14327" max="14327" width="25.7109375" style="305" customWidth="1"/>
    <col min="14328" max="14329" width="8.7109375" style="305" customWidth="1"/>
    <col min="14330" max="14331" width="9.28515625" style="305" customWidth="1"/>
    <col min="14332" max="14332" width="9.85546875" style="305" customWidth="1"/>
    <col min="14333" max="14333" width="9.28515625" style="305" customWidth="1"/>
    <col min="14334" max="14334" width="9.85546875" style="305" customWidth="1"/>
    <col min="14335" max="14335" width="10.42578125" style="305" customWidth="1"/>
    <col min="14336" max="14336" width="11.140625" style="305" customWidth="1"/>
    <col min="14337" max="14337" width="6.7109375" style="305" customWidth="1"/>
    <col min="14338" max="14338" width="11.5703125" style="305" customWidth="1"/>
    <col min="14339" max="14339" width="4.7109375" style="305" customWidth="1"/>
    <col min="14340" max="14340" width="10.140625" style="305" customWidth="1"/>
    <col min="14341" max="14341" width="12.140625" style="305" customWidth="1"/>
    <col min="14342" max="14342" width="8.7109375" style="305" customWidth="1"/>
    <col min="14343" max="14343" width="7.7109375" style="305" customWidth="1"/>
    <col min="14344" max="14344" width="9.28515625" style="305" customWidth="1"/>
    <col min="14345" max="14345" width="6.5703125" style="305" customWidth="1"/>
    <col min="14346" max="14346" width="8.5703125" style="305" customWidth="1"/>
    <col min="14347" max="14347" width="11" style="305" customWidth="1"/>
    <col min="14348" max="14581" width="9.140625" style="305"/>
    <col min="14582" max="14582" width="49" style="305" customWidth="1"/>
    <col min="14583" max="14583" width="25.7109375" style="305" customWidth="1"/>
    <col min="14584" max="14585" width="8.7109375" style="305" customWidth="1"/>
    <col min="14586" max="14587" width="9.28515625" style="305" customWidth="1"/>
    <col min="14588" max="14588" width="9.85546875" style="305" customWidth="1"/>
    <col min="14589" max="14589" width="9.28515625" style="305" customWidth="1"/>
    <col min="14590" max="14590" width="9.85546875" style="305" customWidth="1"/>
    <col min="14591" max="14591" width="10.42578125" style="305" customWidth="1"/>
    <col min="14592" max="14592" width="11.140625" style="305" customWidth="1"/>
    <col min="14593" max="14593" width="6.7109375" style="305" customWidth="1"/>
    <col min="14594" max="14594" width="11.5703125" style="305" customWidth="1"/>
    <col min="14595" max="14595" width="4.7109375" style="305" customWidth="1"/>
    <col min="14596" max="14596" width="10.140625" style="305" customWidth="1"/>
    <col min="14597" max="14597" width="12.140625" style="305" customWidth="1"/>
    <col min="14598" max="14598" width="8.7109375" style="305" customWidth="1"/>
    <col min="14599" max="14599" width="7.7109375" style="305" customWidth="1"/>
    <col min="14600" max="14600" width="9.28515625" style="305" customWidth="1"/>
    <col min="14601" max="14601" width="6.5703125" style="305" customWidth="1"/>
    <col min="14602" max="14602" width="8.5703125" style="305" customWidth="1"/>
    <col min="14603" max="14603" width="11" style="305" customWidth="1"/>
    <col min="14604" max="14837" width="9.140625" style="305"/>
    <col min="14838" max="14838" width="49" style="305" customWidth="1"/>
    <col min="14839" max="14839" width="25.7109375" style="305" customWidth="1"/>
    <col min="14840" max="14841" width="8.7109375" style="305" customWidth="1"/>
    <col min="14842" max="14843" width="9.28515625" style="305" customWidth="1"/>
    <col min="14844" max="14844" width="9.85546875" style="305" customWidth="1"/>
    <col min="14845" max="14845" width="9.28515625" style="305" customWidth="1"/>
    <col min="14846" max="14846" width="9.85546875" style="305" customWidth="1"/>
    <col min="14847" max="14847" width="10.42578125" style="305" customWidth="1"/>
    <col min="14848" max="14848" width="11.140625" style="305" customWidth="1"/>
    <col min="14849" max="14849" width="6.7109375" style="305" customWidth="1"/>
    <col min="14850" max="14850" width="11.5703125" style="305" customWidth="1"/>
    <col min="14851" max="14851" width="4.7109375" style="305" customWidth="1"/>
    <col min="14852" max="14852" width="10.140625" style="305" customWidth="1"/>
    <col min="14853" max="14853" width="12.140625" style="305" customWidth="1"/>
    <col min="14854" max="14854" width="8.7109375" style="305" customWidth="1"/>
    <col min="14855" max="14855" width="7.7109375" style="305" customWidth="1"/>
    <col min="14856" max="14856" width="9.28515625" style="305" customWidth="1"/>
    <col min="14857" max="14857" width="6.5703125" style="305" customWidth="1"/>
    <col min="14858" max="14858" width="8.5703125" style="305" customWidth="1"/>
    <col min="14859" max="14859" width="11" style="305" customWidth="1"/>
    <col min="14860" max="15093" width="9.140625" style="305"/>
    <col min="15094" max="15094" width="49" style="305" customWidth="1"/>
    <col min="15095" max="15095" width="25.7109375" style="305" customWidth="1"/>
    <col min="15096" max="15097" width="8.7109375" style="305" customWidth="1"/>
    <col min="15098" max="15099" width="9.28515625" style="305" customWidth="1"/>
    <col min="15100" max="15100" width="9.85546875" style="305" customWidth="1"/>
    <col min="15101" max="15101" width="9.28515625" style="305" customWidth="1"/>
    <col min="15102" max="15102" width="9.85546875" style="305" customWidth="1"/>
    <col min="15103" max="15103" width="10.42578125" style="305" customWidth="1"/>
    <col min="15104" max="15104" width="11.140625" style="305" customWidth="1"/>
    <col min="15105" max="15105" width="6.7109375" style="305" customWidth="1"/>
    <col min="15106" max="15106" width="11.5703125" style="305" customWidth="1"/>
    <col min="15107" max="15107" width="4.7109375" style="305" customWidth="1"/>
    <col min="15108" max="15108" width="10.140625" style="305" customWidth="1"/>
    <col min="15109" max="15109" width="12.140625" style="305" customWidth="1"/>
    <col min="15110" max="15110" width="8.7109375" style="305" customWidth="1"/>
    <col min="15111" max="15111" width="7.7109375" style="305" customWidth="1"/>
    <col min="15112" max="15112" width="9.28515625" style="305" customWidth="1"/>
    <col min="15113" max="15113" width="6.5703125" style="305" customWidth="1"/>
    <col min="15114" max="15114" width="8.5703125" style="305" customWidth="1"/>
    <col min="15115" max="15115" width="11" style="305" customWidth="1"/>
    <col min="15116" max="15349" width="9.140625" style="305"/>
    <col min="15350" max="15350" width="49" style="305" customWidth="1"/>
    <col min="15351" max="15351" width="25.7109375" style="305" customWidth="1"/>
    <col min="15352" max="15353" width="8.7109375" style="305" customWidth="1"/>
    <col min="15354" max="15355" width="9.28515625" style="305" customWidth="1"/>
    <col min="15356" max="15356" width="9.85546875" style="305" customWidth="1"/>
    <col min="15357" max="15357" width="9.28515625" style="305" customWidth="1"/>
    <col min="15358" max="15358" width="9.85546875" style="305" customWidth="1"/>
    <col min="15359" max="15359" width="10.42578125" style="305" customWidth="1"/>
    <col min="15360" max="15360" width="11.140625" style="305" customWidth="1"/>
    <col min="15361" max="15361" width="6.7109375" style="305" customWidth="1"/>
    <col min="15362" max="15362" width="11.5703125" style="305" customWidth="1"/>
    <col min="15363" max="15363" width="4.7109375" style="305" customWidth="1"/>
    <col min="15364" max="15364" width="10.140625" style="305" customWidth="1"/>
    <col min="15365" max="15365" width="12.140625" style="305" customWidth="1"/>
    <col min="15366" max="15366" width="8.7109375" style="305" customWidth="1"/>
    <col min="15367" max="15367" width="7.7109375" style="305" customWidth="1"/>
    <col min="15368" max="15368" width="9.28515625" style="305" customWidth="1"/>
    <col min="15369" max="15369" width="6.5703125" style="305" customWidth="1"/>
    <col min="15370" max="15370" width="8.5703125" style="305" customWidth="1"/>
    <col min="15371" max="15371" width="11" style="305" customWidth="1"/>
    <col min="15372" max="15605" width="9.140625" style="305"/>
    <col min="15606" max="15606" width="49" style="305" customWidth="1"/>
    <col min="15607" max="15607" width="25.7109375" style="305" customWidth="1"/>
    <col min="15608" max="15609" width="8.7109375" style="305" customWidth="1"/>
    <col min="15610" max="15611" width="9.28515625" style="305" customWidth="1"/>
    <col min="15612" max="15612" width="9.85546875" style="305" customWidth="1"/>
    <col min="15613" max="15613" width="9.28515625" style="305" customWidth="1"/>
    <col min="15614" max="15614" width="9.85546875" style="305" customWidth="1"/>
    <col min="15615" max="15615" width="10.42578125" style="305" customWidth="1"/>
    <col min="15616" max="15616" width="11.140625" style="305" customWidth="1"/>
    <col min="15617" max="15617" width="6.7109375" style="305" customWidth="1"/>
    <col min="15618" max="15618" width="11.5703125" style="305" customWidth="1"/>
    <col min="15619" max="15619" width="4.7109375" style="305" customWidth="1"/>
    <col min="15620" max="15620" width="10.140625" style="305" customWidth="1"/>
    <col min="15621" max="15621" width="12.140625" style="305" customWidth="1"/>
    <col min="15622" max="15622" width="8.7109375" style="305" customWidth="1"/>
    <col min="15623" max="15623" width="7.7109375" style="305" customWidth="1"/>
    <col min="15624" max="15624" width="9.28515625" style="305" customWidth="1"/>
    <col min="15625" max="15625" width="6.5703125" style="305" customWidth="1"/>
    <col min="15626" max="15626" width="8.5703125" style="305" customWidth="1"/>
    <col min="15627" max="15627" width="11" style="305" customWidth="1"/>
    <col min="15628" max="15861" width="9.140625" style="305"/>
    <col min="15862" max="15862" width="49" style="305" customWidth="1"/>
    <col min="15863" max="15863" width="25.7109375" style="305" customWidth="1"/>
    <col min="15864" max="15865" width="8.7109375" style="305" customWidth="1"/>
    <col min="15866" max="15867" width="9.28515625" style="305" customWidth="1"/>
    <col min="15868" max="15868" width="9.85546875" style="305" customWidth="1"/>
    <col min="15869" max="15869" width="9.28515625" style="305" customWidth="1"/>
    <col min="15870" max="15870" width="9.85546875" style="305" customWidth="1"/>
    <col min="15871" max="15871" width="10.42578125" style="305" customWidth="1"/>
    <col min="15872" max="15872" width="11.140625" style="305" customWidth="1"/>
    <col min="15873" max="15873" width="6.7109375" style="305" customWidth="1"/>
    <col min="15874" max="15874" width="11.5703125" style="305" customWidth="1"/>
    <col min="15875" max="15875" width="4.7109375" style="305" customWidth="1"/>
    <col min="15876" max="15876" width="10.140625" style="305" customWidth="1"/>
    <col min="15877" max="15877" width="12.140625" style="305" customWidth="1"/>
    <col min="15878" max="15878" width="8.7109375" style="305" customWidth="1"/>
    <col min="15879" max="15879" width="7.7109375" style="305" customWidth="1"/>
    <col min="15880" max="15880" width="9.28515625" style="305" customWidth="1"/>
    <col min="15881" max="15881" width="6.5703125" style="305" customWidth="1"/>
    <col min="15882" max="15882" width="8.5703125" style="305" customWidth="1"/>
    <col min="15883" max="15883" width="11" style="305" customWidth="1"/>
    <col min="15884" max="16117" width="9.140625" style="305"/>
    <col min="16118" max="16118" width="49" style="305" customWidth="1"/>
    <col min="16119" max="16119" width="25.7109375" style="305" customWidth="1"/>
    <col min="16120" max="16121" width="8.7109375" style="305" customWidth="1"/>
    <col min="16122" max="16123" width="9.28515625" style="305" customWidth="1"/>
    <col min="16124" max="16124" width="9.85546875" style="305" customWidth="1"/>
    <col min="16125" max="16125" width="9.28515625" style="305" customWidth="1"/>
    <col min="16126" max="16126" width="9.85546875" style="305" customWidth="1"/>
    <col min="16127" max="16127" width="10.42578125" style="305" customWidth="1"/>
    <col min="16128" max="16128" width="11.140625" style="305" customWidth="1"/>
    <col min="16129" max="16129" width="6.7109375" style="305" customWidth="1"/>
    <col min="16130" max="16130" width="11.5703125" style="305" customWidth="1"/>
    <col min="16131" max="16131" width="4.7109375" style="305" customWidth="1"/>
    <col min="16132" max="16132" width="10.140625" style="305" customWidth="1"/>
    <col min="16133" max="16133" width="12.140625" style="305" customWidth="1"/>
    <col min="16134" max="16134" width="8.7109375" style="305" customWidth="1"/>
    <col min="16135" max="16135" width="7.7109375" style="305" customWidth="1"/>
    <col min="16136" max="16136" width="9.28515625" style="305" customWidth="1"/>
    <col min="16137" max="16137" width="6.5703125" style="305" customWidth="1"/>
    <col min="16138" max="16138" width="8.5703125" style="305" customWidth="1"/>
    <col min="16139" max="16139" width="11" style="305" customWidth="1"/>
    <col min="16140" max="16384" width="9.140625" style="305"/>
  </cols>
  <sheetData>
    <row r="1" spans="1:62" s="297" customFormat="1" ht="90" customHeight="1" x14ac:dyDescent="0.2">
      <c r="A1" s="291" t="s">
        <v>0</v>
      </c>
      <c r="B1" s="291" t="s">
        <v>1</v>
      </c>
      <c r="C1" s="292" t="s">
        <v>2</v>
      </c>
      <c r="D1" s="293" t="s">
        <v>3</v>
      </c>
      <c r="E1" s="5" t="s">
        <v>160</v>
      </c>
      <c r="F1" s="5" t="s">
        <v>5</v>
      </c>
      <c r="G1" s="5" t="s">
        <v>6</v>
      </c>
      <c r="H1" s="5" t="s">
        <v>161</v>
      </c>
      <c r="I1" s="6" t="s">
        <v>8</v>
      </c>
      <c r="J1" s="7" t="s">
        <v>9</v>
      </c>
      <c r="K1" s="7" t="s">
        <v>10</v>
      </c>
      <c r="L1" s="8" t="s">
        <v>11</v>
      </c>
      <c r="M1" s="8" t="s">
        <v>12</v>
      </c>
      <c r="N1" s="294" t="s">
        <v>162</v>
      </c>
      <c r="O1" s="295"/>
      <c r="P1" s="295"/>
      <c r="Q1" s="295"/>
      <c r="R1" s="295"/>
      <c r="S1" s="295"/>
      <c r="T1" s="295"/>
      <c r="U1" s="295"/>
      <c r="V1" s="295"/>
      <c r="W1" s="295"/>
      <c r="X1" s="295"/>
      <c r="Y1" s="295"/>
      <c r="Z1" s="295"/>
      <c r="AA1" s="295"/>
      <c r="AB1" s="295"/>
      <c r="AC1" s="295"/>
      <c r="AD1" s="295"/>
      <c r="AE1" s="295"/>
      <c r="AF1" s="295"/>
      <c r="AG1" s="295"/>
      <c r="AH1" s="295"/>
      <c r="AI1" s="295"/>
      <c r="AJ1" s="295"/>
      <c r="AK1" s="295"/>
      <c r="AL1" s="295"/>
      <c r="AM1" s="295"/>
      <c r="AN1" s="295"/>
      <c r="AO1" s="295"/>
      <c r="AP1" s="295"/>
      <c r="AQ1" s="295"/>
      <c r="AR1" s="295"/>
      <c r="AS1" s="295"/>
      <c r="AT1" s="295"/>
      <c r="AU1" s="295"/>
      <c r="AV1" s="295"/>
      <c r="AW1" s="295"/>
      <c r="AX1" s="295"/>
      <c r="AY1" s="295"/>
      <c r="AZ1" s="295"/>
      <c r="BA1" s="295"/>
      <c r="BB1" s="295"/>
      <c r="BC1" s="295"/>
      <c r="BD1" s="295"/>
      <c r="BE1" s="295"/>
      <c r="BF1" s="295"/>
      <c r="BG1" s="295"/>
      <c r="BH1" s="295"/>
      <c r="BI1" s="295"/>
      <c r="BJ1" s="296"/>
    </row>
    <row r="2" spans="1:62" s="300" customFormat="1" ht="12.75" customHeight="1" x14ac:dyDescent="0.2">
      <c r="A2" s="121" t="s">
        <v>207</v>
      </c>
      <c r="B2" s="136" t="s">
        <v>208</v>
      </c>
      <c r="C2" s="123">
        <v>2311</v>
      </c>
      <c r="D2" s="25">
        <v>45905</v>
      </c>
      <c r="E2" s="26">
        <v>5798.2803814400004</v>
      </c>
      <c r="F2" s="15">
        <v>1</v>
      </c>
      <c r="G2" s="16">
        <f t="shared" ref="G2:G32" si="0">E2*F2</f>
        <v>5798.2803814400004</v>
      </c>
      <c r="H2" s="16">
        <f>(G2-E2)*0</f>
        <v>0</v>
      </c>
      <c r="I2" s="17">
        <f>(G2+H2)</f>
        <v>5798.2803814400004</v>
      </c>
      <c r="J2" s="299"/>
      <c r="K2" s="21">
        <f>I2*0.8*0.11</f>
        <v>510.24867356672007</v>
      </c>
      <c r="L2" s="50"/>
      <c r="M2" s="21"/>
      <c r="N2" s="125">
        <f t="shared" ref="N2:N32" si="1">I2-J2-K2-L2-M2</f>
        <v>5288.0317078732805</v>
      </c>
    </row>
    <row r="3" spans="1:62" s="300" customFormat="1" ht="12.75" customHeight="1" x14ac:dyDescent="0.2">
      <c r="A3" s="144" t="s">
        <v>243</v>
      </c>
      <c r="B3" s="136" t="s">
        <v>244</v>
      </c>
      <c r="C3" s="311">
        <v>2312</v>
      </c>
      <c r="D3" s="298">
        <v>45898</v>
      </c>
      <c r="E3" s="26">
        <v>705.2801207293013</v>
      </c>
      <c r="F3" s="15">
        <v>1</v>
      </c>
      <c r="G3" s="27">
        <f t="shared" si="0"/>
        <v>705.2801207293013</v>
      </c>
      <c r="H3" s="27">
        <f t="shared" ref="H3:H27" si="2">G3-E3</f>
        <v>0</v>
      </c>
      <c r="I3" s="17">
        <f>(G3+H3)</f>
        <v>705.2801207293013</v>
      </c>
      <c r="J3" s="124"/>
      <c r="K3" s="21">
        <f>(I3*0.8*0.11)</f>
        <v>62.064650624178519</v>
      </c>
      <c r="L3" s="21"/>
      <c r="M3" s="126"/>
      <c r="N3" s="21">
        <f t="shared" si="1"/>
        <v>643.21547010512279</v>
      </c>
    </row>
    <row r="4" spans="1:62" ht="12.75" customHeight="1" x14ac:dyDescent="0.2">
      <c r="A4" s="137" t="s">
        <v>163</v>
      </c>
      <c r="B4" s="136" t="s">
        <v>164</v>
      </c>
      <c r="C4" s="123">
        <v>2313</v>
      </c>
      <c r="D4" s="298">
        <v>45898</v>
      </c>
      <c r="E4" s="16">
        <v>220.56257051305744</v>
      </c>
      <c r="F4" s="15">
        <v>1</v>
      </c>
      <c r="G4" s="16">
        <f t="shared" si="0"/>
        <v>220.56257051305744</v>
      </c>
      <c r="H4" s="16">
        <f t="shared" si="2"/>
        <v>0</v>
      </c>
      <c r="I4" s="17">
        <f>G4+H4</f>
        <v>220.56257051305744</v>
      </c>
      <c r="J4" s="299"/>
      <c r="K4" s="125"/>
      <c r="L4" s="125"/>
      <c r="M4" s="125"/>
      <c r="N4" s="125">
        <f t="shared" si="1"/>
        <v>220.56257051305744</v>
      </c>
    </row>
    <row r="5" spans="1:62" ht="12.75" customHeight="1" x14ac:dyDescent="0.2">
      <c r="A5" s="301" t="s">
        <v>165</v>
      </c>
      <c r="B5" s="136"/>
      <c r="C5" s="123">
        <v>2314</v>
      </c>
      <c r="D5" s="298">
        <v>45898</v>
      </c>
      <c r="E5" s="132">
        <v>3668.1912229555983</v>
      </c>
      <c r="F5" s="15">
        <v>1</v>
      </c>
      <c r="G5" s="16">
        <f t="shared" si="0"/>
        <v>3668.1912229555983</v>
      </c>
      <c r="H5" s="16">
        <f t="shared" si="2"/>
        <v>0</v>
      </c>
      <c r="I5" s="17">
        <f>(G5+H5)</f>
        <v>3668.1912229555983</v>
      </c>
      <c r="J5" s="302"/>
      <c r="K5" s="125">
        <f>I5*0.8*0.11</f>
        <v>322.80082762009266</v>
      </c>
      <c r="L5" s="303"/>
      <c r="M5" s="21"/>
      <c r="N5" s="125">
        <f t="shared" si="1"/>
        <v>3345.3903953355057</v>
      </c>
    </row>
    <row r="6" spans="1:62" ht="12.75" customHeight="1" x14ac:dyDescent="0.2">
      <c r="A6" s="301" t="s">
        <v>166</v>
      </c>
      <c r="B6" s="136"/>
      <c r="C6" s="123">
        <v>2315</v>
      </c>
      <c r="D6" s="25">
        <v>45905</v>
      </c>
      <c r="E6" s="26">
        <v>1314.9292499999999</v>
      </c>
      <c r="F6" s="15">
        <v>1</v>
      </c>
      <c r="G6" s="16">
        <f t="shared" si="0"/>
        <v>1314.9292499999999</v>
      </c>
      <c r="H6" s="16">
        <f t="shared" si="2"/>
        <v>0</v>
      </c>
      <c r="I6" s="17">
        <f>G6+H6</f>
        <v>1314.9292499999999</v>
      </c>
      <c r="J6" s="304"/>
      <c r="K6" s="125">
        <f>I6*0.8*0.11</f>
        <v>115.71377399999999</v>
      </c>
      <c r="L6" s="303"/>
      <c r="M6" s="126"/>
      <c r="N6" s="125">
        <f t="shared" si="1"/>
        <v>1199.2154759999999</v>
      </c>
    </row>
    <row r="7" spans="1:62" ht="12.75" customHeight="1" x14ac:dyDescent="0.2">
      <c r="A7" s="301" t="s">
        <v>167</v>
      </c>
      <c r="B7" s="136" t="s">
        <v>168</v>
      </c>
      <c r="C7" s="123">
        <v>2316</v>
      </c>
      <c r="D7" s="298">
        <v>45898</v>
      </c>
      <c r="E7" s="26">
        <v>950.43975</v>
      </c>
      <c r="F7" s="15">
        <v>1</v>
      </c>
      <c r="G7" s="16">
        <f t="shared" si="0"/>
        <v>950.43975</v>
      </c>
      <c r="H7" s="16">
        <f t="shared" si="2"/>
        <v>0</v>
      </c>
      <c r="I7" s="17">
        <f>G7+H7</f>
        <v>950.43975</v>
      </c>
      <c r="J7" s="304"/>
      <c r="K7" s="125">
        <f>I7*0.8*0.11</f>
        <v>83.638698000000005</v>
      </c>
      <c r="L7" s="303"/>
      <c r="M7" s="126"/>
      <c r="N7" s="125">
        <f t="shared" si="1"/>
        <v>866.80105200000003</v>
      </c>
    </row>
    <row r="8" spans="1:62" ht="12.75" customHeight="1" x14ac:dyDescent="0.2">
      <c r="A8" s="301" t="s">
        <v>169</v>
      </c>
      <c r="B8" s="136"/>
      <c r="C8" s="123">
        <v>2317</v>
      </c>
      <c r="D8" s="298">
        <v>45898</v>
      </c>
      <c r="E8" s="26">
        <v>1390.6522500000001</v>
      </c>
      <c r="F8" s="15">
        <v>1</v>
      </c>
      <c r="G8" s="16">
        <f t="shared" si="0"/>
        <v>1390.6522500000001</v>
      </c>
      <c r="H8" s="16">
        <f t="shared" si="2"/>
        <v>0</v>
      </c>
      <c r="I8" s="17">
        <f>G8+H8</f>
        <v>1390.6522500000001</v>
      </c>
      <c r="J8" s="304"/>
      <c r="K8" s="125"/>
      <c r="L8" s="303"/>
      <c r="M8" s="126"/>
      <c r="N8" s="125">
        <f t="shared" si="1"/>
        <v>1390.6522500000001</v>
      </c>
    </row>
    <row r="9" spans="1:62" ht="12.75" customHeight="1" x14ac:dyDescent="0.2">
      <c r="A9" s="301" t="s">
        <v>170</v>
      </c>
      <c r="B9" s="136"/>
      <c r="C9" s="123">
        <v>2318</v>
      </c>
      <c r="D9" s="298">
        <v>45898</v>
      </c>
      <c r="E9" s="26">
        <v>317.84525000000002</v>
      </c>
      <c r="F9" s="15">
        <v>1</v>
      </c>
      <c r="G9" s="16">
        <f t="shared" si="0"/>
        <v>317.84525000000002</v>
      </c>
      <c r="H9" s="16">
        <f t="shared" si="2"/>
        <v>0</v>
      </c>
      <c r="I9" s="17">
        <f>(G9+H9)</f>
        <v>317.84525000000002</v>
      </c>
      <c r="J9" s="304"/>
      <c r="K9" s="125">
        <f>I9*0.8*0.11</f>
        <v>27.970382000000001</v>
      </c>
      <c r="L9" s="303"/>
      <c r="M9" s="126"/>
      <c r="N9" s="125">
        <f t="shared" si="1"/>
        <v>289.87486799999999</v>
      </c>
    </row>
    <row r="10" spans="1:62" ht="12.75" customHeight="1" x14ac:dyDescent="0.2">
      <c r="A10" s="301" t="s">
        <v>171</v>
      </c>
      <c r="B10" s="136"/>
      <c r="C10" s="123">
        <v>2319</v>
      </c>
      <c r="D10" s="298">
        <v>45898</v>
      </c>
      <c r="E10" s="132">
        <v>924.23124999999993</v>
      </c>
      <c r="F10" s="15">
        <v>1</v>
      </c>
      <c r="G10" s="16">
        <f t="shared" si="0"/>
        <v>924.23124999999993</v>
      </c>
      <c r="H10" s="16">
        <f t="shared" si="2"/>
        <v>0</v>
      </c>
      <c r="I10" s="17">
        <f>(G10+H10)</f>
        <v>924.23124999999993</v>
      </c>
      <c r="J10" s="302"/>
      <c r="K10" s="125"/>
      <c r="L10" s="303"/>
      <c r="M10" s="21"/>
      <c r="N10" s="125">
        <f t="shared" si="1"/>
        <v>924.23124999999993</v>
      </c>
    </row>
    <row r="11" spans="1:62" ht="12.75" customHeight="1" x14ac:dyDescent="0.2">
      <c r="A11" s="306" t="s">
        <v>172</v>
      </c>
      <c r="B11" s="32" t="s">
        <v>98</v>
      </c>
      <c r="C11" s="308">
        <v>2320</v>
      </c>
      <c r="D11" s="309">
        <v>45879</v>
      </c>
      <c r="E11" s="35">
        <v>389.18</v>
      </c>
      <c r="F11" s="142">
        <v>1</v>
      </c>
      <c r="G11" s="37">
        <f t="shared" si="0"/>
        <v>389.18</v>
      </c>
      <c r="H11" s="74">
        <f t="shared" si="2"/>
        <v>0</v>
      </c>
      <c r="I11" s="38">
        <f>(G11+H11)</f>
        <v>389.18</v>
      </c>
      <c r="J11" s="310"/>
      <c r="K11" s="40"/>
      <c r="L11" s="40"/>
      <c r="M11" s="40"/>
      <c r="N11" s="40">
        <f t="shared" si="1"/>
        <v>389.18</v>
      </c>
    </row>
    <row r="12" spans="1:62" ht="12.75" customHeight="1" x14ac:dyDescent="0.2">
      <c r="A12" s="301" t="s">
        <v>173</v>
      </c>
      <c r="B12" s="312"/>
      <c r="C12" s="123">
        <v>2322</v>
      </c>
      <c r="D12" s="298">
        <v>45898</v>
      </c>
      <c r="E12" s="313">
        <v>623.05250435325706</v>
      </c>
      <c r="F12" s="15">
        <v>1</v>
      </c>
      <c r="G12" s="16">
        <f t="shared" si="0"/>
        <v>623.05250435325706</v>
      </c>
      <c r="H12" s="16">
        <f t="shared" si="2"/>
        <v>0</v>
      </c>
      <c r="I12" s="17">
        <f>G12+H12</f>
        <v>623.05250435325706</v>
      </c>
      <c r="J12" s="124"/>
      <c r="K12" s="314"/>
      <c r="L12" s="314"/>
      <c r="M12" s="21"/>
      <c r="N12" s="125">
        <f t="shared" si="1"/>
        <v>623.05250435325706</v>
      </c>
    </row>
    <row r="13" spans="1:62" ht="12.75" customHeight="1" x14ac:dyDescent="0.2">
      <c r="A13" s="128" t="s">
        <v>178</v>
      </c>
      <c r="B13" s="312"/>
      <c r="C13" s="123">
        <v>2323</v>
      </c>
      <c r="D13" s="298">
        <v>45898</v>
      </c>
      <c r="E13" s="26">
        <v>6183.4852349037465</v>
      </c>
      <c r="F13" s="15">
        <v>1</v>
      </c>
      <c r="G13" s="27">
        <f t="shared" si="0"/>
        <v>6183.4852349037465</v>
      </c>
      <c r="H13" s="27">
        <f t="shared" si="2"/>
        <v>0</v>
      </c>
      <c r="I13" s="17">
        <f>(G13+H13)</f>
        <v>6183.4852349037465</v>
      </c>
      <c r="J13" s="124"/>
      <c r="K13" s="125">
        <f>I13*0.8*0.11</f>
        <v>544.14670067152974</v>
      </c>
      <c r="L13" s="21"/>
      <c r="M13" s="126"/>
      <c r="N13" s="21">
        <f t="shared" si="1"/>
        <v>5639.3385342322163</v>
      </c>
    </row>
    <row r="14" spans="1:62" s="318" customFormat="1" ht="12.75" customHeight="1" x14ac:dyDescent="0.2">
      <c r="A14" s="319" t="s">
        <v>179</v>
      </c>
      <c r="B14" s="122"/>
      <c r="C14" s="123">
        <v>2324</v>
      </c>
      <c r="D14" s="298">
        <v>45898</v>
      </c>
      <c r="E14" s="26">
        <v>801.95108431528797</v>
      </c>
      <c r="F14" s="15">
        <v>1</v>
      </c>
      <c r="G14" s="27">
        <f t="shared" si="0"/>
        <v>801.95108431528797</v>
      </c>
      <c r="H14" s="16">
        <f t="shared" si="2"/>
        <v>0</v>
      </c>
      <c r="I14" s="17">
        <f>(G14+H14)</f>
        <v>801.95108431528797</v>
      </c>
      <c r="J14" s="302"/>
      <c r="K14" s="21"/>
      <c r="L14" s="21"/>
      <c r="M14" s="21"/>
      <c r="N14" s="21">
        <f t="shared" si="1"/>
        <v>801.95108431528797</v>
      </c>
    </row>
    <row r="15" spans="1:62" s="318" customFormat="1" ht="12.75" customHeight="1" x14ac:dyDescent="0.2">
      <c r="A15" s="319" t="s">
        <v>180</v>
      </c>
      <c r="B15" s="136" t="s">
        <v>73</v>
      </c>
      <c r="C15" s="123">
        <v>2325</v>
      </c>
      <c r="D15" s="298">
        <v>45898</v>
      </c>
      <c r="E15" s="26">
        <v>2778.6058780500002</v>
      </c>
      <c r="F15" s="15">
        <v>1</v>
      </c>
      <c r="G15" s="16">
        <f t="shared" si="0"/>
        <v>2778.6058780500002</v>
      </c>
      <c r="H15" s="16">
        <f t="shared" si="2"/>
        <v>0</v>
      </c>
      <c r="I15" s="17">
        <f>(G15+H15)</f>
        <v>2778.6058780500002</v>
      </c>
      <c r="J15" s="320"/>
      <c r="K15" s="125">
        <f>I15*0.8*0.11</f>
        <v>244.51731726840003</v>
      </c>
      <c r="L15" s="125"/>
      <c r="M15" s="126"/>
      <c r="N15" s="125">
        <f t="shared" si="1"/>
        <v>2534.0885607816003</v>
      </c>
    </row>
    <row r="16" spans="1:62" s="321" customFormat="1" ht="12.75" customHeight="1" x14ac:dyDescent="0.2">
      <c r="A16" s="301" t="s">
        <v>181</v>
      </c>
      <c r="B16" s="122"/>
      <c r="C16" s="123">
        <v>2326</v>
      </c>
      <c r="D16" s="298">
        <v>45898</v>
      </c>
      <c r="E16" s="26">
        <v>741.78079149375003</v>
      </c>
      <c r="F16" s="15">
        <v>1</v>
      </c>
      <c r="G16" s="27">
        <f t="shared" si="0"/>
        <v>741.78079149375003</v>
      </c>
      <c r="H16" s="16">
        <f t="shared" si="2"/>
        <v>0</v>
      </c>
      <c r="I16" s="17">
        <f>(G16+H16)</f>
        <v>741.78079149375003</v>
      </c>
      <c r="J16" s="124"/>
      <c r="K16" s="21">
        <f>I16*0.11</f>
        <v>81.595887064312507</v>
      </c>
      <c r="L16" s="21"/>
      <c r="M16" s="126"/>
      <c r="N16" s="21">
        <f t="shared" si="1"/>
        <v>660.18490442943755</v>
      </c>
    </row>
    <row r="17" spans="1:76" s="318" customFormat="1" ht="12.75" customHeight="1" x14ac:dyDescent="0.2">
      <c r="A17" s="322" t="s">
        <v>182</v>
      </c>
      <c r="B17" s="122"/>
      <c r="C17" s="123">
        <v>2327</v>
      </c>
      <c r="D17" s="25">
        <v>45901</v>
      </c>
      <c r="E17" s="26">
        <v>1034.0258270187499</v>
      </c>
      <c r="F17" s="15">
        <v>1</v>
      </c>
      <c r="G17" s="27">
        <f t="shared" si="0"/>
        <v>1034.0258270187499</v>
      </c>
      <c r="H17" s="16">
        <f t="shared" si="2"/>
        <v>0</v>
      </c>
      <c r="I17" s="17">
        <f>(G17+H17)</f>
        <v>1034.0258270187499</v>
      </c>
      <c r="J17" s="302"/>
      <c r="K17" s="21"/>
      <c r="L17" s="21"/>
      <c r="M17" s="21"/>
      <c r="N17" s="21">
        <f t="shared" si="1"/>
        <v>1034.0258270187499</v>
      </c>
    </row>
    <row r="18" spans="1:76" s="323" customFormat="1" ht="12.75" customHeight="1" x14ac:dyDescent="0.2">
      <c r="A18" s="127" t="s">
        <v>183</v>
      </c>
      <c r="B18" s="53"/>
      <c r="C18" s="123">
        <v>2328</v>
      </c>
      <c r="D18" s="298">
        <v>45898</v>
      </c>
      <c r="E18" s="26">
        <v>347.83774999999997</v>
      </c>
      <c r="F18" s="15">
        <v>1</v>
      </c>
      <c r="G18" s="16">
        <f t="shared" si="0"/>
        <v>347.83774999999997</v>
      </c>
      <c r="H18" s="16">
        <f t="shared" si="2"/>
        <v>0</v>
      </c>
      <c r="I18" s="17">
        <f>G18+H18</f>
        <v>347.83774999999997</v>
      </c>
      <c r="J18" s="320"/>
      <c r="K18" s="21"/>
      <c r="L18" s="21"/>
      <c r="M18" s="21"/>
      <c r="N18" s="125">
        <f t="shared" si="1"/>
        <v>347.83774999999997</v>
      </c>
      <c r="O18" s="318"/>
      <c r="P18" s="318"/>
      <c r="Q18" s="318"/>
      <c r="R18" s="318"/>
      <c r="S18" s="318"/>
      <c r="T18" s="318"/>
      <c r="U18" s="318"/>
      <c r="V18" s="318"/>
      <c r="W18" s="318"/>
      <c r="X18" s="318"/>
      <c r="Y18" s="318"/>
      <c r="Z18" s="318"/>
      <c r="AA18" s="318"/>
      <c r="AB18" s="318"/>
      <c r="AC18" s="318"/>
      <c r="AD18" s="318"/>
      <c r="AE18" s="318"/>
      <c r="AF18" s="318"/>
      <c r="AG18" s="318"/>
      <c r="AH18" s="318"/>
      <c r="AI18" s="318"/>
      <c r="AJ18" s="318"/>
      <c r="AK18" s="318"/>
      <c r="AL18" s="318"/>
      <c r="AM18" s="318"/>
      <c r="AN18" s="318"/>
      <c r="AO18" s="318"/>
      <c r="AP18" s="318"/>
      <c r="AQ18" s="318"/>
      <c r="AR18" s="318"/>
      <c r="AS18" s="318"/>
      <c r="AT18" s="318"/>
      <c r="AU18" s="318"/>
      <c r="AV18" s="318"/>
      <c r="AW18" s="318"/>
      <c r="AX18" s="318"/>
      <c r="AY18" s="318"/>
      <c r="AZ18" s="318"/>
      <c r="BA18" s="318"/>
      <c r="BB18" s="318"/>
      <c r="BC18" s="318"/>
      <c r="BD18" s="318"/>
      <c r="BE18" s="318"/>
      <c r="BF18" s="318"/>
      <c r="BG18" s="318"/>
      <c r="BH18" s="318"/>
      <c r="BI18" s="318"/>
      <c r="BJ18" s="318"/>
      <c r="BK18" s="318"/>
      <c r="BL18" s="318"/>
      <c r="BM18" s="318"/>
      <c r="BN18" s="318"/>
      <c r="BO18" s="318"/>
      <c r="BP18" s="318"/>
      <c r="BQ18" s="318"/>
      <c r="BR18" s="318"/>
      <c r="BS18" s="318"/>
      <c r="BT18" s="318"/>
      <c r="BU18" s="318"/>
      <c r="BV18" s="318"/>
      <c r="BW18" s="318"/>
      <c r="BX18" s="318"/>
    </row>
    <row r="19" spans="1:76" s="318" customFormat="1" ht="12.75" customHeight="1" x14ac:dyDescent="0.2">
      <c r="A19" s="127" t="s">
        <v>184</v>
      </c>
      <c r="B19" s="53"/>
      <c r="C19" s="123">
        <v>2329</v>
      </c>
      <c r="D19" s="298">
        <v>45898</v>
      </c>
      <c r="E19" s="26">
        <v>2186.4431127539774</v>
      </c>
      <c r="F19" s="15">
        <v>1</v>
      </c>
      <c r="G19" s="16">
        <f t="shared" si="0"/>
        <v>2186.4431127539774</v>
      </c>
      <c r="H19" s="16">
        <f t="shared" si="2"/>
        <v>0</v>
      </c>
      <c r="I19" s="17">
        <f>G19+H19</f>
        <v>2186.4431127539774</v>
      </c>
      <c r="J19" s="320"/>
      <c r="K19" s="21"/>
      <c r="L19" s="21"/>
      <c r="M19" s="21"/>
      <c r="N19" s="125">
        <f t="shared" si="1"/>
        <v>2186.4431127539774</v>
      </c>
    </row>
    <row r="20" spans="1:76" s="318" customFormat="1" ht="12.75" customHeight="1" x14ac:dyDescent="0.2">
      <c r="A20" s="319" t="s">
        <v>185</v>
      </c>
      <c r="B20" s="136"/>
      <c r="C20" s="123">
        <v>2330</v>
      </c>
      <c r="D20" s="298">
        <v>45898</v>
      </c>
      <c r="E20" s="26">
        <v>2713.2247499999999</v>
      </c>
      <c r="F20" s="15">
        <v>1</v>
      </c>
      <c r="G20" s="16">
        <f t="shared" si="0"/>
        <v>2713.2247499999999</v>
      </c>
      <c r="H20" s="16">
        <f t="shared" si="2"/>
        <v>0</v>
      </c>
      <c r="I20" s="17">
        <f>G20+H20</f>
        <v>2713.2247499999999</v>
      </c>
      <c r="J20" s="320"/>
      <c r="K20" s="125">
        <f>I20*0.8*0.11</f>
        <v>238.763778</v>
      </c>
      <c r="L20" s="125"/>
      <c r="M20" s="126"/>
      <c r="N20" s="125">
        <f t="shared" si="1"/>
        <v>2474.4609719999999</v>
      </c>
    </row>
    <row r="21" spans="1:76" s="318" customFormat="1" ht="12.75" customHeight="1" x14ac:dyDescent="0.2">
      <c r="A21" s="319" t="s">
        <v>186</v>
      </c>
      <c r="B21" s="136" t="s">
        <v>73</v>
      </c>
      <c r="C21" s="123">
        <v>2331</v>
      </c>
      <c r="D21" s="298">
        <v>45898</v>
      </c>
      <c r="E21" s="26">
        <v>1397.5</v>
      </c>
      <c r="F21" s="15">
        <v>1</v>
      </c>
      <c r="G21" s="16">
        <f t="shared" si="0"/>
        <v>1397.5</v>
      </c>
      <c r="H21" s="16">
        <f t="shared" si="2"/>
        <v>0</v>
      </c>
      <c r="I21" s="17">
        <f>(G21+H21)</f>
        <v>1397.5</v>
      </c>
      <c r="J21" s="320"/>
      <c r="K21" s="125">
        <f>I21*0.8*0.11</f>
        <v>122.98</v>
      </c>
      <c r="L21" s="125"/>
      <c r="M21" s="126"/>
      <c r="N21" s="125">
        <f t="shared" si="1"/>
        <v>1274.52</v>
      </c>
    </row>
    <row r="22" spans="1:76" s="318" customFormat="1" ht="12.75" customHeight="1" x14ac:dyDescent="0.2">
      <c r="A22" s="306" t="s">
        <v>187</v>
      </c>
      <c r="B22" s="307"/>
      <c r="C22" s="308">
        <v>2332</v>
      </c>
      <c r="D22" s="309">
        <v>45898</v>
      </c>
      <c r="E22" s="35">
        <v>846.3</v>
      </c>
      <c r="F22" s="142">
        <v>1</v>
      </c>
      <c r="G22" s="37">
        <f t="shared" si="0"/>
        <v>846.3</v>
      </c>
      <c r="H22" s="74">
        <f t="shared" si="2"/>
        <v>0</v>
      </c>
      <c r="I22" s="38">
        <f>(G22+H22)</f>
        <v>846.3</v>
      </c>
      <c r="J22" s="310"/>
      <c r="K22" s="40"/>
      <c r="L22" s="40"/>
      <c r="M22" s="40"/>
      <c r="N22" s="40">
        <f t="shared" si="1"/>
        <v>846.3</v>
      </c>
    </row>
    <row r="23" spans="1:76" s="318" customFormat="1" ht="12.75" customHeight="1" x14ac:dyDescent="0.2">
      <c r="A23" s="127" t="s">
        <v>188</v>
      </c>
      <c r="B23" s="136"/>
      <c r="C23" s="123">
        <v>2333</v>
      </c>
      <c r="D23" s="298">
        <v>45898</v>
      </c>
      <c r="E23" s="26">
        <v>4956.2037144999995</v>
      </c>
      <c r="F23" s="15">
        <v>1</v>
      </c>
      <c r="G23" s="27">
        <f t="shared" si="0"/>
        <v>4956.2037144999995</v>
      </c>
      <c r="H23" s="16">
        <f t="shared" si="2"/>
        <v>0</v>
      </c>
      <c r="I23" s="17">
        <f>(G23+H23)</f>
        <v>4956.2037144999995</v>
      </c>
      <c r="J23" s="124"/>
      <c r="K23" s="21"/>
      <c r="L23" s="21"/>
      <c r="M23" s="21"/>
      <c r="N23" s="21">
        <f t="shared" si="1"/>
        <v>4956.2037144999995</v>
      </c>
    </row>
    <row r="24" spans="1:76" s="323" customFormat="1" ht="12.75" customHeight="1" x14ac:dyDescent="0.2">
      <c r="A24" s="127" t="s">
        <v>189</v>
      </c>
      <c r="B24" s="136" t="s">
        <v>73</v>
      </c>
      <c r="C24" s="123">
        <v>2334</v>
      </c>
      <c r="D24" s="298">
        <v>45898</v>
      </c>
      <c r="E24" s="26">
        <v>543.43600756249998</v>
      </c>
      <c r="F24" s="15">
        <v>1</v>
      </c>
      <c r="G24" s="16">
        <f t="shared" si="0"/>
        <v>543.43600756249998</v>
      </c>
      <c r="H24" s="16">
        <f t="shared" si="2"/>
        <v>0</v>
      </c>
      <c r="I24" s="17">
        <f>G24+H24</f>
        <v>543.43600756249998</v>
      </c>
      <c r="J24" s="320"/>
      <c r="K24" s="21"/>
      <c r="L24" s="21"/>
      <c r="M24" s="21"/>
      <c r="N24" s="125">
        <f t="shared" si="1"/>
        <v>543.43600756249998</v>
      </c>
    </row>
    <row r="25" spans="1:76" s="324" customFormat="1" ht="12.75" customHeight="1" x14ac:dyDescent="0.2">
      <c r="A25" s="299" t="s">
        <v>190</v>
      </c>
      <c r="B25" s="29"/>
      <c r="C25" s="123">
        <v>2335</v>
      </c>
      <c r="D25" s="298">
        <v>45898</v>
      </c>
      <c r="E25" s="325">
        <v>1207.4137334500001</v>
      </c>
      <c r="F25" s="15">
        <v>1</v>
      </c>
      <c r="G25" s="16">
        <f t="shared" si="0"/>
        <v>1207.4137334500001</v>
      </c>
      <c r="H25" s="16">
        <f t="shared" si="2"/>
        <v>0</v>
      </c>
      <c r="I25" s="17">
        <f>(G25+H25)</f>
        <v>1207.4137334500001</v>
      </c>
      <c r="J25" s="124"/>
      <c r="K25" s="21">
        <f>I25*0.8*0.11</f>
        <v>106.25240854360001</v>
      </c>
      <c r="L25" s="21"/>
      <c r="M25" s="126"/>
      <c r="N25" s="125">
        <f t="shared" si="1"/>
        <v>1101.1613249064001</v>
      </c>
    </row>
    <row r="26" spans="1:76" s="323" customFormat="1" ht="12.75" customHeight="1" x14ac:dyDescent="0.2">
      <c r="A26" s="301" t="s">
        <v>191</v>
      </c>
      <c r="B26" s="136" t="s">
        <v>73</v>
      </c>
      <c r="C26" s="123">
        <v>2336</v>
      </c>
      <c r="D26" s="298">
        <v>45898</v>
      </c>
      <c r="E26" s="26">
        <v>797.68773748800004</v>
      </c>
      <c r="F26" s="15">
        <v>1</v>
      </c>
      <c r="G26" s="27">
        <f t="shared" si="0"/>
        <v>797.68773748800004</v>
      </c>
      <c r="H26" s="16">
        <f t="shared" si="2"/>
        <v>0</v>
      </c>
      <c r="I26" s="17">
        <f>(G26+H26)</f>
        <v>797.68773748800004</v>
      </c>
      <c r="J26" s="124"/>
      <c r="K26" s="21">
        <f>I26*0.8*0.11</f>
        <v>70.196520898944016</v>
      </c>
      <c r="L26" s="21"/>
      <c r="M26" s="126"/>
      <c r="N26" s="21">
        <f t="shared" si="1"/>
        <v>727.49121658905597</v>
      </c>
    </row>
    <row r="27" spans="1:76" s="321" customFormat="1" ht="12.75" customHeight="1" x14ac:dyDescent="0.2">
      <c r="A27" s="299" t="s">
        <v>192</v>
      </c>
      <c r="B27" s="29"/>
      <c r="C27" s="123">
        <v>2337</v>
      </c>
      <c r="D27" s="298">
        <v>45898</v>
      </c>
      <c r="E27" s="132">
        <v>3555.725710388147</v>
      </c>
      <c r="F27" s="15">
        <v>1</v>
      </c>
      <c r="G27" s="16">
        <f t="shared" si="0"/>
        <v>3555.725710388147</v>
      </c>
      <c r="H27" s="16">
        <f t="shared" si="2"/>
        <v>0</v>
      </c>
      <c r="I27" s="17">
        <f>(G27+H27)</f>
        <v>3555.725710388147</v>
      </c>
      <c r="J27" s="124"/>
      <c r="K27" s="21"/>
      <c r="L27" s="21"/>
      <c r="M27" s="126"/>
      <c r="N27" s="125">
        <f t="shared" si="1"/>
        <v>3555.725710388147</v>
      </c>
    </row>
    <row r="28" spans="1:76" s="321" customFormat="1" ht="12.75" customHeight="1" x14ac:dyDescent="0.2">
      <c r="A28" s="144" t="s">
        <v>193</v>
      </c>
      <c r="B28" s="29" t="s">
        <v>194</v>
      </c>
      <c r="C28" s="123">
        <v>2338</v>
      </c>
      <c r="D28" s="25">
        <v>45945</v>
      </c>
      <c r="E28" s="26">
        <v>1793.1110209000003</v>
      </c>
      <c r="F28" s="15">
        <v>1</v>
      </c>
      <c r="G28" s="16">
        <f t="shared" si="0"/>
        <v>1793.1110209000003</v>
      </c>
      <c r="H28" s="16">
        <f>(G28-E28)*3</f>
        <v>0</v>
      </c>
      <c r="I28" s="17">
        <f>(G28+H28)</f>
        <v>1793.1110209000003</v>
      </c>
      <c r="J28" s="124"/>
      <c r="K28" s="21">
        <f>I28*0.11</f>
        <v>197.24221229900004</v>
      </c>
      <c r="L28" s="21"/>
      <c r="M28" s="21"/>
      <c r="N28" s="125">
        <f t="shared" si="1"/>
        <v>1595.8688086010002</v>
      </c>
    </row>
    <row r="29" spans="1:76" s="318" customFormat="1" ht="12.75" customHeight="1" x14ac:dyDescent="0.2">
      <c r="A29" s="299" t="s">
        <v>195</v>
      </c>
      <c r="B29" s="136"/>
      <c r="C29" s="123">
        <v>2339</v>
      </c>
      <c r="D29" s="298">
        <v>45898</v>
      </c>
      <c r="E29" s="27">
        <v>1053.5</v>
      </c>
      <c r="F29" s="15">
        <v>1</v>
      </c>
      <c r="G29" s="27">
        <f t="shared" si="0"/>
        <v>1053.5</v>
      </c>
      <c r="H29" s="27">
        <f t="shared" ref="H29:H76" si="3">G29-E29</f>
        <v>0</v>
      </c>
      <c r="I29" s="17">
        <f>(G29+H29)</f>
        <v>1053.5</v>
      </c>
      <c r="J29" s="326"/>
      <c r="K29" s="21"/>
      <c r="L29" s="21"/>
      <c r="M29" s="126"/>
      <c r="N29" s="21">
        <f t="shared" si="1"/>
        <v>1053.5</v>
      </c>
    </row>
    <row r="30" spans="1:76" s="318" customFormat="1" ht="12.75" customHeight="1" x14ac:dyDescent="0.2">
      <c r="A30" s="301" t="s">
        <v>196</v>
      </c>
      <c r="B30" s="136" t="s">
        <v>73</v>
      </c>
      <c r="C30" s="123">
        <v>2340</v>
      </c>
      <c r="D30" s="298">
        <v>45898</v>
      </c>
      <c r="E30" s="26">
        <v>797.68773748800004</v>
      </c>
      <c r="F30" s="15">
        <v>1</v>
      </c>
      <c r="G30" s="27">
        <f t="shared" si="0"/>
        <v>797.68773748800004</v>
      </c>
      <c r="H30" s="16">
        <f t="shared" si="3"/>
        <v>0</v>
      </c>
      <c r="I30" s="17">
        <v>2316.38</v>
      </c>
      <c r="J30" s="124"/>
      <c r="K30" s="21"/>
      <c r="L30" s="21"/>
      <c r="M30" s="126"/>
      <c r="N30" s="21">
        <f t="shared" si="1"/>
        <v>2316.38</v>
      </c>
    </row>
    <row r="31" spans="1:76" s="318" customFormat="1" ht="12.75" customHeight="1" x14ac:dyDescent="0.2">
      <c r="A31" s="127" t="s">
        <v>197</v>
      </c>
      <c r="B31" s="29"/>
      <c r="C31" s="123">
        <v>2341</v>
      </c>
      <c r="D31" s="298">
        <v>45898</v>
      </c>
      <c r="E31" s="26">
        <v>450</v>
      </c>
      <c r="F31" s="15">
        <v>1</v>
      </c>
      <c r="G31" s="16">
        <f t="shared" si="0"/>
        <v>450</v>
      </c>
      <c r="H31" s="16">
        <f t="shared" si="3"/>
        <v>0</v>
      </c>
      <c r="I31" s="17">
        <f t="shared" ref="I31:I41" si="4">(G31+H31)</f>
        <v>450</v>
      </c>
      <c r="J31" s="124"/>
      <c r="K31" s="21"/>
      <c r="L31" s="21"/>
      <c r="M31" s="21"/>
      <c r="N31" s="125">
        <f t="shared" si="1"/>
        <v>450</v>
      </c>
    </row>
    <row r="32" spans="1:76" s="318" customFormat="1" ht="12.75" customHeight="1" x14ac:dyDescent="0.2">
      <c r="A32" s="301" t="s">
        <v>198</v>
      </c>
      <c r="B32" s="136"/>
      <c r="C32" s="123">
        <v>2342</v>
      </c>
      <c r="D32" s="298">
        <v>45898</v>
      </c>
      <c r="E32" s="26">
        <v>404.9282394</v>
      </c>
      <c r="F32" s="15">
        <v>1</v>
      </c>
      <c r="G32" s="27">
        <f t="shared" si="0"/>
        <v>404.9282394</v>
      </c>
      <c r="H32" s="27">
        <f t="shared" si="3"/>
        <v>0</v>
      </c>
      <c r="I32" s="17">
        <f t="shared" si="4"/>
        <v>404.9282394</v>
      </c>
      <c r="J32" s="124"/>
      <c r="K32" s="21"/>
      <c r="L32" s="21"/>
      <c r="M32" s="126"/>
      <c r="N32" s="21">
        <f t="shared" si="1"/>
        <v>404.9282394</v>
      </c>
    </row>
    <row r="33" spans="1:76" s="318" customFormat="1" ht="12.75" customHeight="1" x14ac:dyDescent="0.2">
      <c r="A33" s="135" t="s">
        <v>199</v>
      </c>
      <c r="B33" s="327" t="s">
        <v>200</v>
      </c>
      <c r="C33" s="123">
        <v>2343</v>
      </c>
      <c r="D33" s="25">
        <v>45894</v>
      </c>
      <c r="E33" s="26">
        <v>2278.7251354537502</v>
      </c>
      <c r="F33" s="15">
        <v>1</v>
      </c>
      <c r="G33" s="27">
        <f t="shared" ref="G33:G64" si="5">E33*F33</f>
        <v>2278.7251354537502</v>
      </c>
      <c r="H33" s="27">
        <f t="shared" si="3"/>
        <v>0</v>
      </c>
      <c r="I33" s="17">
        <f t="shared" si="4"/>
        <v>2278.7251354537502</v>
      </c>
      <c r="J33" s="299"/>
      <c r="K33" s="21">
        <f>I33*0.8*0.11</f>
        <v>200.52781191993003</v>
      </c>
      <c r="L33" s="21"/>
      <c r="M33" s="126"/>
      <c r="N33" s="21">
        <f t="shared" ref="N33:N64" si="6">I33-J33-K33-L33-M33</f>
        <v>2078.1973235338201</v>
      </c>
    </row>
    <row r="34" spans="1:76" s="318" customFormat="1" ht="12.75" customHeight="1" x14ac:dyDescent="0.2">
      <c r="A34" s="135" t="s">
        <v>199</v>
      </c>
      <c r="B34" s="327" t="s">
        <v>201</v>
      </c>
      <c r="C34" s="123">
        <v>2344</v>
      </c>
      <c r="D34" s="25">
        <v>45894</v>
      </c>
      <c r="E34" s="26">
        <v>395.18</v>
      </c>
      <c r="F34" s="15">
        <v>1</v>
      </c>
      <c r="G34" s="27">
        <f t="shared" si="5"/>
        <v>395.18</v>
      </c>
      <c r="H34" s="27">
        <f t="shared" si="3"/>
        <v>0</v>
      </c>
      <c r="I34" s="17">
        <f t="shared" si="4"/>
        <v>395.18</v>
      </c>
      <c r="J34" s="299"/>
      <c r="K34" s="21">
        <f>I34*0.8*0.11</f>
        <v>34.775840000000002</v>
      </c>
      <c r="L34" s="21"/>
      <c r="M34" s="126"/>
      <c r="N34" s="21">
        <f t="shared" si="6"/>
        <v>360.40415999999999</v>
      </c>
    </row>
    <row r="35" spans="1:76" s="318" customFormat="1" ht="12.75" customHeight="1" x14ac:dyDescent="0.2">
      <c r="A35" s="301" t="s">
        <v>202</v>
      </c>
      <c r="B35" s="136"/>
      <c r="C35" s="123">
        <v>2345</v>
      </c>
      <c r="D35" s="298">
        <v>45898</v>
      </c>
      <c r="E35" s="132">
        <v>530.45552930000008</v>
      </c>
      <c r="F35" s="15">
        <v>1</v>
      </c>
      <c r="G35" s="16">
        <f t="shared" si="5"/>
        <v>530.45552930000008</v>
      </c>
      <c r="H35" s="16">
        <f t="shared" si="3"/>
        <v>0</v>
      </c>
      <c r="I35" s="17">
        <f t="shared" si="4"/>
        <v>530.45552930000008</v>
      </c>
      <c r="J35" s="302"/>
      <c r="K35" s="125"/>
      <c r="L35" s="303"/>
      <c r="M35" s="21"/>
      <c r="N35" s="125">
        <f t="shared" si="6"/>
        <v>530.45552930000008</v>
      </c>
    </row>
    <row r="36" spans="1:76" s="300" customFormat="1" ht="12.75" customHeight="1" x14ac:dyDescent="0.2">
      <c r="A36" s="301" t="s">
        <v>203</v>
      </c>
      <c r="B36" s="136"/>
      <c r="C36" s="123">
        <v>2346</v>
      </c>
      <c r="D36" s="298">
        <v>45898</v>
      </c>
      <c r="E36" s="132">
        <v>230.99621500000003</v>
      </c>
      <c r="F36" s="15">
        <v>1</v>
      </c>
      <c r="G36" s="16">
        <f t="shared" si="5"/>
        <v>230.99621500000003</v>
      </c>
      <c r="H36" s="16">
        <f t="shared" si="3"/>
        <v>0</v>
      </c>
      <c r="I36" s="17">
        <f t="shared" si="4"/>
        <v>230.99621500000003</v>
      </c>
      <c r="J36" s="302"/>
      <c r="K36" s="125"/>
      <c r="L36" s="303"/>
      <c r="M36" s="21"/>
      <c r="N36" s="125">
        <f t="shared" si="6"/>
        <v>230.99621500000003</v>
      </c>
    </row>
    <row r="37" spans="1:76" s="318" customFormat="1" ht="12.75" customHeight="1" x14ac:dyDescent="0.2">
      <c r="A37" s="144" t="s">
        <v>204</v>
      </c>
      <c r="B37" s="136"/>
      <c r="C37" s="123">
        <v>2347</v>
      </c>
      <c r="D37" s="298">
        <v>45898</v>
      </c>
      <c r="E37" s="132">
        <v>562.11013624999998</v>
      </c>
      <c r="F37" s="15">
        <v>1</v>
      </c>
      <c r="G37" s="16">
        <f t="shared" si="5"/>
        <v>562.11013624999998</v>
      </c>
      <c r="H37" s="16">
        <f t="shared" si="3"/>
        <v>0</v>
      </c>
      <c r="I37" s="17">
        <f t="shared" si="4"/>
        <v>562.11013624999998</v>
      </c>
      <c r="J37" s="304"/>
      <c r="K37" s="125"/>
      <c r="L37" s="125"/>
      <c r="M37" s="21"/>
      <c r="N37" s="125">
        <f t="shared" si="6"/>
        <v>562.11013624999998</v>
      </c>
    </row>
    <row r="38" spans="1:76" s="323" customFormat="1" ht="12.75" customHeight="1" x14ac:dyDescent="0.2">
      <c r="A38" s="121" t="s">
        <v>205</v>
      </c>
      <c r="B38" s="136"/>
      <c r="C38" s="123">
        <v>2348</v>
      </c>
      <c r="D38" s="25">
        <v>45920</v>
      </c>
      <c r="E38" s="26">
        <v>474.57806086043252</v>
      </c>
      <c r="F38" s="15">
        <v>1</v>
      </c>
      <c r="G38" s="27">
        <f t="shared" si="5"/>
        <v>474.57806086043252</v>
      </c>
      <c r="H38" s="16">
        <f t="shared" si="3"/>
        <v>0</v>
      </c>
      <c r="I38" s="17">
        <f t="shared" si="4"/>
        <v>474.57806086043252</v>
      </c>
      <c r="J38" s="124"/>
      <c r="K38" s="21"/>
      <c r="L38" s="21"/>
      <c r="M38" s="21"/>
      <c r="N38" s="21">
        <f t="shared" si="6"/>
        <v>474.57806086043252</v>
      </c>
      <c r="O38" s="318"/>
      <c r="P38" s="318"/>
      <c r="Q38" s="318"/>
      <c r="R38" s="318"/>
      <c r="S38" s="318"/>
      <c r="T38" s="318"/>
      <c r="U38" s="318"/>
      <c r="V38" s="318"/>
      <c r="W38" s="318"/>
      <c r="X38" s="318"/>
      <c r="Y38" s="318"/>
      <c r="Z38" s="318"/>
      <c r="AA38" s="318"/>
      <c r="AB38" s="318"/>
      <c r="AC38" s="318"/>
      <c r="AD38" s="318"/>
      <c r="AE38" s="318"/>
      <c r="AF38" s="318"/>
      <c r="AG38" s="318"/>
      <c r="AH38" s="318"/>
      <c r="AI38" s="318"/>
      <c r="AJ38" s="318"/>
      <c r="AK38" s="318"/>
      <c r="AL38" s="318"/>
      <c r="AM38" s="318"/>
      <c r="AN38" s="318"/>
      <c r="AO38" s="318"/>
      <c r="AP38" s="318"/>
      <c r="AQ38" s="318"/>
      <c r="AR38" s="318"/>
      <c r="AS38" s="318"/>
      <c r="AT38" s="318"/>
      <c r="AU38" s="318"/>
      <c r="AV38" s="318"/>
      <c r="AW38" s="318"/>
      <c r="AX38" s="318"/>
      <c r="AY38" s="318"/>
      <c r="AZ38" s="318"/>
      <c r="BA38" s="318"/>
      <c r="BB38" s="318"/>
      <c r="BC38" s="318"/>
      <c r="BD38" s="318"/>
      <c r="BE38" s="318"/>
      <c r="BF38" s="318"/>
      <c r="BG38" s="318"/>
      <c r="BH38" s="318"/>
      <c r="BI38" s="318"/>
      <c r="BJ38" s="318"/>
      <c r="BK38" s="318"/>
      <c r="BL38" s="318"/>
      <c r="BM38" s="318"/>
      <c r="BN38" s="318"/>
      <c r="BO38" s="318"/>
      <c r="BP38" s="318"/>
      <c r="BQ38" s="318"/>
      <c r="BR38" s="318"/>
      <c r="BS38" s="318"/>
      <c r="BT38" s="318"/>
      <c r="BU38" s="318"/>
      <c r="BV38" s="318"/>
      <c r="BW38" s="318"/>
      <c r="BX38" s="318"/>
    </row>
    <row r="39" spans="1:76" s="323" customFormat="1" ht="12.75" customHeight="1" x14ac:dyDescent="0.2">
      <c r="A39" s="144" t="s">
        <v>206</v>
      </c>
      <c r="B39" s="136"/>
      <c r="C39" s="123">
        <v>2349</v>
      </c>
      <c r="D39" s="298">
        <v>45898</v>
      </c>
      <c r="E39" s="132">
        <v>834.03874999999994</v>
      </c>
      <c r="F39" s="15">
        <v>1</v>
      </c>
      <c r="G39" s="16">
        <f t="shared" si="5"/>
        <v>834.03874999999994</v>
      </c>
      <c r="H39" s="16">
        <f t="shared" si="3"/>
        <v>0</v>
      </c>
      <c r="I39" s="17">
        <f t="shared" si="4"/>
        <v>834.03874999999994</v>
      </c>
      <c r="J39" s="304"/>
      <c r="K39" s="125"/>
      <c r="L39" s="125"/>
      <c r="M39" s="21"/>
      <c r="N39" s="125">
        <f t="shared" si="6"/>
        <v>834.03874999999994</v>
      </c>
      <c r="O39" s="318"/>
      <c r="P39" s="318"/>
      <c r="Q39" s="318"/>
      <c r="R39" s="318"/>
      <c r="S39" s="318"/>
      <c r="T39" s="318"/>
      <c r="U39" s="318"/>
      <c r="V39" s="318"/>
      <c r="W39" s="318"/>
      <c r="X39" s="318"/>
      <c r="Y39" s="318"/>
      <c r="Z39" s="318"/>
      <c r="AA39" s="318"/>
      <c r="AB39" s="318"/>
      <c r="AC39" s="318"/>
      <c r="AD39" s="318"/>
      <c r="AE39" s="318"/>
      <c r="AF39" s="318"/>
      <c r="AG39" s="318"/>
      <c r="AH39" s="318"/>
      <c r="AI39" s="318"/>
      <c r="AJ39" s="318"/>
      <c r="AK39" s="318"/>
      <c r="AL39" s="318"/>
      <c r="AM39" s="318"/>
      <c r="AN39" s="318"/>
      <c r="AO39" s="318"/>
      <c r="AP39" s="318"/>
      <c r="AQ39" s="318"/>
      <c r="AR39" s="318"/>
      <c r="AS39" s="318"/>
      <c r="AT39" s="318"/>
      <c r="AU39" s="318"/>
      <c r="AV39" s="318"/>
      <c r="AW39" s="318"/>
      <c r="AX39" s="318"/>
      <c r="AY39" s="318"/>
      <c r="AZ39" s="318"/>
      <c r="BA39" s="318"/>
      <c r="BB39" s="318"/>
      <c r="BC39" s="318"/>
      <c r="BD39" s="318"/>
      <c r="BE39" s="318"/>
      <c r="BF39" s="318"/>
      <c r="BG39" s="318"/>
      <c r="BH39" s="318"/>
      <c r="BI39" s="318"/>
      <c r="BJ39" s="318"/>
      <c r="BK39" s="318"/>
      <c r="BL39" s="318"/>
      <c r="BM39" s="318"/>
      <c r="BN39" s="318"/>
      <c r="BO39" s="318"/>
      <c r="BP39" s="318"/>
      <c r="BQ39" s="318"/>
      <c r="BR39" s="318"/>
      <c r="BS39" s="318"/>
      <c r="BT39" s="318"/>
      <c r="BU39" s="318"/>
      <c r="BV39" s="318"/>
      <c r="BW39" s="318"/>
      <c r="BX39" s="318"/>
    </row>
    <row r="40" spans="1:76" s="323" customFormat="1" ht="12.75" customHeight="1" x14ac:dyDescent="0.2">
      <c r="A40" s="144" t="s">
        <v>209</v>
      </c>
      <c r="B40" s="136"/>
      <c r="C40" s="123">
        <v>2350</v>
      </c>
      <c r="D40" s="298">
        <v>45898</v>
      </c>
      <c r="E40" s="26">
        <v>682.55</v>
      </c>
      <c r="F40" s="15">
        <v>1</v>
      </c>
      <c r="G40" s="27">
        <f t="shared" si="5"/>
        <v>682.55</v>
      </c>
      <c r="H40" s="27">
        <f t="shared" si="3"/>
        <v>0</v>
      </c>
      <c r="I40" s="17">
        <f t="shared" si="4"/>
        <v>682.55</v>
      </c>
      <c r="J40" s="299"/>
      <c r="K40" s="21"/>
      <c r="L40" s="21"/>
      <c r="M40" s="21"/>
      <c r="N40" s="21">
        <f t="shared" si="6"/>
        <v>682.55</v>
      </c>
      <c r="O40" s="318"/>
      <c r="P40" s="318"/>
      <c r="Q40" s="318"/>
      <c r="R40" s="318"/>
      <c r="S40" s="318"/>
      <c r="T40" s="318"/>
      <c r="U40" s="318"/>
      <c r="V40" s="318"/>
      <c r="W40" s="318"/>
      <c r="X40" s="318"/>
      <c r="Y40" s="318"/>
      <c r="Z40" s="318"/>
      <c r="AA40" s="318"/>
      <c r="AB40" s="318"/>
      <c r="AC40" s="318"/>
      <c r="AD40" s="318"/>
      <c r="AE40" s="318"/>
      <c r="AF40" s="318"/>
      <c r="AG40" s="318"/>
      <c r="AH40" s="318"/>
      <c r="AI40" s="318"/>
      <c r="AJ40" s="318"/>
      <c r="AK40" s="318"/>
      <c r="AL40" s="318"/>
      <c r="AM40" s="318"/>
      <c r="AN40" s="318"/>
      <c r="AO40" s="318"/>
      <c r="AP40" s="318"/>
      <c r="AQ40" s="318"/>
      <c r="AR40" s="318"/>
      <c r="AS40" s="318"/>
      <c r="AT40" s="318"/>
      <c r="AU40" s="318"/>
      <c r="AV40" s="318"/>
      <c r="AW40" s="318"/>
      <c r="AX40" s="318"/>
      <c r="AY40" s="318"/>
      <c r="AZ40" s="318"/>
      <c r="BA40" s="318"/>
      <c r="BB40" s="318"/>
      <c r="BC40" s="318"/>
      <c r="BD40" s="318"/>
      <c r="BE40" s="318"/>
      <c r="BF40" s="318"/>
      <c r="BG40" s="318"/>
      <c r="BH40" s="318"/>
      <c r="BI40" s="318"/>
      <c r="BJ40" s="318"/>
      <c r="BK40" s="318"/>
      <c r="BL40" s="318"/>
      <c r="BM40" s="318"/>
      <c r="BN40" s="318"/>
      <c r="BO40" s="318"/>
      <c r="BP40" s="318"/>
      <c r="BQ40" s="318"/>
      <c r="BR40" s="318"/>
      <c r="BS40" s="318"/>
      <c r="BT40" s="318"/>
      <c r="BU40" s="318"/>
      <c r="BV40" s="318"/>
      <c r="BW40" s="318"/>
      <c r="BX40" s="318"/>
    </row>
    <row r="41" spans="1:76" s="323" customFormat="1" ht="12.75" customHeight="1" x14ac:dyDescent="0.2">
      <c r="A41" s="144" t="s">
        <v>210</v>
      </c>
      <c r="B41" s="136"/>
      <c r="C41" s="123">
        <v>2351</v>
      </c>
      <c r="D41" s="298">
        <v>45898</v>
      </c>
      <c r="E41" s="26">
        <v>510.50028804739958</v>
      </c>
      <c r="F41" s="15">
        <v>1</v>
      </c>
      <c r="G41" s="27">
        <f t="shared" si="5"/>
        <v>510.50028804739958</v>
      </c>
      <c r="H41" s="27">
        <f t="shared" si="3"/>
        <v>0</v>
      </c>
      <c r="I41" s="17">
        <f t="shared" si="4"/>
        <v>510.50028804739958</v>
      </c>
      <c r="J41" s="299"/>
      <c r="K41" s="21"/>
      <c r="L41" s="21"/>
      <c r="M41" s="21"/>
      <c r="N41" s="21">
        <f t="shared" si="6"/>
        <v>510.50028804739958</v>
      </c>
      <c r="O41" s="318"/>
      <c r="P41" s="318"/>
      <c r="Q41" s="318"/>
      <c r="R41" s="318"/>
      <c r="S41" s="318"/>
      <c r="T41" s="318"/>
      <c r="U41" s="318"/>
      <c r="V41" s="318"/>
      <c r="W41" s="318"/>
      <c r="X41" s="318"/>
      <c r="Y41" s="318"/>
      <c r="Z41" s="318"/>
      <c r="AA41" s="318"/>
      <c r="AB41" s="318"/>
      <c r="AC41" s="318"/>
      <c r="AD41" s="318"/>
      <c r="AE41" s="318"/>
      <c r="AF41" s="318"/>
      <c r="AG41" s="318"/>
      <c r="AH41" s="318"/>
      <c r="AI41" s="318"/>
      <c r="AJ41" s="318"/>
      <c r="AK41" s="318"/>
      <c r="AL41" s="318"/>
      <c r="AM41" s="318"/>
      <c r="AN41" s="318"/>
      <c r="AO41" s="318"/>
      <c r="AP41" s="318"/>
      <c r="AQ41" s="318"/>
      <c r="AR41" s="318"/>
      <c r="AS41" s="318"/>
      <c r="AT41" s="318"/>
      <c r="AU41" s="318"/>
      <c r="AV41" s="318"/>
      <c r="AW41" s="318"/>
      <c r="AX41" s="318"/>
      <c r="AY41" s="318"/>
      <c r="AZ41" s="318"/>
      <c r="BA41" s="318"/>
      <c r="BB41" s="318"/>
      <c r="BC41" s="318"/>
      <c r="BD41" s="318"/>
      <c r="BE41" s="318"/>
      <c r="BF41" s="318"/>
      <c r="BG41" s="318"/>
      <c r="BH41" s="318"/>
      <c r="BI41" s="318"/>
      <c r="BJ41" s="318"/>
      <c r="BK41" s="318"/>
      <c r="BL41" s="318"/>
      <c r="BM41" s="318"/>
      <c r="BN41" s="318"/>
      <c r="BO41" s="318"/>
      <c r="BP41" s="318"/>
      <c r="BQ41" s="318"/>
      <c r="BR41" s="318"/>
      <c r="BS41" s="318"/>
      <c r="BT41" s="318"/>
      <c r="BU41" s="318"/>
      <c r="BV41" s="318"/>
      <c r="BW41" s="318"/>
      <c r="BX41" s="318"/>
    </row>
    <row r="42" spans="1:76" s="323" customFormat="1" ht="12.75" customHeight="1" x14ac:dyDescent="0.2">
      <c r="A42" s="299" t="s">
        <v>211</v>
      </c>
      <c r="B42" s="29" t="s">
        <v>57</v>
      </c>
      <c r="C42" s="123">
        <v>2352</v>
      </c>
      <c r="D42" s="298">
        <v>45898</v>
      </c>
      <c r="E42" s="27">
        <v>1633.2190180644848</v>
      </c>
      <c r="F42" s="15">
        <v>1</v>
      </c>
      <c r="G42" s="16">
        <f t="shared" si="5"/>
        <v>1633.2190180644848</v>
      </c>
      <c r="H42" s="16">
        <f t="shared" si="3"/>
        <v>0</v>
      </c>
      <c r="I42" s="17">
        <f>G42+H42</f>
        <v>1633.2190180644848</v>
      </c>
      <c r="J42" s="320"/>
      <c r="K42" s="21">
        <f>I42*0.11</f>
        <v>179.65409198709332</v>
      </c>
      <c r="L42" s="21"/>
      <c r="M42" s="126"/>
      <c r="N42" s="125">
        <f t="shared" si="6"/>
        <v>1453.5649260773914</v>
      </c>
      <c r="O42" s="318"/>
      <c r="P42" s="318"/>
      <c r="Q42" s="318"/>
      <c r="R42" s="318"/>
      <c r="S42" s="318"/>
      <c r="T42" s="318"/>
      <c r="U42" s="318"/>
      <c r="V42" s="318"/>
      <c r="W42" s="318"/>
      <c r="X42" s="318"/>
      <c r="Y42" s="318"/>
      <c r="Z42" s="318"/>
      <c r="AA42" s="318"/>
      <c r="AB42" s="318"/>
      <c r="AC42" s="318"/>
      <c r="AD42" s="318"/>
      <c r="AE42" s="318"/>
      <c r="AF42" s="318"/>
      <c r="AG42" s="318"/>
      <c r="AH42" s="318"/>
      <c r="AI42" s="318"/>
      <c r="AJ42" s="318"/>
      <c r="AK42" s="318"/>
      <c r="AL42" s="318"/>
      <c r="AM42" s="318"/>
      <c r="AN42" s="318"/>
      <c r="AO42" s="318"/>
      <c r="AP42" s="318"/>
      <c r="AQ42" s="318"/>
      <c r="AR42" s="318"/>
      <c r="AS42" s="318"/>
      <c r="AT42" s="318"/>
      <c r="AU42" s="318"/>
      <c r="AV42" s="318"/>
      <c r="AW42" s="318"/>
      <c r="AX42" s="318"/>
      <c r="AY42" s="318"/>
      <c r="AZ42" s="318"/>
      <c r="BA42" s="318"/>
      <c r="BB42" s="318"/>
      <c r="BC42" s="318"/>
      <c r="BD42" s="318"/>
      <c r="BE42" s="318"/>
      <c r="BF42" s="318"/>
      <c r="BG42" s="318"/>
      <c r="BH42" s="318"/>
      <c r="BI42" s="318"/>
      <c r="BJ42" s="318"/>
      <c r="BK42" s="318"/>
      <c r="BL42" s="318"/>
      <c r="BM42" s="318"/>
      <c r="BN42" s="318"/>
      <c r="BO42" s="318"/>
      <c r="BP42" s="318"/>
      <c r="BQ42" s="318"/>
      <c r="BR42" s="318"/>
      <c r="BS42" s="318"/>
      <c r="BT42" s="318"/>
      <c r="BU42" s="318"/>
      <c r="BV42" s="318"/>
      <c r="BW42" s="318"/>
      <c r="BX42" s="318"/>
    </row>
    <row r="43" spans="1:76" s="323" customFormat="1" ht="12.75" customHeight="1" x14ac:dyDescent="0.2">
      <c r="A43" s="121" t="s">
        <v>212</v>
      </c>
      <c r="B43" s="136" t="s">
        <v>125</v>
      </c>
      <c r="C43" s="133">
        <v>2353</v>
      </c>
      <c r="D43" s="298">
        <v>45898</v>
      </c>
      <c r="E43" s="26">
        <v>359.07896074415942</v>
      </c>
      <c r="F43" s="15">
        <v>1</v>
      </c>
      <c r="G43" s="27">
        <f t="shared" si="5"/>
        <v>359.07896074415942</v>
      </c>
      <c r="H43" s="27">
        <f t="shared" si="3"/>
        <v>0</v>
      </c>
      <c r="I43" s="17">
        <f>(G43+H43)</f>
        <v>359.07896074415942</v>
      </c>
      <c r="J43" s="304"/>
      <c r="K43" s="21"/>
      <c r="L43" s="21"/>
      <c r="M43" s="21"/>
      <c r="N43" s="21">
        <f t="shared" si="6"/>
        <v>359.07896074415942</v>
      </c>
      <c r="O43" s="318"/>
      <c r="P43" s="318"/>
      <c r="Q43" s="318"/>
      <c r="R43" s="318"/>
      <c r="S43" s="318"/>
      <c r="T43" s="318"/>
      <c r="U43" s="318"/>
      <c r="V43" s="318"/>
      <c r="W43" s="318"/>
      <c r="X43" s="318"/>
      <c r="Y43" s="318"/>
      <c r="Z43" s="318"/>
      <c r="AA43" s="318"/>
      <c r="AB43" s="318"/>
      <c r="AC43" s="318"/>
      <c r="AD43" s="318"/>
      <c r="AE43" s="318"/>
      <c r="AF43" s="318"/>
      <c r="AG43" s="318"/>
      <c r="AH43" s="318"/>
      <c r="AI43" s="318"/>
      <c r="AJ43" s="318"/>
      <c r="AK43" s="318"/>
      <c r="AL43" s="318"/>
      <c r="AM43" s="318"/>
      <c r="AN43" s="318"/>
      <c r="AO43" s="318"/>
      <c r="AP43" s="318"/>
      <c r="AQ43" s="318"/>
      <c r="AR43" s="318"/>
      <c r="AS43" s="318"/>
      <c r="AT43" s="318"/>
      <c r="AU43" s="318"/>
      <c r="AV43" s="318"/>
      <c r="AW43" s="318"/>
      <c r="AX43" s="318"/>
      <c r="AY43" s="318"/>
      <c r="AZ43" s="318"/>
      <c r="BA43" s="318"/>
      <c r="BB43" s="318"/>
      <c r="BC43" s="318"/>
      <c r="BD43" s="318"/>
      <c r="BE43" s="318"/>
      <c r="BF43" s="318"/>
      <c r="BG43" s="318"/>
      <c r="BH43" s="318"/>
      <c r="BI43" s="318"/>
      <c r="BJ43" s="318"/>
      <c r="BK43" s="318"/>
      <c r="BL43" s="318"/>
      <c r="BM43" s="318"/>
      <c r="BN43" s="318"/>
      <c r="BO43" s="318"/>
      <c r="BP43" s="318"/>
      <c r="BQ43" s="318"/>
      <c r="BR43" s="318"/>
      <c r="BS43" s="318"/>
      <c r="BT43" s="318"/>
      <c r="BU43" s="318"/>
      <c r="BV43" s="318"/>
      <c r="BW43" s="318"/>
      <c r="BX43" s="318"/>
    </row>
    <row r="44" spans="1:76" s="318" customFormat="1" ht="12.75" customHeight="1" x14ac:dyDescent="0.2">
      <c r="A44" s="127" t="s">
        <v>213</v>
      </c>
      <c r="B44" s="53"/>
      <c r="C44" s="311">
        <v>2354</v>
      </c>
      <c r="D44" s="298">
        <v>45898</v>
      </c>
      <c r="E44" s="26">
        <v>731.09350209248419</v>
      </c>
      <c r="F44" s="15">
        <v>1</v>
      </c>
      <c r="G44" s="16">
        <f t="shared" si="5"/>
        <v>731.09350209248419</v>
      </c>
      <c r="H44" s="16">
        <f t="shared" si="3"/>
        <v>0</v>
      </c>
      <c r="I44" s="17">
        <f>G44+H44</f>
        <v>731.09350209248419</v>
      </c>
      <c r="J44" s="124"/>
      <c r="K44" s="21"/>
      <c r="L44" s="21"/>
      <c r="M44" s="21"/>
      <c r="N44" s="125">
        <f t="shared" si="6"/>
        <v>731.09350209248419</v>
      </c>
    </row>
    <row r="45" spans="1:76" s="328" customFormat="1" ht="12.75" customHeight="1" x14ac:dyDescent="0.2">
      <c r="A45" s="127" t="s">
        <v>214</v>
      </c>
      <c r="B45" s="136" t="s">
        <v>73</v>
      </c>
      <c r="C45" s="311">
        <v>2355</v>
      </c>
      <c r="D45" s="298">
        <v>45898</v>
      </c>
      <c r="E45" s="26">
        <v>531.56988290000004</v>
      </c>
      <c r="F45" s="15">
        <v>1</v>
      </c>
      <c r="G45" s="16">
        <f t="shared" si="5"/>
        <v>531.56988290000004</v>
      </c>
      <c r="H45" s="16">
        <f t="shared" si="3"/>
        <v>0</v>
      </c>
      <c r="I45" s="17">
        <f>(G45+H45)</f>
        <v>531.56988290000004</v>
      </c>
      <c r="J45" s="124"/>
      <c r="K45" s="21"/>
      <c r="L45" s="21"/>
      <c r="M45" s="21"/>
      <c r="N45" s="125">
        <f t="shared" si="6"/>
        <v>531.56988290000004</v>
      </c>
      <c r="O45" s="300"/>
      <c r="P45" s="300"/>
      <c r="Q45" s="300"/>
      <c r="R45" s="300"/>
      <c r="S45" s="300"/>
      <c r="T45" s="300"/>
      <c r="U45" s="300"/>
      <c r="V45" s="300"/>
      <c r="W45" s="300"/>
      <c r="X45" s="300"/>
      <c r="Y45" s="300"/>
      <c r="Z45" s="300"/>
      <c r="AA45" s="300"/>
      <c r="AB45" s="300"/>
      <c r="AC45" s="300"/>
      <c r="AD45" s="300"/>
      <c r="AE45" s="300"/>
      <c r="AF45" s="300"/>
      <c r="AG45" s="300"/>
      <c r="AH45" s="300"/>
      <c r="AI45" s="300"/>
      <c r="AJ45" s="300"/>
      <c r="AK45" s="300"/>
      <c r="AL45" s="300"/>
      <c r="AM45" s="300"/>
      <c r="AN45" s="300"/>
      <c r="AO45" s="300"/>
      <c r="AP45" s="300"/>
      <c r="AQ45" s="300"/>
      <c r="AR45" s="300"/>
      <c r="AS45" s="300"/>
      <c r="AT45" s="300"/>
      <c r="AU45" s="300"/>
      <c r="AV45" s="300"/>
      <c r="AW45" s="300"/>
      <c r="AX45" s="300"/>
      <c r="AY45" s="300"/>
      <c r="AZ45" s="300"/>
      <c r="BA45" s="300"/>
      <c r="BB45" s="300"/>
      <c r="BC45" s="300"/>
      <c r="BD45" s="300"/>
      <c r="BE45" s="300"/>
      <c r="BF45" s="300"/>
      <c r="BG45" s="300"/>
      <c r="BH45" s="300"/>
      <c r="BI45" s="300"/>
      <c r="BJ45" s="300"/>
      <c r="BK45" s="300"/>
      <c r="BL45" s="300"/>
      <c r="BM45" s="300"/>
      <c r="BN45" s="300"/>
      <c r="BO45" s="300"/>
      <c r="BP45" s="300"/>
      <c r="BQ45" s="300"/>
      <c r="BR45" s="300"/>
      <c r="BS45" s="300"/>
      <c r="BT45" s="300"/>
      <c r="BU45" s="300"/>
      <c r="BV45" s="300"/>
      <c r="BW45" s="300"/>
      <c r="BX45" s="300"/>
    </row>
    <row r="46" spans="1:76" s="328" customFormat="1" ht="12.75" customHeight="1" x14ac:dyDescent="0.2">
      <c r="A46" s="301" t="s">
        <v>215</v>
      </c>
      <c r="B46" s="136"/>
      <c r="C46" s="311">
        <v>2356</v>
      </c>
      <c r="D46" s="298">
        <v>45898</v>
      </c>
      <c r="E46" s="26">
        <v>258.28999306328484</v>
      </c>
      <c r="F46" s="15">
        <v>1</v>
      </c>
      <c r="G46" s="27">
        <f t="shared" si="5"/>
        <v>258.28999306328484</v>
      </c>
      <c r="H46" s="27">
        <f t="shared" si="3"/>
        <v>0</v>
      </c>
      <c r="I46" s="330">
        <f>(G46+H46)</f>
        <v>258.28999306328484</v>
      </c>
      <c r="J46" s="302"/>
      <c r="K46" s="126"/>
      <c r="L46" s="126"/>
      <c r="M46" s="126"/>
      <c r="N46" s="21">
        <f t="shared" si="6"/>
        <v>258.28999306328484</v>
      </c>
      <c r="O46" s="300"/>
      <c r="P46" s="300"/>
      <c r="Q46" s="300"/>
      <c r="R46" s="300"/>
      <c r="S46" s="300"/>
      <c r="T46" s="300"/>
      <c r="U46" s="300"/>
      <c r="V46" s="300"/>
      <c r="W46" s="300"/>
      <c r="X46" s="300"/>
      <c r="Y46" s="300"/>
      <c r="Z46" s="300"/>
      <c r="AA46" s="300"/>
      <c r="AB46" s="300"/>
      <c r="AC46" s="300"/>
      <c r="AD46" s="300"/>
      <c r="AE46" s="300"/>
      <c r="AF46" s="300"/>
      <c r="AG46" s="300"/>
      <c r="AH46" s="300"/>
      <c r="AI46" s="300"/>
      <c r="AJ46" s="300"/>
      <c r="AK46" s="300"/>
      <c r="AL46" s="300"/>
      <c r="AM46" s="300"/>
      <c r="AN46" s="300"/>
      <c r="AO46" s="300"/>
      <c r="AP46" s="300"/>
      <c r="AQ46" s="300"/>
      <c r="AR46" s="300"/>
      <c r="AS46" s="300"/>
      <c r="AT46" s="300"/>
      <c r="AU46" s="300"/>
      <c r="AV46" s="300"/>
      <c r="AW46" s="300"/>
      <c r="AX46" s="300"/>
      <c r="AY46" s="300"/>
      <c r="AZ46" s="300"/>
      <c r="BA46" s="300"/>
      <c r="BB46" s="300"/>
      <c r="BC46" s="300"/>
      <c r="BD46" s="300"/>
      <c r="BE46" s="300"/>
      <c r="BF46" s="300"/>
      <c r="BG46" s="300"/>
      <c r="BH46" s="300"/>
      <c r="BI46" s="300"/>
      <c r="BJ46" s="300"/>
      <c r="BK46" s="300"/>
      <c r="BL46" s="300"/>
      <c r="BM46" s="300"/>
      <c r="BN46" s="300"/>
      <c r="BO46" s="300"/>
      <c r="BP46" s="300"/>
      <c r="BQ46" s="300"/>
      <c r="BR46" s="300"/>
      <c r="BS46" s="300"/>
      <c r="BT46" s="300"/>
      <c r="BU46" s="300"/>
      <c r="BV46" s="300"/>
      <c r="BW46" s="300"/>
      <c r="BX46" s="300"/>
    </row>
    <row r="47" spans="1:76" s="329" customFormat="1" ht="12.75" customHeight="1" x14ac:dyDescent="0.2">
      <c r="A47" s="144" t="s">
        <v>216</v>
      </c>
      <c r="B47" s="136"/>
      <c r="C47" s="311">
        <v>2357</v>
      </c>
      <c r="D47" s="298">
        <v>45898</v>
      </c>
      <c r="E47" s="132">
        <v>786.10681770000008</v>
      </c>
      <c r="F47" s="15">
        <v>1</v>
      </c>
      <c r="G47" s="16">
        <f t="shared" si="5"/>
        <v>786.10681770000008</v>
      </c>
      <c r="H47" s="16">
        <f t="shared" si="3"/>
        <v>0</v>
      </c>
      <c r="I47" s="17">
        <f>(G47+H47)</f>
        <v>786.10681770000008</v>
      </c>
      <c r="J47" s="304"/>
      <c r="K47" s="21">
        <f>I47*0.8*0.11</f>
        <v>69.177399957600016</v>
      </c>
      <c r="L47" s="125"/>
      <c r="M47" s="21"/>
      <c r="N47" s="125">
        <f t="shared" si="6"/>
        <v>716.92941774240012</v>
      </c>
    </row>
    <row r="48" spans="1:76" s="329" customFormat="1" ht="12.75" customHeight="1" x14ac:dyDescent="0.2">
      <c r="A48" s="144" t="s">
        <v>217</v>
      </c>
      <c r="B48" s="136" t="s">
        <v>125</v>
      </c>
      <c r="C48" s="311">
        <v>2358</v>
      </c>
      <c r="D48" s="298">
        <v>45898</v>
      </c>
      <c r="E48" s="26">
        <v>463.82594999999998</v>
      </c>
      <c r="F48" s="15">
        <v>1</v>
      </c>
      <c r="G48" s="27">
        <f t="shared" si="5"/>
        <v>463.82594999999998</v>
      </c>
      <c r="H48" s="27">
        <f t="shared" si="3"/>
        <v>0</v>
      </c>
      <c r="I48" s="17">
        <f>(G48+H48)</f>
        <v>463.82594999999998</v>
      </c>
      <c r="J48" s="28"/>
      <c r="K48" s="21"/>
      <c r="L48" s="21"/>
      <c r="M48" s="126"/>
      <c r="N48" s="21">
        <f t="shared" si="6"/>
        <v>463.82594999999998</v>
      </c>
    </row>
    <row r="49" spans="1:14" s="329" customFormat="1" ht="12.75" customHeight="1" x14ac:dyDescent="0.2">
      <c r="A49" s="301" t="s">
        <v>218</v>
      </c>
      <c r="B49" s="136"/>
      <c r="C49" s="311">
        <v>2359</v>
      </c>
      <c r="D49" s="298">
        <v>45898</v>
      </c>
      <c r="E49" s="26">
        <v>288.20999999999998</v>
      </c>
      <c r="F49" s="15">
        <v>1</v>
      </c>
      <c r="G49" s="27">
        <f t="shared" si="5"/>
        <v>288.20999999999998</v>
      </c>
      <c r="H49" s="27">
        <f t="shared" si="3"/>
        <v>0</v>
      </c>
      <c r="I49" s="330">
        <f>(G49+H49)+288.21</f>
        <v>576.41999999999996</v>
      </c>
      <c r="J49" s="302"/>
      <c r="K49" s="126"/>
      <c r="L49" s="126"/>
      <c r="M49" s="126"/>
      <c r="N49" s="21">
        <f t="shared" si="6"/>
        <v>576.41999999999996</v>
      </c>
    </row>
    <row r="50" spans="1:14" s="329" customFormat="1" ht="12.75" customHeight="1" x14ac:dyDescent="0.2">
      <c r="A50" s="135" t="s">
        <v>219</v>
      </c>
      <c r="B50" s="136"/>
      <c r="C50" s="311">
        <v>2360</v>
      </c>
      <c r="D50" s="25">
        <v>45920</v>
      </c>
      <c r="E50" s="26">
        <v>1241.835422654294</v>
      </c>
      <c r="F50" s="15">
        <v>1</v>
      </c>
      <c r="G50" s="27">
        <f t="shared" si="5"/>
        <v>1241.835422654294</v>
      </c>
      <c r="H50" s="27">
        <f t="shared" si="3"/>
        <v>0</v>
      </c>
      <c r="I50" s="17">
        <f t="shared" ref="I50:I60" si="7">(G50+H50)</f>
        <v>1241.835422654294</v>
      </c>
      <c r="J50" s="299"/>
      <c r="K50" s="126"/>
      <c r="L50" s="126"/>
      <c r="M50" s="126"/>
      <c r="N50" s="21">
        <f t="shared" si="6"/>
        <v>1241.835422654294</v>
      </c>
    </row>
    <row r="51" spans="1:14" s="329" customFormat="1" ht="12.75" customHeight="1" x14ac:dyDescent="0.2">
      <c r="A51" s="315" t="s">
        <v>220</v>
      </c>
      <c r="B51" s="307"/>
      <c r="C51" s="316">
        <v>2361</v>
      </c>
      <c r="D51" s="34">
        <v>45898</v>
      </c>
      <c r="E51" s="35">
        <v>303.89999999999998</v>
      </c>
      <c r="F51" s="142">
        <v>1</v>
      </c>
      <c r="G51" s="37">
        <f t="shared" si="5"/>
        <v>303.89999999999998</v>
      </c>
      <c r="H51" s="37">
        <f t="shared" si="3"/>
        <v>0</v>
      </c>
      <c r="I51" s="38">
        <f t="shared" si="7"/>
        <v>303.89999999999998</v>
      </c>
      <c r="J51" s="310"/>
      <c r="K51" s="40"/>
      <c r="L51" s="40"/>
      <c r="M51" s="40"/>
      <c r="N51" s="40">
        <f t="shared" si="6"/>
        <v>303.89999999999998</v>
      </c>
    </row>
    <row r="52" spans="1:14" s="329" customFormat="1" ht="12.75" customHeight="1" x14ac:dyDescent="0.2">
      <c r="A52" s="144" t="s">
        <v>221</v>
      </c>
      <c r="B52" s="136"/>
      <c r="C52" s="311">
        <v>2362</v>
      </c>
      <c r="D52" s="298">
        <v>45898</v>
      </c>
      <c r="E52" s="26">
        <v>379.45590880207158</v>
      </c>
      <c r="F52" s="15">
        <v>1</v>
      </c>
      <c r="G52" s="27">
        <f t="shared" si="5"/>
        <v>379.45590880207158</v>
      </c>
      <c r="H52" s="27">
        <f t="shared" si="3"/>
        <v>0</v>
      </c>
      <c r="I52" s="17">
        <f t="shared" si="7"/>
        <v>379.45590880207158</v>
      </c>
      <c r="J52" s="28"/>
      <c r="K52" s="21"/>
      <c r="L52" s="21"/>
      <c r="M52" s="21"/>
      <c r="N52" s="21">
        <f t="shared" si="6"/>
        <v>379.45590880207158</v>
      </c>
    </row>
    <row r="53" spans="1:14" s="329" customFormat="1" ht="12.75" customHeight="1" x14ac:dyDescent="0.2">
      <c r="A53" s="144" t="s">
        <v>222</v>
      </c>
      <c r="B53" s="136"/>
      <c r="C53" s="311">
        <v>2363</v>
      </c>
      <c r="D53" s="298">
        <v>45898</v>
      </c>
      <c r="E53" s="26">
        <v>359.07896074415942</v>
      </c>
      <c r="F53" s="15">
        <v>1</v>
      </c>
      <c r="G53" s="27">
        <f t="shared" si="5"/>
        <v>359.07896074415942</v>
      </c>
      <c r="H53" s="27">
        <f t="shared" si="3"/>
        <v>0</v>
      </c>
      <c r="I53" s="17">
        <f t="shared" si="7"/>
        <v>359.07896074415942</v>
      </c>
      <c r="J53" s="28"/>
      <c r="K53" s="21"/>
      <c r="L53" s="21"/>
      <c r="M53" s="21"/>
      <c r="N53" s="21">
        <f t="shared" si="6"/>
        <v>359.07896074415942</v>
      </c>
    </row>
    <row r="54" spans="1:14" s="329" customFormat="1" ht="12.75" customHeight="1" x14ac:dyDescent="0.2">
      <c r="A54" s="299" t="s">
        <v>223</v>
      </c>
      <c r="B54" s="29" t="s">
        <v>224</v>
      </c>
      <c r="C54" s="311">
        <v>2364</v>
      </c>
      <c r="D54" s="298">
        <v>45898</v>
      </c>
      <c r="E54" s="26">
        <v>922.58210937400497</v>
      </c>
      <c r="F54" s="15">
        <v>1</v>
      </c>
      <c r="G54" s="27">
        <f t="shared" si="5"/>
        <v>922.58210937400497</v>
      </c>
      <c r="H54" s="27">
        <f t="shared" si="3"/>
        <v>0</v>
      </c>
      <c r="I54" s="17">
        <f t="shared" si="7"/>
        <v>922.58210937400497</v>
      </c>
      <c r="J54" s="124"/>
      <c r="K54" s="21"/>
      <c r="L54" s="21"/>
      <c r="M54" s="21"/>
      <c r="N54" s="21">
        <f t="shared" si="6"/>
        <v>922.58210937400497</v>
      </c>
    </row>
    <row r="55" spans="1:14" s="329" customFormat="1" ht="12.75" customHeight="1" x14ac:dyDescent="0.2">
      <c r="A55" s="299" t="s">
        <v>225</v>
      </c>
      <c r="B55" s="29"/>
      <c r="C55" s="311">
        <v>2365</v>
      </c>
      <c r="D55" s="298">
        <v>45898</v>
      </c>
      <c r="E55" s="26">
        <v>564.59421614999997</v>
      </c>
      <c r="F55" s="15">
        <v>1</v>
      </c>
      <c r="G55" s="16">
        <f t="shared" si="5"/>
        <v>564.59421614999997</v>
      </c>
      <c r="H55" s="16">
        <f t="shared" si="3"/>
        <v>0</v>
      </c>
      <c r="I55" s="17">
        <f t="shared" si="7"/>
        <v>564.59421614999997</v>
      </c>
      <c r="J55" s="299"/>
      <c r="K55" s="21"/>
      <c r="L55" s="21"/>
      <c r="M55" s="21"/>
      <c r="N55" s="125">
        <f t="shared" si="6"/>
        <v>564.59421614999997</v>
      </c>
    </row>
    <row r="56" spans="1:14" s="318" customFormat="1" ht="12.75" customHeight="1" x14ac:dyDescent="0.2">
      <c r="A56" s="299" t="s">
        <v>226</v>
      </c>
      <c r="B56" s="136" t="s">
        <v>227</v>
      </c>
      <c r="C56" s="311">
        <v>2366</v>
      </c>
      <c r="D56" s="298">
        <v>45898</v>
      </c>
      <c r="E56" s="27">
        <v>375.00710096331886</v>
      </c>
      <c r="F56" s="15">
        <v>1</v>
      </c>
      <c r="G56" s="27">
        <f t="shared" si="5"/>
        <v>375.00710096331886</v>
      </c>
      <c r="H56" s="27">
        <f t="shared" si="3"/>
        <v>0</v>
      </c>
      <c r="I56" s="17">
        <f t="shared" si="7"/>
        <v>375.00710096331886</v>
      </c>
      <c r="J56" s="326"/>
      <c r="K56" s="21">
        <f>I56*0.8*0.11</f>
        <v>33.000624884772058</v>
      </c>
      <c r="L56" s="21"/>
      <c r="M56" s="126"/>
      <c r="N56" s="21">
        <f t="shared" si="6"/>
        <v>342.00647607854683</v>
      </c>
    </row>
    <row r="57" spans="1:14" s="318" customFormat="1" ht="12.75" customHeight="1" x14ac:dyDescent="0.2">
      <c r="A57" s="299" t="s">
        <v>228</v>
      </c>
      <c r="B57" s="29"/>
      <c r="C57" s="311">
        <v>2367</v>
      </c>
      <c r="D57" s="298">
        <v>45898</v>
      </c>
      <c r="E57" s="26">
        <v>719.48936655</v>
      </c>
      <c r="F57" s="15">
        <v>1</v>
      </c>
      <c r="G57" s="16">
        <f t="shared" si="5"/>
        <v>719.48936655</v>
      </c>
      <c r="H57" s="16">
        <f t="shared" si="3"/>
        <v>0</v>
      </c>
      <c r="I57" s="17">
        <f t="shared" si="7"/>
        <v>719.48936655</v>
      </c>
      <c r="J57" s="299"/>
      <c r="K57" s="21"/>
      <c r="L57" s="21"/>
      <c r="M57" s="21"/>
      <c r="N57" s="125">
        <f t="shared" si="6"/>
        <v>719.48936655</v>
      </c>
    </row>
    <row r="58" spans="1:14" s="318" customFormat="1" ht="12.75" customHeight="1" x14ac:dyDescent="0.2">
      <c r="A58" s="299" t="s">
        <v>229</v>
      </c>
      <c r="B58" s="29"/>
      <c r="C58" s="311">
        <v>2368</v>
      </c>
      <c r="D58" s="298">
        <v>45898</v>
      </c>
      <c r="E58" s="26">
        <v>526.63654665000001</v>
      </c>
      <c r="F58" s="15">
        <v>1</v>
      </c>
      <c r="G58" s="16">
        <f t="shared" si="5"/>
        <v>526.63654665000001</v>
      </c>
      <c r="H58" s="16">
        <f t="shared" si="3"/>
        <v>0</v>
      </c>
      <c r="I58" s="17">
        <f t="shared" si="7"/>
        <v>526.63654665000001</v>
      </c>
      <c r="J58" s="299"/>
      <c r="K58" s="21"/>
      <c r="L58" s="21"/>
      <c r="M58" s="21"/>
      <c r="N58" s="125">
        <f t="shared" si="6"/>
        <v>526.63654665000001</v>
      </c>
    </row>
    <row r="59" spans="1:14" s="329" customFormat="1" ht="12.75" customHeight="1" x14ac:dyDescent="0.2">
      <c r="A59" s="299" t="s">
        <v>230</v>
      </c>
      <c r="B59" s="29"/>
      <c r="C59" s="311">
        <v>2369</v>
      </c>
      <c r="D59" s="25">
        <v>45910</v>
      </c>
      <c r="E59" s="26">
        <v>396.65</v>
      </c>
      <c r="F59" s="15">
        <v>1</v>
      </c>
      <c r="G59" s="16">
        <f t="shared" si="5"/>
        <v>396.65</v>
      </c>
      <c r="H59" s="16">
        <f t="shared" si="3"/>
        <v>0</v>
      </c>
      <c r="I59" s="17">
        <f t="shared" si="7"/>
        <v>396.65</v>
      </c>
      <c r="J59" s="299"/>
      <c r="K59" s="21"/>
      <c r="L59" s="21"/>
      <c r="M59" s="21"/>
      <c r="N59" s="125">
        <f t="shared" si="6"/>
        <v>396.65</v>
      </c>
    </row>
    <row r="60" spans="1:14" s="329" customFormat="1" ht="12.75" customHeight="1" x14ac:dyDescent="0.2">
      <c r="A60" s="135" t="s">
        <v>231</v>
      </c>
      <c r="B60" s="136"/>
      <c r="C60" s="311">
        <v>2370</v>
      </c>
      <c r="D60" s="25">
        <v>45910</v>
      </c>
      <c r="E60" s="26">
        <v>574.19535908124988</v>
      </c>
      <c r="F60" s="15">
        <v>1</v>
      </c>
      <c r="G60" s="27">
        <f t="shared" si="5"/>
        <v>574.19535908124988</v>
      </c>
      <c r="H60" s="27">
        <f t="shared" si="3"/>
        <v>0</v>
      </c>
      <c r="I60" s="17">
        <f t="shared" si="7"/>
        <v>574.19535908124988</v>
      </c>
      <c r="J60" s="127"/>
      <c r="K60" s="21"/>
      <c r="L60" s="21"/>
      <c r="M60" s="21"/>
      <c r="N60" s="21">
        <f t="shared" si="6"/>
        <v>574.19535908124988</v>
      </c>
    </row>
    <row r="61" spans="1:14" s="329" customFormat="1" ht="12.75" customHeight="1" x14ac:dyDescent="0.2">
      <c r="A61" s="135" t="s">
        <v>232</v>
      </c>
      <c r="B61" s="136" t="s">
        <v>233</v>
      </c>
      <c r="C61" s="311">
        <v>2371</v>
      </c>
      <c r="D61" s="25">
        <v>45901</v>
      </c>
      <c r="E61" s="26">
        <v>1086.954</v>
      </c>
      <c r="F61" s="15">
        <v>1</v>
      </c>
      <c r="G61" s="16">
        <f t="shared" si="5"/>
        <v>1086.954</v>
      </c>
      <c r="H61" s="16">
        <f t="shared" si="3"/>
        <v>0</v>
      </c>
      <c r="I61" s="17">
        <f>G61+H61</f>
        <v>1086.954</v>
      </c>
      <c r="J61" s="331"/>
      <c r="K61" s="21"/>
      <c r="L61" s="21"/>
      <c r="M61" s="21"/>
      <c r="N61" s="125">
        <f t="shared" si="6"/>
        <v>1086.954</v>
      </c>
    </row>
    <row r="62" spans="1:14" s="329" customFormat="1" ht="12.75" customHeight="1" x14ac:dyDescent="0.2">
      <c r="A62" s="135" t="s">
        <v>232</v>
      </c>
      <c r="B62" s="136" t="s">
        <v>234</v>
      </c>
      <c r="C62" s="311">
        <v>2372</v>
      </c>
      <c r="D62" s="25">
        <v>45901</v>
      </c>
      <c r="E62" s="26">
        <v>1086.954</v>
      </c>
      <c r="F62" s="15">
        <v>1</v>
      </c>
      <c r="G62" s="16">
        <f t="shared" si="5"/>
        <v>1086.954</v>
      </c>
      <c r="H62" s="16">
        <f t="shared" si="3"/>
        <v>0</v>
      </c>
      <c r="I62" s="17">
        <f>(G62+H62)</f>
        <v>1086.954</v>
      </c>
      <c r="J62" s="331"/>
      <c r="K62" s="21"/>
      <c r="L62" s="21"/>
      <c r="M62" s="21"/>
      <c r="N62" s="125">
        <f t="shared" si="6"/>
        <v>1086.954</v>
      </c>
    </row>
    <row r="63" spans="1:14" s="329" customFormat="1" ht="12.75" customHeight="1" x14ac:dyDescent="0.2">
      <c r="A63" s="301" t="s">
        <v>235</v>
      </c>
      <c r="B63" s="136" t="s">
        <v>227</v>
      </c>
      <c r="C63" s="311">
        <v>2373</v>
      </c>
      <c r="D63" s="298">
        <v>45898</v>
      </c>
      <c r="E63" s="26">
        <v>467.4</v>
      </c>
      <c r="F63" s="15">
        <v>1</v>
      </c>
      <c r="G63" s="27">
        <f t="shared" si="5"/>
        <v>467.4</v>
      </c>
      <c r="H63" s="27">
        <f t="shared" si="3"/>
        <v>0</v>
      </c>
      <c r="I63" s="330">
        <f>(G63+H63)+196.2</f>
        <v>663.59999999999991</v>
      </c>
      <c r="J63" s="302"/>
      <c r="K63" s="126"/>
      <c r="L63" s="126"/>
      <c r="M63" s="126"/>
      <c r="N63" s="21">
        <f t="shared" si="6"/>
        <v>663.59999999999991</v>
      </c>
    </row>
    <row r="64" spans="1:14" s="329" customFormat="1" ht="12.75" customHeight="1" x14ac:dyDescent="0.2">
      <c r="A64" s="301" t="s">
        <v>236</v>
      </c>
      <c r="B64" s="136"/>
      <c r="C64" s="311">
        <v>2374</v>
      </c>
      <c r="D64" s="298">
        <v>45898</v>
      </c>
      <c r="E64" s="26">
        <v>1186.93</v>
      </c>
      <c r="F64" s="15">
        <v>1</v>
      </c>
      <c r="G64" s="16">
        <f t="shared" si="5"/>
        <v>1186.93</v>
      </c>
      <c r="H64" s="16">
        <f t="shared" si="3"/>
        <v>0</v>
      </c>
      <c r="I64" s="17">
        <f>(G64+H64)</f>
        <v>1186.93</v>
      </c>
      <c r="J64" s="320"/>
      <c r="K64" s="314"/>
      <c r="L64" s="314"/>
      <c r="M64" s="21"/>
      <c r="N64" s="125">
        <f t="shared" si="6"/>
        <v>1186.93</v>
      </c>
    </row>
    <row r="65" spans="1:76" s="329" customFormat="1" ht="12.75" customHeight="1" x14ac:dyDescent="0.2">
      <c r="A65" s="332" t="s">
        <v>237</v>
      </c>
      <c r="B65" s="333" t="s">
        <v>238</v>
      </c>
      <c r="C65" s="311">
        <v>2375</v>
      </c>
      <c r="D65" s="25">
        <v>45901</v>
      </c>
      <c r="E65" s="313">
        <v>2002.8393331300001</v>
      </c>
      <c r="F65" s="15">
        <v>1</v>
      </c>
      <c r="G65" s="334">
        <f t="shared" ref="G65:G96" si="8">E65*F65</f>
        <v>2002.8393331300001</v>
      </c>
      <c r="H65" s="334">
        <f t="shared" si="3"/>
        <v>0</v>
      </c>
      <c r="I65" s="335">
        <f>(G65+H65)</f>
        <v>2002.8393331300001</v>
      </c>
      <c r="J65" s="336"/>
      <c r="K65" s="337"/>
      <c r="L65" s="126"/>
      <c r="M65" s="21">
        <f>I65*B82</f>
        <v>0</v>
      </c>
      <c r="N65" s="126">
        <f t="shared" ref="N65:N96" si="9">I65-J65-K65-L65-M65</f>
        <v>2002.8393331300001</v>
      </c>
    </row>
    <row r="66" spans="1:76" s="329" customFormat="1" ht="12.75" customHeight="1" x14ac:dyDescent="0.2">
      <c r="A66" s="301" t="s">
        <v>239</v>
      </c>
      <c r="B66" s="136"/>
      <c r="C66" s="311">
        <v>2376</v>
      </c>
      <c r="D66" s="298">
        <v>45898</v>
      </c>
      <c r="E66" s="26">
        <v>718.71</v>
      </c>
      <c r="F66" s="15">
        <v>1</v>
      </c>
      <c r="G66" s="16">
        <f t="shared" si="8"/>
        <v>718.71</v>
      </c>
      <c r="H66" s="16">
        <f t="shared" si="3"/>
        <v>0</v>
      </c>
      <c r="I66" s="17">
        <f>(G66+H66)</f>
        <v>718.71</v>
      </c>
      <c r="J66" s="320"/>
      <c r="K66" s="314"/>
      <c r="L66" s="314"/>
      <c r="M66" s="21"/>
      <c r="N66" s="125">
        <f t="shared" si="9"/>
        <v>718.71</v>
      </c>
    </row>
    <row r="67" spans="1:76" s="329" customFormat="1" ht="12.75" customHeight="1" x14ac:dyDescent="0.2">
      <c r="A67" s="301" t="s">
        <v>240</v>
      </c>
      <c r="B67" s="136" t="s">
        <v>227</v>
      </c>
      <c r="C67" s="311">
        <v>2377</v>
      </c>
      <c r="D67" s="298">
        <v>45898</v>
      </c>
      <c r="E67" s="26">
        <v>622.34965421749996</v>
      </c>
      <c r="F67" s="15">
        <v>1</v>
      </c>
      <c r="G67" s="16">
        <f t="shared" si="8"/>
        <v>622.34965421749996</v>
      </c>
      <c r="H67" s="334">
        <f t="shared" si="3"/>
        <v>0</v>
      </c>
      <c r="I67" s="17">
        <f>G67+H67</f>
        <v>622.34965421749996</v>
      </c>
      <c r="J67" s="320"/>
      <c r="K67" s="314"/>
      <c r="L67" s="314"/>
      <c r="M67" s="21"/>
      <c r="N67" s="125">
        <f t="shared" si="9"/>
        <v>622.34965421749996</v>
      </c>
    </row>
    <row r="68" spans="1:76" s="329" customFormat="1" ht="12.75" customHeight="1" x14ac:dyDescent="0.2">
      <c r="A68" s="301" t="s">
        <v>241</v>
      </c>
      <c r="B68" s="136"/>
      <c r="C68" s="311">
        <v>2378</v>
      </c>
      <c r="D68" s="298">
        <v>45898</v>
      </c>
      <c r="E68" s="26">
        <v>536.09174999999993</v>
      </c>
      <c r="F68" s="15">
        <v>1</v>
      </c>
      <c r="G68" s="16">
        <f t="shared" si="8"/>
        <v>536.09174999999993</v>
      </c>
      <c r="H68" s="16">
        <f t="shared" si="3"/>
        <v>0</v>
      </c>
      <c r="I68" s="17">
        <f>(G68+H68)</f>
        <v>536.09174999999993</v>
      </c>
      <c r="J68" s="320"/>
      <c r="K68" s="314"/>
      <c r="L68" s="314"/>
      <c r="M68" s="21"/>
      <c r="N68" s="125">
        <f t="shared" si="9"/>
        <v>536.09174999999993</v>
      </c>
    </row>
    <row r="69" spans="1:76" s="339" customFormat="1" ht="12.75" customHeight="1" x14ac:dyDescent="0.2">
      <c r="A69" s="340" t="s">
        <v>242</v>
      </c>
      <c r="B69" s="307"/>
      <c r="C69" s="316">
        <v>2379</v>
      </c>
      <c r="D69" s="298">
        <v>45898</v>
      </c>
      <c r="E69" s="35">
        <v>556.49</v>
      </c>
      <c r="F69" s="142">
        <v>1</v>
      </c>
      <c r="G69" s="37">
        <f t="shared" si="8"/>
        <v>556.49</v>
      </c>
      <c r="H69" s="37">
        <f t="shared" si="3"/>
        <v>0</v>
      </c>
      <c r="I69" s="38">
        <f>(G69+H69)</f>
        <v>556.49</v>
      </c>
      <c r="J69" s="310"/>
      <c r="K69" s="40"/>
      <c r="L69" s="40"/>
      <c r="M69" s="40"/>
      <c r="N69" s="40">
        <f t="shared" si="9"/>
        <v>556.49</v>
      </c>
      <c r="O69" s="338"/>
      <c r="P69" s="338"/>
      <c r="Q69" s="338"/>
      <c r="R69" s="338"/>
      <c r="S69" s="338"/>
      <c r="T69" s="338"/>
      <c r="U69" s="338"/>
      <c r="V69" s="338"/>
      <c r="W69" s="338"/>
      <c r="X69" s="338"/>
      <c r="Y69" s="338"/>
      <c r="Z69" s="338"/>
      <c r="AA69" s="338"/>
      <c r="AB69" s="338"/>
      <c r="AC69" s="338"/>
      <c r="AD69" s="338"/>
      <c r="AE69" s="338"/>
      <c r="AF69" s="338"/>
      <c r="AG69" s="338"/>
      <c r="AH69" s="338"/>
      <c r="AI69" s="338"/>
      <c r="AJ69" s="338"/>
      <c r="AK69" s="338"/>
      <c r="AL69" s="338"/>
      <c r="AM69" s="338"/>
      <c r="AN69" s="338"/>
      <c r="AO69" s="338"/>
      <c r="AP69" s="338"/>
      <c r="AQ69" s="338"/>
      <c r="AR69" s="338"/>
      <c r="AS69" s="338"/>
      <c r="AT69" s="338"/>
      <c r="AU69" s="338"/>
      <c r="AV69" s="338"/>
      <c r="AW69" s="338"/>
      <c r="AX69" s="338"/>
      <c r="AY69" s="338"/>
      <c r="AZ69" s="338"/>
      <c r="BA69" s="338"/>
      <c r="BB69" s="338"/>
      <c r="BC69" s="338"/>
      <c r="BD69" s="338"/>
      <c r="BE69" s="338"/>
      <c r="BF69" s="338"/>
      <c r="BG69" s="338"/>
      <c r="BH69" s="338"/>
      <c r="BI69" s="338"/>
      <c r="BJ69" s="338"/>
      <c r="BK69" s="338"/>
      <c r="BL69" s="338"/>
      <c r="BM69" s="338"/>
      <c r="BN69" s="338"/>
      <c r="BO69" s="338"/>
      <c r="BP69" s="338"/>
      <c r="BQ69" s="338"/>
      <c r="BR69" s="338"/>
      <c r="BS69" s="338"/>
      <c r="BT69" s="338"/>
      <c r="BU69" s="338"/>
      <c r="BV69" s="338"/>
      <c r="BW69" s="338"/>
      <c r="BX69" s="338"/>
    </row>
    <row r="70" spans="1:76" s="339" customFormat="1" ht="12.75" customHeight="1" x14ac:dyDescent="0.2">
      <c r="A70" s="144" t="s">
        <v>245</v>
      </c>
      <c r="B70" s="136" t="s">
        <v>246</v>
      </c>
      <c r="C70" s="311">
        <v>2380</v>
      </c>
      <c r="D70" s="25">
        <v>45905</v>
      </c>
      <c r="E70" s="26">
        <v>6603.0585000000001</v>
      </c>
      <c r="F70" s="15">
        <v>1</v>
      </c>
      <c r="G70" s="27">
        <f t="shared" si="8"/>
        <v>6603.0585000000001</v>
      </c>
      <c r="H70" s="27">
        <f t="shared" si="3"/>
        <v>0</v>
      </c>
      <c r="I70" s="17">
        <f>(G70+H70)</f>
        <v>6603.0585000000001</v>
      </c>
      <c r="J70" s="343"/>
      <c r="K70" s="21">
        <f>I70*0.8*0.11</f>
        <v>581.06914800000004</v>
      </c>
      <c r="L70" s="21"/>
      <c r="M70" s="21"/>
      <c r="N70" s="21">
        <f t="shared" si="9"/>
        <v>6021.9893520000005</v>
      </c>
      <c r="O70" s="338"/>
      <c r="P70" s="338"/>
      <c r="Q70" s="338"/>
      <c r="R70" s="338"/>
      <c r="S70" s="338"/>
      <c r="T70" s="338"/>
      <c r="U70" s="338"/>
      <c r="V70" s="338"/>
      <c r="W70" s="338"/>
      <c r="X70" s="338"/>
      <c r="Y70" s="338"/>
      <c r="Z70" s="338"/>
      <c r="AA70" s="338"/>
      <c r="AB70" s="338"/>
      <c r="AC70" s="338"/>
      <c r="AD70" s="338"/>
      <c r="AE70" s="338"/>
      <c r="AF70" s="338"/>
      <c r="AG70" s="338"/>
      <c r="AH70" s="338"/>
      <c r="AI70" s="338"/>
      <c r="AJ70" s="338"/>
      <c r="AK70" s="338"/>
      <c r="AL70" s="338"/>
      <c r="AM70" s="338"/>
      <c r="AN70" s="338"/>
      <c r="AO70" s="338"/>
      <c r="AP70" s="338"/>
      <c r="AQ70" s="338"/>
      <c r="AR70" s="338"/>
      <c r="AS70" s="338"/>
      <c r="AT70" s="338"/>
      <c r="AU70" s="338"/>
      <c r="AV70" s="338"/>
      <c r="AW70" s="338"/>
      <c r="AX70" s="338"/>
      <c r="AY70" s="338"/>
      <c r="AZ70" s="338"/>
      <c r="BA70" s="338"/>
      <c r="BB70" s="338"/>
      <c r="BC70" s="338"/>
      <c r="BD70" s="338"/>
      <c r="BE70" s="338"/>
      <c r="BF70" s="338"/>
      <c r="BG70" s="338"/>
      <c r="BH70" s="338"/>
      <c r="BI70" s="338"/>
      <c r="BJ70" s="338"/>
      <c r="BK70" s="338"/>
      <c r="BL70" s="338"/>
      <c r="BM70" s="338"/>
      <c r="BN70" s="338"/>
      <c r="BO70" s="338"/>
      <c r="BP70" s="338"/>
      <c r="BQ70" s="338"/>
      <c r="BR70" s="338"/>
      <c r="BS70" s="338"/>
      <c r="BT70" s="338"/>
      <c r="BU70" s="338"/>
      <c r="BV70" s="338"/>
      <c r="BW70" s="338"/>
      <c r="BX70" s="338"/>
    </row>
    <row r="71" spans="1:76" s="339" customFormat="1" ht="12.75" customHeight="1" x14ac:dyDescent="0.2">
      <c r="A71" s="301" t="s">
        <v>247</v>
      </c>
      <c r="B71" s="136"/>
      <c r="C71" s="311">
        <v>2381</v>
      </c>
      <c r="D71" s="298">
        <v>45898</v>
      </c>
      <c r="E71" s="26">
        <v>1116.90616501673</v>
      </c>
      <c r="F71" s="15">
        <v>1</v>
      </c>
      <c r="G71" s="16">
        <f t="shared" si="8"/>
        <v>1116.90616501673</v>
      </c>
      <c r="H71" s="16">
        <f t="shared" si="3"/>
        <v>0</v>
      </c>
      <c r="I71" s="17">
        <f>G71+H71</f>
        <v>1116.90616501673</v>
      </c>
      <c r="J71" s="343"/>
      <c r="K71" s="126"/>
      <c r="L71" s="126"/>
      <c r="M71" s="126"/>
      <c r="N71" s="125">
        <f t="shared" si="9"/>
        <v>1116.90616501673</v>
      </c>
      <c r="O71" s="338"/>
      <c r="P71" s="338"/>
      <c r="Q71" s="338"/>
      <c r="R71" s="338"/>
      <c r="S71" s="338"/>
      <c r="T71" s="338"/>
      <c r="U71" s="338"/>
      <c r="V71" s="338"/>
      <c r="W71" s="338"/>
      <c r="X71" s="338"/>
      <c r="Y71" s="338"/>
      <c r="Z71" s="338"/>
      <c r="AA71" s="338"/>
      <c r="AB71" s="338"/>
      <c r="AC71" s="338"/>
      <c r="AD71" s="338"/>
      <c r="AE71" s="338"/>
      <c r="AF71" s="338"/>
      <c r="AG71" s="338"/>
      <c r="AH71" s="338"/>
      <c r="AI71" s="338"/>
      <c r="AJ71" s="338"/>
      <c r="AK71" s="338"/>
      <c r="AL71" s="338"/>
      <c r="AM71" s="338"/>
      <c r="AN71" s="338"/>
      <c r="AO71" s="338"/>
      <c r="AP71" s="338"/>
      <c r="AQ71" s="338"/>
      <c r="AR71" s="338"/>
      <c r="AS71" s="338"/>
      <c r="AT71" s="338"/>
      <c r="AU71" s="338"/>
      <c r="AV71" s="338"/>
      <c r="AW71" s="338"/>
      <c r="AX71" s="338"/>
      <c r="AY71" s="338"/>
      <c r="AZ71" s="338"/>
      <c r="BA71" s="338"/>
      <c r="BB71" s="338"/>
      <c r="BC71" s="338"/>
      <c r="BD71" s="338"/>
      <c r="BE71" s="338"/>
      <c r="BF71" s="338"/>
      <c r="BG71" s="338"/>
      <c r="BH71" s="338"/>
      <c r="BI71" s="338"/>
      <c r="BJ71" s="338"/>
      <c r="BK71" s="338"/>
      <c r="BL71" s="338"/>
      <c r="BM71" s="338"/>
      <c r="BN71" s="338"/>
      <c r="BO71" s="338"/>
      <c r="BP71" s="338"/>
      <c r="BQ71" s="338"/>
      <c r="BR71" s="338"/>
      <c r="BS71" s="338"/>
      <c r="BT71" s="338"/>
      <c r="BU71" s="338"/>
      <c r="BV71" s="338"/>
      <c r="BW71" s="338"/>
      <c r="BX71" s="338"/>
    </row>
    <row r="72" spans="1:76" s="339" customFormat="1" ht="12.75" customHeight="1" x14ac:dyDescent="0.2">
      <c r="A72" s="127" t="s">
        <v>248</v>
      </c>
      <c r="B72" s="29"/>
      <c r="C72" s="311">
        <v>2382</v>
      </c>
      <c r="D72" s="298">
        <v>45898</v>
      </c>
      <c r="E72" s="26">
        <v>2229.2600000000002</v>
      </c>
      <c r="F72" s="15">
        <v>1</v>
      </c>
      <c r="G72" s="16">
        <f t="shared" si="8"/>
        <v>2229.2600000000002</v>
      </c>
      <c r="H72" s="16">
        <f t="shared" si="3"/>
        <v>0</v>
      </c>
      <c r="I72" s="17">
        <f>(G72+H72)</f>
        <v>2229.2600000000002</v>
      </c>
      <c r="J72" s="124"/>
      <c r="K72" s="21"/>
      <c r="L72" s="21"/>
      <c r="M72" s="21"/>
      <c r="N72" s="125">
        <f t="shared" si="9"/>
        <v>2229.2600000000002</v>
      </c>
      <c r="O72" s="338"/>
      <c r="P72" s="338"/>
      <c r="Q72" s="338"/>
      <c r="R72" s="338"/>
      <c r="S72" s="338"/>
      <c r="T72" s="338"/>
      <c r="U72" s="338"/>
      <c r="V72" s="338"/>
      <c r="W72" s="338"/>
      <c r="X72" s="338"/>
      <c r="Y72" s="338"/>
      <c r="Z72" s="338"/>
      <c r="AA72" s="338"/>
      <c r="AB72" s="338"/>
      <c r="AC72" s="338"/>
      <c r="AD72" s="338"/>
      <c r="AE72" s="338"/>
      <c r="AF72" s="338"/>
      <c r="AG72" s="338"/>
      <c r="AH72" s="338"/>
      <c r="AI72" s="338"/>
      <c r="AJ72" s="338"/>
      <c r="AK72" s="338"/>
      <c r="AL72" s="338"/>
      <c r="AM72" s="338"/>
      <c r="AN72" s="338"/>
      <c r="AO72" s="338"/>
      <c r="AP72" s="338"/>
      <c r="AQ72" s="338"/>
      <c r="AR72" s="338"/>
      <c r="AS72" s="338"/>
      <c r="AT72" s="338"/>
      <c r="AU72" s="338"/>
      <c r="AV72" s="338"/>
      <c r="AW72" s="338"/>
      <c r="AX72" s="338"/>
      <c r="AY72" s="338"/>
      <c r="AZ72" s="338"/>
      <c r="BA72" s="338"/>
      <c r="BB72" s="338"/>
      <c r="BC72" s="338"/>
      <c r="BD72" s="338"/>
      <c r="BE72" s="338"/>
      <c r="BF72" s="338"/>
      <c r="BG72" s="338"/>
      <c r="BH72" s="338"/>
      <c r="BI72" s="338"/>
      <c r="BJ72" s="338"/>
      <c r="BK72" s="338"/>
      <c r="BL72" s="338"/>
      <c r="BM72" s="338"/>
      <c r="BN72" s="338"/>
      <c r="BO72" s="338"/>
      <c r="BP72" s="338"/>
      <c r="BQ72" s="338"/>
      <c r="BR72" s="338"/>
      <c r="BS72" s="338"/>
      <c r="BT72" s="338"/>
      <c r="BU72" s="338"/>
      <c r="BV72" s="338"/>
      <c r="BW72" s="338"/>
      <c r="BX72" s="338"/>
    </row>
    <row r="73" spans="1:76" s="342" customFormat="1" ht="12.75" customHeight="1" x14ac:dyDescent="0.2">
      <c r="A73" s="121" t="s">
        <v>249</v>
      </c>
      <c r="B73" s="136"/>
      <c r="C73" s="311">
        <v>2383</v>
      </c>
      <c r="D73" s="25">
        <v>45910</v>
      </c>
      <c r="E73" s="26">
        <v>205.26648152570311</v>
      </c>
      <c r="F73" s="15">
        <v>1</v>
      </c>
      <c r="G73" s="16">
        <f t="shared" si="8"/>
        <v>205.26648152570311</v>
      </c>
      <c r="H73" s="16">
        <f t="shared" si="3"/>
        <v>0</v>
      </c>
      <c r="I73" s="17">
        <f>G73+H73</f>
        <v>205.26648152570311</v>
      </c>
      <c r="J73" s="124"/>
      <c r="K73" s="344"/>
      <c r="L73" s="344"/>
      <c r="M73" s="345"/>
      <c r="N73" s="125">
        <f t="shared" si="9"/>
        <v>205.26648152570311</v>
      </c>
      <c r="O73" s="341"/>
      <c r="P73" s="341"/>
      <c r="Q73" s="341"/>
      <c r="R73" s="341"/>
      <c r="S73" s="341"/>
      <c r="T73" s="99"/>
      <c r="U73" s="99"/>
      <c r="V73" s="99"/>
      <c r="W73" s="99"/>
      <c r="X73" s="99"/>
      <c r="Y73" s="99"/>
      <c r="Z73" s="99"/>
      <c r="AA73" s="99"/>
      <c r="AB73" s="99"/>
      <c r="AC73" s="99"/>
      <c r="AD73" s="99"/>
      <c r="AE73" s="99"/>
      <c r="AF73" s="99"/>
      <c r="AG73" s="99"/>
      <c r="AH73" s="99"/>
      <c r="AI73" s="99"/>
      <c r="AJ73" s="99"/>
      <c r="AK73" s="99"/>
      <c r="AL73" s="99"/>
      <c r="AM73" s="99"/>
      <c r="AN73" s="99"/>
      <c r="AO73" s="99"/>
      <c r="AP73" s="99"/>
      <c r="AQ73" s="99"/>
      <c r="AR73" s="99"/>
      <c r="AS73" s="99"/>
      <c r="AT73" s="99"/>
      <c r="AU73" s="99"/>
      <c r="AV73" s="99"/>
      <c r="AW73" s="99"/>
      <c r="AX73" s="99"/>
      <c r="AY73" s="99"/>
      <c r="AZ73" s="99"/>
      <c r="BA73" s="99"/>
      <c r="BB73" s="99"/>
      <c r="BC73" s="99"/>
      <c r="BD73" s="99"/>
      <c r="BE73" s="99"/>
      <c r="BF73" s="99"/>
      <c r="BG73" s="99"/>
      <c r="BH73" s="99"/>
      <c r="BI73" s="99"/>
      <c r="BJ73" s="99"/>
      <c r="BK73" s="99"/>
      <c r="BL73" s="99"/>
      <c r="BM73" s="99"/>
      <c r="BN73" s="99"/>
      <c r="BO73" s="99"/>
      <c r="BP73" s="99"/>
      <c r="BQ73" s="99"/>
      <c r="BR73" s="99"/>
      <c r="BS73" s="99"/>
      <c r="BT73" s="99"/>
      <c r="BU73" s="99"/>
      <c r="BV73" s="99"/>
      <c r="BW73" s="99"/>
      <c r="BX73" s="99"/>
    </row>
    <row r="74" spans="1:76" s="342" customFormat="1" ht="12.75" customHeight="1" x14ac:dyDescent="0.2">
      <c r="A74" s="144" t="s">
        <v>250</v>
      </c>
      <c r="B74" s="29"/>
      <c r="C74" s="311">
        <v>2384</v>
      </c>
      <c r="D74" s="298">
        <v>45898</v>
      </c>
      <c r="E74" s="26">
        <v>1926.0673348</v>
      </c>
      <c r="F74" s="15">
        <v>1</v>
      </c>
      <c r="G74" s="27">
        <f t="shared" si="8"/>
        <v>1926.0673348</v>
      </c>
      <c r="H74" s="16">
        <f t="shared" si="3"/>
        <v>0</v>
      </c>
      <c r="I74" s="17">
        <f t="shared" ref="I74:I80" si="10">(G74+H74)</f>
        <v>1926.0673348</v>
      </c>
      <c r="J74" s="28"/>
      <c r="K74" s="21"/>
      <c r="L74" s="21"/>
      <c r="M74" s="21"/>
      <c r="N74" s="21">
        <f t="shared" si="9"/>
        <v>1926.0673348</v>
      </c>
      <c r="O74" s="341"/>
      <c r="P74" s="341"/>
      <c r="Q74" s="341"/>
      <c r="R74" s="341"/>
      <c r="S74" s="341"/>
      <c r="T74" s="99"/>
      <c r="U74" s="99"/>
      <c r="V74" s="99"/>
      <c r="W74" s="99"/>
      <c r="X74" s="99"/>
      <c r="Y74" s="99"/>
      <c r="Z74" s="99"/>
      <c r="AA74" s="99"/>
      <c r="AB74" s="99"/>
      <c r="AC74" s="99"/>
      <c r="AD74" s="99"/>
      <c r="AE74" s="99"/>
      <c r="AF74" s="99"/>
      <c r="AG74" s="99"/>
      <c r="AH74" s="99"/>
      <c r="AI74" s="99"/>
      <c r="AJ74" s="99"/>
      <c r="AK74" s="99"/>
      <c r="AL74" s="99"/>
      <c r="AM74" s="99"/>
      <c r="AN74" s="99"/>
      <c r="AO74" s="99"/>
      <c r="AP74" s="99"/>
      <c r="AQ74" s="99"/>
      <c r="AR74" s="99"/>
      <c r="AS74" s="99"/>
      <c r="AT74" s="99"/>
      <c r="AU74" s="99"/>
      <c r="AV74" s="99"/>
      <c r="AW74" s="99"/>
      <c r="AX74" s="99"/>
      <c r="AY74" s="99"/>
      <c r="AZ74" s="99"/>
      <c r="BA74" s="99"/>
      <c r="BB74" s="99"/>
      <c r="BC74" s="99"/>
      <c r="BD74" s="99"/>
      <c r="BE74" s="99"/>
      <c r="BF74" s="99"/>
      <c r="BG74" s="99"/>
      <c r="BH74" s="99"/>
      <c r="BI74" s="99"/>
      <c r="BJ74" s="99"/>
      <c r="BK74" s="99"/>
      <c r="BL74" s="99"/>
      <c r="BM74" s="99"/>
      <c r="BN74" s="99"/>
      <c r="BO74" s="99"/>
      <c r="BP74" s="99"/>
      <c r="BQ74" s="99"/>
      <c r="BR74" s="99"/>
      <c r="BS74" s="99"/>
      <c r="BT74" s="99"/>
      <c r="BU74" s="99"/>
      <c r="BV74" s="99"/>
      <c r="BW74" s="99"/>
      <c r="BX74" s="99"/>
    </row>
    <row r="75" spans="1:76" s="342" customFormat="1" ht="12.75" customHeight="1" x14ac:dyDescent="0.2">
      <c r="A75" s="144" t="s">
        <v>251</v>
      </c>
      <c r="B75" s="136"/>
      <c r="C75" s="311">
        <v>2385</v>
      </c>
      <c r="D75" s="298">
        <v>45898</v>
      </c>
      <c r="E75" s="26">
        <v>1222.9635760077458</v>
      </c>
      <c r="F75" s="15">
        <v>1</v>
      </c>
      <c r="G75" s="27">
        <f t="shared" si="8"/>
        <v>1222.9635760077458</v>
      </c>
      <c r="H75" s="27">
        <f t="shared" si="3"/>
        <v>0</v>
      </c>
      <c r="I75" s="17">
        <f t="shared" si="10"/>
        <v>1222.9635760077458</v>
      </c>
      <c r="J75" s="343"/>
      <c r="K75" s="21">
        <f>I75*0.8*0.11</f>
        <v>107.62079468868164</v>
      </c>
      <c r="L75" s="21"/>
      <c r="M75" s="21"/>
      <c r="N75" s="21">
        <f t="shared" si="9"/>
        <v>1115.3427813190642</v>
      </c>
      <c r="O75" s="341"/>
      <c r="P75" s="341"/>
      <c r="Q75" s="341"/>
      <c r="R75" s="341"/>
      <c r="S75" s="341"/>
      <c r="T75" s="99"/>
      <c r="U75" s="99"/>
      <c r="V75" s="99"/>
      <c r="W75" s="99"/>
      <c r="X75" s="99"/>
      <c r="Y75" s="99"/>
      <c r="Z75" s="99"/>
      <c r="AA75" s="99"/>
      <c r="AB75" s="99"/>
      <c r="AC75" s="99"/>
      <c r="AD75" s="99"/>
      <c r="AE75" s="99"/>
      <c r="AF75" s="99"/>
      <c r="AG75" s="99"/>
      <c r="AH75" s="99"/>
      <c r="AI75" s="99"/>
      <c r="AJ75" s="99"/>
      <c r="AK75" s="99"/>
      <c r="AL75" s="99"/>
      <c r="AM75" s="99"/>
      <c r="AN75" s="99"/>
      <c r="AO75" s="99"/>
      <c r="AP75" s="99"/>
      <c r="AQ75" s="99"/>
      <c r="AR75" s="99"/>
      <c r="AS75" s="99"/>
      <c r="AT75" s="99"/>
      <c r="AU75" s="99"/>
      <c r="AV75" s="99"/>
      <c r="AW75" s="99"/>
      <c r="AX75" s="99"/>
      <c r="AY75" s="99"/>
      <c r="AZ75" s="99"/>
      <c r="BA75" s="99"/>
      <c r="BB75" s="99"/>
      <c r="BC75" s="99"/>
      <c r="BD75" s="99"/>
      <c r="BE75" s="99"/>
      <c r="BF75" s="99"/>
      <c r="BG75" s="99"/>
      <c r="BH75" s="99"/>
      <c r="BI75" s="99"/>
      <c r="BJ75" s="99"/>
      <c r="BK75" s="99"/>
      <c r="BL75" s="99"/>
      <c r="BM75" s="99"/>
      <c r="BN75" s="99"/>
      <c r="BO75" s="99"/>
      <c r="BP75" s="99"/>
      <c r="BQ75" s="99"/>
      <c r="BR75" s="99"/>
      <c r="BS75" s="99"/>
      <c r="BT75" s="99"/>
      <c r="BU75" s="99"/>
      <c r="BV75" s="99"/>
      <c r="BW75" s="99"/>
      <c r="BX75" s="99"/>
    </row>
    <row r="76" spans="1:76" s="342" customFormat="1" ht="12.75" customHeight="1" x14ac:dyDescent="0.2">
      <c r="A76" s="127" t="s">
        <v>252</v>
      </c>
      <c r="B76" s="29" t="s">
        <v>73</v>
      </c>
      <c r="C76" s="311">
        <v>2386</v>
      </c>
      <c r="D76" s="298">
        <v>45898</v>
      </c>
      <c r="E76" s="26">
        <v>752</v>
      </c>
      <c r="F76" s="15">
        <v>1</v>
      </c>
      <c r="G76" s="16">
        <f t="shared" si="8"/>
        <v>752</v>
      </c>
      <c r="H76" s="16">
        <f t="shared" si="3"/>
        <v>0</v>
      </c>
      <c r="I76" s="17">
        <f t="shared" si="10"/>
        <v>752</v>
      </c>
      <c r="J76" s="124"/>
      <c r="K76" s="21"/>
      <c r="L76" s="21"/>
      <c r="M76" s="21"/>
      <c r="N76" s="125">
        <f t="shared" si="9"/>
        <v>752</v>
      </c>
      <c r="O76" s="341"/>
      <c r="P76" s="341"/>
      <c r="Q76" s="341"/>
      <c r="R76" s="341"/>
      <c r="S76" s="341"/>
      <c r="T76" s="99"/>
      <c r="U76" s="99"/>
      <c r="V76" s="99"/>
      <c r="W76" s="99"/>
      <c r="X76" s="99"/>
      <c r="Y76" s="99"/>
      <c r="Z76" s="99"/>
      <c r="AA76" s="99"/>
      <c r="AB76" s="99"/>
      <c r="AC76" s="99"/>
      <c r="AD76" s="99"/>
      <c r="AE76" s="99"/>
      <c r="AF76" s="99"/>
      <c r="AG76" s="99"/>
      <c r="AH76" s="99"/>
      <c r="AI76" s="99"/>
      <c r="AJ76" s="99"/>
      <c r="AK76" s="99"/>
      <c r="AL76" s="99"/>
      <c r="AM76" s="99"/>
      <c r="AN76" s="99"/>
      <c r="AO76" s="99"/>
      <c r="AP76" s="99"/>
      <c r="AQ76" s="99"/>
      <c r="AR76" s="99"/>
      <c r="AS76" s="99"/>
      <c r="AT76" s="99"/>
      <c r="AU76" s="99"/>
      <c r="AV76" s="99"/>
      <c r="AW76" s="99"/>
      <c r="AX76" s="99"/>
      <c r="AY76" s="99"/>
      <c r="AZ76" s="99"/>
      <c r="BA76" s="99"/>
      <c r="BB76" s="99"/>
      <c r="BC76" s="99"/>
      <c r="BD76" s="99"/>
      <c r="BE76" s="99"/>
      <c r="BF76" s="99"/>
      <c r="BG76" s="99"/>
      <c r="BH76" s="99"/>
      <c r="BI76" s="99"/>
      <c r="BJ76" s="99"/>
      <c r="BK76" s="99"/>
      <c r="BL76" s="99"/>
      <c r="BM76" s="99"/>
      <c r="BN76" s="99"/>
      <c r="BO76" s="99"/>
      <c r="BP76" s="99"/>
      <c r="BQ76" s="99"/>
      <c r="BR76" s="99"/>
      <c r="BS76" s="99"/>
      <c r="BT76" s="99"/>
      <c r="BU76" s="99"/>
      <c r="BV76" s="99"/>
      <c r="BW76" s="99"/>
      <c r="BX76" s="99"/>
    </row>
    <row r="77" spans="1:76" s="339" customFormat="1" ht="12.75" customHeight="1" x14ac:dyDescent="0.2">
      <c r="A77" s="135" t="s">
        <v>174</v>
      </c>
      <c r="B77" s="414" t="s">
        <v>175</v>
      </c>
      <c r="C77" s="311">
        <v>2393</v>
      </c>
      <c r="D77" s="25">
        <v>45920</v>
      </c>
      <c r="E77" s="26">
        <v>6455.9</v>
      </c>
      <c r="F77" s="15">
        <v>1</v>
      </c>
      <c r="G77" s="16">
        <f t="shared" si="8"/>
        <v>6455.9</v>
      </c>
      <c r="H77" s="16">
        <f>(G77-E77)*1</f>
        <v>0</v>
      </c>
      <c r="I77" s="17">
        <f t="shared" si="10"/>
        <v>6455.9</v>
      </c>
      <c r="J77" s="124"/>
      <c r="K77" s="21">
        <f>I77*0.11</f>
        <v>710.149</v>
      </c>
      <c r="L77" s="21"/>
      <c r="M77" s="21"/>
      <c r="N77" s="125">
        <f t="shared" si="9"/>
        <v>5745.7509999999993</v>
      </c>
      <c r="O77" s="346"/>
      <c r="P77" s="346"/>
      <c r="Q77" s="346"/>
      <c r="R77" s="346"/>
      <c r="S77" s="346"/>
      <c r="T77" s="338"/>
      <c r="U77" s="338"/>
      <c r="V77" s="338"/>
      <c r="W77" s="338"/>
      <c r="X77" s="338"/>
      <c r="Y77" s="338"/>
      <c r="Z77" s="338"/>
      <c r="AA77" s="338"/>
      <c r="AB77" s="338"/>
      <c r="AC77" s="338"/>
      <c r="AD77" s="338"/>
      <c r="AE77" s="338"/>
      <c r="AF77" s="338"/>
      <c r="AG77" s="338"/>
      <c r="AH77" s="338"/>
      <c r="AI77" s="338"/>
      <c r="AJ77" s="338"/>
      <c r="AK77" s="338"/>
      <c r="AL77" s="338"/>
      <c r="AM77" s="338"/>
      <c r="AN77" s="338"/>
      <c r="AO77" s="338"/>
      <c r="AP77" s="338"/>
      <c r="AQ77" s="338"/>
      <c r="AR77" s="338"/>
      <c r="AS77" s="338"/>
      <c r="AT77" s="338"/>
      <c r="AU77" s="338"/>
      <c r="AV77" s="338"/>
      <c r="AW77" s="338"/>
      <c r="AX77" s="338"/>
      <c r="AY77" s="338"/>
      <c r="AZ77" s="338"/>
      <c r="BA77" s="338"/>
      <c r="BB77" s="338"/>
      <c r="BC77" s="338"/>
      <c r="BD77" s="338"/>
      <c r="BE77" s="338"/>
      <c r="BF77" s="338"/>
      <c r="BG77" s="338"/>
      <c r="BH77" s="338"/>
      <c r="BI77" s="338"/>
      <c r="BJ77" s="338"/>
      <c r="BK77" s="338"/>
      <c r="BL77" s="338"/>
      <c r="BM77" s="338"/>
      <c r="BN77" s="338"/>
      <c r="BO77" s="338"/>
      <c r="BP77" s="338"/>
      <c r="BQ77" s="338"/>
      <c r="BR77" s="338"/>
      <c r="BS77" s="338"/>
      <c r="BT77" s="338"/>
      <c r="BU77" s="338"/>
      <c r="BV77" s="338"/>
      <c r="BW77" s="338"/>
      <c r="BX77" s="338"/>
    </row>
    <row r="78" spans="1:76" s="339" customFormat="1" ht="12.75" customHeight="1" x14ac:dyDescent="0.2">
      <c r="A78" s="315" t="s">
        <v>174</v>
      </c>
      <c r="B78" s="413" t="s">
        <v>176</v>
      </c>
      <c r="C78" s="316">
        <v>2394</v>
      </c>
      <c r="D78" s="34">
        <v>45920</v>
      </c>
      <c r="E78" s="35">
        <v>6455.9</v>
      </c>
      <c r="F78" s="142">
        <v>1</v>
      </c>
      <c r="G78" s="74">
        <f t="shared" si="8"/>
        <v>6455.9</v>
      </c>
      <c r="H78" s="74">
        <f>(G78-E78)*1</f>
        <v>0</v>
      </c>
      <c r="I78" s="38">
        <f t="shared" si="10"/>
        <v>6455.9</v>
      </c>
      <c r="J78" s="310"/>
      <c r="K78" s="40">
        <f>I78*0.11</f>
        <v>710.149</v>
      </c>
      <c r="L78" s="40"/>
      <c r="M78" s="40"/>
      <c r="N78" s="317">
        <f t="shared" si="9"/>
        <v>5745.7509999999993</v>
      </c>
      <c r="O78" s="346"/>
      <c r="P78" s="346"/>
      <c r="Q78" s="346"/>
      <c r="R78" s="346"/>
      <c r="S78" s="346"/>
      <c r="T78" s="338"/>
      <c r="U78" s="338"/>
      <c r="V78" s="338"/>
      <c r="W78" s="338"/>
      <c r="X78" s="338"/>
      <c r="Y78" s="338"/>
      <c r="Z78" s="338"/>
      <c r="AA78" s="338"/>
      <c r="AB78" s="338"/>
      <c r="AC78" s="338"/>
      <c r="AD78" s="338"/>
      <c r="AE78" s="338"/>
      <c r="AF78" s="338"/>
      <c r="AG78" s="338"/>
      <c r="AH78" s="338"/>
      <c r="AI78" s="338"/>
      <c r="AJ78" s="338"/>
      <c r="AK78" s="338"/>
      <c r="AL78" s="338"/>
      <c r="AM78" s="338"/>
      <c r="AN78" s="338"/>
      <c r="AO78" s="338"/>
      <c r="AP78" s="338"/>
      <c r="AQ78" s="338"/>
      <c r="AR78" s="338"/>
      <c r="AS78" s="338"/>
      <c r="AT78" s="338"/>
      <c r="AU78" s="338"/>
      <c r="AV78" s="338"/>
      <c r="AW78" s="338"/>
      <c r="AX78" s="338"/>
      <c r="AY78" s="338"/>
      <c r="AZ78" s="338"/>
      <c r="BA78" s="338"/>
      <c r="BB78" s="338"/>
      <c r="BC78" s="338"/>
      <c r="BD78" s="338"/>
      <c r="BE78" s="338"/>
      <c r="BF78" s="338"/>
      <c r="BG78" s="338"/>
      <c r="BH78" s="338"/>
      <c r="BI78" s="338"/>
      <c r="BJ78" s="338"/>
      <c r="BK78" s="338"/>
      <c r="BL78" s="338"/>
      <c r="BM78" s="338"/>
      <c r="BN78" s="338"/>
      <c r="BO78" s="338"/>
      <c r="BP78" s="338"/>
      <c r="BQ78" s="338"/>
      <c r="BR78" s="338"/>
      <c r="BS78" s="338"/>
      <c r="BT78" s="338"/>
      <c r="BU78" s="338"/>
      <c r="BV78" s="338"/>
      <c r="BW78" s="338"/>
      <c r="BX78" s="338"/>
    </row>
    <row r="79" spans="1:76" s="339" customFormat="1" ht="12.75" customHeight="1" x14ac:dyDescent="0.2">
      <c r="A79" s="315" t="s">
        <v>174</v>
      </c>
      <c r="B79" s="413" t="s">
        <v>177</v>
      </c>
      <c r="C79" s="316">
        <v>2395</v>
      </c>
      <c r="D79" s="34">
        <v>45920</v>
      </c>
      <c r="E79" s="35">
        <v>6455.9</v>
      </c>
      <c r="F79" s="142">
        <v>1</v>
      </c>
      <c r="G79" s="74">
        <f t="shared" si="8"/>
        <v>6455.9</v>
      </c>
      <c r="H79" s="74">
        <f>(G79-E79)*1</f>
        <v>0</v>
      </c>
      <c r="I79" s="38">
        <f t="shared" si="10"/>
        <v>6455.9</v>
      </c>
      <c r="J79" s="310"/>
      <c r="K79" s="40">
        <f>I79*0.11</f>
        <v>710.149</v>
      </c>
      <c r="L79" s="40"/>
      <c r="M79" s="40"/>
      <c r="N79" s="317">
        <f t="shared" si="9"/>
        <v>5745.7509999999993</v>
      </c>
      <c r="O79" s="346"/>
      <c r="P79" s="346"/>
      <c r="Q79" s="346"/>
      <c r="R79" s="346"/>
      <c r="S79" s="346"/>
      <c r="T79" s="338"/>
      <c r="U79" s="338"/>
      <c r="V79" s="338"/>
      <c r="W79" s="338"/>
      <c r="X79" s="338"/>
      <c r="Y79" s="338"/>
      <c r="Z79" s="338"/>
      <c r="AA79" s="338"/>
      <c r="AB79" s="338"/>
      <c r="AC79" s="338"/>
      <c r="AD79" s="338"/>
      <c r="AE79" s="338"/>
      <c r="AF79" s="338"/>
      <c r="AG79" s="338"/>
      <c r="AH79" s="338"/>
      <c r="AI79" s="338"/>
      <c r="AJ79" s="338"/>
      <c r="AK79" s="338"/>
      <c r="AL79" s="338"/>
      <c r="AM79" s="338"/>
      <c r="AN79" s="338"/>
      <c r="AO79" s="338"/>
      <c r="AP79" s="338"/>
      <c r="AQ79" s="338"/>
      <c r="AR79" s="338"/>
      <c r="AS79" s="338"/>
      <c r="AT79" s="338"/>
      <c r="AU79" s="338"/>
      <c r="AV79" s="338"/>
      <c r="AW79" s="338"/>
      <c r="AX79" s="338"/>
      <c r="AY79" s="338"/>
      <c r="AZ79" s="338"/>
      <c r="BA79" s="338"/>
      <c r="BB79" s="338"/>
      <c r="BC79" s="338"/>
      <c r="BD79" s="338"/>
      <c r="BE79" s="338"/>
      <c r="BF79" s="338"/>
      <c r="BG79" s="338"/>
      <c r="BH79" s="338"/>
      <c r="BI79" s="338"/>
      <c r="BJ79" s="338"/>
      <c r="BK79" s="338"/>
      <c r="BL79" s="338"/>
      <c r="BM79" s="338"/>
      <c r="BN79" s="338"/>
      <c r="BO79" s="338"/>
      <c r="BP79" s="338"/>
      <c r="BQ79" s="338"/>
      <c r="BR79" s="338"/>
      <c r="BS79" s="338"/>
      <c r="BT79" s="338"/>
      <c r="BU79" s="338"/>
      <c r="BV79" s="338"/>
      <c r="BW79" s="338"/>
      <c r="BX79" s="338"/>
    </row>
    <row r="80" spans="1:76" s="329" customFormat="1" ht="12.75" customHeight="1" x14ac:dyDescent="0.2">
      <c r="A80" s="306" t="s">
        <v>188</v>
      </c>
      <c r="B80" s="307"/>
      <c r="C80" s="308">
        <v>2396</v>
      </c>
      <c r="D80" s="309">
        <v>45898</v>
      </c>
      <c r="E80" s="35">
        <v>1489</v>
      </c>
      <c r="F80" s="142">
        <v>1</v>
      </c>
      <c r="G80" s="37">
        <f t="shared" si="8"/>
        <v>1489</v>
      </c>
      <c r="H80" s="74">
        <f>G80-E80</f>
        <v>0</v>
      </c>
      <c r="I80" s="38">
        <f t="shared" si="10"/>
        <v>1489</v>
      </c>
      <c r="J80" s="310"/>
      <c r="K80" s="40"/>
      <c r="L80" s="40"/>
      <c r="M80" s="40"/>
      <c r="N80" s="40">
        <f t="shared" si="9"/>
        <v>1489</v>
      </c>
    </row>
    <row r="81" spans="1:16" ht="12.75" customHeight="1" x14ac:dyDescent="0.2">
      <c r="A81" s="301"/>
      <c r="B81" s="136"/>
      <c r="C81" s="311"/>
      <c r="D81" s="298"/>
      <c r="E81" s="26"/>
      <c r="F81" s="15"/>
      <c r="G81" s="16"/>
      <c r="H81" s="16"/>
      <c r="I81" s="17"/>
      <c r="J81" s="343"/>
      <c r="K81" s="21"/>
      <c r="L81" s="21"/>
      <c r="M81" s="21"/>
      <c r="N81" s="125"/>
    </row>
    <row r="82" spans="1:16" s="354" customFormat="1" ht="12.75" customHeight="1" x14ac:dyDescent="0.2">
      <c r="A82" s="347" t="s">
        <v>99</v>
      </c>
      <c r="B82" s="348"/>
      <c r="C82" s="349"/>
      <c r="D82" s="350"/>
      <c r="E82" s="351"/>
      <c r="F82" s="351"/>
      <c r="G82" s="16"/>
      <c r="H82" s="16"/>
      <c r="I82" s="27"/>
      <c r="J82" s="352"/>
      <c r="K82" s="353"/>
      <c r="L82" s="353"/>
      <c r="M82" s="353"/>
      <c r="N82" s="125"/>
    </row>
    <row r="83" spans="1:16" s="354" customFormat="1" ht="12.75" customHeight="1" x14ac:dyDescent="0.2">
      <c r="A83" s="355" t="s">
        <v>100</v>
      </c>
      <c r="B83" s="355"/>
      <c r="C83" s="356"/>
      <c r="D83" s="357"/>
      <c r="E83" s="358">
        <f>SUBTOTAL(9,E2:E82)</f>
        <v>111984.38690484612</v>
      </c>
      <c r="F83" s="358"/>
      <c r="G83" s="358">
        <f>SUBTOTAL(9,G2:G82)</f>
        <v>111984.38690484612</v>
      </c>
      <c r="H83" s="358">
        <f>SUBTOTAL(9,H2:H82)</f>
        <v>0</v>
      </c>
      <c r="I83" s="358">
        <f>SUBTOTAL(9,I2:I82)</f>
        <v>113987.48916735813</v>
      </c>
      <c r="J83" s="358">
        <f>SUBTOTAL(9,J2:J82)</f>
        <v>0</v>
      </c>
      <c r="K83" s="358">
        <f>SUBTOTAL(9,K2:K82)</f>
        <v>6064.4045419948552</v>
      </c>
      <c r="L83" s="358">
        <f>SUBTOTAL(9,L2:L82)</f>
        <v>0</v>
      </c>
      <c r="M83" s="358">
        <f>SUBTOTAL(9,M2:M82)</f>
        <v>0</v>
      </c>
      <c r="N83" s="358">
        <f>SUBTOTAL(9,N2:N82)</f>
        <v>107923.08462536331</v>
      </c>
    </row>
    <row r="84" spans="1:16" s="354" customFormat="1" ht="12.75" customHeight="1" x14ac:dyDescent="0.2">
      <c r="A84" s="359"/>
      <c r="B84" s="359"/>
      <c r="C84" s="360"/>
      <c r="D84" s="361"/>
      <c r="E84" s="362"/>
      <c r="F84" s="362"/>
      <c r="G84" s="362"/>
      <c r="H84" s="362"/>
      <c r="I84" s="363"/>
      <c r="K84" s="362"/>
      <c r="L84" s="362"/>
      <c r="M84" s="362"/>
      <c r="N84" s="362"/>
    </row>
    <row r="85" spans="1:16" s="354" customFormat="1" ht="12.75" customHeight="1" x14ac:dyDescent="0.2">
      <c r="A85" s="365" t="s">
        <v>253</v>
      </c>
      <c r="B85" s="366">
        <v>4.4999999999999998E-2</v>
      </c>
      <c r="C85" s="360"/>
      <c r="D85" s="361"/>
      <c r="E85" s="362"/>
      <c r="F85" s="362"/>
      <c r="G85" s="362"/>
      <c r="H85" s="362"/>
      <c r="I85" s="363"/>
      <c r="K85" s="362"/>
      <c r="L85" s="362"/>
      <c r="M85" s="362"/>
      <c r="N85" s="362"/>
    </row>
    <row r="86" spans="1:16" s="354" customFormat="1" ht="12.75" customHeight="1" thickBot="1" x14ac:dyDescent="0.25">
      <c r="A86" s="359"/>
      <c r="B86" s="359"/>
      <c r="C86" s="367"/>
      <c r="D86" s="368"/>
      <c r="E86" s="369"/>
      <c r="F86" s="369"/>
      <c r="G86" s="369"/>
      <c r="H86" s="369"/>
      <c r="I86" s="370"/>
      <c r="K86" s="371"/>
      <c r="L86" s="371"/>
      <c r="M86" s="371"/>
      <c r="N86" s="371"/>
    </row>
    <row r="87" spans="1:16" s="354" customFormat="1" ht="12.75" customHeight="1" thickBot="1" x14ac:dyDescent="0.3">
      <c r="A87" s="374" t="s">
        <v>101</v>
      </c>
      <c r="B87" s="375"/>
      <c r="C87" s="376"/>
      <c r="D87" s="377"/>
      <c r="E87" s="378"/>
      <c r="F87" s="378"/>
      <c r="G87" s="378"/>
      <c r="H87" s="378"/>
      <c r="I87" s="379"/>
      <c r="K87" s="380"/>
      <c r="L87" s="380"/>
      <c r="M87" s="381"/>
      <c r="N87" s="381"/>
    </row>
    <row r="88" spans="1:16" s="354" customFormat="1" ht="12.75" customHeight="1" x14ac:dyDescent="0.25">
      <c r="A88" s="382" t="s">
        <v>158</v>
      </c>
      <c r="B88" s="383"/>
      <c r="C88" s="376"/>
      <c r="D88" s="377"/>
      <c r="E88" s="378"/>
      <c r="F88" s="378"/>
      <c r="G88" s="378"/>
      <c r="H88" s="378"/>
      <c r="I88" s="379"/>
      <c r="K88" s="380"/>
      <c r="L88" s="380"/>
      <c r="M88" s="381"/>
      <c r="N88" s="381"/>
    </row>
    <row r="89" spans="1:16" s="354" customFormat="1" ht="12.75" customHeight="1" x14ac:dyDescent="0.25">
      <c r="A89" s="382" t="s">
        <v>159</v>
      </c>
      <c r="B89" s="383"/>
      <c r="C89" s="376"/>
      <c r="D89" s="377"/>
      <c r="E89" s="378"/>
      <c r="F89" s="378"/>
      <c r="G89" s="378"/>
      <c r="H89" s="378"/>
      <c r="I89" s="379"/>
      <c r="K89" s="380"/>
      <c r="L89" s="380"/>
      <c r="M89" s="381"/>
      <c r="N89" s="381"/>
    </row>
    <row r="90" spans="1:16" s="354" customFormat="1" ht="12.75" customHeight="1" x14ac:dyDescent="0.25">
      <c r="A90" s="382" t="s">
        <v>104</v>
      </c>
      <c r="B90" s="383"/>
      <c r="C90" s="376"/>
      <c r="D90" s="377"/>
      <c r="E90" s="378"/>
      <c r="F90" s="378"/>
      <c r="G90" s="378"/>
      <c r="H90" s="378"/>
      <c r="I90" s="379"/>
      <c r="K90" s="380"/>
      <c r="L90" s="380"/>
      <c r="M90" s="381"/>
      <c r="N90" s="381"/>
    </row>
    <row r="91" spans="1:16" s="354" customFormat="1" ht="12.75" customHeight="1" thickBot="1" x14ac:dyDescent="0.3">
      <c r="A91" s="384" t="s">
        <v>105</v>
      </c>
      <c r="B91" s="385"/>
      <c r="C91" s="376"/>
      <c r="D91" s="377"/>
      <c r="E91" s="378"/>
      <c r="F91" s="378"/>
      <c r="G91" s="378"/>
      <c r="H91" s="378"/>
      <c r="I91" s="379"/>
      <c r="K91" s="380"/>
      <c r="L91" s="380"/>
      <c r="M91" s="381"/>
      <c r="N91" s="381"/>
    </row>
    <row r="92" spans="1:16" s="354" customFormat="1" ht="12.75" customHeight="1" thickBot="1" x14ac:dyDescent="0.3">
      <c r="A92" s="300"/>
      <c r="B92" s="386"/>
      <c r="C92" s="376"/>
      <c r="D92" s="377"/>
      <c r="E92" s="378"/>
      <c r="F92" s="378"/>
      <c r="G92" s="378"/>
      <c r="H92" s="378"/>
      <c r="I92" s="379"/>
      <c r="K92" s="380"/>
      <c r="L92" s="380"/>
      <c r="M92" s="381"/>
      <c r="N92" s="381"/>
    </row>
    <row r="93" spans="1:16" ht="12.75" customHeight="1" thickBot="1" x14ac:dyDescent="0.3">
      <c r="A93" s="387" t="s">
        <v>106</v>
      </c>
      <c r="B93" s="388"/>
      <c r="C93" s="376"/>
      <c r="D93" s="377"/>
      <c r="E93" s="378"/>
      <c r="F93" s="378"/>
      <c r="G93" s="378"/>
      <c r="H93" s="378"/>
      <c r="I93" s="379"/>
      <c r="J93" s="354"/>
      <c r="K93" s="380"/>
      <c r="L93" s="380"/>
      <c r="M93" s="381"/>
      <c r="N93" s="381"/>
      <c r="O93" s="389"/>
      <c r="P93" s="389"/>
    </row>
    <row r="94" spans="1:16" ht="12.75" customHeight="1" x14ac:dyDescent="0.25">
      <c r="A94" s="415" t="s">
        <v>254</v>
      </c>
      <c r="B94" s="359"/>
      <c r="C94" s="376"/>
      <c r="D94" s="390"/>
      <c r="E94" s="378"/>
      <c r="F94" s="378"/>
      <c r="G94" s="378"/>
      <c r="H94" s="378"/>
      <c r="I94" s="379"/>
      <c r="J94" s="354"/>
      <c r="K94" s="380"/>
      <c r="L94" s="380"/>
      <c r="M94" s="381"/>
      <c r="N94" s="381"/>
    </row>
    <row r="95" spans="1:16" ht="12.75" customHeight="1" x14ac:dyDescent="0.25">
      <c r="A95" s="415" t="s">
        <v>255</v>
      </c>
      <c r="B95" s="359"/>
      <c r="C95" s="376"/>
      <c r="D95" s="391"/>
      <c r="E95" s="378"/>
      <c r="F95" s="378"/>
      <c r="G95" s="378"/>
      <c r="H95" s="378"/>
      <c r="I95" s="379"/>
      <c r="J95" s="305"/>
      <c r="K95" s="380"/>
      <c r="L95" s="380"/>
      <c r="M95" s="381"/>
      <c r="N95" s="381"/>
    </row>
    <row r="96" spans="1:16" ht="12.75" customHeight="1" x14ac:dyDescent="0.2">
      <c r="A96" s="415" t="s">
        <v>256</v>
      </c>
      <c r="B96" s="300"/>
      <c r="C96" s="393"/>
      <c r="D96" s="377"/>
      <c r="J96" s="305"/>
      <c r="K96" s="380"/>
      <c r="L96" s="380"/>
      <c r="M96" s="394"/>
      <c r="N96" s="394"/>
    </row>
    <row r="97" spans="1:200" ht="12.75" customHeight="1" x14ac:dyDescent="0.2">
      <c r="A97" s="415" t="s">
        <v>257</v>
      </c>
      <c r="B97" s="392"/>
      <c r="C97" s="377"/>
      <c r="D97" s="369"/>
      <c r="E97" s="380"/>
      <c r="F97" s="380"/>
      <c r="G97" s="380"/>
      <c r="H97" s="380"/>
      <c r="I97" s="397"/>
      <c r="J97" s="305"/>
      <c r="K97" s="398"/>
      <c r="L97" s="398"/>
      <c r="M97" s="394"/>
      <c r="N97" s="395"/>
    </row>
    <row r="98" spans="1:200" ht="12.75" customHeight="1" x14ac:dyDescent="0.2">
      <c r="A98" s="415" t="s">
        <v>258</v>
      </c>
      <c r="B98" s="392"/>
      <c r="C98" s="377"/>
      <c r="D98" s="369"/>
      <c r="E98" s="394"/>
      <c r="F98" s="394"/>
      <c r="G98" s="394"/>
      <c r="H98" s="394"/>
      <c r="I98" s="396"/>
      <c r="J98" s="305"/>
      <c r="K98" s="398"/>
      <c r="L98" s="398"/>
      <c r="M98" s="394"/>
      <c r="N98" s="395"/>
    </row>
    <row r="99" spans="1:200" s="402" customFormat="1" ht="12.75" customHeight="1" x14ac:dyDescent="0.2">
      <c r="A99" s="415" t="s">
        <v>259</v>
      </c>
      <c r="B99" s="392"/>
      <c r="C99" s="399"/>
      <c r="D99" s="369"/>
      <c r="E99" s="394"/>
      <c r="F99" s="394"/>
      <c r="G99" s="394"/>
      <c r="H99" s="394"/>
      <c r="I99" s="396"/>
      <c r="J99" s="305"/>
      <c r="K99" s="400"/>
      <c r="L99" s="400"/>
      <c r="M99" s="394"/>
      <c r="N99" s="395"/>
      <c r="O99" s="401"/>
    </row>
    <row r="100" spans="1:200" s="402" customFormat="1" ht="44.25" customHeight="1" x14ac:dyDescent="0.2">
      <c r="A100" s="425" t="s">
        <v>261</v>
      </c>
      <c r="B100" s="392"/>
      <c r="C100" s="399"/>
      <c r="D100" s="369"/>
      <c r="E100" s="394"/>
      <c r="F100" s="394"/>
      <c r="G100" s="394"/>
      <c r="H100" s="394"/>
      <c r="I100" s="396"/>
      <c r="J100" s="305"/>
      <c r="K100" s="400"/>
      <c r="L100" s="400"/>
      <c r="M100" s="394"/>
      <c r="N100" s="395"/>
      <c r="O100" s="401"/>
    </row>
    <row r="101" spans="1:200" s="402" customFormat="1" ht="44.25" customHeight="1" x14ac:dyDescent="0.2">
      <c r="A101" s="425"/>
      <c r="B101" s="392"/>
      <c r="C101" s="399"/>
      <c r="D101" s="369"/>
      <c r="E101" s="394"/>
      <c r="F101" s="394"/>
      <c r="G101" s="394"/>
      <c r="H101" s="394"/>
      <c r="I101" s="396"/>
      <c r="J101" s="305"/>
      <c r="K101" s="400"/>
      <c r="L101" s="400"/>
      <c r="M101" s="394"/>
      <c r="N101" s="395"/>
      <c r="O101" s="401"/>
    </row>
    <row r="102" spans="1:200" ht="12.75" customHeight="1" x14ac:dyDescent="0.2">
      <c r="A102" s="415" t="s">
        <v>260</v>
      </c>
      <c r="B102" s="392"/>
      <c r="C102" s="399"/>
      <c r="D102" s="369"/>
      <c r="E102" s="394"/>
      <c r="F102" s="394"/>
      <c r="G102" s="394"/>
      <c r="H102" s="394"/>
      <c r="I102" s="396"/>
      <c r="J102" s="402"/>
      <c r="K102" s="400"/>
      <c r="L102" s="400"/>
      <c r="M102" s="394"/>
      <c r="N102" s="395"/>
    </row>
    <row r="103" spans="1:200" ht="12.75" customHeight="1" x14ac:dyDescent="0.2">
      <c r="A103" s="415"/>
      <c r="B103" s="392"/>
      <c r="C103" s="399"/>
      <c r="D103" s="369"/>
      <c r="E103" s="394"/>
      <c r="F103" s="394"/>
      <c r="G103" s="394"/>
      <c r="H103" s="394"/>
      <c r="I103" s="396"/>
      <c r="J103" s="402"/>
      <c r="K103" s="400"/>
      <c r="L103" s="400"/>
      <c r="M103" s="394"/>
      <c r="N103" s="395"/>
    </row>
    <row r="104" spans="1:200" ht="12.75" customHeight="1" x14ac:dyDescent="0.2">
      <c r="A104" s="415"/>
      <c r="B104" s="392"/>
      <c r="C104" s="403"/>
      <c r="D104" s="369"/>
      <c r="E104" s="394"/>
      <c r="F104" s="394"/>
      <c r="G104" s="394"/>
      <c r="H104" s="394"/>
      <c r="I104" s="396"/>
      <c r="K104" s="400"/>
      <c r="L104" s="400"/>
      <c r="M104" s="394"/>
      <c r="N104" s="395"/>
    </row>
    <row r="105" spans="1:200" ht="12.75" customHeight="1" x14ac:dyDescent="0.2">
      <c r="A105" s="300"/>
      <c r="B105" s="392"/>
      <c r="C105" s="403"/>
      <c r="D105" s="369"/>
      <c r="E105" s="394"/>
      <c r="F105" s="394"/>
      <c r="G105" s="394"/>
      <c r="H105" s="394"/>
      <c r="I105" s="396"/>
      <c r="K105" s="400"/>
      <c r="L105" s="400"/>
      <c r="M105" s="394"/>
      <c r="N105" s="395"/>
    </row>
    <row r="106" spans="1:200" ht="12.75" customHeight="1" x14ac:dyDescent="0.2">
      <c r="A106" s="404"/>
      <c r="B106" s="405"/>
      <c r="C106" s="403"/>
      <c r="D106" s="369"/>
      <c r="E106" s="406"/>
      <c r="F106" s="406"/>
      <c r="G106" s="406"/>
      <c r="H106" s="406"/>
      <c r="I106" s="407"/>
      <c r="K106" s="408"/>
      <c r="L106" s="408"/>
      <c r="M106" s="406"/>
      <c r="N106" s="409"/>
    </row>
    <row r="107" spans="1:200" ht="12.75" customHeight="1" x14ac:dyDescent="0.2">
      <c r="B107" s="364"/>
      <c r="C107" s="403"/>
      <c r="D107" s="369"/>
      <c r="E107" s="371"/>
      <c r="F107" s="371"/>
      <c r="G107" s="371"/>
      <c r="H107" s="371"/>
      <c r="I107" s="373"/>
      <c r="N107" s="372"/>
    </row>
    <row r="108" spans="1:200" ht="12.75" customHeight="1" x14ac:dyDescent="0.2">
      <c r="A108" s="410"/>
      <c r="B108" s="364"/>
      <c r="C108" s="403"/>
      <c r="D108" s="369"/>
      <c r="E108" s="371"/>
      <c r="F108" s="371"/>
      <c r="G108" s="371"/>
      <c r="H108" s="371"/>
      <c r="I108" s="373"/>
      <c r="N108" s="372"/>
    </row>
    <row r="109" spans="1:200" ht="12.75" customHeight="1" x14ac:dyDescent="0.2">
      <c r="A109" s="410"/>
      <c r="B109" s="364"/>
      <c r="C109" s="403"/>
      <c r="D109" s="369"/>
      <c r="E109" s="371"/>
      <c r="F109" s="371"/>
      <c r="G109" s="371"/>
      <c r="H109" s="371"/>
      <c r="I109" s="373"/>
      <c r="N109" s="372"/>
    </row>
    <row r="110" spans="1:200" ht="12.75" customHeight="1" x14ac:dyDescent="0.2">
      <c r="A110" s="300"/>
      <c r="B110" s="364"/>
      <c r="C110" s="403"/>
      <c r="D110" s="369"/>
      <c r="E110" s="371"/>
      <c r="F110" s="371"/>
      <c r="G110" s="371"/>
      <c r="H110" s="371"/>
      <c r="I110" s="373"/>
      <c r="N110" s="372"/>
    </row>
    <row r="111" spans="1:200" ht="12.75" customHeight="1" x14ac:dyDescent="0.2">
      <c r="A111" s="300"/>
      <c r="B111" s="364"/>
      <c r="C111" s="403"/>
      <c r="D111" s="369"/>
      <c r="E111" s="371"/>
      <c r="F111" s="371"/>
      <c r="G111" s="371"/>
      <c r="H111" s="371"/>
      <c r="I111" s="373"/>
      <c r="N111" s="372"/>
    </row>
    <row r="112" spans="1:200" s="364" customFormat="1" ht="12.75" customHeight="1" x14ac:dyDescent="0.2">
      <c r="A112" s="300"/>
      <c r="C112" s="403"/>
      <c r="D112" s="369"/>
      <c r="E112" s="371"/>
      <c r="F112" s="371"/>
      <c r="G112" s="371"/>
      <c r="H112" s="371"/>
      <c r="I112" s="373"/>
      <c r="J112"/>
      <c r="K112" s="371"/>
      <c r="L112" s="371"/>
      <c r="M112" s="371"/>
      <c r="N112" s="372"/>
      <c r="O112" s="305"/>
      <c r="P112" s="305"/>
      <c r="Q112" s="305"/>
      <c r="R112" s="305"/>
      <c r="S112" s="305"/>
      <c r="T112" s="305"/>
      <c r="U112" s="305"/>
      <c r="V112" s="305"/>
      <c r="W112" s="305"/>
      <c r="X112" s="305"/>
      <c r="Y112" s="305"/>
      <c r="Z112" s="305"/>
      <c r="AA112" s="305"/>
      <c r="AB112" s="305"/>
      <c r="AC112" s="305"/>
      <c r="AD112" s="305"/>
      <c r="AE112" s="305"/>
      <c r="AF112" s="305"/>
      <c r="AG112" s="305"/>
      <c r="AH112" s="305"/>
      <c r="AI112" s="305"/>
      <c r="AJ112" s="305"/>
      <c r="AK112" s="305"/>
      <c r="AL112" s="305"/>
      <c r="AM112" s="305"/>
      <c r="AN112" s="305"/>
      <c r="AO112" s="305"/>
      <c r="AP112" s="305"/>
      <c r="AQ112" s="305"/>
      <c r="AR112" s="305"/>
      <c r="AS112" s="305"/>
      <c r="AT112" s="305"/>
      <c r="AU112" s="305"/>
      <c r="AV112" s="305"/>
      <c r="AW112" s="305"/>
      <c r="AX112" s="305"/>
      <c r="AY112" s="305"/>
      <c r="AZ112" s="305"/>
      <c r="BA112" s="305"/>
      <c r="BB112" s="305"/>
      <c r="BC112" s="305"/>
      <c r="BD112" s="305"/>
      <c r="BE112" s="305"/>
      <c r="BF112" s="305"/>
      <c r="BG112" s="305"/>
      <c r="BH112" s="305"/>
      <c r="BI112" s="305"/>
      <c r="BJ112" s="305"/>
      <c r="BK112" s="305"/>
      <c r="BL112" s="305"/>
      <c r="BM112" s="305"/>
      <c r="BN112" s="305"/>
      <c r="BO112" s="305"/>
      <c r="BP112" s="305"/>
      <c r="BQ112" s="305"/>
      <c r="BR112" s="305"/>
      <c r="BS112" s="305"/>
      <c r="BT112" s="305"/>
      <c r="BU112" s="305"/>
      <c r="BV112" s="305"/>
      <c r="BW112" s="305"/>
      <c r="BX112" s="305"/>
      <c r="BY112" s="305"/>
      <c r="BZ112" s="305"/>
      <c r="CA112" s="305"/>
      <c r="CB112" s="305"/>
      <c r="CC112" s="305"/>
      <c r="CD112" s="305"/>
      <c r="CE112" s="305"/>
      <c r="CF112" s="305"/>
      <c r="CG112" s="305"/>
      <c r="CH112" s="305"/>
      <c r="CI112" s="305"/>
      <c r="CJ112" s="305"/>
      <c r="CK112" s="305"/>
      <c r="CL112" s="305"/>
      <c r="CM112" s="305"/>
      <c r="CN112" s="305"/>
      <c r="CO112" s="305"/>
      <c r="CP112" s="305"/>
      <c r="CQ112" s="305"/>
      <c r="CR112" s="305"/>
      <c r="CS112" s="305"/>
      <c r="CT112" s="305"/>
      <c r="CU112" s="305"/>
      <c r="CV112" s="305"/>
      <c r="CW112" s="305"/>
      <c r="CX112" s="305"/>
      <c r="CY112" s="305"/>
      <c r="CZ112" s="305"/>
      <c r="DA112" s="305"/>
      <c r="DB112" s="305"/>
      <c r="DC112" s="305"/>
      <c r="DD112" s="305"/>
      <c r="DE112" s="305"/>
      <c r="DF112" s="305"/>
      <c r="DG112" s="305"/>
      <c r="DH112" s="305"/>
      <c r="DI112" s="305"/>
      <c r="DJ112" s="305"/>
      <c r="DK112" s="305"/>
      <c r="DL112" s="305"/>
      <c r="DM112" s="305"/>
      <c r="DN112" s="305"/>
      <c r="DO112" s="305"/>
      <c r="DP112" s="305"/>
      <c r="DQ112" s="305"/>
      <c r="DR112" s="305"/>
      <c r="DS112" s="305"/>
      <c r="DT112" s="305"/>
      <c r="DU112" s="305"/>
      <c r="DV112" s="305"/>
      <c r="DW112" s="305"/>
      <c r="DX112" s="305"/>
      <c r="DY112" s="305"/>
      <c r="DZ112" s="305"/>
      <c r="EA112" s="305"/>
      <c r="EB112" s="305"/>
      <c r="EC112" s="305"/>
      <c r="ED112" s="305"/>
      <c r="EE112" s="305"/>
      <c r="EF112" s="305"/>
      <c r="EG112" s="305"/>
      <c r="EH112" s="305"/>
      <c r="EI112" s="305"/>
      <c r="EJ112" s="305"/>
      <c r="EK112" s="305"/>
      <c r="EL112" s="305"/>
      <c r="EM112" s="305"/>
      <c r="EN112" s="305"/>
      <c r="EO112" s="305"/>
      <c r="EP112" s="305"/>
      <c r="EQ112" s="305"/>
      <c r="ER112" s="305"/>
      <c r="ES112" s="305"/>
      <c r="ET112" s="305"/>
      <c r="EU112" s="305"/>
      <c r="EV112" s="305"/>
      <c r="EW112" s="305"/>
      <c r="EX112" s="305"/>
      <c r="EY112" s="305"/>
      <c r="EZ112" s="305"/>
      <c r="FA112" s="305"/>
      <c r="FB112" s="305"/>
      <c r="FC112" s="305"/>
      <c r="FD112" s="305"/>
      <c r="FE112" s="305"/>
      <c r="FF112" s="305"/>
      <c r="FG112" s="305"/>
      <c r="FH112" s="305"/>
      <c r="FI112" s="305"/>
      <c r="FJ112" s="305"/>
      <c r="FK112" s="305"/>
      <c r="FL112" s="305"/>
      <c r="FM112" s="305"/>
      <c r="FN112" s="305"/>
      <c r="FO112" s="305"/>
      <c r="FP112" s="305"/>
      <c r="FQ112" s="305"/>
      <c r="FR112" s="305"/>
      <c r="FS112" s="305"/>
      <c r="FT112" s="305"/>
      <c r="FU112" s="305"/>
      <c r="FV112" s="305"/>
      <c r="FW112" s="305"/>
      <c r="FX112" s="305"/>
      <c r="FY112" s="305"/>
      <c r="FZ112" s="305"/>
      <c r="GA112" s="305"/>
      <c r="GB112" s="305"/>
      <c r="GC112" s="305"/>
      <c r="GD112" s="305"/>
      <c r="GE112" s="305"/>
      <c r="GF112" s="305"/>
      <c r="GG112" s="305"/>
      <c r="GH112" s="305"/>
      <c r="GI112" s="305"/>
      <c r="GJ112" s="305"/>
      <c r="GK112" s="305"/>
      <c r="GL112" s="305"/>
      <c r="GM112" s="305"/>
      <c r="GN112" s="305"/>
      <c r="GO112" s="305"/>
      <c r="GP112" s="305"/>
      <c r="GQ112" s="305"/>
      <c r="GR112" s="305"/>
    </row>
    <row r="113" spans="1:200" s="364" customFormat="1" ht="12.75" customHeight="1" x14ac:dyDescent="0.2">
      <c r="A113" s="300"/>
      <c r="B113" s="411"/>
      <c r="C113" s="403"/>
      <c r="D113" s="369"/>
      <c r="E113" s="371"/>
      <c r="F113" s="371"/>
      <c r="G113" s="371"/>
      <c r="H113" s="371"/>
      <c r="I113" s="373"/>
      <c r="J113"/>
      <c r="K113" s="371"/>
      <c r="L113" s="371"/>
      <c r="M113" s="371"/>
      <c r="N113" s="372"/>
      <c r="O113" s="305"/>
      <c r="P113" s="305"/>
      <c r="Q113" s="305"/>
      <c r="R113" s="305"/>
      <c r="S113" s="305"/>
      <c r="T113" s="305"/>
      <c r="U113" s="305"/>
      <c r="V113" s="305"/>
      <c r="W113" s="305"/>
      <c r="X113" s="305"/>
      <c r="Y113" s="305"/>
      <c r="Z113" s="305"/>
      <c r="AA113" s="305"/>
      <c r="AB113" s="305"/>
      <c r="AC113" s="305"/>
      <c r="AD113" s="305"/>
      <c r="AE113" s="305"/>
      <c r="AF113" s="305"/>
      <c r="AG113" s="305"/>
      <c r="AH113" s="305"/>
      <c r="AI113" s="305"/>
      <c r="AJ113" s="305"/>
      <c r="AK113" s="305"/>
      <c r="AL113" s="305"/>
      <c r="AM113" s="305"/>
      <c r="AN113" s="305"/>
      <c r="AO113" s="305"/>
      <c r="AP113" s="305"/>
      <c r="AQ113" s="305"/>
      <c r="AR113" s="305"/>
      <c r="AS113" s="305"/>
      <c r="AT113" s="305"/>
      <c r="AU113" s="305"/>
      <c r="AV113" s="305"/>
      <c r="AW113" s="305"/>
      <c r="AX113" s="305"/>
      <c r="AY113" s="305"/>
      <c r="AZ113" s="305"/>
      <c r="BA113" s="305"/>
      <c r="BB113" s="305"/>
      <c r="BC113" s="305"/>
      <c r="BD113" s="305"/>
      <c r="BE113" s="305"/>
      <c r="BF113" s="305"/>
      <c r="BG113" s="305"/>
      <c r="BH113" s="305"/>
      <c r="BI113" s="305"/>
      <c r="BJ113" s="305"/>
      <c r="BK113" s="305"/>
      <c r="BL113" s="305"/>
      <c r="BM113" s="305"/>
      <c r="BN113" s="305"/>
      <c r="BO113" s="305"/>
      <c r="BP113" s="305"/>
      <c r="BQ113" s="305"/>
      <c r="BR113" s="305"/>
      <c r="BS113" s="305"/>
      <c r="BT113" s="305"/>
      <c r="BU113" s="305"/>
      <c r="BV113" s="305"/>
      <c r="BW113" s="305"/>
      <c r="BX113" s="305"/>
      <c r="BY113" s="305"/>
      <c r="BZ113" s="305"/>
      <c r="CA113" s="305"/>
      <c r="CB113" s="305"/>
      <c r="CC113" s="305"/>
      <c r="CD113" s="305"/>
      <c r="CE113" s="305"/>
      <c r="CF113" s="305"/>
      <c r="CG113" s="305"/>
      <c r="CH113" s="305"/>
      <c r="CI113" s="305"/>
      <c r="CJ113" s="305"/>
      <c r="CK113" s="305"/>
      <c r="CL113" s="305"/>
      <c r="CM113" s="305"/>
      <c r="CN113" s="305"/>
      <c r="CO113" s="305"/>
      <c r="CP113" s="305"/>
      <c r="CQ113" s="305"/>
      <c r="CR113" s="305"/>
      <c r="CS113" s="305"/>
      <c r="CT113" s="305"/>
      <c r="CU113" s="305"/>
      <c r="CV113" s="305"/>
      <c r="CW113" s="305"/>
      <c r="CX113" s="305"/>
      <c r="CY113" s="305"/>
      <c r="CZ113" s="305"/>
      <c r="DA113" s="305"/>
      <c r="DB113" s="305"/>
      <c r="DC113" s="305"/>
      <c r="DD113" s="305"/>
      <c r="DE113" s="305"/>
      <c r="DF113" s="305"/>
      <c r="DG113" s="305"/>
      <c r="DH113" s="305"/>
      <c r="DI113" s="305"/>
      <c r="DJ113" s="305"/>
      <c r="DK113" s="305"/>
      <c r="DL113" s="305"/>
      <c r="DM113" s="305"/>
      <c r="DN113" s="305"/>
      <c r="DO113" s="305"/>
      <c r="DP113" s="305"/>
      <c r="DQ113" s="305"/>
      <c r="DR113" s="305"/>
      <c r="DS113" s="305"/>
      <c r="DT113" s="305"/>
      <c r="DU113" s="305"/>
      <c r="DV113" s="305"/>
      <c r="DW113" s="305"/>
      <c r="DX113" s="305"/>
      <c r="DY113" s="305"/>
      <c r="DZ113" s="305"/>
      <c r="EA113" s="305"/>
      <c r="EB113" s="305"/>
      <c r="EC113" s="305"/>
      <c r="ED113" s="305"/>
      <c r="EE113" s="305"/>
      <c r="EF113" s="305"/>
      <c r="EG113" s="305"/>
      <c r="EH113" s="305"/>
      <c r="EI113" s="305"/>
      <c r="EJ113" s="305"/>
      <c r="EK113" s="305"/>
      <c r="EL113" s="305"/>
      <c r="EM113" s="305"/>
      <c r="EN113" s="305"/>
      <c r="EO113" s="305"/>
      <c r="EP113" s="305"/>
      <c r="EQ113" s="305"/>
      <c r="ER113" s="305"/>
      <c r="ES113" s="305"/>
      <c r="ET113" s="305"/>
      <c r="EU113" s="305"/>
      <c r="EV113" s="305"/>
      <c r="EW113" s="305"/>
      <c r="EX113" s="305"/>
      <c r="EY113" s="305"/>
      <c r="EZ113" s="305"/>
      <c r="FA113" s="305"/>
      <c r="FB113" s="305"/>
      <c r="FC113" s="305"/>
      <c r="FD113" s="305"/>
      <c r="FE113" s="305"/>
      <c r="FF113" s="305"/>
      <c r="FG113" s="305"/>
      <c r="FH113" s="305"/>
      <c r="FI113" s="305"/>
      <c r="FJ113" s="305"/>
      <c r="FK113" s="305"/>
      <c r="FL113" s="305"/>
      <c r="FM113" s="305"/>
      <c r="FN113" s="305"/>
      <c r="FO113" s="305"/>
      <c r="FP113" s="305"/>
      <c r="FQ113" s="305"/>
      <c r="FR113" s="305"/>
      <c r="FS113" s="305"/>
      <c r="FT113" s="305"/>
      <c r="FU113" s="305"/>
      <c r="FV113" s="305"/>
      <c r="FW113" s="305"/>
      <c r="FX113" s="305"/>
      <c r="FY113" s="305"/>
      <c r="FZ113" s="305"/>
      <c r="GA113" s="305"/>
      <c r="GB113" s="305"/>
      <c r="GC113" s="305"/>
      <c r="GD113" s="305"/>
      <c r="GE113" s="305"/>
      <c r="GF113" s="305"/>
      <c r="GG113" s="305"/>
      <c r="GH113" s="305"/>
      <c r="GI113" s="305"/>
      <c r="GJ113" s="305"/>
      <c r="GK113" s="305"/>
      <c r="GL113" s="305"/>
      <c r="GM113" s="305"/>
      <c r="GN113" s="305"/>
      <c r="GO113" s="305"/>
      <c r="GP113" s="305"/>
      <c r="GQ113" s="305"/>
      <c r="GR113" s="305"/>
    </row>
    <row r="114" spans="1:200" s="364" customFormat="1" ht="12.75" customHeight="1" x14ac:dyDescent="0.2">
      <c r="A114" s="318"/>
      <c r="C114" s="403"/>
      <c r="D114" s="369"/>
      <c r="E114" s="371"/>
      <c r="F114" s="371"/>
      <c r="G114" s="371"/>
      <c r="H114" s="371"/>
      <c r="I114" s="373"/>
      <c r="K114" s="371"/>
      <c r="L114" s="371"/>
      <c r="M114" s="371"/>
      <c r="N114" s="372"/>
      <c r="O114" s="305"/>
      <c r="P114" s="305"/>
      <c r="Q114" s="305"/>
      <c r="R114" s="305"/>
      <c r="S114" s="305"/>
      <c r="T114" s="305"/>
      <c r="U114" s="305"/>
      <c r="V114" s="305"/>
      <c r="W114" s="305"/>
      <c r="X114" s="305"/>
      <c r="Y114" s="305"/>
      <c r="Z114" s="305"/>
      <c r="AA114" s="305"/>
      <c r="AB114" s="305"/>
      <c r="AC114" s="305"/>
      <c r="AD114" s="305"/>
      <c r="AE114" s="305"/>
      <c r="AF114" s="305"/>
      <c r="AG114" s="305"/>
      <c r="AH114" s="305"/>
      <c r="AI114" s="305"/>
      <c r="AJ114" s="305"/>
      <c r="AK114" s="305"/>
      <c r="AL114" s="305"/>
      <c r="AM114" s="305"/>
      <c r="AN114" s="305"/>
      <c r="AO114" s="305"/>
      <c r="AP114" s="305"/>
      <c r="AQ114" s="305"/>
      <c r="AR114" s="305"/>
      <c r="AS114" s="305"/>
      <c r="AT114" s="305"/>
      <c r="AU114" s="305"/>
      <c r="AV114" s="305"/>
      <c r="AW114" s="305"/>
      <c r="AX114" s="305"/>
      <c r="AY114" s="305"/>
      <c r="AZ114" s="305"/>
      <c r="BA114" s="305"/>
      <c r="BB114" s="305"/>
      <c r="BC114" s="305"/>
      <c r="BD114" s="305"/>
      <c r="BE114" s="305"/>
      <c r="BF114" s="305"/>
      <c r="BG114" s="305"/>
      <c r="BH114" s="305"/>
      <c r="BI114" s="305"/>
      <c r="BJ114" s="305"/>
      <c r="BK114" s="305"/>
      <c r="BL114" s="305"/>
      <c r="BM114" s="305"/>
      <c r="BN114" s="305"/>
      <c r="BO114" s="305"/>
      <c r="BP114" s="305"/>
      <c r="BQ114" s="305"/>
      <c r="BR114" s="305"/>
      <c r="BS114" s="305"/>
      <c r="BT114" s="305"/>
      <c r="BU114" s="305"/>
      <c r="BV114" s="305"/>
      <c r="BW114" s="305"/>
      <c r="BX114" s="305"/>
      <c r="BY114" s="305"/>
      <c r="BZ114" s="305"/>
      <c r="CA114" s="305"/>
      <c r="CB114" s="305"/>
      <c r="CC114" s="305"/>
      <c r="CD114" s="305"/>
      <c r="CE114" s="305"/>
      <c r="CF114" s="305"/>
      <c r="CG114" s="305"/>
      <c r="CH114" s="305"/>
      <c r="CI114" s="305"/>
      <c r="CJ114" s="305"/>
      <c r="CK114" s="305"/>
      <c r="CL114" s="305"/>
      <c r="CM114" s="305"/>
      <c r="CN114" s="305"/>
      <c r="CO114" s="305"/>
      <c r="CP114" s="305"/>
      <c r="CQ114" s="305"/>
      <c r="CR114" s="305"/>
      <c r="CS114" s="305"/>
      <c r="CT114" s="305"/>
      <c r="CU114" s="305"/>
      <c r="CV114" s="305"/>
      <c r="CW114" s="305"/>
      <c r="CX114" s="305"/>
      <c r="CY114" s="305"/>
      <c r="CZ114" s="305"/>
      <c r="DA114" s="305"/>
      <c r="DB114" s="305"/>
      <c r="DC114" s="305"/>
      <c r="DD114" s="305"/>
      <c r="DE114" s="305"/>
      <c r="DF114" s="305"/>
      <c r="DG114" s="305"/>
      <c r="DH114" s="305"/>
      <c r="DI114" s="305"/>
      <c r="DJ114" s="305"/>
      <c r="DK114" s="305"/>
      <c r="DL114" s="305"/>
      <c r="DM114" s="305"/>
      <c r="DN114" s="305"/>
      <c r="DO114" s="305"/>
      <c r="DP114" s="305"/>
      <c r="DQ114" s="305"/>
      <c r="DR114" s="305"/>
      <c r="DS114" s="305"/>
      <c r="DT114" s="305"/>
      <c r="DU114" s="305"/>
      <c r="DV114" s="305"/>
      <c r="DW114" s="305"/>
      <c r="DX114" s="305"/>
      <c r="DY114" s="305"/>
      <c r="DZ114" s="305"/>
      <c r="EA114" s="305"/>
      <c r="EB114" s="305"/>
      <c r="EC114" s="305"/>
      <c r="ED114" s="305"/>
      <c r="EE114" s="305"/>
      <c r="EF114" s="305"/>
      <c r="EG114" s="305"/>
      <c r="EH114" s="305"/>
      <c r="EI114" s="305"/>
      <c r="EJ114" s="305"/>
      <c r="EK114" s="305"/>
      <c r="EL114" s="305"/>
      <c r="EM114" s="305"/>
      <c r="EN114" s="305"/>
      <c r="EO114" s="305"/>
      <c r="EP114" s="305"/>
      <c r="EQ114" s="305"/>
      <c r="ER114" s="305"/>
      <c r="ES114" s="305"/>
      <c r="ET114" s="305"/>
      <c r="EU114" s="305"/>
      <c r="EV114" s="305"/>
      <c r="EW114" s="305"/>
      <c r="EX114" s="305"/>
      <c r="EY114" s="305"/>
      <c r="EZ114" s="305"/>
      <c r="FA114" s="305"/>
      <c r="FB114" s="305"/>
      <c r="FC114" s="305"/>
      <c r="FD114" s="305"/>
      <c r="FE114" s="305"/>
      <c r="FF114" s="305"/>
      <c r="FG114" s="305"/>
      <c r="FH114" s="305"/>
      <c r="FI114" s="305"/>
      <c r="FJ114" s="305"/>
      <c r="FK114" s="305"/>
      <c r="FL114" s="305"/>
      <c r="FM114" s="305"/>
      <c r="FN114" s="305"/>
      <c r="FO114" s="305"/>
      <c r="FP114" s="305"/>
      <c r="FQ114" s="305"/>
      <c r="FR114" s="305"/>
      <c r="FS114" s="305"/>
      <c r="FT114" s="305"/>
      <c r="FU114" s="305"/>
      <c r="FV114" s="305"/>
      <c r="FW114" s="305"/>
      <c r="FX114" s="305"/>
      <c r="FY114" s="305"/>
      <c r="FZ114" s="305"/>
      <c r="GA114" s="305"/>
      <c r="GB114" s="305"/>
      <c r="GC114" s="305"/>
      <c r="GD114" s="305"/>
      <c r="GE114" s="305"/>
      <c r="GF114" s="305"/>
      <c r="GG114" s="305"/>
      <c r="GH114" s="305"/>
      <c r="GI114" s="305"/>
      <c r="GJ114" s="305"/>
      <c r="GK114" s="305"/>
      <c r="GL114" s="305"/>
      <c r="GM114" s="305"/>
      <c r="GN114" s="305"/>
      <c r="GO114" s="305"/>
      <c r="GP114" s="305"/>
      <c r="GQ114" s="305"/>
      <c r="GR114" s="305"/>
    </row>
    <row r="115" spans="1:200" s="364" customFormat="1" ht="12.75" customHeight="1" x14ac:dyDescent="0.2">
      <c r="A115" s="412"/>
      <c r="C115" s="403"/>
      <c r="D115" s="369"/>
      <c r="E115" s="371"/>
      <c r="F115" s="371"/>
      <c r="G115" s="371"/>
      <c r="H115" s="371"/>
      <c r="I115" s="373"/>
      <c r="K115" s="371"/>
      <c r="L115" s="371"/>
      <c r="M115" s="371"/>
      <c r="N115" s="372"/>
      <c r="O115" s="305"/>
      <c r="P115" s="305"/>
      <c r="Q115" s="305"/>
      <c r="R115" s="305"/>
      <c r="S115" s="305"/>
      <c r="T115" s="305"/>
      <c r="U115" s="305"/>
      <c r="V115" s="305"/>
      <c r="W115" s="305"/>
      <c r="X115" s="305"/>
      <c r="Y115" s="305"/>
      <c r="Z115" s="305"/>
      <c r="AA115" s="305"/>
      <c r="AB115" s="305"/>
      <c r="AC115" s="305"/>
      <c r="AD115" s="305"/>
      <c r="AE115" s="305"/>
      <c r="AF115" s="305"/>
      <c r="AG115" s="305"/>
      <c r="AH115" s="305"/>
      <c r="AI115" s="305"/>
      <c r="AJ115" s="305"/>
      <c r="AK115" s="305"/>
      <c r="AL115" s="305"/>
      <c r="AM115" s="305"/>
      <c r="AN115" s="305"/>
      <c r="AO115" s="305"/>
      <c r="AP115" s="305"/>
      <c r="AQ115" s="305"/>
      <c r="AR115" s="305"/>
      <c r="AS115" s="305"/>
      <c r="AT115" s="305"/>
      <c r="AU115" s="305"/>
      <c r="AV115" s="305"/>
      <c r="AW115" s="305"/>
      <c r="AX115" s="305"/>
      <c r="AY115" s="305"/>
      <c r="AZ115" s="305"/>
      <c r="BA115" s="305"/>
      <c r="BB115" s="305"/>
      <c r="BC115" s="305"/>
      <c r="BD115" s="305"/>
      <c r="BE115" s="305"/>
      <c r="BF115" s="305"/>
      <c r="BG115" s="305"/>
      <c r="BH115" s="305"/>
      <c r="BI115" s="305"/>
      <c r="BJ115" s="305"/>
      <c r="BK115" s="305"/>
      <c r="BL115" s="305"/>
      <c r="BM115" s="305"/>
      <c r="BN115" s="305"/>
      <c r="BO115" s="305"/>
      <c r="BP115" s="305"/>
      <c r="BQ115" s="305"/>
      <c r="BR115" s="305"/>
      <c r="BS115" s="305"/>
      <c r="BT115" s="305"/>
      <c r="BU115" s="305"/>
      <c r="BV115" s="305"/>
      <c r="BW115" s="305"/>
      <c r="BX115" s="305"/>
      <c r="BY115" s="305"/>
      <c r="BZ115" s="305"/>
      <c r="CA115" s="305"/>
      <c r="CB115" s="305"/>
      <c r="CC115" s="305"/>
      <c r="CD115" s="305"/>
      <c r="CE115" s="305"/>
      <c r="CF115" s="305"/>
      <c r="CG115" s="305"/>
      <c r="CH115" s="305"/>
      <c r="CI115" s="305"/>
      <c r="CJ115" s="305"/>
      <c r="CK115" s="305"/>
      <c r="CL115" s="305"/>
      <c r="CM115" s="305"/>
      <c r="CN115" s="305"/>
      <c r="CO115" s="305"/>
      <c r="CP115" s="305"/>
      <c r="CQ115" s="305"/>
      <c r="CR115" s="305"/>
      <c r="CS115" s="305"/>
      <c r="CT115" s="305"/>
      <c r="CU115" s="305"/>
      <c r="CV115" s="305"/>
      <c r="CW115" s="305"/>
      <c r="CX115" s="305"/>
      <c r="CY115" s="305"/>
      <c r="CZ115" s="305"/>
      <c r="DA115" s="305"/>
      <c r="DB115" s="305"/>
      <c r="DC115" s="305"/>
      <c r="DD115" s="305"/>
      <c r="DE115" s="305"/>
      <c r="DF115" s="305"/>
      <c r="DG115" s="305"/>
      <c r="DH115" s="305"/>
      <c r="DI115" s="305"/>
      <c r="DJ115" s="305"/>
      <c r="DK115" s="305"/>
      <c r="DL115" s="305"/>
      <c r="DM115" s="305"/>
      <c r="DN115" s="305"/>
      <c r="DO115" s="305"/>
      <c r="DP115" s="305"/>
      <c r="DQ115" s="305"/>
      <c r="DR115" s="305"/>
      <c r="DS115" s="305"/>
      <c r="DT115" s="305"/>
      <c r="DU115" s="305"/>
      <c r="DV115" s="305"/>
      <c r="DW115" s="305"/>
      <c r="DX115" s="305"/>
      <c r="DY115" s="305"/>
      <c r="DZ115" s="305"/>
      <c r="EA115" s="305"/>
      <c r="EB115" s="305"/>
      <c r="EC115" s="305"/>
      <c r="ED115" s="305"/>
      <c r="EE115" s="305"/>
      <c r="EF115" s="305"/>
      <c r="EG115" s="305"/>
      <c r="EH115" s="305"/>
      <c r="EI115" s="305"/>
      <c r="EJ115" s="305"/>
      <c r="EK115" s="305"/>
      <c r="EL115" s="305"/>
      <c r="EM115" s="305"/>
      <c r="EN115" s="305"/>
      <c r="EO115" s="305"/>
      <c r="EP115" s="305"/>
      <c r="EQ115" s="305"/>
      <c r="ER115" s="305"/>
      <c r="ES115" s="305"/>
      <c r="ET115" s="305"/>
      <c r="EU115" s="305"/>
      <c r="EV115" s="305"/>
      <c r="EW115" s="305"/>
      <c r="EX115" s="305"/>
      <c r="EY115" s="305"/>
      <c r="EZ115" s="305"/>
      <c r="FA115" s="305"/>
      <c r="FB115" s="305"/>
      <c r="FC115" s="305"/>
      <c r="FD115" s="305"/>
      <c r="FE115" s="305"/>
      <c r="FF115" s="305"/>
      <c r="FG115" s="305"/>
      <c r="FH115" s="305"/>
      <c r="FI115" s="305"/>
      <c r="FJ115" s="305"/>
      <c r="FK115" s="305"/>
      <c r="FL115" s="305"/>
      <c r="FM115" s="305"/>
      <c r="FN115" s="305"/>
      <c r="FO115" s="305"/>
      <c r="FP115" s="305"/>
      <c r="FQ115" s="305"/>
      <c r="FR115" s="305"/>
      <c r="FS115" s="305"/>
      <c r="FT115" s="305"/>
      <c r="FU115" s="305"/>
      <c r="FV115" s="305"/>
      <c r="FW115" s="305"/>
      <c r="FX115" s="305"/>
      <c r="FY115" s="305"/>
      <c r="FZ115" s="305"/>
      <c r="GA115" s="305"/>
      <c r="GB115" s="305"/>
      <c r="GC115" s="305"/>
      <c r="GD115" s="305"/>
      <c r="GE115" s="305"/>
      <c r="GF115" s="305"/>
      <c r="GG115" s="305"/>
      <c r="GH115" s="305"/>
      <c r="GI115" s="305"/>
      <c r="GJ115" s="305"/>
      <c r="GK115" s="305"/>
      <c r="GL115" s="305"/>
      <c r="GM115" s="305"/>
      <c r="GN115" s="305"/>
      <c r="GO115" s="305"/>
      <c r="GP115" s="305"/>
      <c r="GQ115" s="305"/>
      <c r="GR115" s="305"/>
    </row>
    <row r="116" spans="1:200" s="364" customFormat="1" ht="12.75" customHeight="1" x14ac:dyDescent="0.2">
      <c r="A116" s="412"/>
      <c r="B116" s="412"/>
      <c r="C116" s="367"/>
      <c r="D116" s="403"/>
      <c r="E116" s="369"/>
      <c r="F116" s="369"/>
      <c r="G116" s="369"/>
      <c r="H116" s="369"/>
      <c r="I116" s="370"/>
      <c r="K116" s="371"/>
      <c r="L116" s="371"/>
      <c r="M116" s="371"/>
      <c r="N116" s="371"/>
      <c r="O116" s="305"/>
      <c r="P116" s="305"/>
      <c r="Q116" s="305"/>
      <c r="R116" s="305"/>
      <c r="S116" s="305"/>
      <c r="T116" s="305"/>
      <c r="U116" s="305"/>
      <c r="V116" s="305"/>
      <c r="W116" s="305"/>
      <c r="X116" s="305"/>
      <c r="Y116" s="305"/>
      <c r="Z116" s="305"/>
      <c r="AA116" s="305"/>
      <c r="AB116" s="305"/>
      <c r="AC116" s="305"/>
      <c r="AD116" s="305"/>
      <c r="AE116" s="305"/>
      <c r="AF116" s="305"/>
      <c r="AG116" s="305"/>
      <c r="AH116" s="305"/>
      <c r="AI116" s="305"/>
      <c r="AJ116" s="305"/>
      <c r="AK116" s="305"/>
      <c r="AL116" s="305"/>
      <c r="AM116" s="305"/>
      <c r="AN116" s="305"/>
      <c r="AO116" s="305"/>
      <c r="AP116" s="305"/>
      <c r="AQ116" s="305"/>
      <c r="AR116" s="305"/>
      <c r="AS116" s="305"/>
      <c r="AT116" s="305"/>
      <c r="AU116" s="305"/>
      <c r="AV116" s="305"/>
      <c r="AW116" s="305"/>
      <c r="AX116" s="305"/>
      <c r="AY116" s="305"/>
      <c r="AZ116" s="305"/>
      <c r="BA116" s="305"/>
      <c r="BB116" s="305"/>
      <c r="BC116" s="305"/>
      <c r="BD116" s="305"/>
      <c r="BE116" s="305"/>
      <c r="BF116" s="305"/>
      <c r="BG116" s="305"/>
      <c r="BH116" s="305"/>
      <c r="BI116" s="305"/>
      <c r="BJ116" s="305"/>
      <c r="BK116" s="305"/>
      <c r="BL116" s="305"/>
      <c r="BM116" s="305"/>
      <c r="BN116" s="305"/>
      <c r="BO116" s="305"/>
      <c r="BP116" s="305"/>
      <c r="BQ116" s="305"/>
      <c r="BR116" s="305"/>
      <c r="BS116" s="305"/>
      <c r="BT116" s="305"/>
      <c r="BU116" s="305"/>
      <c r="BV116" s="305"/>
      <c r="BW116" s="305"/>
      <c r="BX116" s="305"/>
      <c r="BY116" s="305"/>
      <c r="BZ116" s="305"/>
      <c r="CA116" s="305"/>
      <c r="CB116" s="305"/>
      <c r="CC116" s="305"/>
      <c r="CD116" s="305"/>
      <c r="CE116" s="305"/>
      <c r="CF116" s="305"/>
      <c r="CG116" s="305"/>
      <c r="CH116" s="305"/>
      <c r="CI116" s="305"/>
      <c r="CJ116" s="305"/>
      <c r="CK116" s="305"/>
      <c r="CL116" s="305"/>
      <c r="CM116" s="305"/>
      <c r="CN116" s="305"/>
      <c r="CO116" s="305"/>
      <c r="CP116" s="305"/>
      <c r="CQ116" s="305"/>
      <c r="CR116" s="305"/>
      <c r="CS116" s="305"/>
      <c r="CT116" s="305"/>
      <c r="CU116" s="305"/>
      <c r="CV116" s="305"/>
      <c r="CW116" s="305"/>
      <c r="CX116" s="305"/>
      <c r="CY116" s="305"/>
      <c r="CZ116" s="305"/>
      <c r="DA116" s="305"/>
      <c r="DB116" s="305"/>
      <c r="DC116" s="305"/>
      <c r="DD116" s="305"/>
      <c r="DE116" s="305"/>
      <c r="DF116" s="305"/>
      <c r="DG116" s="305"/>
      <c r="DH116" s="305"/>
      <c r="DI116" s="305"/>
      <c r="DJ116" s="305"/>
      <c r="DK116" s="305"/>
      <c r="DL116" s="305"/>
      <c r="DM116" s="305"/>
      <c r="DN116" s="305"/>
      <c r="DO116" s="305"/>
      <c r="DP116" s="305"/>
      <c r="DQ116" s="305"/>
      <c r="DR116" s="305"/>
      <c r="DS116" s="305"/>
      <c r="DT116" s="305"/>
      <c r="DU116" s="305"/>
      <c r="DV116" s="305"/>
      <c r="DW116" s="305"/>
      <c r="DX116" s="305"/>
      <c r="DY116" s="305"/>
      <c r="DZ116" s="305"/>
      <c r="EA116" s="305"/>
      <c r="EB116" s="305"/>
      <c r="EC116" s="305"/>
      <c r="ED116" s="305"/>
      <c r="EE116" s="305"/>
      <c r="EF116" s="305"/>
      <c r="EG116" s="305"/>
      <c r="EH116" s="305"/>
      <c r="EI116" s="305"/>
      <c r="EJ116" s="305"/>
      <c r="EK116" s="305"/>
      <c r="EL116" s="305"/>
      <c r="EM116" s="305"/>
      <c r="EN116" s="305"/>
      <c r="EO116" s="305"/>
      <c r="EP116" s="305"/>
      <c r="EQ116" s="305"/>
      <c r="ER116" s="305"/>
      <c r="ES116" s="305"/>
      <c r="ET116" s="305"/>
      <c r="EU116" s="305"/>
      <c r="EV116" s="305"/>
      <c r="EW116" s="305"/>
      <c r="EX116" s="305"/>
      <c r="EY116" s="305"/>
      <c r="EZ116" s="305"/>
      <c r="FA116" s="305"/>
      <c r="FB116" s="305"/>
      <c r="FC116" s="305"/>
      <c r="FD116" s="305"/>
      <c r="FE116" s="305"/>
      <c r="FF116" s="305"/>
      <c r="FG116" s="305"/>
      <c r="FH116" s="305"/>
      <c r="FI116" s="305"/>
      <c r="FJ116" s="305"/>
      <c r="FK116" s="305"/>
      <c r="FL116" s="305"/>
      <c r="FM116" s="305"/>
      <c r="FN116" s="305"/>
      <c r="FO116" s="305"/>
      <c r="FP116" s="305"/>
      <c r="FQ116" s="305"/>
      <c r="FR116" s="305"/>
      <c r="FS116" s="305"/>
      <c r="FT116" s="305"/>
      <c r="FU116" s="305"/>
      <c r="FV116" s="305"/>
      <c r="FW116" s="305"/>
      <c r="FX116" s="305"/>
      <c r="FY116" s="305"/>
      <c r="FZ116" s="305"/>
      <c r="GA116" s="305"/>
      <c r="GB116" s="305"/>
      <c r="GC116" s="305"/>
      <c r="GD116" s="305"/>
      <c r="GE116" s="305"/>
      <c r="GF116" s="305"/>
      <c r="GG116" s="305"/>
      <c r="GH116" s="305"/>
      <c r="GI116" s="305"/>
      <c r="GJ116" s="305"/>
      <c r="GK116" s="305"/>
      <c r="GL116" s="305"/>
      <c r="GM116" s="305"/>
      <c r="GN116" s="305"/>
      <c r="GO116" s="305"/>
      <c r="GP116" s="305"/>
      <c r="GQ116" s="305"/>
      <c r="GR116" s="305"/>
    </row>
    <row r="117" spans="1:200" s="364" customFormat="1" ht="12.75" customHeight="1" x14ac:dyDescent="0.2">
      <c r="A117" s="412"/>
      <c r="B117" s="412"/>
      <c r="C117" s="367"/>
      <c r="D117" s="403"/>
      <c r="E117" s="369"/>
      <c r="F117" s="369"/>
      <c r="G117" s="369"/>
      <c r="H117" s="369"/>
      <c r="I117" s="370"/>
      <c r="K117" s="371"/>
      <c r="L117" s="371"/>
      <c r="M117" s="371"/>
      <c r="N117" s="371"/>
      <c r="O117" s="305"/>
      <c r="P117" s="305"/>
      <c r="Q117" s="305"/>
      <c r="R117" s="305"/>
      <c r="S117" s="305"/>
      <c r="T117" s="305"/>
      <c r="U117" s="305"/>
      <c r="V117" s="305"/>
      <c r="W117" s="305"/>
      <c r="X117" s="305"/>
      <c r="Y117" s="305"/>
      <c r="Z117" s="305"/>
      <c r="AA117" s="305"/>
      <c r="AB117" s="305"/>
      <c r="AC117" s="305"/>
      <c r="AD117" s="305"/>
      <c r="AE117" s="305"/>
      <c r="AF117" s="305"/>
      <c r="AG117" s="305"/>
      <c r="AH117" s="305"/>
      <c r="AI117" s="305"/>
      <c r="AJ117" s="305"/>
      <c r="AK117" s="305"/>
      <c r="AL117" s="305"/>
      <c r="AM117" s="305"/>
      <c r="AN117" s="305"/>
      <c r="AO117" s="305"/>
      <c r="AP117" s="305"/>
      <c r="AQ117" s="305"/>
      <c r="AR117" s="305"/>
      <c r="AS117" s="305"/>
      <c r="AT117" s="305"/>
      <c r="AU117" s="305"/>
      <c r="AV117" s="305"/>
      <c r="AW117" s="305"/>
      <c r="AX117" s="305"/>
      <c r="AY117" s="305"/>
      <c r="AZ117" s="305"/>
      <c r="BA117" s="305"/>
      <c r="BB117" s="305"/>
      <c r="BC117" s="305"/>
      <c r="BD117" s="305"/>
      <c r="BE117" s="305"/>
      <c r="BF117" s="305"/>
      <c r="BG117" s="305"/>
      <c r="BH117" s="305"/>
      <c r="BI117" s="305"/>
      <c r="BJ117" s="305"/>
      <c r="BK117" s="305"/>
      <c r="BL117" s="305"/>
      <c r="BM117" s="305"/>
      <c r="BN117" s="305"/>
      <c r="BO117" s="305"/>
      <c r="BP117" s="305"/>
      <c r="BQ117" s="305"/>
      <c r="BR117" s="305"/>
      <c r="BS117" s="305"/>
      <c r="BT117" s="305"/>
      <c r="BU117" s="305"/>
      <c r="BV117" s="305"/>
      <c r="BW117" s="305"/>
      <c r="BX117" s="305"/>
      <c r="BY117" s="305"/>
      <c r="BZ117" s="305"/>
      <c r="CA117" s="305"/>
      <c r="CB117" s="305"/>
      <c r="CC117" s="305"/>
      <c r="CD117" s="305"/>
      <c r="CE117" s="305"/>
      <c r="CF117" s="305"/>
      <c r="CG117" s="305"/>
      <c r="CH117" s="305"/>
      <c r="CI117" s="305"/>
      <c r="CJ117" s="305"/>
      <c r="CK117" s="305"/>
      <c r="CL117" s="305"/>
      <c r="CM117" s="305"/>
      <c r="CN117" s="305"/>
      <c r="CO117" s="305"/>
      <c r="CP117" s="305"/>
      <c r="CQ117" s="305"/>
      <c r="CR117" s="305"/>
      <c r="CS117" s="305"/>
      <c r="CT117" s="305"/>
      <c r="CU117" s="305"/>
      <c r="CV117" s="305"/>
      <c r="CW117" s="305"/>
      <c r="CX117" s="305"/>
      <c r="CY117" s="305"/>
      <c r="CZ117" s="305"/>
      <c r="DA117" s="305"/>
      <c r="DB117" s="305"/>
      <c r="DC117" s="305"/>
      <c r="DD117" s="305"/>
      <c r="DE117" s="305"/>
      <c r="DF117" s="305"/>
      <c r="DG117" s="305"/>
      <c r="DH117" s="305"/>
      <c r="DI117" s="305"/>
      <c r="DJ117" s="305"/>
      <c r="DK117" s="305"/>
      <c r="DL117" s="305"/>
      <c r="DM117" s="305"/>
      <c r="DN117" s="305"/>
      <c r="DO117" s="305"/>
      <c r="DP117" s="305"/>
      <c r="DQ117" s="305"/>
      <c r="DR117" s="305"/>
      <c r="DS117" s="305"/>
      <c r="DT117" s="305"/>
      <c r="DU117" s="305"/>
      <c r="DV117" s="305"/>
      <c r="DW117" s="305"/>
      <c r="DX117" s="305"/>
      <c r="DY117" s="305"/>
      <c r="DZ117" s="305"/>
      <c r="EA117" s="305"/>
      <c r="EB117" s="305"/>
      <c r="EC117" s="305"/>
      <c r="ED117" s="305"/>
      <c r="EE117" s="305"/>
      <c r="EF117" s="305"/>
      <c r="EG117" s="305"/>
      <c r="EH117" s="305"/>
      <c r="EI117" s="305"/>
      <c r="EJ117" s="305"/>
      <c r="EK117" s="305"/>
      <c r="EL117" s="305"/>
      <c r="EM117" s="305"/>
      <c r="EN117" s="305"/>
      <c r="EO117" s="305"/>
      <c r="EP117" s="305"/>
      <c r="EQ117" s="305"/>
      <c r="ER117" s="305"/>
      <c r="ES117" s="305"/>
      <c r="ET117" s="305"/>
      <c r="EU117" s="305"/>
      <c r="EV117" s="305"/>
      <c r="EW117" s="305"/>
      <c r="EX117" s="305"/>
      <c r="EY117" s="305"/>
      <c r="EZ117" s="305"/>
      <c r="FA117" s="305"/>
      <c r="FB117" s="305"/>
      <c r="FC117" s="305"/>
      <c r="FD117" s="305"/>
      <c r="FE117" s="305"/>
      <c r="FF117" s="305"/>
      <c r="FG117" s="305"/>
      <c r="FH117" s="305"/>
      <c r="FI117" s="305"/>
      <c r="FJ117" s="305"/>
      <c r="FK117" s="305"/>
      <c r="FL117" s="305"/>
      <c r="FM117" s="305"/>
      <c r="FN117" s="305"/>
      <c r="FO117" s="305"/>
      <c r="FP117" s="305"/>
      <c r="FQ117" s="305"/>
      <c r="FR117" s="305"/>
      <c r="FS117" s="305"/>
      <c r="FT117" s="305"/>
      <c r="FU117" s="305"/>
      <c r="FV117" s="305"/>
      <c r="FW117" s="305"/>
      <c r="FX117" s="305"/>
      <c r="FY117" s="305"/>
      <c r="FZ117" s="305"/>
      <c r="GA117" s="305"/>
      <c r="GB117" s="305"/>
      <c r="GC117" s="305"/>
      <c r="GD117" s="305"/>
      <c r="GE117" s="305"/>
      <c r="GF117" s="305"/>
      <c r="GG117" s="305"/>
      <c r="GH117" s="305"/>
      <c r="GI117" s="305"/>
      <c r="GJ117" s="305"/>
      <c r="GK117" s="305"/>
      <c r="GL117" s="305"/>
      <c r="GM117" s="305"/>
      <c r="GN117" s="305"/>
      <c r="GO117" s="305"/>
      <c r="GP117" s="305"/>
      <c r="GQ117" s="305"/>
      <c r="GR117" s="305"/>
    </row>
    <row r="118" spans="1:200" s="364" customFormat="1" ht="12.75" customHeight="1" x14ac:dyDescent="0.2">
      <c r="A118" s="412"/>
      <c r="B118" s="412"/>
      <c r="C118" s="367"/>
      <c r="D118" s="403"/>
      <c r="E118" s="369"/>
      <c r="F118" s="369"/>
      <c r="G118" s="369"/>
      <c r="H118" s="369"/>
      <c r="I118" s="370"/>
      <c r="K118" s="371"/>
      <c r="L118" s="371"/>
      <c r="M118" s="371"/>
      <c r="N118" s="371"/>
      <c r="O118" s="305"/>
      <c r="P118" s="305"/>
      <c r="Q118" s="305"/>
      <c r="R118" s="305"/>
      <c r="S118" s="305"/>
      <c r="T118" s="305"/>
      <c r="U118" s="305"/>
      <c r="V118" s="305"/>
      <c r="W118" s="305"/>
      <c r="X118" s="305"/>
      <c r="Y118" s="305"/>
      <c r="Z118" s="305"/>
      <c r="AA118" s="305"/>
      <c r="AB118" s="305"/>
      <c r="AC118" s="305"/>
      <c r="AD118" s="305"/>
      <c r="AE118" s="305"/>
      <c r="AF118" s="305"/>
      <c r="AG118" s="305"/>
      <c r="AH118" s="305"/>
      <c r="AI118" s="305"/>
      <c r="AJ118" s="305"/>
      <c r="AK118" s="305"/>
      <c r="AL118" s="305"/>
      <c r="AM118" s="305"/>
      <c r="AN118" s="305"/>
      <c r="AO118" s="305"/>
      <c r="AP118" s="305"/>
      <c r="AQ118" s="305"/>
      <c r="AR118" s="305"/>
      <c r="AS118" s="305"/>
      <c r="AT118" s="305"/>
      <c r="AU118" s="305"/>
      <c r="AV118" s="305"/>
      <c r="AW118" s="305"/>
      <c r="AX118" s="305"/>
      <c r="AY118" s="305"/>
      <c r="AZ118" s="305"/>
      <c r="BA118" s="305"/>
      <c r="BB118" s="305"/>
      <c r="BC118" s="305"/>
      <c r="BD118" s="305"/>
      <c r="BE118" s="305"/>
      <c r="BF118" s="305"/>
      <c r="BG118" s="305"/>
      <c r="BH118" s="305"/>
      <c r="BI118" s="305"/>
      <c r="BJ118" s="305"/>
      <c r="BK118" s="305"/>
      <c r="BL118" s="305"/>
      <c r="BM118" s="305"/>
      <c r="BN118" s="305"/>
      <c r="BO118" s="305"/>
      <c r="BP118" s="305"/>
      <c r="BQ118" s="305"/>
      <c r="BR118" s="305"/>
      <c r="BS118" s="305"/>
      <c r="BT118" s="305"/>
      <c r="BU118" s="305"/>
      <c r="BV118" s="305"/>
      <c r="BW118" s="305"/>
      <c r="BX118" s="305"/>
      <c r="BY118" s="305"/>
      <c r="BZ118" s="305"/>
      <c r="CA118" s="305"/>
      <c r="CB118" s="305"/>
      <c r="CC118" s="305"/>
      <c r="CD118" s="305"/>
      <c r="CE118" s="305"/>
      <c r="CF118" s="305"/>
      <c r="CG118" s="305"/>
      <c r="CH118" s="305"/>
      <c r="CI118" s="305"/>
      <c r="CJ118" s="305"/>
      <c r="CK118" s="305"/>
      <c r="CL118" s="305"/>
      <c r="CM118" s="305"/>
      <c r="CN118" s="305"/>
      <c r="CO118" s="305"/>
      <c r="CP118" s="305"/>
      <c r="CQ118" s="305"/>
      <c r="CR118" s="305"/>
      <c r="CS118" s="305"/>
      <c r="CT118" s="305"/>
      <c r="CU118" s="305"/>
      <c r="CV118" s="305"/>
      <c r="CW118" s="305"/>
      <c r="CX118" s="305"/>
      <c r="CY118" s="305"/>
      <c r="CZ118" s="305"/>
      <c r="DA118" s="305"/>
      <c r="DB118" s="305"/>
      <c r="DC118" s="305"/>
      <c r="DD118" s="305"/>
      <c r="DE118" s="305"/>
      <c r="DF118" s="305"/>
      <c r="DG118" s="305"/>
      <c r="DH118" s="305"/>
      <c r="DI118" s="305"/>
      <c r="DJ118" s="305"/>
      <c r="DK118" s="305"/>
      <c r="DL118" s="305"/>
      <c r="DM118" s="305"/>
      <c r="DN118" s="305"/>
      <c r="DO118" s="305"/>
      <c r="DP118" s="305"/>
      <c r="DQ118" s="305"/>
      <c r="DR118" s="305"/>
      <c r="DS118" s="305"/>
      <c r="DT118" s="305"/>
      <c r="DU118" s="305"/>
      <c r="DV118" s="305"/>
      <c r="DW118" s="305"/>
      <c r="DX118" s="305"/>
      <c r="DY118" s="305"/>
      <c r="DZ118" s="305"/>
      <c r="EA118" s="305"/>
      <c r="EB118" s="305"/>
      <c r="EC118" s="305"/>
      <c r="ED118" s="305"/>
      <c r="EE118" s="305"/>
      <c r="EF118" s="305"/>
      <c r="EG118" s="305"/>
      <c r="EH118" s="305"/>
      <c r="EI118" s="305"/>
      <c r="EJ118" s="305"/>
      <c r="EK118" s="305"/>
      <c r="EL118" s="305"/>
      <c r="EM118" s="305"/>
      <c r="EN118" s="305"/>
      <c r="EO118" s="305"/>
      <c r="EP118" s="305"/>
      <c r="EQ118" s="305"/>
      <c r="ER118" s="305"/>
      <c r="ES118" s="305"/>
      <c r="ET118" s="305"/>
      <c r="EU118" s="305"/>
      <c r="EV118" s="305"/>
      <c r="EW118" s="305"/>
      <c r="EX118" s="305"/>
      <c r="EY118" s="305"/>
      <c r="EZ118" s="305"/>
      <c r="FA118" s="305"/>
      <c r="FB118" s="305"/>
      <c r="FC118" s="305"/>
      <c r="FD118" s="305"/>
      <c r="FE118" s="305"/>
      <c r="FF118" s="305"/>
      <c r="FG118" s="305"/>
      <c r="FH118" s="305"/>
      <c r="FI118" s="305"/>
      <c r="FJ118" s="305"/>
      <c r="FK118" s="305"/>
      <c r="FL118" s="305"/>
      <c r="FM118" s="305"/>
      <c r="FN118" s="305"/>
      <c r="FO118" s="305"/>
      <c r="FP118" s="305"/>
      <c r="FQ118" s="305"/>
      <c r="FR118" s="305"/>
      <c r="FS118" s="305"/>
      <c r="FT118" s="305"/>
      <c r="FU118" s="305"/>
      <c r="FV118" s="305"/>
      <c r="FW118" s="305"/>
      <c r="FX118" s="305"/>
      <c r="FY118" s="305"/>
      <c r="FZ118" s="305"/>
      <c r="GA118" s="305"/>
      <c r="GB118" s="305"/>
      <c r="GC118" s="305"/>
      <c r="GD118" s="305"/>
      <c r="GE118" s="305"/>
      <c r="GF118" s="305"/>
      <c r="GG118" s="305"/>
      <c r="GH118" s="305"/>
      <c r="GI118" s="305"/>
      <c r="GJ118" s="305"/>
      <c r="GK118" s="305"/>
      <c r="GL118" s="305"/>
      <c r="GM118" s="305"/>
      <c r="GN118" s="305"/>
      <c r="GO118" s="305"/>
      <c r="GP118" s="305"/>
      <c r="GQ118" s="305"/>
      <c r="GR118" s="305"/>
    </row>
    <row r="119" spans="1:200" ht="12.75" customHeight="1" x14ac:dyDescent="0.2">
      <c r="A119" s="412"/>
      <c r="B119" s="412"/>
      <c r="J119" s="364"/>
    </row>
    <row r="120" spans="1:200" ht="12.75" customHeight="1" x14ac:dyDescent="0.2">
      <c r="A120" s="412"/>
      <c r="B120" s="412"/>
      <c r="J120" s="364"/>
    </row>
    <row r="121" spans="1:200" ht="12.75" customHeight="1" x14ac:dyDescent="0.2"/>
    <row r="122" spans="1:200" ht="12.75" customHeight="1" x14ac:dyDescent="0.2"/>
    <row r="123" spans="1:200" ht="12.75" customHeight="1" x14ac:dyDescent="0.2"/>
    <row r="124" spans="1:200" ht="12.75" customHeight="1" x14ac:dyDescent="0.2"/>
    <row r="125" spans="1:200" ht="12.75" customHeight="1" x14ac:dyDescent="0.2"/>
    <row r="126" spans="1:200" ht="12.75" customHeight="1" x14ac:dyDescent="0.2"/>
    <row r="127" spans="1:200" ht="12.75" customHeight="1" x14ac:dyDescent="0.2"/>
    <row r="128" spans="1:200" ht="12.75" customHeight="1" x14ac:dyDescent="0.2"/>
    <row r="129" spans="3:200" ht="12.75" customHeight="1" x14ac:dyDescent="0.2"/>
    <row r="130" spans="3:200" ht="12.75" customHeight="1" x14ac:dyDescent="0.2"/>
    <row r="131" spans="3:200" s="318" customFormat="1" ht="12.75" customHeight="1" x14ac:dyDescent="0.2">
      <c r="C131" s="367"/>
      <c r="D131" s="403"/>
      <c r="E131" s="369"/>
      <c r="F131" s="369"/>
      <c r="G131" s="369"/>
      <c r="H131" s="369"/>
      <c r="I131" s="370"/>
      <c r="J131"/>
      <c r="K131" s="371"/>
      <c r="L131" s="371"/>
      <c r="M131" s="371"/>
      <c r="N131" s="371"/>
      <c r="O131" s="305"/>
      <c r="P131" s="305"/>
      <c r="Q131" s="305"/>
      <c r="R131" s="305"/>
      <c r="S131" s="305"/>
      <c r="T131" s="305"/>
      <c r="U131" s="305"/>
      <c r="V131" s="305"/>
      <c r="W131" s="305"/>
      <c r="X131" s="305"/>
      <c r="Y131" s="305"/>
      <c r="Z131" s="305"/>
      <c r="AA131" s="305"/>
      <c r="AB131" s="305"/>
      <c r="AC131" s="305"/>
      <c r="AD131" s="305"/>
      <c r="AE131" s="305"/>
      <c r="AF131" s="305"/>
      <c r="AG131" s="305"/>
      <c r="AH131" s="305"/>
      <c r="AI131" s="305"/>
      <c r="AJ131" s="305"/>
      <c r="AK131" s="305"/>
      <c r="AL131" s="305"/>
      <c r="AM131" s="305"/>
      <c r="AN131" s="305"/>
      <c r="AO131" s="305"/>
      <c r="AP131" s="305"/>
      <c r="AQ131" s="305"/>
      <c r="AR131" s="305"/>
      <c r="AS131" s="305"/>
      <c r="AT131" s="305"/>
      <c r="AU131" s="305"/>
      <c r="AV131" s="305"/>
      <c r="AW131" s="305"/>
      <c r="AX131" s="305"/>
      <c r="AY131" s="305"/>
      <c r="AZ131" s="305"/>
      <c r="BA131" s="305"/>
      <c r="BB131" s="305"/>
      <c r="BC131" s="305"/>
      <c r="BD131" s="305"/>
      <c r="BE131" s="305"/>
      <c r="BF131" s="305"/>
      <c r="BG131" s="305"/>
      <c r="BH131" s="305"/>
      <c r="BI131" s="305"/>
      <c r="BJ131" s="305"/>
      <c r="BK131" s="305"/>
      <c r="BL131" s="305"/>
      <c r="BM131" s="305"/>
      <c r="BN131" s="305"/>
      <c r="BO131" s="305"/>
      <c r="BP131" s="305"/>
      <c r="BQ131" s="305"/>
      <c r="BR131" s="305"/>
      <c r="BS131" s="305"/>
      <c r="BT131" s="305"/>
      <c r="BU131" s="305"/>
      <c r="BV131" s="305"/>
      <c r="BW131" s="305"/>
      <c r="BX131" s="305"/>
      <c r="BY131" s="305"/>
      <c r="BZ131" s="305"/>
      <c r="CA131" s="305"/>
      <c r="CB131" s="305"/>
      <c r="CC131" s="305"/>
      <c r="CD131" s="305"/>
      <c r="CE131" s="305"/>
      <c r="CF131" s="305"/>
      <c r="CG131" s="305"/>
      <c r="CH131" s="305"/>
      <c r="CI131" s="305"/>
      <c r="CJ131" s="305"/>
      <c r="CK131" s="305"/>
      <c r="CL131" s="305"/>
      <c r="CM131" s="305"/>
      <c r="CN131" s="305"/>
      <c r="CO131" s="305"/>
      <c r="CP131" s="305"/>
      <c r="CQ131" s="305"/>
      <c r="CR131" s="305"/>
      <c r="CS131" s="305"/>
      <c r="CT131" s="305"/>
      <c r="CU131" s="305"/>
      <c r="CV131" s="305"/>
      <c r="CW131" s="305"/>
      <c r="CX131" s="305"/>
      <c r="CY131" s="305"/>
      <c r="CZ131" s="305"/>
      <c r="DA131" s="305"/>
      <c r="DB131" s="305"/>
      <c r="DC131" s="305"/>
      <c r="DD131" s="305"/>
      <c r="DE131" s="305"/>
      <c r="DF131" s="305"/>
      <c r="DG131" s="305"/>
      <c r="DH131" s="305"/>
      <c r="DI131" s="305"/>
      <c r="DJ131" s="305"/>
      <c r="DK131" s="305"/>
      <c r="DL131" s="305"/>
      <c r="DM131" s="305"/>
      <c r="DN131" s="305"/>
      <c r="DO131" s="305"/>
      <c r="DP131" s="305"/>
      <c r="DQ131" s="305"/>
      <c r="DR131" s="305"/>
      <c r="DS131" s="305"/>
      <c r="DT131" s="305"/>
      <c r="DU131" s="305"/>
      <c r="DV131" s="305"/>
      <c r="DW131" s="305"/>
      <c r="DX131" s="305"/>
      <c r="DY131" s="305"/>
      <c r="DZ131" s="305"/>
      <c r="EA131" s="305"/>
      <c r="EB131" s="305"/>
      <c r="EC131" s="305"/>
      <c r="ED131" s="305"/>
      <c r="EE131" s="305"/>
      <c r="EF131" s="305"/>
      <c r="EG131" s="305"/>
      <c r="EH131" s="305"/>
      <c r="EI131" s="305"/>
      <c r="EJ131" s="305"/>
      <c r="EK131" s="305"/>
      <c r="EL131" s="305"/>
      <c r="EM131" s="305"/>
      <c r="EN131" s="305"/>
      <c r="EO131" s="305"/>
      <c r="EP131" s="305"/>
      <c r="EQ131" s="305"/>
      <c r="ER131" s="305"/>
      <c r="ES131" s="305"/>
      <c r="ET131" s="305"/>
      <c r="EU131" s="305"/>
      <c r="EV131" s="305"/>
      <c r="EW131" s="305"/>
      <c r="EX131" s="305"/>
      <c r="EY131" s="305"/>
      <c r="EZ131" s="305"/>
      <c r="FA131" s="305"/>
      <c r="FB131" s="305"/>
      <c r="FC131" s="305"/>
      <c r="FD131" s="305"/>
      <c r="FE131" s="305"/>
      <c r="FF131" s="305"/>
      <c r="FG131" s="305"/>
      <c r="FH131" s="305"/>
      <c r="FI131" s="305"/>
      <c r="FJ131" s="305"/>
      <c r="FK131" s="305"/>
      <c r="FL131" s="305"/>
      <c r="FM131" s="305"/>
      <c r="FN131" s="305"/>
      <c r="FO131" s="305"/>
      <c r="FP131" s="305"/>
      <c r="FQ131" s="305"/>
      <c r="FR131" s="305"/>
      <c r="FS131" s="305"/>
      <c r="FT131" s="305"/>
      <c r="FU131" s="305"/>
      <c r="FV131" s="305"/>
      <c r="FW131" s="305"/>
      <c r="FX131" s="305"/>
      <c r="FY131" s="305"/>
      <c r="FZ131" s="305"/>
      <c r="GA131" s="305"/>
      <c r="GB131" s="305"/>
      <c r="GC131" s="305"/>
      <c r="GD131" s="305"/>
      <c r="GE131" s="305"/>
      <c r="GF131" s="305"/>
      <c r="GG131" s="305"/>
      <c r="GH131" s="305"/>
      <c r="GI131" s="305"/>
      <c r="GJ131" s="305"/>
      <c r="GK131" s="305"/>
      <c r="GL131" s="305"/>
      <c r="GM131" s="305"/>
      <c r="GN131" s="305"/>
      <c r="GO131" s="305"/>
      <c r="GP131" s="305"/>
      <c r="GQ131" s="305"/>
      <c r="GR131" s="305"/>
    </row>
    <row r="132" spans="3:200" s="318" customFormat="1" ht="12.75" customHeight="1" x14ac:dyDescent="0.2">
      <c r="C132" s="367"/>
      <c r="D132" s="403"/>
      <c r="E132" s="369"/>
      <c r="F132" s="369"/>
      <c r="G132" s="369"/>
      <c r="H132" s="369"/>
      <c r="I132" s="370"/>
      <c r="J132"/>
      <c r="K132" s="371"/>
      <c r="L132" s="371"/>
      <c r="M132" s="371"/>
      <c r="N132" s="371"/>
      <c r="O132" s="305"/>
      <c r="P132" s="305"/>
      <c r="Q132" s="305"/>
      <c r="R132" s="305"/>
      <c r="S132" s="305"/>
      <c r="T132" s="305"/>
      <c r="U132" s="305"/>
      <c r="V132" s="305"/>
      <c r="W132" s="305"/>
      <c r="X132" s="305"/>
      <c r="Y132" s="305"/>
      <c r="Z132" s="305"/>
      <c r="AA132" s="305"/>
      <c r="AB132" s="305"/>
      <c r="AC132" s="305"/>
      <c r="AD132" s="305"/>
      <c r="AE132" s="305"/>
      <c r="AF132" s="305"/>
      <c r="AG132" s="305"/>
      <c r="AH132" s="305"/>
      <c r="AI132" s="305"/>
      <c r="AJ132" s="305"/>
      <c r="AK132" s="305"/>
      <c r="AL132" s="305"/>
      <c r="AM132" s="305"/>
      <c r="AN132" s="305"/>
      <c r="AO132" s="305"/>
      <c r="AP132" s="305"/>
      <c r="AQ132" s="305"/>
      <c r="AR132" s="305"/>
      <c r="AS132" s="305"/>
      <c r="AT132" s="305"/>
      <c r="AU132" s="305"/>
      <c r="AV132" s="305"/>
      <c r="AW132" s="305"/>
      <c r="AX132" s="305"/>
      <c r="AY132" s="305"/>
      <c r="AZ132" s="305"/>
      <c r="BA132" s="305"/>
      <c r="BB132" s="305"/>
      <c r="BC132" s="305"/>
      <c r="BD132" s="305"/>
      <c r="BE132" s="305"/>
      <c r="BF132" s="305"/>
      <c r="BG132" s="305"/>
      <c r="BH132" s="305"/>
      <c r="BI132" s="305"/>
      <c r="BJ132" s="305"/>
      <c r="BK132" s="305"/>
      <c r="BL132" s="305"/>
      <c r="BM132" s="305"/>
      <c r="BN132" s="305"/>
      <c r="BO132" s="305"/>
      <c r="BP132" s="305"/>
      <c r="BQ132" s="305"/>
      <c r="BR132" s="305"/>
      <c r="BS132" s="305"/>
      <c r="BT132" s="305"/>
      <c r="BU132" s="305"/>
      <c r="BV132" s="305"/>
      <c r="BW132" s="305"/>
      <c r="BX132" s="305"/>
      <c r="BY132" s="305"/>
      <c r="BZ132" s="305"/>
      <c r="CA132" s="305"/>
      <c r="CB132" s="305"/>
      <c r="CC132" s="305"/>
      <c r="CD132" s="305"/>
      <c r="CE132" s="305"/>
      <c r="CF132" s="305"/>
      <c r="CG132" s="305"/>
      <c r="CH132" s="305"/>
      <c r="CI132" s="305"/>
      <c r="CJ132" s="305"/>
      <c r="CK132" s="305"/>
      <c r="CL132" s="305"/>
      <c r="CM132" s="305"/>
      <c r="CN132" s="305"/>
      <c r="CO132" s="305"/>
      <c r="CP132" s="305"/>
      <c r="CQ132" s="305"/>
      <c r="CR132" s="305"/>
      <c r="CS132" s="305"/>
      <c r="CT132" s="305"/>
      <c r="CU132" s="305"/>
      <c r="CV132" s="305"/>
      <c r="CW132" s="305"/>
      <c r="CX132" s="305"/>
      <c r="CY132" s="305"/>
      <c r="CZ132" s="305"/>
      <c r="DA132" s="305"/>
      <c r="DB132" s="305"/>
      <c r="DC132" s="305"/>
      <c r="DD132" s="305"/>
      <c r="DE132" s="305"/>
      <c r="DF132" s="305"/>
      <c r="DG132" s="305"/>
      <c r="DH132" s="305"/>
      <c r="DI132" s="305"/>
      <c r="DJ132" s="305"/>
      <c r="DK132" s="305"/>
      <c r="DL132" s="305"/>
      <c r="DM132" s="305"/>
      <c r="DN132" s="305"/>
      <c r="DO132" s="305"/>
      <c r="DP132" s="305"/>
      <c r="DQ132" s="305"/>
      <c r="DR132" s="305"/>
      <c r="DS132" s="305"/>
      <c r="DT132" s="305"/>
      <c r="DU132" s="305"/>
      <c r="DV132" s="305"/>
      <c r="DW132" s="305"/>
      <c r="DX132" s="305"/>
      <c r="DY132" s="305"/>
      <c r="DZ132" s="305"/>
      <c r="EA132" s="305"/>
      <c r="EB132" s="305"/>
      <c r="EC132" s="305"/>
      <c r="ED132" s="305"/>
      <c r="EE132" s="305"/>
      <c r="EF132" s="305"/>
      <c r="EG132" s="305"/>
      <c r="EH132" s="305"/>
      <c r="EI132" s="305"/>
      <c r="EJ132" s="305"/>
      <c r="EK132" s="305"/>
      <c r="EL132" s="305"/>
      <c r="EM132" s="305"/>
      <c r="EN132" s="305"/>
      <c r="EO132" s="305"/>
      <c r="EP132" s="305"/>
      <c r="EQ132" s="305"/>
      <c r="ER132" s="305"/>
      <c r="ES132" s="305"/>
      <c r="ET132" s="305"/>
      <c r="EU132" s="305"/>
      <c r="EV132" s="305"/>
      <c r="EW132" s="305"/>
      <c r="EX132" s="305"/>
      <c r="EY132" s="305"/>
      <c r="EZ132" s="305"/>
      <c r="FA132" s="305"/>
      <c r="FB132" s="305"/>
      <c r="FC132" s="305"/>
      <c r="FD132" s="305"/>
      <c r="FE132" s="305"/>
      <c r="FF132" s="305"/>
      <c r="FG132" s="305"/>
      <c r="FH132" s="305"/>
      <c r="FI132" s="305"/>
      <c r="FJ132" s="305"/>
      <c r="FK132" s="305"/>
      <c r="FL132" s="305"/>
      <c r="FM132" s="305"/>
      <c r="FN132" s="305"/>
      <c r="FO132" s="305"/>
      <c r="FP132" s="305"/>
      <c r="FQ132" s="305"/>
      <c r="FR132" s="305"/>
      <c r="FS132" s="305"/>
      <c r="FT132" s="305"/>
      <c r="FU132" s="305"/>
      <c r="FV132" s="305"/>
      <c r="FW132" s="305"/>
      <c r="FX132" s="305"/>
      <c r="FY132" s="305"/>
      <c r="FZ132" s="305"/>
      <c r="GA132" s="305"/>
      <c r="GB132" s="305"/>
      <c r="GC132" s="305"/>
      <c r="GD132" s="305"/>
      <c r="GE132" s="305"/>
      <c r="GF132" s="305"/>
      <c r="GG132" s="305"/>
      <c r="GH132" s="305"/>
      <c r="GI132" s="305"/>
      <c r="GJ132" s="305"/>
      <c r="GK132" s="305"/>
      <c r="GL132" s="305"/>
      <c r="GM132" s="305"/>
      <c r="GN132" s="305"/>
      <c r="GO132" s="305"/>
      <c r="GP132" s="305"/>
      <c r="GQ132" s="305"/>
      <c r="GR132" s="305"/>
    </row>
    <row r="133" spans="3:200" s="318" customFormat="1" ht="12.75" customHeight="1" x14ac:dyDescent="0.2">
      <c r="C133" s="367"/>
      <c r="D133" s="403"/>
      <c r="E133" s="369"/>
      <c r="F133" s="369"/>
      <c r="G133" s="369"/>
      <c r="H133" s="369"/>
      <c r="I133" s="370"/>
      <c r="J133"/>
      <c r="K133" s="371"/>
      <c r="L133" s="371"/>
      <c r="M133" s="371"/>
      <c r="N133" s="371"/>
      <c r="O133" s="305"/>
      <c r="P133" s="305"/>
      <c r="Q133" s="305"/>
      <c r="R133" s="305"/>
      <c r="S133" s="305"/>
      <c r="T133" s="305"/>
      <c r="U133" s="305"/>
      <c r="V133" s="305"/>
      <c r="W133" s="305"/>
      <c r="X133" s="305"/>
      <c r="Y133" s="305"/>
      <c r="Z133" s="305"/>
      <c r="AA133" s="305"/>
      <c r="AB133" s="305"/>
      <c r="AC133" s="305"/>
      <c r="AD133" s="305"/>
      <c r="AE133" s="305"/>
      <c r="AF133" s="305"/>
      <c r="AG133" s="305"/>
      <c r="AH133" s="305"/>
      <c r="AI133" s="305"/>
      <c r="AJ133" s="305"/>
      <c r="AK133" s="305"/>
      <c r="AL133" s="305"/>
      <c r="AM133" s="305"/>
      <c r="AN133" s="305"/>
      <c r="AO133" s="305"/>
      <c r="AP133" s="305"/>
      <c r="AQ133" s="305"/>
      <c r="AR133" s="305"/>
      <c r="AS133" s="305"/>
      <c r="AT133" s="305"/>
      <c r="AU133" s="305"/>
      <c r="AV133" s="305"/>
      <c r="AW133" s="305"/>
      <c r="AX133" s="305"/>
      <c r="AY133" s="305"/>
      <c r="AZ133" s="305"/>
      <c r="BA133" s="305"/>
      <c r="BB133" s="305"/>
      <c r="BC133" s="305"/>
      <c r="BD133" s="305"/>
      <c r="BE133" s="305"/>
      <c r="BF133" s="305"/>
      <c r="BG133" s="305"/>
      <c r="BH133" s="305"/>
      <c r="BI133" s="305"/>
      <c r="BJ133" s="305"/>
      <c r="BK133" s="305"/>
      <c r="BL133" s="305"/>
      <c r="BM133" s="305"/>
      <c r="BN133" s="305"/>
      <c r="BO133" s="305"/>
      <c r="BP133" s="305"/>
      <c r="BQ133" s="305"/>
      <c r="BR133" s="305"/>
      <c r="BS133" s="305"/>
      <c r="BT133" s="305"/>
      <c r="BU133" s="305"/>
      <c r="BV133" s="305"/>
      <c r="BW133" s="305"/>
      <c r="BX133" s="305"/>
      <c r="BY133" s="305"/>
      <c r="BZ133" s="305"/>
      <c r="CA133" s="305"/>
      <c r="CB133" s="305"/>
      <c r="CC133" s="305"/>
      <c r="CD133" s="305"/>
      <c r="CE133" s="305"/>
      <c r="CF133" s="305"/>
      <c r="CG133" s="305"/>
      <c r="CH133" s="305"/>
      <c r="CI133" s="305"/>
      <c r="CJ133" s="305"/>
      <c r="CK133" s="305"/>
      <c r="CL133" s="305"/>
      <c r="CM133" s="305"/>
      <c r="CN133" s="305"/>
      <c r="CO133" s="305"/>
      <c r="CP133" s="305"/>
      <c r="CQ133" s="305"/>
      <c r="CR133" s="305"/>
      <c r="CS133" s="305"/>
      <c r="CT133" s="305"/>
      <c r="CU133" s="305"/>
      <c r="CV133" s="305"/>
      <c r="CW133" s="305"/>
      <c r="CX133" s="305"/>
      <c r="CY133" s="305"/>
      <c r="CZ133" s="305"/>
      <c r="DA133" s="305"/>
      <c r="DB133" s="305"/>
      <c r="DC133" s="305"/>
      <c r="DD133" s="305"/>
      <c r="DE133" s="305"/>
      <c r="DF133" s="305"/>
      <c r="DG133" s="305"/>
      <c r="DH133" s="305"/>
      <c r="DI133" s="305"/>
      <c r="DJ133" s="305"/>
      <c r="DK133" s="305"/>
      <c r="DL133" s="305"/>
      <c r="DM133" s="305"/>
      <c r="DN133" s="305"/>
      <c r="DO133" s="305"/>
      <c r="DP133" s="305"/>
      <c r="DQ133" s="305"/>
      <c r="DR133" s="305"/>
      <c r="DS133" s="305"/>
      <c r="DT133" s="305"/>
      <c r="DU133" s="305"/>
      <c r="DV133" s="305"/>
      <c r="DW133" s="305"/>
      <c r="DX133" s="305"/>
      <c r="DY133" s="305"/>
      <c r="DZ133" s="305"/>
      <c r="EA133" s="305"/>
      <c r="EB133" s="305"/>
      <c r="EC133" s="305"/>
      <c r="ED133" s="305"/>
      <c r="EE133" s="305"/>
      <c r="EF133" s="305"/>
      <c r="EG133" s="305"/>
      <c r="EH133" s="305"/>
      <c r="EI133" s="305"/>
      <c r="EJ133" s="305"/>
      <c r="EK133" s="305"/>
      <c r="EL133" s="305"/>
      <c r="EM133" s="305"/>
      <c r="EN133" s="305"/>
      <c r="EO133" s="305"/>
      <c r="EP133" s="305"/>
      <c r="EQ133" s="305"/>
      <c r="ER133" s="305"/>
      <c r="ES133" s="305"/>
      <c r="ET133" s="305"/>
      <c r="EU133" s="305"/>
      <c r="EV133" s="305"/>
      <c r="EW133" s="305"/>
      <c r="EX133" s="305"/>
      <c r="EY133" s="305"/>
      <c r="EZ133" s="305"/>
      <c r="FA133" s="305"/>
      <c r="FB133" s="305"/>
      <c r="FC133" s="305"/>
      <c r="FD133" s="305"/>
      <c r="FE133" s="305"/>
      <c r="FF133" s="305"/>
      <c r="FG133" s="305"/>
      <c r="FH133" s="305"/>
      <c r="FI133" s="305"/>
      <c r="FJ133" s="305"/>
      <c r="FK133" s="305"/>
      <c r="FL133" s="305"/>
      <c r="FM133" s="305"/>
      <c r="FN133" s="305"/>
      <c r="FO133" s="305"/>
      <c r="FP133" s="305"/>
      <c r="FQ133" s="305"/>
      <c r="FR133" s="305"/>
      <c r="FS133" s="305"/>
      <c r="FT133" s="305"/>
      <c r="FU133" s="305"/>
      <c r="FV133" s="305"/>
      <c r="FW133" s="305"/>
      <c r="FX133" s="305"/>
      <c r="FY133" s="305"/>
      <c r="FZ133" s="305"/>
      <c r="GA133" s="305"/>
      <c r="GB133" s="305"/>
      <c r="GC133" s="305"/>
      <c r="GD133" s="305"/>
      <c r="GE133" s="305"/>
      <c r="GF133" s="305"/>
      <c r="GG133" s="305"/>
      <c r="GH133" s="305"/>
      <c r="GI133" s="305"/>
      <c r="GJ133" s="305"/>
      <c r="GK133" s="305"/>
      <c r="GL133" s="305"/>
      <c r="GM133" s="305"/>
      <c r="GN133" s="305"/>
      <c r="GO133" s="305"/>
      <c r="GP133" s="305"/>
      <c r="GQ133" s="305"/>
      <c r="GR133" s="305"/>
    </row>
    <row r="134" spans="3:200" s="318" customFormat="1" ht="12.75" customHeight="1" x14ac:dyDescent="0.2">
      <c r="C134" s="367"/>
      <c r="D134" s="403"/>
      <c r="E134" s="369"/>
      <c r="F134" s="369"/>
      <c r="G134" s="369"/>
      <c r="H134" s="369"/>
      <c r="I134" s="370"/>
      <c r="J134"/>
      <c r="K134" s="371"/>
      <c r="L134" s="371"/>
      <c r="M134" s="371"/>
      <c r="N134" s="371"/>
      <c r="O134" s="305"/>
      <c r="P134" s="305"/>
      <c r="Q134" s="305"/>
      <c r="R134" s="305"/>
      <c r="S134" s="305"/>
      <c r="T134" s="305"/>
      <c r="U134" s="305"/>
      <c r="V134" s="305"/>
      <c r="W134" s="305"/>
      <c r="X134" s="305"/>
      <c r="Y134" s="305"/>
      <c r="Z134" s="305"/>
      <c r="AA134" s="305"/>
      <c r="AB134" s="305"/>
      <c r="AC134" s="305"/>
      <c r="AD134" s="305"/>
      <c r="AE134" s="305"/>
      <c r="AF134" s="305"/>
      <c r="AG134" s="305"/>
      <c r="AH134" s="305"/>
      <c r="AI134" s="305"/>
      <c r="AJ134" s="305"/>
      <c r="AK134" s="305"/>
      <c r="AL134" s="305"/>
      <c r="AM134" s="305"/>
      <c r="AN134" s="305"/>
      <c r="AO134" s="305"/>
      <c r="AP134" s="305"/>
      <c r="AQ134" s="305"/>
      <c r="AR134" s="305"/>
      <c r="AS134" s="305"/>
      <c r="AT134" s="305"/>
      <c r="AU134" s="305"/>
      <c r="AV134" s="305"/>
      <c r="AW134" s="305"/>
      <c r="AX134" s="305"/>
      <c r="AY134" s="305"/>
      <c r="AZ134" s="305"/>
      <c r="BA134" s="305"/>
      <c r="BB134" s="305"/>
      <c r="BC134" s="305"/>
      <c r="BD134" s="305"/>
      <c r="BE134" s="305"/>
      <c r="BF134" s="305"/>
      <c r="BG134" s="305"/>
      <c r="BH134" s="305"/>
      <c r="BI134" s="305"/>
      <c r="BJ134" s="305"/>
      <c r="BK134" s="305"/>
      <c r="BL134" s="305"/>
      <c r="BM134" s="305"/>
      <c r="BN134" s="305"/>
      <c r="BO134" s="305"/>
      <c r="BP134" s="305"/>
      <c r="BQ134" s="305"/>
      <c r="BR134" s="305"/>
      <c r="BS134" s="305"/>
      <c r="BT134" s="305"/>
      <c r="BU134" s="305"/>
      <c r="BV134" s="305"/>
      <c r="BW134" s="305"/>
      <c r="BX134" s="305"/>
      <c r="BY134" s="305"/>
      <c r="BZ134" s="305"/>
      <c r="CA134" s="305"/>
      <c r="CB134" s="305"/>
      <c r="CC134" s="305"/>
      <c r="CD134" s="305"/>
      <c r="CE134" s="305"/>
      <c r="CF134" s="305"/>
      <c r="CG134" s="305"/>
      <c r="CH134" s="305"/>
      <c r="CI134" s="305"/>
      <c r="CJ134" s="305"/>
      <c r="CK134" s="305"/>
      <c r="CL134" s="305"/>
      <c r="CM134" s="305"/>
      <c r="CN134" s="305"/>
      <c r="CO134" s="305"/>
      <c r="CP134" s="305"/>
      <c r="CQ134" s="305"/>
      <c r="CR134" s="305"/>
      <c r="CS134" s="305"/>
      <c r="CT134" s="305"/>
      <c r="CU134" s="305"/>
      <c r="CV134" s="305"/>
      <c r="CW134" s="305"/>
      <c r="CX134" s="305"/>
      <c r="CY134" s="305"/>
      <c r="CZ134" s="305"/>
      <c r="DA134" s="305"/>
      <c r="DB134" s="305"/>
      <c r="DC134" s="305"/>
      <c r="DD134" s="305"/>
      <c r="DE134" s="305"/>
      <c r="DF134" s="305"/>
      <c r="DG134" s="305"/>
      <c r="DH134" s="305"/>
      <c r="DI134" s="305"/>
      <c r="DJ134" s="305"/>
      <c r="DK134" s="305"/>
      <c r="DL134" s="305"/>
      <c r="DM134" s="305"/>
      <c r="DN134" s="305"/>
      <c r="DO134" s="305"/>
      <c r="DP134" s="305"/>
      <c r="DQ134" s="305"/>
      <c r="DR134" s="305"/>
      <c r="DS134" s="305"/>
      <c r="DT134" s="305"/>
      <c r="DU134" s="305"/>
      <c r="DV134" s="305"/>
      <c r="DW134" s="305"/>
      <c r="DX134" s="305"/>
      <c r="DY134" s="305"/>
      <c r="DZ134" s="305"/>
      <c r="EA134" s="305"/>
      <c r="EB134" s="305"/>
      <c r="EC134" s="305"/>
      <c r="ED134" s="305"/>
      <c r="EE134" s="305"/>
      <c r="EF134" s="305"/>
      <c r="EG134" s="305"/>
      <c r="EH134" s="305"/>
      <c r="EI134" s="305"/>
      <c r="EJ134" s="305"/>
      <c r="EK134" s="305"/>
      <c r="EL134" s="305"/>
      <c r="EM134" s="305"/>
      <c r="EN134" s="305"/>
      <c r="EO134" s="305"/>
      <c r="EP134" s="305"/>
      <c r="EQ134" s="305"/>
      <c r="ER134" s="305"/>
      <c r="ES134" s="305"/>
      <c r="ET134" s="305"/>
      <c r="EU134" s="305"/>
      <c r="EV134" s="305"/>
      <c r="EW134" s="305"/>
      <c r="EX134" s="305"/>
      <c r="EY134" s="305"/>
      <c r="EZ134" s="305"/>
      <c r="FA134" s="305"/>
      <c r="FB134" s="305"/>
      <c r="FC134" s="305"/>
      <c r="FD134" s="305"/>
      <c r="FE134" s="305"/>
      <c r="FF134" s="305"/>
      <c r="FG134" s="305"/>
      <c r="FH134" s="305"/>
      <c r="FI134" s="305"/>
      <c r="FJ134" s="305"/>
      <c r="FK134" s="305"/>
      <c r="FL134" s="305"/>
      <c r="FM134" s="305"/>
      <c r="FN134" s="305"/>
      <c r="FO134" s="305"/>
      <c r="FP134" s="305"/>
      <c r="FQ134" s="305"/>
      <c r="FR134" s="305"/>
      <c r="FS134" s="305"/>
      <c r="FT134" s="305"/>
      <c r="FU134" s="305"/>
      <c r="FV134" s="305"/>
      <c r="FW134" s="305"/>
      <c r="FX134" s="305"/>
      <c r="FY134" s="305"/>
      <c r="FZ134" s="305"/>
      <c r="GA134" s="305"/>
      <c r="GB134" s="305"/>
      <c r="GC134" s="305"/>
      <c r="GD134" s="305"/>
      <c r="GE134" s="305"/>
      <c r="GF134" s="305"/>
      <c r="GG134" s="305"/>
      <c r="GH134" s="305"/>
      <c r="GI134" s="305"/>
      <c r="GJ134" s="305"/>
      <c r="GK134" s="305"/>
      <c r="GL134" s="305"/>
      <c r="GM134" s="305"/>
      <c r="GN134" s="305"/>
      <c r="GO134" s="305"/>
      <c r="GP134" s="305"/>
      <c r="GQ134" s="305"/>
      <c r="GR134" s="305"/>
    </row>
    <row r="135" spans="3:200" s="318" customFormat="1" ht="12.75" customHeight="1" x14ac:dyDescent="0.2">
      <c r="C135" s="367"/>
      <c r="D135" s="403"/>
      <c r="E135" s="369"/>
      <c r="F135" s="369"/>
      <c r="G135" s="369"/>
      <c r="H135" s="369"/>
      <c r="I135" s="370"/>
      <c r="J135"/>
      <c r="K135" s="371"/>
      <c r="L135" s="371"/>
      <c r="M135" s="371"/>
      <c r="N135" s="371"/>
      <c r="O135" s="305"/>
      <c r="P135" s="305"/>
      <c r="Q135" s="305"/>
      <c r="R135" s="305"/>
      <c r="S135" s="305"/>
      <c r="T135" s="305"/>
      <c r="U135" s="305"/>
      <c r="V135" s="305"/>
      <c r="W135" s="305"/>
      <c r="X135" s="305"/>
      <c r="Y135" s="305"/>
      <c r="Z135" s="305"/>
      <c r="AA135" s="305"/>
      <c r="AB135" s="305"/>
      <c r="AC135" s="305"/>
      <c r="AD135" s="305"/>
      <c r="AE135" s="305"/>
      <c r="AF135" s="305"/>
      <c r="AG135" s="305"/>
      <c r="AH135" s="305"/>
      <c r="AI135" s="305"/>
      <c r="AJ135" s="305"/>
      <c r="AK135" s="305"/>
      <c r="AL135" s="305"/>
      <c r="AM135" s="305"/>
      <c r="AN135" s="305"/>
      <c r="AO135" s="305"/>
      <c r="AP135" s="305"/>
      <c r="AQ135" s="305"/>
      <c r="AR135" s="305"/>
      <c r="AS135" s="305"/>
      <c r="AT135" s="305"/>
      <c r="AU135" s="305"/>
      <c r="AV135" s="305"/>
      <c r="AW135" s="305"/>
      <c r="AX135" s="305"/>
      <c r="AY135" s="305"/>
      <c r="AZ135" s="305"/>
      <c r="BA135" s="305"/>
      <c r="BB135" s="305"/>
      <c r="BC135" s="305"/>
      <c r="BD135" s="305"/>
      <c r="BE135" s="305"/>
      <c r="BF135" s="305"/>
      <c r="BG135" s="305"/>
      <c r="BH135" s="305"/>
      <c r="BI135" s="305"/>
      <c r="BJ135" s="305"/>
      <c r="BK135" s="305"/>
      <c r="BL135" s="305"/>
      <c r="BM135" s="305"/>
      <c r="BN135" s="305"/>
      <c r="BO135" s="305"/>
      <c r="BP135" s="305"/>
      <c r="BQ135" s="305"/>
      <c r="BR135" s="305"/>
      <c r="BS135" s="305"/>
      <c r="BT135" s="305"/>
      <c r="BU135" s="305"/>
      <c r="BV135" s="305"/>
      <c r="BW135" s="305"/>
      <c r="BX135" s="305"/>
      <c r="BY135" s="305"/>
      <c r="BZ135" s="305"/>
      <c r="CA135" s="305"/>
      <c r="CB135" s="305"/>
      <c r="CC135" s="305"/>
      <c r="CD135" s="305"/>
      <c r="CE135" s="305"/>
      <c r="CF135" s="305"/>
      <c r="CG135" s="305"/>
      <c r="CH135" s="305"/>
      <c r="CI135" s="305"/>
      <c r="CJ135" s="305"/>
      <c r="CK135" s="305"/>
      <c r="CL135" s="305"/>
      <c r="CM135" s="305"/>
      <c r="CN135" s="305"/>
      <c r="CO135" s="305"/>
      <c r="CP135" s="305"/>
      <c r="CQ135" s="305"/>
      <c r="CR135" s="305"/>
      <c r="CS135" s="305"/>
      <c r="CT135" s="305"/>
      <c r="CU135" s="305"/>
      <c r="CV135" s="305"/>
      <c r="CW135" s="305"/>
      <c r="CX135" s="305"/>
      <c r="CY135" s="305"/>
      <c r="CZ135" s="305"/>
      <c r="DA135" s="305"/>
      <c r="DB135" s="305"/>
      <c r="DC135" s="305"/>
      <c r="DD135" s="305"/>
      <c r="DE135" s="305"/>
      <c r="DF135" s="305"/>
      <c r="DG135" s="305"/>
      <c r="DH135" s="305"/>
      <c r="DI135" s="305"/>
      <c r="DJ135" s="305"/>
      <c r="DK135" s="305"/>
      <c r="DL135" s="305"/>
      <c r="DM135" s="305"/>
      <c r="DN135" s="305"/>
      <c r="DO135" s="305"/>
      <c r="DP135" s="305"/>
      <c r="DQ135" s="305"/>
      <c r="DR135" s="305"/>
      <c r="DS135" s="305"/>
      <c r="DT135" s="305"/>
      <c r="DU135" s="305"/>
      <c r="DV135" s="305"/>
      <c r="DW135" s="305"/>
      <c r="DX135" s="305"/>
      <c r="DY135" s="305"/>
      <c r="DZ135" s="305"/>
      <c r="EA135" s="305"/>
      <c r="EB135" s="305"/>
      <c r="EC135" s="305"/>
      <c r="ED135" s="305"/>
      <c r="EE135" s="305"/>
      <c r="EF135" s="305"/>
      <c r="EG135" s="305"/>
      <c r="EH135" s="305"/>
      <c r="EI135" s="305"/>
      <c r="EJ135" s="305"/>
      <c r="EK135" s="305"/>
      <c r="EL135" s="305"/>
      <c r="EM135" s="305"/>
      <c r="EN135" s="305"/>
      <c r="EO135" s="305"/>
      <c r="EP135" s="305"/>
      <c r="EQ135" s="305"/>
      <c r="ER135" s="305"/>
      <c r="ES135" s="305"/>
      <c r="ET135" s="305"/>
      <c r="EU135" s="305"/>
      <c r="EV135" s="305"/>
      <c r="EW135" s="305"/>
      <c r="EX135" s="305"/>
      <c r="EY135" s="305"/>
      <c r="EZ135" s="305"/>
      <c r="FA135" s="305"/>
      <c r="FB135" s="305"/>
      <c r="FC135" s="305"/>
      <c r="FD135" s="305"/>
      <c r="FE135" s="305"/>
      <c r="FF135" s="305"/>
      <c r="FG135" s="305"/>
      <c r="FH135" s="305"/>
      <c r="FI135" s="305"/>
      <c r="FJ135" s="305"/>
      <c r="FK135" s="305"/>
      <c r="FL135" s="305"/>
      <c r="FM135" s="305"/>
      <c r="FN135" s="305"/>
      <c r="FO135" s="305"/>
      <c r="FP135" s="305"/>
      <c r="FQ135" s="305"/>
      <c r="FR135" s="305"/>
      <c r="FS135" s="305"/>
      <c r="FT135" s="305"/>
      <c r="FU135" s="305"/>
      <c r="FV135" s="305"/>
      <c r="FW135" s="305"/>
      <c r="FX135" s="305"/>
      <c r="FY135" s="305"/>
      <c r="FZ135" s="305"/>
      <c r="GA135" s="305"/>
      <c r="GB135" s="305"/>
      <c r="GC135" s="305"/>
      <c r="GD135" s="305"/>
      <c r="GE135" s="305"/>
      <c r="GF135" s="305"/>
      <c r="GG135" s="305"/>
      <c r="GH135" s="305"/>
      <c r="GI135" s="305"/>
      <c r="GJ135" s="305"/>
      <c r="GK135" s="305"/>
      <c r="GL135" s="305"/>
      <c r="GM135" s="305"/>
      <c r="GN135" s="305"/>
      <c r="GO135" s="305"/>
      <c r="GP135" s="305"/>
      <c r="GQ135" s="305"/>
      <c r="GR135" s="305"/>
    </row>
    <row r="136" spans="3:200" s="318" customFormat="1" ht="12.75" customHeight="1" x14ac:dyDescent="0.2">
      <c r="C136" s="367"/>
      <c r="D136" s="403"/>
      <c r="E136" s="369"/>
      <c r="F136" s="369"/>
      <c r="G136" s="369"/>
      <c r="H136" s="369"/>
      <c r="I136" s="370"/>
      <c r="J136"/>
      <c r="K136" s="371"/>
      <c r="L136" s="371"/>
      <c r="M136" s="371"/>
      <c r="N136" s="371"/>
      <c r="O136" s="305"/>
      <c r="P136" s="305"/>
      <c r="Q136" s="305"/>
      <c r="R136" s="305"/>
      <c r="S136" s="305"/>
      <c r="T136" s="305"/>
      <c r="U136" s="305"/>
      <c r="V136" s="305"/>
      <c r="W136" s="305"/>
      <c r="X136" s="305"/>
      <c r="Y136" s="305"/>
      <c r="Z136" s="305"/>
      <c r="AA136" s="305"/>
      <c r="AB136" s="305"/>
      <c r="AC136" s="305"/>
      <c r="AD136" s="305"/>
      <c r="AE136" s="305"/>
      <c r="AF136" s="305"/>
      <c r="AG136" s="305"/>
      <c r="AH136" s="305"/>
      <c r="AI136" s="305"/>
      <c r="AJ136" s="305"/>
      <c r="AK136" s="305"/>
      <c r="AL136" s="305"/>
      <c r="AM136" s="305"/>
      <c r="AN136" s="305"/>
      <c r="AO136" s="305"/>
      <c r="AP136" s="305"/>
      <c r="AQ136" s="305"/>
      <c r="AR136" s="305"/>
      <c r="AS136" s="305"/>
      <c r="AT136" s="305"/>
      <c r="AU136" s="305"/>
      <c r="AV136" s="305"/>
      <c r="AW136" s="305"/>
      <c r="AX136" s="305"/>
      <c r="AY136" s="305"/>
      <c r="AZ136" s="305"/>
      <c r="BA136" s="305"/>
      <c r="BB136" s="305"/>
      <c r="BC136" s="305"/>
      <c r="BD136" s="305"/>
      <c r="BE136" s="305"/>
      <c r="BF136" s="305"/>
      <c r="BG136" s="305"/>
      <c r="BH136" s="305"/>
      <c r="BI136" s="305"/>
      <c r="BJ136" s="305"/>
      <c r="BK136" s="305"/>
      <c r="BL136" s="305"/>
      <c r="BM136" s="305"/>
      <c r="BN136" s="305"/>
      <c r="BO136" s="305"/>
      <c r="BP136" s="305"/>
      <c r="BQ136" s="305"/>
      <c r="BR136" s="305"/>
      <c r="BS136" s="305"/>
      <c r="BT136" s="305"/>
      <c r="BU136" s="305"/>
      <c r="BV136" s="305"/>
      <c r="BW136" s="305"/>
      <c r="BX136" s="305"/>
      <c r="BY136" s="305"/>
      <c r="BZ136" s="305"/>
      <c r="CA136" s="305"/>
      <c r="CB136" s="305"/>
      <c r="CC136" s="305"/>
      <c r="CD136" s="305"/>
      <c r="CE136" s="305"/>
      <c r="CF136" s="305"/>
      <c r="CG136" s="305"/>
      <c r="CH136" s="305"/>
      <c r="CI136" s="305"/>
      <c r="CJ136" s="305"/>
      <c r="CK136" s="305"/>
      <c r="CL136" s="305"/>
      <c r="CM136" s="305"/>
      <c r="CN136" s="305"/>
      <c r="CO136" s="305"/>
      <c r="CP136" s="305"/>
      <c r="CQ136" s="305"/>
      <c r="CR136" s="305"/>
      <c r="CS136" s="305"/>
      <c r="CT136" s="305"/>
      <c r="CU136" s="305"/>
      <c r="CV136" s="305"/>
      <c r="CW136" s="305"/>
      <c r="CX136" s="305"/>
      <c r="CY136" s="305"/>
      <c r="CZ136" s="305"/>
      <c r="DA136" s="305"/>
      <c r="DB136" s="305"/>
      <c r="DC136" s="305"/>
      <c r="DD136" s="305"/>
      <c r="DE136" s="305"/>
      <c r="DF136" s="305"/>
      <c r="DG136" s="305"/>
      <c r="DH136" s="305"/>
      <c r="DI136" s="305"/>
      <c r="DJ136" s="305"/>
      <c r="DK136" s="305"/>
      <c r="DL136" s="305"/>
      <c r="DM136" s="305"/>
      <c r="DN136" s="305"/>
      <c r="DO136" s="305"/>
      <c r="DP136" s="305"/>
      <c r="DQ136" s="305"/>
      <c r="DR136" s="305"/>
      <c r="DS136" s="305"/>
      <c r="DT136" s="305"/>
      <c r="DU136" s="305"/>
      <c r="DV136" s="305"/>
      <c r="DW136" s="305"/>
      <c r="DX136" s="305"/>
      <c r="DY136" s="305"/>
      <c r="DZ136" s="305"/>
      <c r="EA136" s="305"/>
      <c r="EB136" s="305"/>
      <c r="EC136" s="305"/>
      <c r="ED136" s="305"/>
      <c r="EE136" s="305"/>
      <c r="EF136" s="305"/>
      <c r="EG136" s="305"/>
      <c r="EH136" s="305"/>
      <c r="EI136" s="305"/>
      <c r="EJ136" s="305"/>
      <c r="EK136" s="305"/>
      <c r="EL136" s="305"/>
      <c r="EM136" s="305"/>
      <c r="EN136" s="305"/>
      <c r="EO136" s="305"/>
      <c r="EP136" s="305"/>
      <c r="EQ136" s="305"/>
      <c r="ER136" s="305"/>
      <c r="ES136" s="305"/>
      <c r="ET136" s="305"/>
      <c r="EU136" s="305"/>
      <c r="EV136" s="305"/>
      <c r="EW136" s="305"/>
      <c r="EX136" s="305"/>
      <c r="EY136" s="305"/>
      <c r="EZ136" s="305"/>
      <c r="FA136" s="305"/>
      <c r="FB136" s="305"/>
      <c r="FC136" s="305"/>
      <c r="FD136" s="305"/>
      <c r="FE136" s="305"/>
      <c r="FF136" s="305"/>
      <c r="FG136" s="305"/>
      <c r="FH136" s="305"/>
      <c r="FI136" s="305"/>
      <c r="FJ136" s="305"/>
      <c r="FK136" s="305"/>
      <c r="FL136" s="305"/>
      <c r="FM136" s="305"/>
      <c r="FN136" s="305"/>
      <c r="FO136" s="305"/>
      <c r="FP136" s="305"/>
      <c r="FQ136" s="305"/>
      <c r="FR136" s="305"/>
      <c r="FS136" s="305"/>
      <c r="FT136" s="305"/>
      <c r="FU136" s="305"/>
      <c r="FV136" s="305"/>
      <c r="FW136" s="305"/>
      <c r="FX136" s="305"/>
      <c r="FY136" s="305"/>
      <c r="FZ136" s="305"/>
      <c r="GA136" s="305"/>
      <c r="GB136" s="305"/>
      <c r="GC136" s="305"/>
      <c r="GD136" s="305"/>
      <c r="GE136" s="305"/>
      <c r="GF136" s="305"/>
      <c r="GG136" s="305"/>
      <c r="GH136" s="305"/>
      <c r="GI136" s="305"/>
      <c r="GJ136" s="305"/>
      <c r="GK136" s="305"/>
      <c r="GL136" s="305"/>
      <c r="GM136" s="305"/>
      <c r="GN136" s="305"/>
      <c r="GO136" s="305"/>
      <c r="GP136" s="305"/>
      <c r="GQ136" s="305"/>
      <c r="GR136" s="305"/>
    </row>
    <row r="137" spans="3:200" s="318" customFormat="1" ht="12.75" customHeight="1" x14ac:dyDescent="0.2">
      <c r="C137" s="367"/>
      <c r="D137" s="403"/>
      <c r="E137" s="369"/>
      <c r="F137" s="369"/>
      <c r="G137" s="369"/>
      <c r="H137" s="369"/>
      <c r="I137" s="370"/>
      <c r="J137"/>
      <c r="K137" s="371"/>
      <c r="L137" s="371"/>
      <c r="M137" s="371"/>
      <c r="N137" s="371"/>
      <c r="O137" s="305"/>
      <c r="P137" s="305"/>
      <c r="Q137" s="305"/>
      <c r="R137" s="305"/>
      <c r="S137" s="305"/>
      <c r="T137" s="305"/>
      <c r="U137" s="305"/>
      <c r="V137" s="305"/>
      <c r="W137" s="305"/>
      <c r="X137" s="305"/>
      <c r="Y137" s="305"/>
      <c r="Z137" s="305"/>
      <c r="AA137" s="305"/>
      <c r="AB137" s="305"/>
      <c r="AC137" s="305"/>
      <c r="AD137" s="305"/>
      <c r="AE137" s="305"/>
      <c r="AF137" s="305"/>
      <c r="AG137" s="305"/>
      <c r="AH137" s="305"/>
      <c r="AI137" s="305"/>
      <c r="AJ137" s="305"/>
      <c r="AK137" s="305"/>
      <c r="AL137" s="305"/>
      <c r="AM137" s="305"/>
      <c r="AN137" s="305"/>
      <c r="AO137" s="305"/>
      <c r="AP137" s="305"/>
      <c r="AQ137" s="305"/>
      <c r="AR137" s="305"/>
      <c r="AS137" s="305"/>
      <c r="AT137" s="305"/>
      <c r="AU137" s="305"/>
      <c r="AV137" s="305"/>
      <c r="AW137" s="305"/>
      <c r="AX137" s="305"/>
      <c r="AY137" s="305"/>
      <c r="AZ137" s="305"/>
      <c r="BA137" s="305"/>
      <c r="BB137" s="305"/>
      <c r="BC137" s="305"/>
      <c r="BD137" s="305"/>
      <c r="BE137" s="305"/>
      <c r="BF137" s="305"/>
      <c r="BG137" s="305"/>
      <c r="BH137" s="305"/>
      <c r="BI137" s="305"/>
      <c r="BJ137" s="305"/>
      <c r="BK137" s="305"/>
      <c r="BL137" s="305"/>
      <c r="BM137" s="305"/>
      <c r="BN137" s="305"/>
      <c r="BO137" s="305"/>
      <c r="BP137" s="305"/>
      <c r="BQ137" s="305"/>
      <c r="BR137" s="305"/>
      <c r="BS137" s="305"/>
      <c r="BT137" s="305"/>
      <c r="BU137" s="305"/>
      <c r="BV137" s="305"/>
      <c r="BW137" s="305"/>
      <c r="BX137" s="305"/>
      <c r="BY137" s="305"/>
      <c r="BZ137" s="305"/>
      <c r="CA137" s="305"/>
      <c r="CB137" s="305"/>
      <c r="CC137" s="305"/>
      <c r="CD137" s="305"/>
      <c r="CE137" s="305"/>
      <c r="CF137" s="305"/>
      <c r="CG137" s="305"/>
      <c r="CH137" s="305"/>
      <c r="CI137" s="305"/>
      <c r="CJ137" s="305"/>
      <c r="CK137" s="305"/>
      <c r="CL137" s="305"/>
      <c r="CM137" s="305"/>
      <c r="CN137" s="305"/>
      <c r="CO137" s="305"/>
      <c r="CP137" s="305"/>
      <c r="CQ137" s="305"/>
      <c r="CR137" s="305"/>
      <c r="CS137" s="305"/>
      <c r="CT137" s="305"/>
      <c r="CU137" s="305"/>
      <c r="CV137" s="305"/>
      <c r="CW137" s="305"/>
      <c r="CX137" s="305"/>
      <c r="CY137" s="305"/>
      <c r="CZ137" s="305"/>
      <c r="DA137" s="305"/>
      <c r="DB137" s="305"/>
      <c r="DC137" s="305"/>
      <c r="DD137" s="305"/>
      <c r="DE137" s="305"/>
      <c r="DF137" s="305"/>
      <c r="DG137" s="305"/>
      <c r="DH137" s="305"/>
      <c r="DI137" s="305"/>
      <c r="DJ137" s="305"/>
      <c r="DK137" s="305"/>
      <c r="DL137" s="305"/>
      <c r="DM137" s="305"/>
      <c r="DN137" s="305"/>
      <c r="DO137" s="305"/>
      <c r="DP137" s="305"/>
      <c r="DQ137" s="305"/>
      <c r="DR137" s="305"/>
      <c r="DS137" s="305"/>
      <c r="DT137" s="305"/>
      <c r="DU137" s="305"/>
      <c r="DV137" s="305"/>
      <c r="DW137" s="305"/>
      <c r="DX137" s="305"/>
      <c r="DY137" s="305"/>
      <c r="DZ137" s="305"/>
      <c r="EA137" s="305"/>
      <c r="EB137" s="305"/>
      <c r="EC137" s="305"/>
      <c r="ED137" s="305"/>
      <c r="EE137" s="305"/>
      <c r="EF137" s="305"/>
      <c r="EG137" s="305"/>
      <c r="EH137" s="305"/>
      <c r="EI137" s="305"/>
      <c r="EJ137" s="305"/>
      <c r="EK137" s="305"/>
      <c r="EL137" s="305"/>
      <c r="EM137" s="305"/>
      <c r="EN137" s="305"/>
      <c r="EO137" s="305"/>
      <c r="EP137" s="305"/>
      <c r="EQ137" s="305"/>
      <c r="ER137" s="305"/>
      <c r="ES137" s="305"/>
      <c r="ET137" s="305"/>
      <c r="EU137" s="305"/>
      <c r="EV137" s="305"/>
      <c r="EW137" s="305"/>
      <c r="EX137" s="305"/>
      <c r="EY137" s="305"/>
      <c r="EZ137" s="305"/>
      <c r="FA137" s="305"/>
      <c r="FB137" s="305"/>
      <c r="FC137" s="305"/>
      <c r="FD137" s="305"/>
      <c r="FE137" s="305"/>
      <c r="FF137" s="305"/>
      <c r="FG137" s="305"/>
      <c r="FH137" s="305"/>
      <c r="FI137" s="305"/>
      <c r="FJ137" s="305"/>
      <c r="FK137" s="305"/>
      <c r="FL137" s="305"/>
      <c r="FM137" s="305"/>
      <c r="FN137" s="305"/>
      <c r="FO137" s="305"/>
      <c r="FP137" s="305"/>
      <c r="FQ137" s="305"/>
      <c r="FR137" s="305"/>
      <c r="FS137" s="305"/>
      <c r="FT137" s="305"/>
      <c r="FU137" s="305"/>
      <c r="FV137" s="305"/>
      <c r="FW137" s="305"/>
      <c r="FX137" s="305"/>
      <c r="FY137" s="305"/>
      <c r="FZ137" s="305"/>
      <c r="GA137" s="305"/>
      <c r="GB137" s="305"/>
      <c r="GC137" s="305"/>
      <c r="GD137" s="305"/>
      <c r="GE137" s="305"/>
      <c r="GF137" s="305"/>
      <c r="GG137" s="305"/>
      <c r="GH137" s="305"/>
      <c r="GI137" s="305"/>
      <c r="GJ137" s="305"/>
      <c r="GK137" s="305"/>
      <c r="GL137" s="305"/>
      <c r="GM137" s="305"/>
      <c r="GN137" s="305"/>
      <c r="GO137" s="305"/>
      <c r="GP137" s="305"/>
      <c r="GQ137" s="305"/>
      <c r="GR137" s="305"/>
    </row>
    <row r="138" spans="3:200" s="318" customFormat="1" ht="12.75" customHeight="1" x14ac:dyDescent="0.2">
      <c r="C138" s="367"/>
      <c r="D138" s="403"/>
      <c r="E138" s="369"/>
      <c r="F138" s="369"/>
      <c r="G138" s="369"/>
      <c r="H138" s="369"/>
      <c r="I138" s="370"/>
      <c r="J138"/>
      <c r="K138" s="371"/>
      <c r="L138" s="371"/>
      <c r="M138" s="371"/>
      <c r="N138" s="371"/>
      <c r="O138" s="305"/>
      <c r="P138" s="305"/>
      <c r="Q138" s="305"/>
      <c r="R138" s="305"/>
      <c r="S138" s="305"/>
      <c r="T138" s="305"/>
      <c r="U138" s="305"/>
      <c r="V138" s="305"/>
      <c r="W138" s="305"/>
      <c r="X138" s="305"/>
      <c r="Y138" s="305"/>
      <c r="Z138" s="305"/>
      <c r="AA138" s="305"/>
      <c r="AB138" s="305"/>
      <c r="AC138" s="305"/>
      <c r="AD138" s="305"/>
      <c r="AE138" s="305"/>
      <c r="AF138" s="305"/>
      <c r="AG138" s="305"/>
      <c r="AH138" s="305"/>
      <c r="AI138" s="305"/>
      <c r="AJ138" s="305"/>
      <c r="AK138" s="305"/>
      <c r="AL138" s="305"/>
      <c r="AM138" s="305"/>
      <c r="AN138" s="305"/>
      <c r="AO138" s="305"/>
      <c r="AP138" s="305"/>
      <c r="AQ138" s="305"/>
      <c r="AR138" s="305"/>
      <c r="AS138" s="305"/>
      <c r="AT138" s="305"/>
      <c r="AU138" s="305"/>
      <c r="AV138" s="305"/>
      <c r="AW138" s="305"/>
      <c r="AX138" s="305"/>
      <c r="AY138" s="305"/>
      <c r="AZ138" s="305"/>
      <c r="BA138" s="305"/>
      <c r="BB138" s="305"/>
      <c r="BC138" s="305"/>
      <c r="BD138" s="305"/>
      <c r="BE138" s="305"/>
      <c r="BF138" s="305"/>
      <c r="BG138" s="305"/>
      <c r="BH138" s="305"/>
      <c r="BI138" s="305"/>
      <c r="BJ138" s="305"/>
      <c r="BK138" s="305"/>
      <c r="BL138" s="305"/>
      <c r="BM138" s="305"/>
      <c r="BN138" s="305"/>
      <c r="BO138" s="305"/>
      <c r="BP138" s="305"/>
      <c r="BQ138" s="305"/>
      <c r="BR138" s="305"/>
      <c r="BS138" s="305"/>
      <c r="BT138" s="305"/>
      <c r="BU138" s="305"/>
      <c r="BV138" s="305"/>
      <c r="BW138" s="305"/>
      <c r="BX138" s="305"/>
      <c r="BY138" s="305"/>
      <c r="BZ138" s="305"/>
      <c r="CA138" s="305"/>
      <c r="CB138" s="305"/>
      <c r="CC138" s="305"/>
      <c r="CD138" s="305"/>
      <c r="CE138" s="305"/>
      <c r="CF138" s="305"/>
      <c r="CG138" s="305"/>
      <c r="CH138" s="305"/>
      <c r="CI138" s="305"/>
      <c r="CJ138" s="305"/>
      <c r="CK138" s="305"/>
      <c r="CL138" s="305"/>
      <c r="CM138" s="305"/>
      <c r="CN138" s="305"/>
      <c r="CO138" s="305"/>
      <c r="CP138" s="305"/>
      <c r="CQ138" s="305"/>
      <c r="CR138" s="305"/>
      <c r="CS138" s="305"/>
      <c r="CT138" s="305"/>
      <c r="CU138" s="305"/>
      <c r="CV138" s="305"/>
      <c r="CW138" s="305"/>
      <c r="CX138" s="305"/>
      <c r="CY138" s="305"/>
      <c r="CZ138" s="305"/>
      <c r="DA138" s="305"/>
      <c r="DB138" s="305"/>
      <c r="DC138" s="305"/>
      <c r="DD138" s="305"/>
      <c r="DE138" s="305"/>
      <c r="DF138" s="305"/>
      <c r="DG138" s="305"/>
      <c r="DH138" s="305"/>
      <c r="DI138" s="305"/>
      <c r="DJ138" s="305"/>
      <c r="DK138" s="305"/>
      <c r="DL138" s="305"/>
      <c r="DM138" s="305"/>
      <c r="DN138" s="305"/>
      <c r="DO138" s="305"/>
      <c r="DP138" s="305"/>
      <c r="DQ138" s="305"/>
      <c r="DR138" s="305"/>
      <c r="DS138" s="305"/>
      <c r="DT138" s="305"/>
      <c r="DU138" s="305"/>
      <c r="DV138" s="305"/>
      <c r="DW138" s="305"/>
      <c r="DX138" s="305"/>
      <c r="DY138" s="305"/>
      <c r="DZ138" s="305"/>
      <c r="EA138" s="305"/>
      <c r="EB138" s="305"/>
      <c r="EC138" s="305"/>
      <c r="ED138" s="305"/>
      <c r="EE138" s="305"/>
      <c r="EF138" s="305"/>
      <c r="EG138" s="305"/>
      <c r="EH138" s="305"/>
      <c r="EI138" s="305"/>
      <c r="EJ138" s="305"/>
      <c r="EK138" s="305"/>
      <c r="EL138" s="305"/>
      <c r="EM138" s="305"/>
      <c r="EN138" s="305"/>
      <c r="EO138" s="305"/>
      <c r="EP138" s="305"/>
      <c r="EQ138" s="305"/>
      <c r="ER138" s="305"/>
      <c r="ES138" s="305"/>
      <c r="ET138" s="305"/>
      <c r="EU138" s="305"/>
      <c r="EV138" s="305"/>
      <c r="EW138" s="305"/>
      <c r="EX138" s="305"/>
      <c r="EY138" s="305"/>
      <c r="EZ138" s="305"/>
      <c r="FA138" s="305"/>
      <c r="FB138" s="305"/>
      <c r="FC138" s="305"/>
      <c r="FD138" s="305"/>
      <c r="FE138" s="305"/>
      <c r="FF138" s="305"/>
      <c r="FG138" s="305"/>
      <c r="FH138" s="305"/>
      <c r="FI138" s="305"/>
      <c r="FJ138" s="305"/>
      <c r="FK138" s="305"/>
      <c r="FL138" s="305"/>
      <c r="FM138" s="305"/>
      <c r="FN138" s="305"/>
      <c r="FO138" s="305"/>
      <c r="FP138" s="305"/>
      <c r="FQ138" s="305"/>
      <c r="FR138" s="305"/>
      <c r="FS138" s="305"/>
      <c r="FT138" s="305"/>
      <c r="FU138" s="305"/>
      <c r="FV138" s="305"/>
      <c r="FW138" s="305"/>
      <c r="FX138" s="305"/>
      <c r="FY138" s="305"/>
      <c r="FZ138" s="305"/>
      <c r="GA138" s="305"/>
      <c r="GB138" s="305"/>
      <c r="GC138" s="305"/>
      <c r="GD138" s="305"/>
      <c r="GE138" s="305"/>
      <c r="GF138" s="305"/>
      <c r="GG138" s="305"/>
      <c r="GH138" s="305"/>
      <c r="GI138" s="305"/>
      <c r="GJ138" s="305"/>
      <c r="GK138" s="305"/>
      <c r="GL138" s="305"/>
      <c r="GM138" s="305"/>
      <c r="GN138" s="305"/>
      <c r="GO138" s="305"/>
      <c r="GP138" s="305"/>
      <c r="GQ138" s="305"/>
      <c r="GR138" s="305"/>
    </row>
    <row r="139" spans="3:200" s="318" customFormat="1" ht="12.75" customHeight="1" x14ac:dyDescent="0.2">
      <c r="C139" s="367"/>
      <c r="D139" s="403"/>
      <c r="E139" s="369"/>
      <c r="F139" s="369"/>
      <c r="G139" s="369"/>
      <c r="H139" s="369"/>
      <c r="I139" s="370"/>
      <c r="J139"/>
      <c r="K139" s="371"/>
      <c r="L139" s="371"/>
      <c r="M139" s="371"/>
      <c r="N139" s="371"/>
      <c r="O139" s="305"/>
      <c r="P139" s="305"/>
      <c r="Q139" s="305"/>
      <c r="R139" s="305"/>
      <c r="S139" s="305"/>
      <c r="T139" s="305"/>
      <c r="U139" s="305"/>
      <c r="V139" s="305"/>
      <c r="W139" s="305"/>
      <c r="X139" s="305"/>
      <c r="Y139" s="305"/>
      <c r="Z139" s="305"/>
      <c r="AA139" s="305"/>
      <c r="AB139" s="305"/>
      <c r="AC139" s="305"/>
      <c r="AD139" s="305"/>
      <c r="AE139" s="305"/>
      <c r="AF139" s="305"/>
      <c r="AG139" s="305"/>
      <c r="AH139" s="305"/>
      <c r="AI139" s="305"/>
      <c r="AJ139" s="305"/>
      <c r="AK139" s="305"/>
      <c r="AL139" s="305"/>
      <c r="AM139" s="305"/>
      <c r="AN139" s="305"/>
      <c r="AO139" s="305"/>
      <c r="AP139" s="305"/>
      <c r="AQ139" s="305"/>
      <c r="AR139" s="305"/>
      <c r="AS139" s="305"/>
      <c r="AT139" s="305"/>
      <c r="AU139" s="305"/>
      <c r="AV139" s="305"/>
      <c r="AW139" s="305"/>
      <c r="AX139" s="305"/>
      <c r="AY139" s="305"/>
      <c r="AZ139" s="305"/>
      <c r="BA139" s="305"/>
      <c r="BB139" s="305"/>
      <c r="BC139" s="305"/>
      <c r="BD139" s="305"/>
      <c r="BE139" s="305"/>
      <c r="BF139" s="305"/>
      <c r="BG139" s="305"/>
      <c r="BH139" s="305"/>
      <c r="BI139" s="305"/>
      <c r="BJ139" s="305"/>
      <c r="BK139" s="305"/>
      <c r="BL139" s="305"/>
      <c r="BM139" s="305"/>
      <c r="BN139" s="305"/>
      <c r="BO139" s="305"/>
      <c r="BP139" s="305"/>
      <c r="BQ139" s="305"/>
      <c r="BR139" s="305"/>
      <c r="BS139" s="305"/>
      <c r="BT139" s="305"/>
      <c r="BU139" s="305"/>
      <c r="BV139" s="305"/>
      <c r="BW139" s="305"/>
      <c r="BX139" s="305"/>
      <c r="BY139" s="305"/>
      <c r="BZ139" s="305"/>
      <c r="CA139" s="305"/>
      <c r="CB139" s="305"/>
      <c r="CC139" s="305"/>
      <c r="CD139" s="305"/>
      <c r="CE139" s="305"/>
      <c r="CF139" s="305"/>
      <c r="CG139" s="305"/>
      <c r="CH139" s="305"/>
      <c r="CI139" s="305"/>
      <c r="CJ139" s="305"/>
      <c r="CK139" s="305"/>
      <c r="CL139" s="305"/>
      <c r="CM139" s="305"/>
      <c r="CN139" s="305"/>
      <c r="CO139" s="305"/>
      <c r="CP139" s="305"/>
      <c r="CQ139" s="305"/>
      <c r="CR139" s="305"/>
      <c r="CS139" s="305"/>
      <c r="CT139" s="305"/>
      <c r="CU139" s="305"/>
      <c r="CV139" s="305"/>
      <c r="CW139" s="305"/>
      <c r="CX139" s="305"/>
      <c r="CY139" s="305"/>
      <c r="CZ139" s="305"/>
      <c r="DA139" s="305"/>
      <c r="DB139" s="305"/>
      <c r="DC139" s="305"/>
      <c r="DD139" s="305"/>
      <c r="DE139" s="305"/>
      <c r="DF139" s="305"/>
      <c r="DG139" s="305"/>
      <c r="DH139" s="305"/>
      <c r="DI139" s="305"/>
      <c r="DJ139" s="305"/>
      <c r="DK139" s="305"/>
      <c r="DL139" s="305"/>
      <c r="DM139" s="305"/>
      <c r="DN139" s="305"/>
      <c r="DO139" s="305"/>
      <c r="DP139" s="305"/>
      <c r="DQ139" s="305"/>
      <c r="DR139" s="305"/>
      <c r="DS139" s="305"/>
      <c r="DT139" s="305"/>
      <c r="DU139" s="305"/>
      <c r="DV139" s="305"/>
      <c r="DW139" s="305"/>
      <c r="DX139" s="305"/>
      <c r="DY139" s="305"/>
      <c r="DZ139" s="305"/>
      <c r="EA139" s="305"/>
      <c r="EB139" s="305"/>
      <c r="EC139" s="305"/>
      <c r="ED139" s="305"/>
      <c r="EE139" s="305"/>
      <c r="EF139" s="305"/>
      <c r="EG139" s="305"/>
      <c r="EH139" s="305"/>
      <c r="EI139" s="305"/>
      <c r="EJ139" s="305"/>
      <c r="EK139" s="305"/>
      <c r="EL139" s="305"/>
      <c r="EM139" s="305"/>
      <c r="EN139" s="305"/>
      <c r="EO139" s="305"/>
      <c r="EP139" s="305"/>
      <c r="EQ139" s="305"/>
      <c r="ER139" s="305"/>
      <c r="ES139" s="305"/>
      <c r="ET139" s="305"/>
      <c r="EU139" s="305"/>
      <c r="EV139" s="305"/>
      <c r="EW139" s="305"/>
      <c r="EX139" s="305"/>
      <c r="EY139" s="305"/>
      <c r="EZ139" s="305"/>
      <c r="FA139" s="305"/>
      <c r="FB139" s="305"/>
      <c r="FC139" s="305"/>
      <c r="FD139" s="305"/>
      <c r="FE139" s="305"/>
      <c r="FF139" s="305"/>
      <c r="FG139" s="305"/>
      <c r="FH139" s="305"/>
      <c r="FI139" s="305"/>
      <c r="FJ139" s="305"/>
      <c r="FK139" s="305"/>
      <c r="FL139" s="305"/>
      <c r="FM139" s="305"/>
      <c r="FN139" s="305"/>
      <c r="FO139" s="305"/>
      <c r="FP139" s="305"/>
      <c r="FQ139" s="305"/>
      <c r="FR139" s="305"/>
      <c r="FS139" s="305"/>
      <c r="FT139" s="305"/>
      <c r="FU139" s="305"/>
      <c r="FV139" s="305"/>
      <c r="FW139" s="305"/>
      <c r="FX139" s="305"/>
      <c r="FY139" s="305"/>
      <c r="FZ139" s="305"/>
      <c r="GA139" s="305"/>
      <c r="GB139" s="305"/>
      <c r="GC139" s="305"/>
      <c r="GD139" s="305"/>
      <c r="GE139" s="305"/>
      <c r="GF139" s="305"/>
      <c r="GG139" s="305"/>
      <c r="GH139" s="305"/>
      <c r="GI139" s="305"/>
      <c r="GJ139" s="305"/>
      <c r="GK139" s="305"/>
      <c r="GL139" s="305"/>
      <c r="GM139" s="305"/>
      <c r="GN139" s="305"/>
      <c r="GO139" s="305"/>
      <c r="GP139" s="305"/>
      <c r="GQ139" s="305"/>
      <c r="GR139" s="305"/>
    </row>
    <row r="140" spans="3:200" s="318" customFormat="1" ht="12.75" customHeight="1" x14ac:dyDescent="0.2">
      <c r="C140" s="367"/>
      <c r="D140" s="403"/>
      <c r="E140" s="369"/>
      <c r="F140" s="369"/>
      <c r="G140" s="369"/>
      <c r="H140" s="369"/>
      <c r="I140" s="370"/>
      <c r="J140"/>
      <c r="K140" s="371"/>
      <c r="L140" s="371"/>
      <c r="M140" s="371"/>
      <c r="N140" s="371"/>
      <c r="O140" s="305"/>
      <c r="P140" s="305"/>
      <c r="Q140" s="305"/>
      <c r="R140" s="305"/>
      <c r="S140" s="305"/>
      <c r="T140" s="305"/>
      <c r="U140" s="305"/>
      <c r="V140" s="305"/>
      <c r="W140" s="305"/>
      <c r="X140" s="305"/>
      <c r="Y140" s="305"/>
      <c r="Z140" s="305"/>
      <c r="AA140" s="305"/>
      <c r="AB140" s="305"/>
      <c r="AC140" s="305"/>
      <c r="AD140" s="305"/>
      <c r="AE140" s="305"/>
      <c r="AF140" s="305"/>
      <c r="AG140" s="305"/>
      <c r="AH140" s="305"/>
      <c r="AI140" s="305"/>
      <c r="AJ140" s="305"/>
      <c r="AK140" s="305"/>
      <c r="AL140" s="305"/>
      <c r="AM140" s="305"/>
      <c r="AN140" s="305"/>
      <c r="AO140" s="305"/>
      <c r="AP140" s="305"/>
      <c r="AQ140" s="305"/>
      <c r="AR140" s="305"/>
      <c r="AS140" s="305"/>
      <c r="AT140" s="305"/>
      <c r="AU140" s="305"/>
      <c r="AV140" s="305"/>
      <c r="AW140" s="305"/>
      <c r="AX140" s="305"/>
      <c r="AY140" s="305"/>
      <c r="AZ140" s="305"/>
      <c r="BA140" s="305"/>
      <c r="BB140" s="305"/>
      <c r="BC140" s="305"/>
      <c r="BD140" s="305"/>
      <c r="BE140" s="305"/>
      <c r="BF140" s="305"/>
      <c r="BG140" s="305"/>
      <c r="BH140" s="305"/>
      <c r="BI140" s="305"/>
      <c r="BJ140" s="305"/>
      <c r="BK140" s="305"/>
      <c r="BL140" s="305"/>
      <c r="BM140" s="305"/>
      <c r="BN140" s="305"/>
      <c r="BO140" s="305"/>
      <c r="BP140" s="305"/>
      <c r="BQ140" s="305"/>
      <c r="BR140" s="305"/>
      <c r="BS140" s="305"/>
      <c r="BT140" s="305"/>
      <c r="BU140" s="305"/>
      <c r="BV140" s="305"/>
      <c r="BW140" s="305"/>
      <c r="BX140" s="305"/>
      <c r="BY140" s="305"/>
      <c r="BZ140" s="305"/>
      <c r="CA140" s="305"/>
      <c r="CB140" s="305"/>
      <c r="CC140" s="305"/>
      <c r="CD140" s="305"/>
      <c r="CE140" s="305"/>
      <c r="CF140" s="305"/>
      <c r="CG140" s="305"/>
      <c r="CH140" s="305"/>
      <c r="CI140" s="305"/>
      <c r="CJ140" s="305"/>
      <c r="CK140" s="305"/>
      <c r="CL140" s="305"/>
      <c r="CM140" s="305"/>
      <c r="CN140" s="305"/>
      <c r="CO140" s="305"/>
      <c r="CP140" s="305"/>
      <c r="CQ140" s="305"/>
      <c r="CR140" s="305"/>
      <c r="CS140" s="305"/>
      <c r="CT140" s="305"/>
      <c r="CU140" s="305"/>
      <c r="CV140" s="305"/>
      <c r="CW140" s="305"/>
      <c r="CX140" s="305"/>
      <c r="CY140" s="305"/>
      <c r="CZ140" s="305"/>
      <c r="DA140" s="305"/>
      <c r="DB140" s="305"/>
      <c r="DC140" s="305"/>
      <c r="DD140" s="305"/>
      <c r="DE140" s="305"/>
      <c r="DF140" s="305"/>
      <c r="DG140" s="305"/>
      <c r="DH140" s="305"/>
      <c r="DI140" s="305"/>
      <c r="DJ140" s="305"/>
      <c r="DK140" s="305"/>
      <c r="DL140" s="305"/>
      <c r="DM140" s="305"/>
      <c r="DN140" s="305"/>
      <c r="DO140" s="305"/>
      <c r="DP140" s="305"/>
      <c r="DQ140" s="305"/>
      <c r="DR140" s="305"/>
      <c r="DS140" s="305"/>
      <c r="DT140" s="305"/>
      <c r="DU140" s="305"/>
      <c r="DV140" s="305"/>
      <c r="DW140" s="305"/>
      <c r="DX140" s="305"/>
      <c r="DY140" s="305"/>
      <c r="DZ140" s="305"/>
      <c r="EA140" s="305"/>
      <c r="EB140" s="305"/>
      <c r="EC140" s="305"/>
      <c r="ED140" s="305"/>
      <c r="EE140" s="305"/>
      <c r="EF140" s="305"/>
      <c r="EG140" s="305"/>
      <c r="EH140" s="305"/>
      <c r="EI140" s="305"/>
      <c r="EJ140" s="305"/>
      <c r="EK140" s="305"/>
      <c r="EL140" s="305"/>
      <c r="EM140" s="305"/>
      <c r="EN140" s="305"/>
      <c r="EO140" s="305"/>
      <c r="EP140" s="305"/>
      <c r="EQ140" s="305"/>
      <c r="ER140" s="305"/>
      <c r="ES140" s="305"/>
      <c r="ET140" s="305"/>
      <c r="EU140" s="305"/>
      <c r="EV140" s="305"/>
      <c r="EW140" s="305"/>
      <c r="EX140" s="305"/>
      <c r="EY140" s="305"/>
      <c r="EZ140" s="305"/>
      <c r="FA140" s="305"/>
      <c r="FB140" s="305"/>
      <c r="FC140" s="305"/>
      <c r="FD140" s="305"/>
      <c r="FE140" s="305"/>
      <c r="FF140" s="305"/>
      <c r="FG140" s="305"/>
      <c r="FH140" s="305"/>
      <c r="FI140" s="305"/>
      <c r="FJ140" s="305"/>
      <c r="FK140" s="305"/>
      <c r="FL140" s="305"/>
      <c r="FM140" s="305"/>
      <c r="FN140" s="305"/>
      <c r="FO140" s="305"/>
      <c r="FP140" s="305"/>
      <c r="FQ140" s="305"/>
      <c r="FR140" s="305"/>
      <c r="FS140" s="305"/>
      <c r="FT140" s="305"/>
      <c r="FU140" s="305"/>
      <c r="FV140" s="305"/>
      <c r="FW140" s="305"/>
      <c r="FX140" s="305"/>
      <c r="FY140" s="305"/>
      <c r="FZ140" s="305"/>
      <c r="GA140" s="305"/>
      <c r="GB140" s="305"/>
      <c r="GC140" s="305"/>
      <c r="GD140" s="305"/>
      <c r="GE140" s="305"/>
      <c r="GF140" s="305"/>
      <c r="GG140" s="305"/>
      <c r="GH140" s="305"/>
      <c r="GI140" s="305"/>
      <c r="GJ140" s="305"/>
      <c r="GK140" s="305"/>
      <c r="GL140" s="305"/>
      <c r="GM140" s="305"/>
      <c r="GN140" s="305"/>
      <c r="GO140" s="305"/>
      <c r="GP140" s="305"/>
      <c r="GQ140" s="305"/>
      <c r="GR140" s="305"/>
    </row>
    <row r="141" spans="3:200" s="318" customFormat="1" ht="12.75" customHeight="1" x14ac:dyDescent="0.2">
      <c r="C141" s="367"/>
      <c r="D141" s="403"/>
      <c r="E141" s="369"/>
      <c r="F141" s="369"/>
      <c r="G141" s="369"/>
      <c r="H141" s="369"/>
      <c r="I141" s="370"/>
      <c r="J141"/>
      <c r="K141" s="371"/>
      <c r="L141" s="371"/>
      <c r="M141" s="371"/>
      <c r="N141" s="371"/>
      <c r="O141" s="305"/>
      <c r="P141" s="305"/>
      <c r="Q141" s="305"/>
      <c r="R141" s="305"/>
      <c r="S141" s="305"/>
      <c r="T141" s="305"/>
      <c r="U141" s="305"/>
      <c r="V141" s="305"/>
      <c r="W141" s="305"/>
      <c r="X141" s="305"/>
      <c r="Y141" s="305"/>
      <c r="Z141" s="305"/>
      <c r="AA141" s="305"/>
      <c r="AB141" s="305"/>
      <c r="AC141" s="305"/>
      <c r="AD141" s="305"/>
      <c r="AE141" s="305"/>
      <c r="AF141" s="305"/>
      <c r="AG141" s="305"/>
      <c r="AH141" s="305"/>
      <c r="AI141" s="305"/>
      <c r="AJ141" s="305"/>
      <c r="AK141" s="305"/>
      <c r="AL141" s="305"/>
      <c r="AM141" s="305"/>
      <c r="AN141" s="305"/>
      <c r="AO141" s="305"/>
      <c r="AP141" s="305"/>
      <c r="AQ141" s="305"/>
      <c r="AR141" s="305"/>
      <c r="AS141" s="305"/>
      <c r="AT141" s="305"/>
      <c r="AU141" s="305"/>
      <c r="AV141" s="305"/>
      <c r="AW141" s="305"/>
      <c r="AX141" s="305"/>
      <c r="AY141" s="305"/>
      <c r="AZ141" s="305"/>
      <c r="BA141" s="305"/>
      <c r="BB141" s="305"/>
      <c r="BC141" s="305"/>
      <c r="BD141" s="305"/>
      <c r="BE141" s="305"/>
      <c r="BF141" s="305"/>
      <c r="BG141" s="305"/>
      <c r="BH141" s="305"/>
      <c r="BI141" s="305"/>
      <c r="BJ141" s="305"/>
      <c r="BK141" s="305"/>
      <c r="BL141" s="305"/>
      <c r="BM141" s="305"/>
      <c r="BN141" s="305"/>
      <c r="BO141" s="305"/>
      <c r="BP141" s="305"/>
      <c r="BQ141" s="305"/>
      <c r="BR141" s="305"/>
      <c r="BS141" s="305"/>
      <c r="BT141" s="305"/>
      <c r="BU141" s="305"/>
      <c r="BV141" s="305"/>
      <c r="BW141" s="305"/>
      <c r="BX141" s="305"/>
      <c r="BY141" s="305"/>
      <c r="BZ141" s="305"/>
      <c r="CA141" s="305"/>
      <c r="CB141" s="305"/>
      <c r="CC141" s="305"/>
      <c r="CD141" s="305"/>
      <c r="CE141" s="305"/>
      <c r="CF141" s="305"/>
      <c r="CG141" s="305"/>
      <c r="CH141" s="305"/>
      <c r="CI141" s="305"/>
      <c r="CJ141" s="305"/>
      <c r="CK141" s="305"/>
      <c r="CL141" s="305"/>
      <c r="CM141" s="305"/>
      <c r="CN141" s="305"/>
      <c r="CO141" s="305"/>
      <c r="CP141" s="305"/>
      <c r="CQ141" s="305"/>
      <c r="CR141" s="305"/>
      <c r="CS141" s="305"/>
      <c r="CT141" s="305"/>
      <c r="CU141" s="305"/>
      <c r="CV141" s="305"/>
      <c r="CW141" s="305"/>
      <c r="CX141" s="305"/>
      <c r="CY141" s="305"/>
      <c r="CZ141" s="305"/>
      <c r="DA141" s="305"/>
      <c r="DB141" s="305"/>
      <c r="DC141" s="305"/>
      <c r="DD141" s="305"/>
      <c r="DE141" s="305"/>
      <c r="DF141" s="305"/>
      <c r="DG141" s="305"/>
      <c r="DH141" s="305"/>
      <c r="DI141" s="305"/>
      <c r="DJ141" s="305"/>
      <c r="DK141" s="305"/>
      <c r="DL141" s="305"/>
      <c r="DM141" s="305"/>
      <c r="DN141" s="305"/>
      <c r="DO141" s="305"/>
      <c r="DP141" s="305"/>
      <c r="DQ141" s="305"/>
      <c r="DR141" s="305"/>
      <c r="DS141" s="305"/>
      <c r="DT141" s="305"/>
      <c r="DU141" s="305"/>
      <c r="DV141" s="305"/>
      <c r="DW141" s="305"/>
      <c r="DX141" s="305"/>
      <c r="DY141" s="305"/>
      <c r="DZ141" s="305"/>
      <c r="EA141" s="305"/>
      <c r="EB141" s="305"/>
      <c r="EC141" s="305"/>
      <c r="ED141" s="305"/>
      <c r="EE141" s="305"/>
      <c r="EF141" s="305"/>
      <c r="EG141" s="305"/>
      <c r="EH141" s="305"/>
      <c r="EI141" s="305"/>
      <c r="EJ141" s="305"/>
      <c r="EK141" s="305"/>
      <c r="EL141" s="305"/>
      <c r="EM141" s="305"/>
      <c r="EN141" s="305"/>
      <c r="EO141" s="305"/>
      <c r="EP141" s="305"/>
      <c r="EQ141" s="305"/>
      <c r="ER141" s="305"/>
      <c r="ES141" s="305"/>
      <c r="ET141" s="305"/>
      <c r="EU141" s="305"/>
      <c r="EV141" s="305"/>
      <c r="EW141" s="305"/>
      <c r="EX141" s="305"/>
      <c r="EY141" s="305"/>
      <c r="EZ141" s="305"/>
      <c r="FA141" s="305"/>
      <c r="FB141" s="305"/>
      <c r="FC141" s="305"/>
      <c r="FD141" s="305"/>
      <c r="FE141" s="305"/>
      <c r="FF141" s="305"/>
      <c r="FG141" s="305"/>
      <c r="FH141" s="305"/>
      <c r="FI141" s="305"/>
      <c r="FJ141" s="305"/>
      <c r="FK141" s="305"/>
      <c r="FL141" s="305"/>
      <c r="FM141" s="305"/>
      <c r="FN141" s="305"/>
      <c r="FO141" s="305"/>
      <c r="FP141" s="305"/>
      <c r="FQ141" s="305"/>
      <c r="FR141" s="305"/>
      <c r="FS141" s="305"/>
      <c r="FT141" s="305"/>
      <c r="FU141" s="305"/>
      <c r="FV141" s="305"/>
      <c r="FW141" s="305"/>
      <c r="FX141" s="305"/>
      <c r="FY141" s="305"/>
      <c r="FZ141" s="305"/>
      <c r="GA141" s="305"/>
      <c r="GB141" s="305"/>
      <c r="GC141" s="305"/>
      <c r="GD141" s="305"/>
      <c r="GE141" s="305"/>
      <c r="GF141" s="305"/>
      <c r="GG141" s="305"/>
      <c r="GH141" s="305"/>
      <c r="GI141" s="305"/>
      <c r="GJ141" s="305"/>
      <c r="GK141" s="305"/>
      <c r="GL141" s="305"/>
      <c r="GM141" s="305"/>
      <c r="GN141" s="305"/>
      <c r="GO141" s="305"/>
      <c r="GP141" s="305"/>
      <c r="GQ141" s="305"/>
      <c r="GR141" s="305"/>
    </row>
    <row r="142" spans="3:200" s="318" customFormat="1" ht="12.75" customHeight="1" x14ac:dyDescent="0.2">
      <c r="C142" s="367"/>
      <c r="D142" s="403"/>
      <c r="E142" s="369"/>
      <c r="F142" s="369"/>
      <c r="G142" s="369"/>
      <c r="H142" s="369"/>
      <c r="I142" s="370"/>
      <c r="J142"/>
      <c r="K142" s="371"/>
      <c r="L142" s="371"/>
      <c r="M142" s="371"/>
      <c r="N142" s="371"/>
      <c r="O142" s="305"/>
      <c r="P142" s="305"/>
      <c r="Q142" s="305"/>
      <c r="R142" s="305"/>
      <c r="S142" s="305"/>
      <c r="T142" s="305"/>
      <c r="U142" s="305"/>
      <c r="V142" s="305"/>
      <c r="W142" s="305"/>
      <c r="X142" s="305"/>
      <c r="Y142" s="305"/>
      <c r="Z142" s="305"/>
      <c r="AA142" s="305"/>
      <c r="AB142" s="305"/>
      <c r="AC142" s="305"/>
      <c r="AD142" s="305"/>
      <c r="AE142" s="305"/>
      <c r="AF142" s="305"/>
      <c r="AG142" s="305"/>
      <c r="AH142" s="305"/>
      <c r="AI142" s="305"/>
      <c r="AJ142" s="305"/>
      <c r="AK142" s="305"/>
      <c r="AL142" s="305"/>
      <c r="AM142" s="305"/>
      <c r="AN142" s="305"/>
      <c r="AO142" s="305"/>
      <c r="AP142" s="305"/>
      <c r="AQ142" s="305"/>
      <c r="AR142" s="305"/>
      <c r="AS142" s="305"/>
      <c r="AT142" s="305"/>
      <c r="AU142" s="305"/>
      <c r="AV142" s="305"/>
      <c r="AW142" s="305"/>
      <c r="AX142" s="305"/>
      <c r="AY142" s="305"/>
      <c r="AZ142" s="305"/>
      <c r="BA142" s="305"/>
      <c r="BB142" s="305"/>
      <c r="BC142" s="305"/>
      <c r="BD142" s="305"/>
      <c r="BE142" s="305"/>
      <c r="BF142" s="305"/>
      <c r="BG142" s="305"/>
      <c r="BH142" s="305"/>
      <c r="BI142" s="305"/>
      <c r="BJ142" s="305"/>
      <c r="BK142" s="305"/>
      <c r="BL142" s="305"/>
      <c r="BM142" s="305"/>
      <c r="BN142" s="305"/>
      <c r="BO142" s="305"/>
      <c r="BP142" s="305"/>
      <c r="BQ142" s="305"/>
      <c r="BR142" s="305"/>
      <c r="BS142" s="305"/>
      <c r="BT142" s="305"/>
      <c r="BU142" s="305"/>
      <c r="BV142" s="305"/>
      <c r="BW142" s="305"/>
      <c r="BX142" s="305"/>
      <c r="BY142" s="305"/>
      <c r="BZ142" s="305"/>
      <c r="CA142" s="305"/>
      <c r="CB142" s="305"/>
      <c r="CC142" s="305"/>
      <c r="CD142" s="305"/>
      <c r="CE142" s="305"/>
      <c r="CF142" s="305"/>
      <c r="CG142" s="305"/>
      <c r="CH142" s="305"/>
      <c r="CI142" s="305"/>
      <c r="CJ142" s="305"/>
      <c r="CK142" s="305"/>
      <c r="CL142" s="305"/>
      <c r="CM142" s="305"/>
      <c r="CN142" s="305"/>
      <c r="CO142" s="305"/>
      <c r="CP142" s="305"/>
      <c r="CQ142" s="305"/>
      <c r="CR142" s="305"/>
      <c r="CS142" s="305"/>
      <c r="CT142" s="305"/>
      <c r="CU142" s="305"/>
      <c r="CV142" s="305"/>
      <c r="CW142" s="305"/>
      <c r="CX142" s="305"/>
      <c r="CY142" s="305"/>
      <c r="CZ142" s="305"/>
      <c r="DA142" s="305"/>
      <c r="DB142" s="305"/>
      <c r="DC142" s="305"/>
      <c r="DD142" s="305"/>
      <c r="DE142" s="305"/>
      <c r="DF142" s="305"/>
      <c r="DG142" s="305"/>
      <c r="DH142" s="305"/>
      <c r="DI142" s="305"/>
      <c r="DJ142" s="305"/>
      <c r="DK142" s="305"/>
      <c r="DL142" s="305"/>
      <c r="DM142" s="305"/>
      <c r="DN142" s="305"/>
      <c r="DO142" s="305"/>
      <c r="DP142" s="305"/>
      <c r="DQ142" s="305"/>
      <c r="DR142" s="305"/>
      <c r="DS142" s="305"/>
      <c r="DT142" s="305"/>
      <c r="DU142" s="305"/>
      <c r="DV142" s="305"/>
      <c r="DW142" s="305"/>
      <c r="DX142" s="305"/>
      <c r="DY142" s="305"/>
      <c r="DZ142" s="305"/>
      <c r="EA142" s="305"/>
      <c r="EB142" s="305"/>
      <c r="EC142" s="305"/>
      <c r="ED142" s="305"/>
      <c r="EE142" s="305"/>
      <c r="EF142" s="305"/>
      <c r="EG142" s="305"/>
      <c r="EH142" s="305"/>
      <c r="EI142" s="305"/>
      <c r="EJ142" s="305"/>
      <c r="EK142" s="305"/>
      <c r="EL142" s="305"/>
      <c r="EM142" s="305"/>
      <c r="EN142" s="305"/>
      <c r="EO142" s="305"/>
      <c r="EP142" s="305"/>
      <c r="EQ142" s="305"/>
      <c r="ER142" s="305"/>
      <c r="ES142" s="305"/>
      <c r="ET142" s="305"/>
      <c r="EU142" s="305"/>
      <c r="EV142" s="305"/>
      <c r="EW142" s="305"/>
      <c r="EX142" s="305"/>
      <c r="EY142" s="305"/>
      <c r="EZ142" s="305"/>
      <c r="FA142" s="305"/>
      <c r="FB142" s="305"/>
      <c r="FC142" s="305"/>
      <c r="FD142" s="305"/>
      <c r="FE142" s="305"/>
      <c r="FF142" s="305"/>
      <c r="FG142" s="305"/>
      <c r="FH142" s="305"/>
      <c r="FI142" s="305"/>
      <c r="FJ142" s="305"/>
      <c r="FK142" s="305"/>
      <c r="FL142" s="305"/>
      <c r="FM142" s="305"/>
      <c r="FN142" s="305"/>
      <c r="FO142" s="305"/>
      <c r="FP142" s="305"/>
      <c r="FQ142" s="305"/>
      <c r="FR142" s="305"/>
      <c r="FS142" s="305"/>
      <c r="FT142" s="305"/>
      <c r="FU142" s="305"/>
      <c r="FV142" s="305"/>
      <c r="FW142" s="305"/>
      <c r="FX142" s="305"/>
      <c r="FY142" s="305"/>
      <c r="FZ142" s="305"/>
      <c r="GA142" s="305"/>
      <c r="GB142" s="305"/>
      <c r="GC142" s="305"/>
      <c r="GD142" s="305"/>
      <c r="GE142" s="305"/>
      <c r="GF142" s="305"/>
      <c r="GG142" s="305"/>
      <c r="GH142" s="305"/>
      <c r="GI142" s="305"/>
      <c r="GJ142" s="305"/>
      <c r="GK142" s="305"/>
      <c r="GL142" s="305"/>
      <c r="GM142" s="305"/>
      <c r="GN142" s="305"/>
      <c r="GO142" s="305"/>
      <c r="GP142" s="305"/>
      <c r="GQ142" s="305"/>
      <c r="GR142" s="305"/>
    </row>
    <row r="143" spans="3:200" s="318" customFormat="1" ht="12.75" customHeight="1" x14ac:dyDescent="0.2">
      <c r="C143" s="367"/>
      <c r="D143" s="403"/>
      <c r="E143" s="369"/>
      <c r="F143" s="369"/>
      <c r="G143" s="369"/>
      <c r="H143" s="369"/>
      <c r="I143" s="370"/>
      <c r="J143"/>
      <c r="K143" s="371"/>
      <c r="L143" s="371"/>
      <c r="M143" s="371"/>
      <c r="N143" s="371"/>
      <c r="O143" s="305"/>
      <c r="P143" s="305"/>
      <c r="Q143" s="305"/>
      <c r="R143" s="305"/>
      <c r="S143" s="305"/>
      <c r="T143" s="305"/>
      <c r="U143" s="305"/>
      <c r="V143" s="305"/>
      <c r="W143" s="305"/>
      <c r="X143" s="305"/>
      <c r="Y143" s="305"/>
      <c r="Z143" s="305"/>
      <c r="AA143" s="305"/>
      <c r="AB143" s="305"/>
      <c r="AC143" s="305"/>
      <c r="AD143" s="305"/>
      <c r="AE143" s="305"/>
      <c r="AF143" s="305"/>
      <c r="AG143" s="305"/>
      <c r="AH143" s="305"/>
      <c r="AI143" s="305"/>
      <c r="AJ143" s="305"/>
      <c r="AK143" s="305"/>
      <c r="AL143" s="305"/>
      <c r="AM143" s="305"/>
      <c r="AN143" s="305"/>
      <c r="AO143" s="305"/>
      <c r="AP143" s="305"/>
      <c r="AQ143" s="305"/>
      <c r="AR143" s="305"/>
      <c r="AS143" s="305"/>
      <c r="AT143" s="305"/>
      <c r="AU143" s="305"/>
      <c r="AV143" s="305"/>
      <c r="AW143" s="305"/>
      <c r="AX143" s="305"/>
      <c r="AY143" s="305"/>
      <c r="AZ143" s="305"/>
      <c r="BA143" s="305"/>
      <c r="BB143" s="305"/>
      <c r="BC143" s="305"/>
      <c r="BD143" s="305"/>
      <c r="BE143" s="305"/>
      <c r="BF143" s="305"/>
      <c r="BG143" s="305"/>
      <c r="BH143" s="305"/>
      <c r="BI143" s="305"/>
      <c r="BJ143" s="305"/>
      <c r="BK143" s="305"/>
      <c r="BL143" s="305"/>
      <c r="BM143" s="305"/>
      <c r="BN143" s="305"/>
      <c r="BO143" s="305"/>
      <c r="BP143" s="305"/>
      <c r="BQ143" s="305"/>
      <c r="BR143" s="305"/>
      <c r="BS143" s="305"/>
      <c r="BT143" s="305"/>
      <c r="BU143" s="305"/>
      <c r="BV143" s="305"/>
      <c r="BW143" s="305"/>
      <c r="BX143" s="305"/>
      <c r="BY143" s="305"/>
      <c r="BZ143" s="305"/>
      <c r="CA143" s="305"/>
      <c r="CB143" s="305"/>
      <c r="CC143" s="305"/>
      <c r="CD143" s="305"/>
      <c r="CE143" s="305"/>
      <c r="CF143" s="305"/>
      <c r="CG143" s="305"/>
      <c r="CH143" s="305"/>
      <c r="CI143" s="305"/>
      <c r="CJ143" s="305"/>
      <c r="CK143" s="305"/>
      <c r="CL143" s="305"/>
      <c r="CM143" s="305"/>
      <c r="CN143" s="305"/>
      <c r="CO143" s="305"/>
      <c r="CP143" s="305"/>
      <c r="CQ143" s="305"/>
      <c r="CR143" s="305"/>
      <c r="CS143" s="305"/>
      <c r="CT143" s="305"/>
      <c r="CU143" s="305"/>
      <c r="CV143" s="305"/>
      <c r="CW143" s="305"/>
      <c r="CX143" s="305"/>
      <c r="CY143" s="305"/>
      <c r="CZ143" s="305"/>
      <c r="DA143" s="305"/>
      <c r="DB143" s="305"/>
      <c r="DC143" s="305"/>
      <c r="DD143" s="305"/>
      <c r="DE143" s="305"/>
      <c r="DF143" s="305"/>
      <c r="DG143" s="305"/>
      <c r="DH143" s="305"/>
      <c r="DI143" s="305"/>
      <c r="DJ143" s="305"/>
      <c r="DK143" s="305"/>
      <c r="DL143" s="305"/>
      <c r="DM143" s="305"/>
      <c r="DN143" s="305"/>
      <c r="DO143" s="305"/>
      <c r="DP143" s="305"/>
      <c r="DQ143" s="305"/>
      <c r="DR143" s="305"/>
      <c r="DS143" s="305"/>
      <c r="DT143" s="305"/>
      <c r="DU143" s="305"/>
      <c r="DV143" s="305"/>
      <c r="DW143" s="305"/>
      <c r="DX143" s="305"/>
      <c r="DY143" s="305"/>
      <c r="DZ143" s="305"/>
      <c r="EA143" s="305"/>
      <c r="EB143" s="305"/>
      <c r="EC143" s="305"/>
      <c r="ED143" s="305"/>
      <c r="EE143" s="305"/>
      <c r="EF143" s="305"/>
      <c r="EG143" s="305"/>
      <c r="EH143" s="305"/>
      <c r="EI143" s="305"/>
      <c r="EJ143" s="305"/>
      <c r="EK143" s="305"/>
      <c r="EL143" s="305"/>
      <c r="EM143" s="305"/>
      <c r="EN143" s="305"/>
      <c r="EO143" s="305"/>
      <c r="EP143" s="305"/>
      <c r="EQ143" s="305"/>
      <c r="ER143" s="305"/>
      <c r="ES143" s="305"/>
      <c r="ET143" s="305"/>
      <c r="EU143" s="305"/>
      <c r="EV143" s="305"/>
      <c r="EW143" s="305"/>
      <c r="EX143" s="305"/>
      <c r="EY143" s="305"/>
      <c r="EZ143" s="305"/>
      <c r="FA143" s="305"/>
      <c r="FB143" s="305"/>
      <c r="FC143" s="305"/>
      <c r="FD143" s="305"/>
      <c r="FE143" s="305"/>
      <c r="FF143" s="305"/>
      <c r="FG143" s="305"/>
      <c r="FH143" s="305"/>
      <c r="FI143" s="305"/>
      <c r="FJ143" s="305"/>
      <c r="FK143" s="305"/>
      <c r="FL143" s="305"/>
      <c r="FM143" s="305"/>
      <c r="FN143" s="305"/>
      <c r="FO143" s="305"/>
      <c r="FP143" s="305"/>
      <c r="FQ143" s="305"/>
      <c r="FR143" s="305"/>
      <c r="FS143" s="305"/>
      <c r="FT143" s="305"/>
      <c r="FU143" s="305"/>
      <c r="FV143" s="305"/>
      <c r="FW143" s="305"/>
      <c r="FX143" s="305"/>
      <c r="FY143" s="305"/>
      <c r="FZ143" s="305"/>
      <c r="GA143" s="305"/>
      <c r="GB143" s="305"/>
      <c r="GC143" s="305"/>
      <c r="GD143" s="305"/>
      <c r="GE143" s="305"/>
      <c r="GF143" s="305"/>
      <c r="GG143" s="305"/>
      <c r="GH143" s="305"/>
      <c r="GI143" s="305"/>
      <c r="GJ143" s="305"/>
      <c r="GK143" s="305"/>
      <c r="GL143" s="305"/>
      <c r="GM143" s="305"/>
      <c r="GN143" s="305"/>
      <c r="GO143" s="305"/>
      <c r="GP143" s="305"/>
      <c r="GQ143" s="305"/>
      <c r="GR143" s="305"/>
    </row>
    <row r="144" spans="3:200" s="318" customFormat="1" ht="12.75" customHeight="1" x14ac:dyDescent="0.2">
      <c r="C144" s="367"/>
      <c r="D144" s="403"/>
      <c r="E144" s="369"/>
      <c r="F144" s="369"/>
      <c r="G144" s="369"/>
      <c r="H144" s="369"/>
      <c r="I144" s="370"/>
      <c r="J144"/>
      <c r="K144" s="371"/>
      <c r="L144" s="371"/>
      <c r="M144" s="371"/>
      <c r="N144" s="371"/>
      <c r="O144" s="305"/>
      <c r="P144" s="305"/>
      <c r="Q144" s="305"/>
      <c r="R144" s="305"/>
      <c r="S144" s="305"/>
      <c r="T144" s="305"/>
      <c r="U144" s="305"/>
      <c r="V144" s="305"/>
      <c r="W144" s="305"/>
      <c r="X144" s="305"/>
      <c r="Y144" s="305"/>
      <c r="Z144" s="305"/>
      <c r="AA144" s="305"/>
      <c r="AB144" s="305"/>
      <c r="AC144" s="305"/>
      <c r="AD144" s="305"/>
      <c r="AE144" s="305"/>
      <c r="AF144" s="305"/>
      <c r="AG144" s="305"/>
      <c r="AH144" s="305"/>
      <c r="AI144" s="305"/>
      <c r="AJ144" s="305"/>
      <c r="AK144" s="305"/>
      <c r="AL144" s="305"/>
      <c r="AM144" s="305"/>
      <c r="AN144" s="305"/>
      <c r="AO144" s="305"/>
      <c r="AP144" s="305"/>
      <c r="AQ144" s="305"/>
      <c r="AR144" s="305"/>
      <c r="AS144" s="305"/>
      <c r="AT144" s="305"/>
      <c r="AU144" s="305"/>
      <c r="AV144" s="305"/>
      <c r="AW144" s="305"/>
      <c r="AX144" s="305"/>
      <c r="AY144" s="305"/>
      <c r="AZ144" s="305"/>
      <c r="BA144" s="305"/>
      <c r="BB144" s="305"/>
      <c r="BC144" s="305"/>
      <c r="BD144" s="305"/>
      <c r="BE144" s="305"/>
      <c r="BF144" s="305"/>
      <c r="BG144" s="305"/>
      <c r="BH144" s="305"/>
      <c r="BI144" s="305"/>
      <c r="BJ144" s="305"/>
      <c r="BK144" s="305"/>
      <c r="BL144" s="305"/>
      <c r="BM144" s="305"/>
      <c r="BN144" s="305"/>
      <c r="BO144" s="305"/>
      <c r="BP144" s="305"/>
      <c r="BQ144" s="305"/>
      <c r="BR144" s="305"/>
      <c r="BS144" s="305"/>
      <c r="BT144" s="305"/>
      <c r="BU144" s="305"/>
      <c r="BV144" s="305"/>
      <c r="BW144" s="305"/>
      <c r="BX144" s="305"/>
      <c r="BY144" s="305"/>
      <c r="BZ144" s="305"/>
      <c r="CA144" s="305"/>
      <c r="CB144" s="305"/>
      <c r="CC144" s="305"/>
      <c r="CD144" s="305"/>
      <c r="CE144" s="305"/>
      <c r="CF144" s="305"/>
      <c r="CG144" s="305"/>
      <c r="CH144" s="305"/>
      <c r="CI144" s="305"/>
      <c r="CJ144" s="305"/>
      <c r="CK144" s="305"/>
      <c r="CL144" s="305"/>
      <c r="CM144" s="305"/>
      <c r="CN144" s="305"/>
      <c r="CO144" s="305"/>
      <c r="CP144" s="305"/>
      <c r="CQ144" s="305"/>
      <c r="CR144" s="305"/>
      <c r="CS144" s="305"/>
      <c r="CT144" s="305"/>
      <c r="CU144" s="305"/>
      <c r="CV144" s="305"/>
      <c r="CW144" s="305"/>
      <c r="CX144" s="305"/>
      <c r="CY144" s="305"/>
      <c r="CZ144" s="305"/>
      <c r="DA144" s="305"/>
      <c r="DB144" s="305"/>
      <c r="DC144" s="305"/>
      <c r="DD144" s="305"/>
      <c r="DE144" s="305"/>
      <c r="DF144" s="305"/>
      <c r="DG144" s="305"/>
      <c r="DH144" s="305"/>
      <c r="DI144" s="305"/>
      <c r="DJ144" s="305"/>
      <c r="DK144" s="305"/>
      <c r="DL144" s="305"/>
      <c r="DM144" s="305"/>
      <c r="DN144" s="305"/>
      <c r="DO144" s="305"/>
      <c r="DP144" s="305"/>
      <c r="DQ144" s="305"/>
      <c r="DR144" s="305"/>
      <c r="DS144" s="305"/>
      <c r="DT144" s="305"/>
      <c r="DU144" s="305"/>
      <c r="DV144" s="305"/>
      <c r="DW144" s="305"/>
      <c r="DX144" s="305"/>
      <c r="DY144" s="305"/>
      <c r="DZ144" s="305"/>
      <c r="EA144" s="305"/>
      <c r="EB144" s="305"/>
      <c r="EC144" s="305"/>
      <c r="ED144" s="305"/>
      <c r="EE144" s="305"/>
      <c r="EF144" s="305"/>
      <c r="EG144" s="305"/>
      <c r="EH144" s="305"/>
      <c r="EI144" s="305"/>
      <c r="EJ144" s="305"/>
      <c r="EK144" s="305"/>
      <c r="EL144" s="305"/>
      <c r="EM144" s="305"/>
      <c r="EN144" s="305"/>
      <c r="EO144" s="305"/>
      <c r="EP144" s="305"/>
      <c r="EQ144" s="305"/>
      <c r="ER144" s="305"/>
      <c r="ES144" s="305"/>
      <c r="ET144" s="305"/>
      <c r="EU144" s="305"/>
      <c r="EV144" s="305"/>
      <c r="EW144" s="305"/>
      <c r="EX144" s="305"/>
      <c r="EY144" s="305"/>
      <c r="EZ144" s="305"/>
      <c r="FA144" s="305"/>
      <c r="FB144" s="305"/>
      <c r="FC144" s="305"/>
      <c r="FD144" s="305"/>
      <c r="FE144" s="305"/>
      <c r="FF144" s="305"/>
      <c r="FG144" s="305"/>
      <c r="FH144" s="305"/>
      <c r="FI144" s="305"/>
      <c r="FJ144" s="305"/>
      <c r="FK144" s="305"/>
      <c r="FL144" s="305"/>
      <c r="FM144" s="305"/>
      <c r="FN144" s="305"/>
      <c r="FO144" s="305"/>
      <c r="FP144" s="305"/>
      <c r="FQ144" s="305"/>
      <c r="FR144" s="305"/>
      <c r="FS144" s="305"/>
      <c r="FT144" s="305"/>
      <c r="FU144" s="305"/>
      <c r="FV144" s="305"/>
      <c r="FW144" s="305"/>
      <c r="FX144" s="305"/>
      <c r="FY144" s="305"/>
      <c r="FZ144" s="305"/>
      <c r="GA144" s="305"/>
      <c r="GB144" s="305"/>
      <c r="GC144" s="305"/>
      <c r="GD144" s="305"/>
      <c r="GE144" s="305"/>
      <c r="GF144" s="305"/>
      <c r="GG144" s="305"/>
      <c r="GH144" s="305"/>
      <c r="GI144" s="305"/>
      <c r="GJ144" s="305"/>
      <c r="GK144" s="305"/>
      <c r="GL144" s="305"/>
      <c r="GM144" s="305"/>
      <c r="GN144" s="305"/>
      <c r="GO144" s="305"/>
      <c r="GP144" s="305"/>
      <c r="GQ144" s="305"/>
      <c r="GR144" s="305"/>
    </row>
    <row r="145" spans="3:200" s="318" customFormat="1" ht="12.75" customHeight="1" x14ac:dyDescent="0.2">
      <c r="C145" s="367"/>
      <c r="D145" s="403"/>
      <c r="E145" s="369"/>
      <c r="F145" s="369"/>
      <c r="G145" s="369"/>
      <c r="H145" s="369"/>
      <c r="I145" s="370"/>
      <c r="J145"/>
      <c r="K145" s="371"/>
      <c r="L145" s="371"/>
      <c r="M145" s="371"/>
      <c r="N145" s="371"/>
      <c r="O145" s="305"/>
      <c r="P145" s="305"/>
      <c r="Q145" s="305"/>
      <c r="R145" s="305"/>
      <c r="S145" s="305"/>
      <c r="T145" s="305"/>
      <c r="U145" s="305"/>
      <c r="V145" s="305"/>
      <c r="W145" s="305"/>
      <c r="X145" s="305"/>
      <c r="Y145" s="305"/>
      <c r="Z145" s="305"/>
      <c r="AA145" s="305"/>
      <c r="AB145" s="305"/>
      <c r="AC145" s="305"/>
      <c r="AD145" s="305"/>
      <c r="AE145" s="305"/>
      <c r="AF145" s="305"/>
      <c r="AG145" s="305"/>
      <c r="AH145" s="305"/>
      <c r="AI145" s="305"/>
      <c r="AJ145" s="305"/>
      <c r="AK145" s="305"/>
      <c r="AL145" s="305"/>
      <c r="AM145" s="305"/>
      <c r="AN145" s="305"/>
      <c r="AO145" s="305"/>
      <c r="AP145" s="305"/>
      <c r="AQ145" s="305"/>
      <c r="AR145" s="305"/>
      <c r="AS145" s="305"/>
      <c r="AT145" s="305"/>
      <c r="AU145" s="305"/>
      <c r="AV145" s="305"/>
      <c r="AW145" s="305"/>
      <c r="AX145" s="305"/>
      <c r="AY145" s="305"/>
      <c r="AZ145" s="305"/>
      <c r="BA145" s="305"/>
      <c r="BB145" s="305"/>
      <c r="BC145" s="305"/>
      <c r="BD145" s="305"/>
      <c r="BE145" s="305"/>
      <c r="BF145" s="305"/>
      <c r="BG145" s="305"/>
      <c r="BH145" s="305"/>
      <c r="BI145" s="305"/>
      <c r="BJ145" s="305"/>
      <c r="BK145" s="305"/>
      <c r="BL145" s="305"/>
      <c r="BM145" s="305"/>
      <c r="BN145" s="305"/>
      <c r="BO145" s="305"/>
      <c r="BP145" s="305"/>
      <c r="BQ145" s="305"/>
      <c r="BR145" s="305"/>
      <c r="BS145" s="305"/>
      <c r="BT145" s="305"/>
      <c r="BU145" s="305"/>
      <c r="BV145" s="305"/>
      <c r="BW145" s="305"/>
      <c r="BX145" s="305"/>
      <c r="BY145" s="305"/>
      <c r="BZ145" s="305"/>
      <c r="CA145" s="305"/>
      <c r="CB145" s="305"/>
      <c r="CC145" s="305"/>
      <c r="CD145" s="305"/>
      <c r="CE145" s="305"/>
      <c r="CF145" s="305"/>
      <c r="CG145" s="305"/>
      <c r="CH145" s="305"/>
      <c r="CI145" s="305"/>
      <c r="CJ145" s="305"/>
      <c r="CK145" s="305"/>
      <c r="CL145" s="305"/>
      <c r="CM145" s="305"/>
      <c r="CN145" s="305"/>
      <c r="CO145" s="305"/>
      <c r="CP145" s="305"/>
      <c r="CQ145" s="305"/>
      <c r="CR145" s="305"/>
      <c r="CS145" s="305"/>
      <c r="CT145" s="305"/>
      <c r="CU145" s="305"/>
      <c r="CV145" s="305"/>
      <c r="CW145" s="305"/>
      <c r="CX145" s="305"/>
      <c r="CY145" s="305"/>
      <c r="CZ145" s="305"/>
      <c r="DA145" s="305"/>
      <c r="DB145" s="305"/>
      <c r="DC145" s="305"/>
      <c r="DD145" s="305"/>
      <c r="DE145" s="305"/>
      <c r="DF145" s="305"/>
      <c r="DG145" s="305"/>
      <c r="DH145" s="305"/>
      <c r="DI145" s="305"/>
      <c r="DJ145" s="305"/>
      <c r="DK145" s="305"/>
      <c r="DL145" s="305"/>
      <c r="DM145" s="305"/>
      <c r="DN145" s="305"/>
      <c r="DO145" s="305"/>
      <c r="DP145" s="305"/>
      <c r="DQ145" s="305"/>
      <c r="DR145" s="305"/>
      <c r="DS145" s="305"/>
      <c r="DT145" s="305"/>
      <c r="DU145" s="305"/>
      <c r="DV145" s="305"/>
      <c r="DW145" s="305"/>
      <c r="DX145" s="305"/>
      <c r="DY145" s="305"/>
      <c r="DZ145" s="305"/>
      <c r="EA145" s="305"/>
      <c r="EB145" s="305"/>
      <c r="EC145" s="305"/>
      <c r="ED145" s="305"/>
      <c r="EE145" s="305"/>
      <c r="EF145" s="305"/>
      <c r="EG145" s="305"/>
      <c r="EH145" s="305"/>
      <c r="EI145" s="305"/>
      <c r="EJ145" s="305"/>
      <c r="EK145" s="305"/>
      <c r="EL145" s="305"/>
      <c r="EM145" s="305"/>
      <c r="EN145" s="305"/>
      <c r="EO145" s="305"/>
      <c r="EP145" s="305"/>
      <c r="EQ145" s="305"/>
      <c r="ER145" s="305"/>
      <c r="ES145" s="305"/>
      <c r="ET145" s="305"/>
      <c r="EU145" s="305"/>
      <c r="EV145" s="305"/>
      <c r="EW145" s="305"/>
      <c r="EX145" s="305"/>
      <c r="EY145" s="305"/>
      <c r="EZ145" s="305"/>
      <c r="FA145" s="305"/>
      <c r="FB145" s="305"/>
      <c r="FC145" s="305"/>
      <c r="FD145" s="305"/>
      <c r="FE145" s="305"/>
      <c r="FF145" s="305"/>
      <c r="FG145" s="305"/>
      <c r="FH145" s="305"/>
      <c r="FI145" s="305"/>
      <c r="FJ145" s="305"/>
      <c r="FK145" s="305"/>
      <c r="FL145" s="305"/>
      <c r="FM145" s="305"/>
      <c r="FN145" s="305"/>
      <c r="FO145" s="305"/>
      <c r="FP145" s="305"/>
      <c r="FQ145" s="305"/>
      <c r="FR145" s="305"/>
      <c r="FS145" s="305"/>
      <c r="FT145" s="305"/>
      <c r="FU145" s="305"/>
      <c r="FV145" s="305"/>
      <c r="FW145" s="305"/>
      <c r="FX145" s="305"/>
      <c r="FY145" s="305"/>
      <c r="FZ145" s="305"/>
      <c r="GA145" s="305"/>
      <c r="GB145" s="305"/>
      <c r="GC145" s="305"/>
      <c r="GD145" s="305"/>
      <c r="GE145" s="305"/>
      <c r="GF145" s="305"/>
      <c r="GG145" s="305"/>
      <c r="GH145" s="305"/>
      <c r="GI145" s="305"/>
      <c r="GJ145" s="305"/>
      <c r="GK145" s="305"/>
      <c r="GL145" s="305"/>
      <c r="GM145" s="305"/>
      <c r="GN145" s="305"/>
      <c r="GO145" s="305"/>
      <c r="GP145" s="305"/>
      <c r="GQ145" s="305"/>
      <c r="GR145" s="305"/>
    </row>
    <row r="146" spans="3:200" s="318" customFormat="1" ht="12.75" customHeight="1" x14ac:dyDescent="0.2">
      <c r="C146" s="367"/>
      <c r="D146" s="403"/>
      <c r="E146" s="369"/>
      <c r="F146" s="369"/>
      <c r="G146" s="369"/>
      <c r="H146" s="369"/>
      <c r="I146" s="370"/>
      <c r="J146"/>
      <c r="K146" s="371"/>
      <c r="L146" s="371"/>
      <c r="M146" s="371"/>
      <c r="N146" s="371"/>
      <c r="O146" s="305"/>
      <c r="P146" s="305"/>
      <c r="Q146" s="305"/>
      <c r="R146" s="305"/>
      <c r="S146" s="305"/>
      <c r="T146" s="305"/>
      <c r="U146" s="305"/>
      <c r="V146" s="305"/>
      <c r="W146" s="305"/>
      <c r="X146" s="305"/>
      <c r="Y146" s="305"/>
      <c r="Z146" s="305"/>
      <c r="AA146" s="305"/>
      <c r="AB146" s="305"/>
      <c r="AC146" s="305"/>
      <c r="AD146" s="305"/>
      <c r="AE146" s="305"/>
      <c r="AF146" s="305"/>
      <c r="AG146" s="305"/>
      <c r="AH146" s="305"/>
      <c r="AI146" s="305"/>
      <c r="AJ146" s="305"/>
      <c r="AK146" s="305"/>
      <c r="AL146" s="305"/>
      <c r="AM146" s="305"/>
      <c r="AN146" s="305"/>
      <c r="AO146" s="305"/>
      <c r="AP146" s="305"/>
      <c r="AQ146" s="305"/>
      <c r="AR146" s="305"/>
      <c r="AS146" s="305"/>
      <c r="AT146" s="305"/>
      <c r="AU146" s="305"/>
      <c r="AV146" s="305"/>
      <c r="AW146" s="305"/>
      <c r="AX146" s="305"/>
      <c r="AY146" s="305"/>
      <c r="AZ146" s="305"/>
      <c r="BA146" s="305"/>
      <c r="BB146" s="305"/>
      <c r="BC146" s="305"/>
      <c r="BD146" s="305"/>
      <c r="BE146" s="305"/>
      <c r="BF146" s="305"/>
      <c r="BG146" s="305"/>
      <c r="BH146" s="305"/>
      <c r="BI146" s="305"/>
      <c r="BJ146" s="305"/>
      <c r="BK146" s="305"/>
      <c r="BL146" s="305"/>
      <c r="BM146" s="305"/>
      <c r="BN146" s="305"/>
      <c r="BO146" s="305"/>
      <c r="BP146" s="305"/>
      <c r="BQ146" s="305"/>
      <c r="BR146" s="305"/>
      <c r="BS146" s="305"/>
      <c r="BT146" s="305"/>
      <c r="BU146" s="305"/>
      <c r="BV146" s="305"/>
      <c r="BW146" s="305"/>
      <c r="BX146" s="305"/>
      <c r="BY146" s="305"/>
      <c r="BZ146" s="305"/>
      <c r="CA146" s="305"/>
      <c r="CB146" s="305"/>
      <c r="CC146" s="305"/>
      <c r="CD146" s="305"/>
      <c r="CE146" s="305"/>
      <c r="CF146" s="305"/>
      <c r="CG146" s="305"/>
      <c r="CH146" s="305"/>
      <c r="CI146" s="305"/>
      <c r="CJ146" s="305"/>
      <c r="CK146" s="305"/>
      <c r="CL146" s="305"/>
      <c r="CM146" s="305"/>
      <c r="CN146" s="305"/>
      <c r="CO146" s="305"/>
      <c r="CP146" s="305"/>
      <c r="CQ146" s="305"/>
      <c r="CR146" s="305"/>
      <c r="CS146" s="305"/>
      <c r="CT146" s="305"/>
      <c r="CU146" s="305"/>
      <c r="CV146" s="305"/>
      <c r="CW146" s="305"/>
      <c r="CX146" s="305"/>
      <c r="CY146" s="305"/>
      <c r="CZ146" s="305"/>
      <c r="DA146" s="305"/>
      <c r="DB146" s="305"/>
      <c r="DC146" s="305"/>
      <c r="DD146" s="305"/>
      <c r="DE146" s="305"/>
      <c r="DF146" s="305"/>
      <c r="DG146" s="305"/>
      <c r="DH146" s="305"/>
      <c r="DI146" s="305"/>
      <c r="DJ146" s="305"/>
      <c r="DK146" s="305"/>
      <c r="DL146" s="305"/>
      <c r="DM146" s="305"/>
      <c r="DN146" s="305"/>
      <c r="DO146" s="305"/>
      <c r="DP146" s="305"/>
      <c r="DQ146" s="305"/>
      <c r="DR146" s="305"/>
      <c r="DS146" s="305"/>
      <c r="DT146" s="305"/>
      <c r="DU146" s="305"/>
      <c r="DV146" s="305"/>
      <c r="DW146" s="305"/>
      <c r="DX146" s="305"/>
      <c r="DY146" s="305"/>
      <c r="DZ146" s="305"/>
      <c r="EA146" s="305"/>
      <c r="EB146" s="305"/>
      <c r="EC146" s="305"/>
      <c r="ED146" s="305"/>
      <c r="EE146" s="305"/>
      <c r="EF146" s="305"/>
      <c r="EG146" s="305"/>
      <c r="EH146" s="305"/>
      <c r="EI146" s="305"/>
      <c r="EJ146" s="305"/>
      <c r="EK146" s="305"/>
      <c r="EL146" s="305"/>
      <c r="EM146" s="305"/>
      <c r="EN146" s="305"/>
      <c r="EO146" s="305"/>
      <c r="EP146" s="305"/>
      <c r="EQ146" s="305"/>
      <c r="ER146" s="305"/>
      <c r="ES146" s="305"/>
      <c r="ET146" s="305"/>
      <c r="EU146" s="305"/>
      <c r="EV146" s="305"/>
      <c r="EW146" s="305"/>
      <c r="EX146" s="305"/>
      <c r="EY146" s="305"/>
      <c r="EZ146" s="305"/>
      <c r="FA146" s="305"/>
      <c r="FB146" s="305"/>
      <c r="FC146" s="305"/>
      <c r="FD146" s="305"/>
      <c r="FE146" s="305"/>
      <c r="FF146" s="305"/>
      <c r="FG146" s="305"/>
      <c r="FH146" s="305"/>
      <c r="FI146" s="305"/>
      <c r="FJ146" s="305"/>
      <c r="FK146" s="305"/>
      <c r="FL146" s="305"/>
      <c r="FM146" s="305"/>
      <c r="FN146" s="305"/>
      <c r="FO146" s="305"/>
      <c r="FP146" s="305"/>
      <c r="FQ146" s="305"/>
      <c r="FR146" s="305"/>
      <c r="FS146" s="305"/>
      <c r="FT146" s="305"/>
      <c r="FU146" s="305"/>
      <c r="FV146" s="305"/>
      <c r="FW146" s="305"/>
      <c r="FX146" s="305"/>
      <c r="FY146" s="305"/>
      <c r="FZ146" s="305"/>
      <c r="GA146" s="305"/>
      <c r="GB146" s="305"/>
      <c r="GC146" s="305"/>
      <c r="GD146" s="305"/>
      <c r="GE146" s="305"/>
      <c r="GF146" s="305"/>
      <c r="GG146" s="305"/>
      <c r="GH146" s="305"/>
      <c r="GI146" s="305"/>
      <c r="GJ146" s="305"/>
      <c r="GK146" s="305"/>
      <c r="GL146" s="305"/>
      <c r="GM146" s="305"/>
      <c r="GN146" s="305"/>
      <c r="GO146" s="305"/>
      <c r="GP146" s="305"/>
      <c r="GQ146" s="305"/>
      <c r="GR146" s="305"/>
    </row>
    <row r="147" spans="3:200" s="318" customFormat="1" ht="12.75" customHeight="1" x14ac:dyDescent="0.2">
      <c r="C147" s="367"/>
      <c r="D147" s="403"/>
      <c r="E147" s="369"/>
      <c r="F147" s="369"/>
      <c r="G147" s="369"/>
      <c r="H147" s="369"/>
      <c r="I147" s="370"/>
      <c r="J147"/>
      <c r="K147" s="371"/>
      <c r="L147" s="371"/>
      <c r="M147" s="371"/>
      <c r="N147" s="371"/>
      <c r="O147" s="305"/>
      <c r="P147" s="305"/>
      <c r="Q147" s="305"/>
      <c r="R147" s="305"/>
      <c r="S147" s="305"/>
      <c r="T147" s="305"/>
      <c r="U147" s="305"/>
      <c r="V147" s="305"/>
      <c r="W147" s="305"/>
      <c r="X147" s="305"/>
      <c r="Y147" s="305"/>
      <c r="Z147" s="305"/>
      <c r="AA147" s="305"/>
      <c r="AB147" s="305"/>
      <c r="AC147" s="305"/>
      <c r="AD147" s="305"/>
      <c r="AE147" s="305"/>
      <c r="AF147" s="305"/>
      <c r="AG147" s="305"/>
      <c r="AH147" s="305"/>
      <c r="AI147" s="305"/>
      <c r="AJ147" s="305"/>
      <c r="AK147" s="305"/>
      <c r="AL147" s="305"/>
      <c r="AM147" s="305"/>
      <c r="AN147" s="305"/>
      <c r="AO147" s="305"/>
      <c r="AP147" s="305"/>
      <c r="AQ147" s="305"/>
      <c r="AR147" s="305"/>
      <c r="AS147" s="305"/>
      <c r="AT147" s="305"/>
      <c r="AU147" s="305"/>
      <c r="AV147" s="305"/>
      <c r="AW147" s="305"/>
      <c r="AX147" s="305"/>
      <c r="AY147" s="305"/>
      <c r="AZ147" s="305"/>
      <c r="BA147" s="305"/>
      <c r="BB147" s="305"/>
      <c r="BC147" s="305"/>
      <c r="BD147" s="305"/>
      <c r="BE147" s="305"/>
      <c r="BF147" s="305"/>
      <c r="BG147" s="305"/>
      <c r="BH147" s="305"/>
      <c r="BI147" s="305"/>
      <c r="BJ147" s="305"/>
      <c r="BK147" s="305"/>
      <c r="BL147" s="305"/>
      <c r="BM147" s="305"/>
      <c r="BN147" s="305"/>
      <c r="BO147" s="305"/>
      <c r="BP147" s="305"/>
      <c r="BQ147" s="305"/>
      <c r="BR147" s="305"/>
      <c r="BS147" s="305"/>
      <c r="BT147" s="305"/>
      <c r="BU147" s="305"/>
      <c r="BV147" s="305"/>
      <c r="BW147" s="305"/>
      <c r="BX147" s="305"/>
      <c r="BY147" s="305"/>
      <c r="BZ147" s="305"/>
      <c r="CA147" s="305"/>
      <c r="CB147" s="305"/>
      <c r="CC147" s="305"/>
      <c r="CD147" s="305"/>
      <c r="CE147" s="305"/>
      <c r="CF147" s="305"/>
      <c r="CG147" s="305"/>
      <c r="CH147" s="305"/>
      <c r="CI147" s="305"/>
      <c r="CJ147" s="305"/>
      <c r="CK147" s="305"/>
      <c r="CL147" s="305"/>
      <c r="CM147" s="305"/>
      <c r="CN147" s="305"/>
      <c r="CO147" s="305"/>
      <c r="CP147" s="305"/>
      <c r="CQ147" s="305"/>
      <c r="CR147" s="305"/>
      <c r="CS147" s="305"/>
      <c r="CT147" s="305"/>
      <c r="CU147" s="305"/>
      <c r="CV147" s="305"/>
      <c r="CW147" s="305"/>
      <c r="CX147" s="305"/>
      <c r="CY147" s="305"/>
      <c r="CZ147" s="305"/>
      <c r="DA147" s="305"/>
      <c r="DB147" s="305"/>
      <c r="DC147" s="305"/>
      <c r="DD147" s="305"/>
      <c r="DE147" s="305"/>
      <c r="DF147" s="305"/>
      <c r="DG147" s="305"/>
      <c r="DH147" s="305"/>
      <c r="DI147" s="305"/>
      <c r="DJ147" s="305"/>
      <c r="DK147" s="305"/>
      <c r="DL147" s="305"/>
      <c r="DM147" s="305"/>
      <c r="DN147" s="305"/>
      <c r="DO147" s="305"/>
      <c r="DP147" s="305"/>
      <c r="DQ147" s="305"/>
      <c r="DR147" s="305"/>
      <c r="DS147" s="305"/>
      <c r="DT147" s="305"/>
      <c r="DU147" s="305"/>
      <c r="DV147" s="305"/>
      <c r="DW147" s="305"/>
      <c r="DX147" s="305"/>
      <c r="DY147" s="305"/>
      <c r="DZ147" s="305"/>
      <c r="EA147" s="305"/>
      <c r="EB147" s="305"/>
      <c r="EC147" s="305"/>
      <c r="ED147" s="305"/>
      <c r="EE147" s="305"/>
      <c r="EF147" s="305"/>
      <c r="EG147" s="305"/>
      <c r="EH147" s="305"/>
      <c r="EI147" s="305"/>
      <c r="EJ147" s="305"/>
      <c r="EK147" s="305"/>
      <c r="EL147" s="305"/>
      <c r="EM147" s="305"/>
      <c r="EN147" s="305"/>
      <c r="EO147" s="305"/>
      <c r="EP147" s="305"/>
      <c r="EQ147" s="305"/>
      <c r="ER147" s="305"/>
      <c r="ES147" s="305"/>
      <c r="ET147" s="305"/>
      <c r="EU147" s="305"/>
      <c r="EV147" s="305"/>
      <c r="EW147" s="305"/>
      <c r="EX147" s="305"/>
      <c r="EY147" s="305"/>
      <c r="EZ147" s="305"/>
      <c r="FA147" s="305"/>
      <c r="FB147" s="305"/>
      <c r="FC147" s="305"/>
      <c r="FD147" s="305"/>
      <c r="FE147" s="305"/>
      <c r="FF147" s="305"/>
      <c r="FG147" s="305"/>
      <c r="FH147" s="305"/>
      <c r="FI147" s="305"/>
      <c r="FJ147" s="305"/>
      <c r="FK147" s="305"/>
      <c r="FL147" s="305"/>
      <c r="FM147" s="305"/>
      <c r="FN147" s="305"/>
      <c r="FO147" s="305"/>
      <c r="FP147" s="305"/>
      <c r="FQ147" s="305"/>
      <c r="FR147" s="305"/>
      <c r="FS147" s="305"/>
      <c r="FT147" s="305"/>
      <c r="FU147" s="305"/>
      <c r="FV147" s="305"/>
      <c r="FW147" s="305"/>
      <c r="FX147" s="305"/>
      <c r="FY147" s="305"/>
      <c r="FZ147" s="305"/>
      <c r="GA147" s="305"/>
      <c r="GB147" s="305"/>
      <c r="GC147" s="305"/>
      <c r="GD147" s="305"/>
      <c r="GE147" s="305"/>
      <c r="GF147" s="305"/>
      <c r="GG147" s="305"/>
      <c r="GH147" s="305"/>
      <c r="GI147" s="305"/>
      <c r="GJ147" s="305"/>
      <c r="GK147" s="305"/>
      <c r="GL147" s="305"/>
      <c r="GM147" s="305"/>
      <c r="GN147" s="305"/>
      <c r="GO147" s="305"/>
      <c r="GP147" s="305"/>
      <c r="GQ147" s="305"/>
      <c r="GR147" s="305"/>
    </row>
    <row r="148" spans="3:200" s="318" customFormat="1" ht="12.75" customHeight="1" x14ac:dyDescent="0.2">
      <c r="C148" s="367"/>
      <c r="D148" s="403"/>
      <c r="E148" s="369"/>
      <c r="F148" s="369"/>
      <c r="G148" s="369"/>
      <c r="H148" s="369"/>
      <c r="I148" s="370"/>
      <c r="J148"/>
      <c r="K148" s="371"/>
      <c r="L148" s="371"/>
      <c r="M148" s="371"/>
      <c r="N148" s="371"/>
      <c r="O148" s="305"/>
      <c r="P148" s="305"/>
      <c r="Q148" s="305"/>
      <c r="R148" s="305"/>
      <c r="S148" s="305"/>
      <c r="T148" s="305"/>
      <c r="U148" s="305"/>
      <c r="V148" s="305"/>
      <c r="W148" s="305"/>
      <c r="X148" s="305"/>
      <c r="Y148" s="305"/>
      <c r="Z148" s="305"/>
      <c r="AA148" s="305"/>
      <c r="AB148" s="305"/>
      <c r="AC148" s="305"/>
      <c r="AD148" s="305"/>
      <c r="AE148" s="305"/>
      <c r="AF148" s="305"/>
      <c r="AG148" s="305"/>
      <c r="AH148" s="305"/>
      <c r="AI148" s="305"/>
      <c r="AJ148" s="305"/>
      <c r="AK148" s="305"/>
      <c r="AL148" s="305"/>
      <c r="AM148" s="305"/>
      <c r="AN148" s="305"/>
      <c r="AO148" s="305"/>
      <c r="AP148" s="305"/>
      <c r="AQ148" s="305"/>
      <c r="AR148" s="305"/>
      <c r="AS148" s="305"/>
      <c r="AT148" s="305"/>
      <c r="AU148" s="305"/>
      <c r="AV148" s="305"/>
      <c r="AW148" s="305"/>
      <c r="AX148" s="305"/>
      <c r="AY148" s="305"/>
      <c r="AZ148" s="305"/>
      <c r="BA148" s="305"/>
      <c r="BB148" s="305"/>
      <c r="BC148" s="305"/>
      <c r="BD148" s="305"/>
      <c r="BE148" s="305"/>
      <c r="BF148" s="305"/>
      <c r="BG148" s="305"/>
      <c r="BH148" s="305"/>
      <c r="BI148" s="305"/>
      <c r="BJ148" s="305"/>
      <c r="BK148" s="305"/>
      <c r="BL148" s="305"/>
      <c r="BM148" s="305"/>
      <c r="BN148" s="305"/>
      <c r="BO148" s="305"/>
      <c r="BP148" s="305"/>
      <c r="BQ148" s="305"/>
      <c r="BR148" s="305"/>
      <c r="BS148" s="305"/>
      <c r="BT148" s="305"/>
      <c r="BU148" s="305"/>
      <c r="BV148" s="305"/>
      <c r="BW148" s="305"/>
      <c r="BX148" s="305"/>
      <c r="BY148" s="305"/>
      <c r="BZ148" s="305"/>
      <c r="CA148" s="305"/>
      <c r="CB148" s="305"/>
      <c r="CC148" s="305"/>
      <c r="CD148" s="305"/>
      <c r="CE148" s="305"/>
      <c r="CF148" s="305"/>
      <c r="CG148" s="305"/>
      <c r="CH148" s="305"/>
      <c r="CI148" s="305"/>
      <c r="CJ148" s="305"/>
      <c r="CK148" s="305"/>
      <c r="CL148" s="305"/>
      <c r="CM148" s="305"/>
      <c r="CN148" s="305"/>
      <c r="CO148" s="305"/>
      <c r="CP148" s="305"/>
      <c r="CQ148" s="305"/>
      <c r="CR148" s="305"/>
      <c r="CS148" s="305"/>
      <c r="CT148" s="305"/>
      <c r="CU148" s="305"/>
      <c r="CV148" s="305"/>
      <c r="CW148" s="305"/>
      <c r="CX148" s="305"/>
      <c r="CY148" s="305"/>
      <c r="CZ148" s="305"/>
      <c r="DA148" s="305"/>
      <c r="DB148" s="305"/>
      <c r="DC148" s="305"/>
      <c r="DD148" s="305"/>
      <c r="DE148" s="305"/>
      <c r="DF148" s="305"/>
      <c r="DG148" s="305"/>
      <c r="DH148" s="305"/>
      <c r="DI148" s="305"/>
      <c r="DJ148" s="305"/>
      <c r="DK148" s="305"/>
      <c r="DL148" s="305"/>
      <c r="DM148" s="305"/>
      <c r="DN148" s="305"/>
      <c r="DO148" s="305"/>
      <c r="DP148" s="305"/>
      <c r="DQ148" s="305"/>
      <c r="DR148" s="305"/>
      <c r="DS148" s="305"/>
      <c r="DT148" s="305"/>
      <c r="DU148" s="305"/>
      <c r="DV148" s="305"/>
      <c r="DW148" s="305"/>
      <c r="DX148" s="305"/>
      <c r="DY148" s="305"/>
      <c r="DZ148" s="305"/>
      <c r="EA148" s="305"/>
      <c r="EB148" s="305"/>
      <c r="EC148" s="305"/>
      <c r="ED148" s="305"/>
      <c r="EE148" s="305"/>
      <c r="EF148" s="305"/>
      <c r="EG148" s="305"/>
      <c r="EH148" s="305"/>
      <c r="EI148" s="305"/>
      <c r="EJ148" s="305"/>
      <c r="EK148" s="305"/>
      <c r="EL148" s="305"/>
      <c r="EM148" s="305"/>
      <c r="EN148" s="305"/>
      <c r="EO148" s="305"/>
      <c r="EP148" s="305"/>
      <c r="EQ148" s="305"/>
      <c r="ER148" s="305"/>
      <c r="ES148" s="305"/>
      <c r="ET148" s="305"/>
      <c r="EU148" s="305"/>
      <c r="EV148" s="305"/>
      <c r="EW148" s="305"/>
      <c r="EX148" s="305"/>
      <c r="EY148" s="305"/>
      <c r="EZ148" s="305"/>
      <c r="FA148" s="305"/>
      <c r="FB148" s="305"/>
      <c r="FC148" s="305"/>
      <c r="FD148" s="305"/>
      <c r="FE148" s="305"/>
      <c r="FF148" s="305"/>
      <c r="FG148" s="305"/>
      <c r="FH148" s="305"/>
      <c r="FI148" s="305"/>
      <c r="FJ148" s="305"/>
      <c r="FK148" s="305"/>
      <c r="FL148" s="305"/>
      <c r="FM148" s="305"/>
      <c r="FN148" s="305"/>
      <c r="FO148" s="305"/>
      <c r="FP148" s="305"/>
      <c r="FQ148" s="305"/>
      <c r="FR148" s="305"/>
      <c r="FS148" s="305"/>
      <c r="FT148" s="305"/>
      <c r="FU148" s="305"/>
      <c r="FV148" s="305"/>
      <c r="FW148" s="305"/>
      <c r="FX148" s="305"/>
      <c r="FY148" s="305"/>
      <c r="FZ148" s="305"/>
      <c r="GA148" s="305"/>
      <c r="GB148" s="305"/>
      <c r="GC148" s="305"/>
      <c r="GD148" s="305"/>
      <c r="GE148" s="305"/>
      <c r="GF148" s="305"/>
      <c r="GG148" s="305"/>
      <c r="GH148" s="305"/>
      <c r="GI148" s="305"/>
      <c r="GJ148" s="305"/>
      <c r="GK148" s="305"/>
      <c r="GL148" s="305"/>
      <c r="GM148" s="305"/>
      <c r="GN148" s="305"/>
      <c r="GO148" s="305"/>
      <c r="GP148" s="305"/>
      <c r="GQ148" s="305"/>
      <c r="GR148" s="305"/>
    </row>
    <row r="149" spans="3:200" s="318" customFormat="1" ht="12.75" customHeight="1" x14ac:dyDescent="0.2">
      <c r="C149" s="367"/>
      <c r="D149" s="403"/>
      <c r="E149" s="369"/>
      <c r="F149" s="369"/>
      <c r="G149" s="369"/>
      <c r="H149" s="369"/>
      <c r="I149" s="370"/>
      <c r="J149"/>
      <c r="K149" s="371"/>
      <c r="L149" s="371"/>
      <c r="M149" s="371"/>
      <c r="N149" s="371"/>
      <c r="O149" s="305"/>
      <c r="P149" s="305"/>
      <c r="Q149" s="305"/>
      <c r="R149" s="305"/>
      <c r="S149" s="305"/>
      <c r="T149" s="305"/>
      <c r="U149" s="305"/>
      <c r="V149" s="305"/>
      <c r="W149" s="305"/>
      <c r="X149" s="305"/>
      <c r="Y149" s="305"/>
      <c r="Z149" s="305"/>
      <c r="AA149" s="305"/>
      <c r="AB149" s="305"/>
      <c r="AC149" s="305"/>
      <c r="AD149" s="305"/>
      <c r="AE149" s="305"/>
      <c r="AF149" s="305"/>
      <c r="AG149" s="305"/>
      <c r="AH149" s="305"/>
      <c r="AI149" s="305"/>
      <c r="AJ149" s="305"/>
      <c r="AK149" s="305"/>
      <c r="AL149" s="305"/>
      <c r="AM149" s="305"/>
      <c r="AN149" s="305"/>
      <c r="AO149" s="305"/>
      <c r="AP149" s="305"/>
      <c r="AQ149" s="305"/>
      <c r="AR149" s="305"/>
      <c r="AS149" s="305"/>
      <c r="AT149" s="305"/>
      <c r="AU149" s="305"/>
      <c r="AV149" s="305"/>
      <c r="AW149" s="305"/>
      <c r="AX149" s="305"/>
      <c r="AY149" s="305"/>
      <c r="AZ149" s="305"/>
      <c r="BA149" s="305"/>
      <c r="BB149" s="305"/>
      <c r="BC149" s="305"/>
      <c r="BD149" s="305"/>
      <c r="BE149" s="305"/>
      <c r="BF149" s="305"/>
      <c r="BG149" s="305"/>
      <c r="BH149" s="305"/>
      <c r="BI149" s="305"/>
      <c r="BJ149" s="305"/>
      <c r="BK149" s="305"/>
      <c r="BL149" s="305"/>
      <c r="BM149" s="305"/>
      <c r="BN149" s="305"/>
      <c r="BO149" s="305"/>
      <c r="BP149" s="305"/>
      <c r="BQ149" s="305"/>
      <c r="BR149" s="305"/>
      <c r="BS149" s="305"/>
      <c r="BT149" s="305"/>
      <c r="BU149" s="305"/>
      <c r="BV149" s="305"/>
      <c r="BW149" s="305"/>
      <c r="BX149" s="305"/>
      <c r="BY149" s="305"/>
      <c r="BZ149" s="305"/>
      <c r="CA149" s="305"/>
      <c r="CB149" s="305"/>
      <c r="CC149" s="305"/>
      <c r="CD149" s="305"/>
      <c r="CE149" s="305"/>
      <c r="CF149" s="305"/>
      <c r="CG149" s="305"/>
      <c r="CH149" s="305"/>
      <c r="CI149" s="305"/>
      <c r="CJ149" s="305"/>
      <c r="CK149" s="305"/>
      <c r="CL149" s="305"/>
      <c r="CM149" s="305"/>
      <c r="CN149" s="305"/>
      <c r="CO149" s="305"/>
      <c r="CP149" s="305"/>
      <c r="CQ149" s="305"/>
      <c r="CR149" s="305"/>
      <c r="CS149" s="305"/>
      <c r="CT149" s="305"/>
      <c r="CU149" s="305"/>
      <c r="CV149" s="305"/>
      <c r="CW149" s="305"/>
      <c r="CX149" s="305"/>
      <c r="CY149" s="305"/>
      <c r="CZ149" s="305"/>
      <c r="DA149" s="305"/>
      <c r="DB149" s="305"/>
      <c r="DC149" s="305"/>
      <c r="DD149" s="305"/>
      <c r="DE149" s="305"/>
      <c r="DF149" s="305"/>
      <c r="DG149" s="305"/>
      <c r="DH149" s="305"/>
      <c r="DI149" s="305"/>
      <c r="DJ149" s="305"/>
      <c r="DK149" s="305"/>
      <c r="DL149" s="305"/>
      <c r="DM149" s="305"/>
      <c r="DN149" s="305"/>
      <c r="DO149" s="305"/>
      <c r="DP149" s="305"/>
      <c r="DQ149" s="305"/>
      <c r="DR149" s="305"/>
      <c r="DS149" s="305"/>
      <c r="DT149" s="305"/>
      <c r="DU149" s="305"/>
      <c r="DV149" s="305"/>
      <c r="DW149" s="305"/>
      <c r="DX149" s="305"/>
      <c r="DY149" s="305"/>
      <c r="DZ149" s="305"/>
      <c r="EA149" s="305"/>
      <c r="EB149" s="305"/>
      <c r="EC149" s="305"/>
      <c r="ED149" s="305"/>
      <c r="EE149" s="305"/>
      <c r="EF149" s="305"/>
      <c r="EG149" s="305"/>
      <c r="EH149" s="305"/>
      <c r="EI149" s="305"/>
      <c r="EJ149" s="305"/>
      <c r="EK149" s="305"/>
      <c r="EL149" s="305"/>
      <c r="EM149" s="305"/>
      <c r="EN149" s="305"/>
      <c r="EO149" s="305"/>
      <c r="EP149" s="305"/>
      <c r="EQ149" s="305"/>
      <c r="ER149" s="305"/>
      <c r="ES149" s="305"/>
      <c r="ET149" s="305"/>
      <c r="EU149" s="305"/>
      <c r="EV149" s="305"/>
      <c r="EW149" s="305"/>
      <c r="EX149" s="305"/>
      <c r="EY149" s="305"/>
      <c r="EZ149" s="305"/>
      <c r="FA149" s="305"/>
      <c r="FB149" s="305"/>
      <c r="FC149" s="305"/>
      <c r="FD149" s="305"/>
      <c r="FE149" s="305"/>
      <c r="FF149" s="305"/>
      <c r="FG149" s="305"/>
      <c r="FH149" s="305"/>
      <c r="FI149" s="305"/>
      <c r="FJ149" s="305"/>
      <c r="FK149" s="305"/>
      <c r="FL149" s="305"/>
      <c r="FM149" s="305"/>
      <c r="FN149" s="305"/>
      <c r="FO149" s="305"/>
      <c r="FP149" s="305"/>
      <c r="FQ149" s="305"/>
      <c r="FR149" s="305"/>
      <c r="FS149" s="305"/>
      <c r="FT149" s="305"/>
      <c r="FU149" s="305"/>
      <c r="FV149" s="305"/>
      <c r="FW149" s="305"/>
      <c r="FX149" s="305"/>
      <c r="FY149" s="305"/>
      <c r="FZ149" s="305"/>
      <c r="GA149" s="305"/>
      <c r="GB149" s="305"/>
      <c r="GC149" s="305"/>
      <c r="GD149" s="305"/>
      <c r="GE149" s="305"/>
      <c r="GF149" s="305"/>
      <c r="GG149" s="305"/>
      <c r="GH149" s="305"/>
      <c r="GI149" s="305"/>
      <c r="GJ149" s="305"/>
      <c r="GK149" s="305"/>
      <c r="GL149" s="305"/>
      <c r="GM149" s="305"/>
      <c r="GN149" s="305"/>
      <c r="GO149" s="305"/>
      <c r="GP149" s="305"/>
      <c r="GQ149" s="305"/>
      <c r="GR149" s="305"/>
    </row>
    <row r="150" spans="3:200" s="318" customFormat="1" ht="12.75" customHeight="1" x14ac:dyDescent="0.2">
      <c r="C150" s="367"/>
      <c r="D150" s="403"/>
      <c r="E150" s="369"/>
      <c r="F150" s="369"/>
      <c r="G150" s="369"/>
      <c r="H150" s="369"/>
      <c r="I150" s="370"/>
      <c r="J150"/>
      <c r="K150" s="371"/>
      <c r="L150" s="371"/>
      <c r="M150" s="371"/>
      <c r="N150" s="371"/>
      <c r="O150" s="305"/>
      <c r="P150" s="305"/>
      <c r="Q150" s="305"/>
      <c r="R150" s="305"/>
      <c r="S150" s="305"/>
      <c r="T150" s="305"/>
      <c r="U150" s="305"/>
      <c r="V150" s="305"/>
      <c r="W150" s="305"/>
      <c r="X150" s="305"/>
      <c r="Y150" s="305"/>
      <c r="Z150" s="305"/>
      <c r="AA150" s="305"/>
      <c r="AB150" s="305"/>
      <c r="AC150" s="305"/>
      <c r="AD150" s="305"/>
      <c r="AE150" s="305"/>
      <c r="AF150" s="305"/>
      <c r="AG150" s="305"/>
      <c r="AH150" s="305"/>
      <c r="AI150" s="305"/>
      <c r="AJ150" s="305"/>
      <c r="AK150" s="305"/>
      <c r="AL150" s="305"/>
      <c r="AM150" s="305"/>
      <c r="AN150" s="305"/>
      <c r="AO150" s="305"/>
      <c r="AP150" s="305"/>
      <c r="AQ150" s="305"/>
      <c r="AR150" s="305"/>
      <c r="AS150" s="305"/>
      <c r="AT150" s="305"/>
      <c r="AU150" s="305"/>
      <c r="AV150" s="305"/>
      <c r="AW150" s="305"/>
      <c r="AX150" s="305"/>
      <c r="AY150" s="305"/>
      <c r="AZ150" s="305"/>
      <c r="BA150" s="305"/>
      <c r="BB150" s="305"/>
      <c r="BC150" s="305"/>
      <c r="BD150" s="305"/>
      <c r="BE150" s="305"/>
      <c r="BF150" s="305"/>
      <c r="BG150" s="305"/>
      <c r="BH150" s="305"/>
      <c r="BI150" s="305"/>
      <c r="BJ150" s="305"/>
      <c r="BK150" s="305"/>
      <c r="BL150" s="305"/>
      <c r="BM150" s="305"/>
      <c r="BN150" s="305"/>
      <c r="BO150" s="305"/>
      <c r="BP150" s="305"/>
      <c r="BQ150" s="305"/>
      <c r="BR150" s="305"/>
      <c r="BS150" s="305"/>
      <c r="BT150" s="305"/>
      <c r="BU150" s="305"/>
      <c r="BV150" s="305"/>
      <c r="BW150" s="305"/>
      <c r="BX150" s="305"/>
      <c r="BY150" s="305"/>
      <c r="BZ150" s="305"/>
      <c r="CA150" s="305"/>
      <c r="CB150" s="305"/>
      <c r="CC150" s="305"/>
      <c r="CD150" s="305"/>
      <c r="CE150" s="305"/>
      <c r="CF150" s="305"/>
      <c r="CG150" s="305"/>
      <c r="CH150" s="305"/>
      <c r="CI150" s="305"/>
      <c r="CJ150" s="305"/>
      <c r="CK150" s="305"/>
      <c r="CL150" s="305"/>
      <c r="CM150" s="305"/>
      <c r="CN150" s="305"/>
      <c r="CO150" s="305"/>
      <c r="CP150" s="305"/>
      <c r="CQ150" s="305"/>
      <c r="CR150" s="305"/>
      <c r="CS150" s="305"/>
      <c r="CT150" s="305"/>
      <c r="CU150" s="305"/>
      <c r="CV150" s="305"/>
      <c r="CW150" s="305"/>
      <c r="CX150" s="305"/>
      <c r="CY150" s="305"/>
      <c r="CZ150" s="305"/>
      <c r="DA150" s="305"/>
      <c r="DB150" s="305"/>
      <c r="DC150" s="305"/>
      <c r="DD150" s="305"/>
      <c r="DE150" s="305"/>
      <c r="DF150" s="305"/>
      <c r="DG150" s="305"/>
      <c r="DH150" s="305"/>
      <c r="DI150" s="305"/>
      <c r="DJ150" s="305"/>
      <c r="DK150" s="305"/>
      <c r="DL150" s="305"/>
      <c r="DM150" s="305"/>
      <c r="DN150" s="305"/>
      <c r="DO150" s="305"/>
      <c r="DP150" s="305"/>
      <c r="DQ150" s="305"/>
      <c r="DR150" s="305"/>
      <c r="DS150" s="305"/>
      <c r="DT150" s="305"/>
      <c r="DU150" s="305"/>
      <c r="DV150" s="305"/>
      <c r="DW150" s="305"/>
      <c r="DX150" s="305"/>
      <c r="DY150" s="305"/>
      <c r="DZ150" s="305"/>
      <c r="EA150" s="305"/>
      <c r="EB150" s="305"/>
      <c r="EC150" s="305"/>
      <c r="ED150" s="305"/>
      <c r="EE150" s="305"/>
      <c r="EF150" s="305"/>
      <c r="EG150" s="305"/>
      <c r="EH150" s="305"/>
      <c r="EI150" s="305"/>
      <c r="EJ150" s="305"/>
      <c r="EK150" s="305"/>
      <c r="EL150" s="305"/>
      <c r="EM150" s="305"/>
      <c r="EN150" s="305"/>
      <c r="EO150" s="305"/>
      <c r="EP150" s="305"/>
      <c r="EQ150" s="305"/>
      <c r="ER150" s="305"/>
      <c r="ES150" s="305"/>
      <c r="ET150" s="305"/>
      <c r="EU150" s="305"/>
      <c r="EV150" s="305"/>
      <c r="EW150" s="305"/>
      <c r="EX150" s="305"/>
      <c r="EY150" s="305"/>
      <c r="EZ150" s="305"/>
      <c r="FA150" s="305"/>
      <c r="FB150" s="305"/>
      <c r="FC150" s="305"/>
      <c r="FD150" s="305"/>
      <c r="FE150" s="305"/>
      <c r="FF150" s="305"/>
      <c r="FG150" s="305"/>
      <c r="FH150" s="305"/>
      <c r="FI150" s="305"/>
      <c r="FJ150" s="305"/>
      <c r="FK150" s="305"/>
      <c r="FL150" s="305"/>
      <c r="FM150" s="305"/>
      <c r="FN150" s="305"/>
      <c r="FO150" s="305"/>
      <c r="FP150" s="305"/>
      <c r="FQ150" s="305"/>
      <c r="FR150" s="305"/>
      <c r="FS150" s="305"/>
      <c r="FT150" s="305"/>
      <c r="FU150" s="305"/>
      <c r="FV150" s="305"/>
      <c r="FW150" s="305"/>
      <c r="FX150" s="305"/>
      <c r="FY150" s="305"/>
      <c r="FZ150" s="305"/>
      <c r="GA150" s="305"/>
      <c r="GB150" s="305"/>
      <c r="GC150" s="305"/>
      <c r="GD150" s="305"/>
      <c r="GE150" s="305"/>
      <c r="GF150" s="305"/>
      <c r="GG150" s="305"/>
      <c r="GH150" s="305"/>
      <c r="GI150" s="305"/>
      <c r="GJ150" s="305"/>
      <c r="GK150" s="305"/>
      <c r="GL150" s="305"/>
      <c r="GM150" s="305"/>
      <c r="GN150" s="305"/>
      <c r="GO150" s="305"/>
      <c r="GP150" s="305"/>
      <c r="GQ150" s="305"/>
      <c r="GR150" s="305"/>
    </row>
    <row r="151" spans="3:200" s="318" customFormat="1" ht="12.75" customHeight="1" x14ac:dyDescent="0.2">
      <c r="C151" s="367"/>
      <c r="D151" s="403"/>
      <c r="E151" s="369"/>
      <c r="F151" s="369"/>
      <c r="G151" s="369"/>
      <c r="H151" s="369"/>
      <c r="I151" s="370"/>
      <c r="J151"/>
      <c r="K151" s="371"/>
      <c r="L151" s="371"/>
      <c r="M151" s="371"/>
      <c r="N151" s="371"/>
      <c r="O151" s="305"/>
      <c r="P151" s="305"/>
      <c r="Q151" s="305"/>
      <c r="R151" s="305"/>
      <c r="S151" s="305"/>
      <c r="T151" s="305"/>
      <c r="U151" s="305"/>
      <c r="V151" s="305"/>
      <c r="W151" s="305"/>
      <c r="X151" s="305"/>
      <c r="Y151" s="305"/>
      <c r="Z151" s="305"/>
      <c r="AA151" s="305"/>
      <c r="AB151" s="305"/>
      <c r="AC151" s="305"/>
      <c r="AD151" s="305"/>
      <c r="AE151" s="305"/>
      <c r="AF151" s="305"/>
      <c r="AG151" s="305"/>
      <c r="AH151" s="305"/>
      <c r="AI151" s="305"/>
      <c r="AJ151" s="305"/>
      <c r="AK151" s="305"/>
      <c r="AL151" s="305"/>
      <c r="AM151" s="305"/>
      <c r="AN151" s="305"/>
      <c r="AO151" s="305"/>
      <c r="AP151" s="305"/>
      <c r="AQ151" s="305"/>
      <c r="AR151" s="305"/>
      <c r="AS151" s="305"/>
      <c r="AT151" s="305"/>
      <c r="AU151" s="305"/>
      <c r="AV151" s="305"/>
      <c r="AW151" s="305"/>
      <c r="AX151" s="305"/>
      <c r="AY151" s="305"/>
      <c r="AZ151" s="305"/>
      <c r="BA151" s="305"/>
      <c r="BB151" s="305"/>
      <c r="BC151" s="305"/>
      <c r="BD151" s="305"/>
      <c r="BE151" s="305"/>
      <c r="BF151" s="305"/>
      <c r="BG151" s="305"/>
      <c r="BH151" s="305"/>
      <c r="BI151" s="305"/>
      <c r="BJ151" s="305"/>
      <c r="BK151" s="305"/>
      <c r="BL151" s="305"/>
      <c r="BM151" s="305"/>
      <c r="BN151" s="305"/>
      <c r="BO151" s="305"/>
      <c r="BP151" s="305"/>
      <c r="BQ151" s="305"/>
      <c r="BR151" s="305"/>
      <c r="BS151" s="305"/>
      <c r="BT151" s="305"/>
      <c r="BU151" s="305"/>
      <c r="BV151" s="305"/>
      <c r="BW151" s="305"/>
      <c r="BX151" s="305"/>
      <c r="BY151" s="305"/>
      <c r="BZ151" s="305"/>
      <c r="CA151" s="305"/>
      <c r="CB151" s="305"/>
      <c r="CC151" s="305"/>
      <c r="CD151" s="305"/>
      <c r="CE151" s="305"/>
      <c r="CF151" s="305"/>
      <c r="CG151" s="305"/>
      <c r="CH151" s="305"/>
      <c r="CI151" s="305"/>
      <c r="CJ151" s="305"/>
      <c r="CK151" s="305"/>
      <c r="CL151" s="305"/>
      <c r="CM151" s="305"/>
      <c r="CN151" s="305"/>
      <c r="CO151" s="305"/>
      <c r="CP151" s="305"/>
      <c r="CQ151" s="305"/>
      <c r="CR151" s="305"/>
      <c r="CS151" s="305"/>
      <c r="CT151" s="305"/>
      <c r="CU151" s="305"/>
      <c r="CV151" s="305"/>
      <c r="CW151" s="305"/>
      <c r="CX151" s="305"/>
      <c r="CY151" s="305"/>
      <c r="CZ151" s="305"/>
      <c r="DA151" s="305"/>
      <c r="DB151" s="305"/>
      <c r="DC151" s="305"/>
      <c r="DD151" s="305"/>
      <c r="DE151" s="305"/>
      <c r="DF151" s="305"/>
      <c r="DG151" s="305"/>
      <c r="DH151" s="305"/>
      <c r="DI151" s="305"/>
      <c r="DJ151" s="305"/>
      <c r="DK151" s="305"/>
      <c r="DL151" s="305"/>
      <c r="DM151" s="305"/>
      <c r="DN151" s="305"/>
      <c r="DO151" s="305"/>
      <c r="DP151" s="305"/>
      <c r="DQ151" s="305"/>
      <c r="DR151" s="305"/>
      <c r="DS151" s="305"/>
      <c r="DT151" s="305"/>
      <c r="DU151" s="305"/>
      <c r="DV151" s="305"/>
      <c r="DW151" s="305"/>
      <c r="DX151" s="305"/>
      <c r="DY151" s="305"/>
      <c r="DZ151" s="305"/>
      <c r="EA151" s="305"/>
      <c r="EB151" s="305"/>
      <c r="EC151" s="305"/>
      <c r="ED151" s="305"/>
      <c r="EE151" s="305"/>
      <c r="EF151" s="305"/>
      <c r="EG151" s="305"/>
      <c r="EH151" s="305"/>
      <c r="EI151" s="305"/>
      <c r="EJ151" s="305"/>
      <c r="EK151" s="305"/>
      <c r="EL151" s="305"/>
      <c r="EM151" s="305"/>
      <c r="EN151" s="305"/>
      <c r="EO151" s="305"/>
      <c r="EP151" s="305"/>
      <c r="EQ151" s="305"/>
      <c r="ER151" s="305"/>
      <c r="ES151" s="305"/>
      <c r="ET151" s="305"/>
      <c r="EU151" s="305"/>
      <c r="EV151" s="305"/>
      <c r="EW151" s="305"/>
      <c r="EX151" s="305"/>
      <c r="EY151" s="305"/>
      <c r="EZ151" s="305"/>
      <c r="FA151" s="305"/>
      <c r="FB151" s="305"/>
      <c r="FC151" s="305"/>
      <c r="FD151" s="305"/>
      <c r="FE151" s="305"/>
      <c r="FF151" s="305"/>
      <c r="FG151" s="305"/>
      <c r="FH151" s="305"/>
      <c r="FI151" s="305"/>
      <c r="FJ151" s="305"/>
      <c r="FK151" s="305"/>
      <c r="FL151" s="305"/>
      <c r="FM151" s="305"/>
      <c r="FN151" s="305"/>
      <c r="FO151" s="305"/>
      <c r="FP151" s="305"/>
      <c r="FQ151" s="305"/>
      <c r="FR151" s="305"/>
      <c r="FS151" s="305"/>
      <c r="FT151" s="305"/>
      <c r="FU151" s="305"/>
      <c r="FV151" s="305"/>
      <c r="FW151" s="305"/>
      <c r="FX151" s="305"/>
      <c r="FY151" s="305"/>
      <c r="FZ151" s="305"/>
      <c r="GA151" s="305"/>
      <c r="GB151" s="305"/>
      <c r="GC151" s="305"/>
      <c r="GD151" s="305"/>
      <c r="GE151" s="305"/>
      <c r="GF151" s="305"/>
      <c r="GG151" s="305"/>
      <c r="GH151" s="305"/>
      <c r="GI151" s="305"/>
      <c r="GJ151" s="305"/>
      <c r="GK151" s="305"/>
      <c r="GL151" s="305"/>
      <c r="GM151" s="305"/>
      <c r="GN151" s="305"/>
      <c r="GO151" s="305"/>
      <c r="GP151" s="305"/>
      <c r="GQ151" s="305"/>
      <c r="GR151" s="305"/>
    </row>
    <row r="152" spans="3:200" s="318" customFormat="1" ht="12.75" customHeight="1" x14ac:dyDescent="0.2">
      <c r="C152" s="367"/>
      <c r="D152" s="403"/>
      <c r="E152" s="369"/>
      <c r="F152" s="369"/>
      <c r="G152" s="369"/>
      <c r="H152" s="369"/>
      <c r="I152" s="370"/>
      <c r="J152"/>
      <c r="K152" s="371"/>
      <c r="L152" s="371"/>
      <c r="M152" s="371"/>
      <c r="N152" s="371"/>
      <c r="O152" s="305"/>
      <c r="P152" s="305"/>
      <c r="Q152" s="305"/>
      <c r="R152" s="305"/>
      <c r="S152" s="305"/>
      <c r="T152" s="305"/>
      <c r="U152" s="305"/>
      <c r="V152" s="305"/>
      <c r="W152" s="305"/>
      <c r="X152" s="305"/>
      <c r="Y152" s="305"/>
      <c r="Z152" s="305"/>
      <c r="AA152" s="305"/>
      <c r="AB152" s="305"/>
      <c r="AC152" s="305"/>
      <c r="AD152" s="305"/>
      <c r="AE152" s="305"/>
      <c r="AF152" s="305"/>
      <c r="AG152" s="305"/>
      <c r="AH152" s="305"/>
      <c r="AI152" s="305"/>
      <c r="AJ152" s="305"/>
      <c r="AK152" s="305"/>
      <c r="AL152" s="305"/>
      <c r="AM152" s="305"/>
      <c r="AN152" s="305"/>
      <c r="AO152" s="305"/>
      <c r="AP152" s="305"/>
      <c r="AQ152" s="305"/>
      <c r="AR152" s="305"/>
      <c r="AS152" s="305"/>
      <c r="AT152" s="305"/>
      <c r="AU152" s="305"/>
      <c r="AV152" s="305"/>
      <c r="AW152" s="305"/>
      <c r="AX152" s="305"/>
      <c r="AY152" s="305"/>
      <c r="AZ152" s="305"/>
      <c r="BA152" s="305"/>
      <c r="BB152" s="305"/>
      <c r="BC152" s="305"/>
      <c r="BD152" s="305"/>
      <c r="BE152" s="305"/>
      <c r="BF152" s="305"/>
      <c r="BG152" s="305"/>
      <c r="BH152" s="305"/>
      <c r="BI152" s="305"/>
      <c r="BJ152" s="305"/>
      <c r="BK152" s="305"/>
      <c r="BL152" s="305"/>
      <c r="BM152" s="305"/>
      <c r="BN152" s="305"/>
      <c r="BO152" s="305"/>
      <c r="BP152" s="305"/>
      <c r="BQ152" s="305"/>
      <c r="BR152" s="305"/>
      <c r="BS152" s="305"/>
      <c r="BT152" s="305"/>
      <c r="BU152" s="305"/>
      <c r="BV152" s="305"/>
      <c r="BW152" s="305"/>
      <c r="BX152" s="305"/>
      <c r="BY152" s="305"/>
      <c r="BZ152" s="305"/>
      <c r="CA152" s="305"/>
      <c r="CB152" s="305"/>
      <c r="CC152" s="305"/>
      <c r="CD152" s="305"/>
      <c r="CE152" s="305"/>
      <c r="CF152" s="305"/>
      <c r="CG152" s="305"/>
      <c r="CH152" s="305"/>
      <c r="CI152" s="305"/>
      <c r="CJ152" s="305"/>
      <c r="CK152" s="305"/>
      <c r="CL152" s="305"/>
      <c r="CM152" s="305"/>
      <c r="CN152" s="305"/>
      <c r="CO152" s="305"/>
      <c r="CP152" s="305"/>
      <c r="CQ152" s="305"/>
      <c r="CR152" s="305"/>
      <c r="CS152" s="305"/>
      <c r="CT152" s="305"/>
      <c r="CU152" s="305"/>
      <c r="CV152" s="305"/>
      <c r="CW152" s="305"/>
      <c r="CX152" s="305"/>
      <c r="CY152" s="305"/>
      <c r="CZ152" s="305"/>
      <c r="DA152" s="305"/>
      <c r="DB152" s="305"/>
      <c r="DC152" s="305"/>
      <c r="DD152" s="305"/>
      <c r="DE152" s="305"/>
      <c r="DF152" s="305"/>
      <c r="DG152" s="305"/>
      <c r="DH152" s="305"/>
      <c r="DI152" s="305"/>
      <c r="DJ152" s="305"/>
      <c r="DK152" s="305"/>
      <c r="DL152" s="305"/>
      <c r="DM152" s="305"/>
      <c r="DN152" s="305"/>
      <c r="DO152" s="305"/>
      <c r="DP152" s="305"/>
      <c r="DQ152" s="305"/>
      <c r="DR152" s="305"/>
      <c r="DS152" s="305"/>
      <c r="DT152" s="305"/>
      <c r="DU152" s="305"/>
      <c r="DV152" s="305"/>
      <c r="DW152" s="305"/>
      <c r="DX152" s="305"/>
      <c r="DY152" s="305"/>
      <c r="DZ152" s="305"/>
      <c r="EA152" s="305"/>
      <c r="EB152" s="305"/>
      <c r="EC152" s="305"/>
      <c r="ED152" s="305"/>
      <c r="EE152" s="305"/>
      <c r="EF152" s="305"/>
      <c r="EG152" s="305"/>
      <c r="EH152" s="305"/>
      <c r="EI152" s="305"/>
      <c r="EJ152" s="305"/>
      <c r="EK152" s="305"/>
      <c r="EL152" s="305"/>
      <c r="EM152" s="305"/>
      <c r="EN152" s="305"/>
      <c r="EO152" s="305"/>
      <c r="EP152" s="305"/>
      <c r="EQ152" s="305"/>
      <c r="ER152" s="305"/>
      <c r="ES152" s="305"/>
      <c r="ET152" s="305"/>
      <c r="EU152" s="305"/>
      <c r="EV152" s="305"/>
      <c r="EW152" s="305"/>
      <c r="EX152" s="305"/>
      <c r="EY152" s="305"/>
      <c r="EZ152" s="305"/>
      <c r="FA152" s="305"/>
      <c r="FB152" s="305"/>
      <c r="FC152" s="305"/>
      <c r="FD152" s="305"/>
      <c r="FE152" s="305"/>
      <c r="FF152" s="305"/>
      <c r="FG152" s="305"/>
      <c r="FH152" s="305"/>
      <c r="FI152" s="305"/>
      <c r="FJ152" s="305"/>
      <c r="FK152" s="305"/>
      <c r="FL152" s="305"/>
      <c r="FM152" s="305"/>
      <c r="FN152" s="305"/>
      <c r="FO152" s="305"/>
      <c r="FP152" s="305"/>
      <c r="FQ152" s="305"/>
      <c r="FR152" s="305"/>
      <c r="FS152" s="305"/>
      <c r="FT152" s="305"/>
      <c r="FU152" s="305"/>
      <c r="FV152" s="305"/>
      <c r="FW152" s="305"/>
      <c r="FX152" s="305"/>
      <c r="FY152" s="305"/>
      <c r="FZ152" s="305"/>
      <c r="GA152" s="305"/>
      <c r="GB152" s="305"/>
      <c r="GC152" s="305"/>
      <c r="GD152" s="305"/>
      <c r="GE152" s="305"/>
      <c r="GF152" s="305"/>
      <c r="GG152" s="305"/>
      <c r="GH152" s="305"/>
      <c r="GI152" s="305"/>
      <c r="GJ152" s="305"/>
      <c r="GK152" s="305"/>
      <c r="GL152" s="305"/>
      <c r="GM152" s="305"/>
      <c r="GN152" s="305"/>
      <c r="GO152" s="305"/>
      <c r="GP152" s="305"/>
      <c r="GQ152" s="305"/>
      <c r="GR152" s="305"/>
    </row>
    <row r="153" spans="3:200" s="318" customFormat="1" ht="12.75" customHeight="1" x14ac:dyDescent="0.2">
      <c r="C153" s="367"/>
      <c r="D153" s="403"/>
      <c r="E153" s="369"/>
      <c r="F153" s="369"/>
      <c r="G153" s="369"/>
      <c r="H153" s="369"/>
      <c r="I153" s="370"/>
      <c r="J153"/>
      <c r="K153" s="371"/>
      <c r="L153" s="371"/>
      <c r="M153" s="371"/>
      <c r="N153" s="371"/>
      <c r="O153" s="305"/>
      <c r="P153" s="305"/>
      <c r="Q153" s="305"/>
      <c r="R153" s="305"/>
      <c r="S153" s="305"/>
      <c r="T153" s="305"/>
      <c r="U153" s="305"/>
      <c r="V153" s="305"/>
      <c r="W153" s="305"/>
      <c r="X153" s="305"/>
      <c r="Y153" s="305"/>
      <c r="Z153" s="305"/>
      <c r="AA153" s="305"/>
      <c r="AB153" s="305"/>
      <c r="AC153" s="305"/>
      <c r="AD153" s="305"/>
      <c r="AE153" s="305"/>
      <c r="AF153" s="305"/>
      <c r="AG153" s="305"/>
      <c r="AH153" s="305"/>
      <c r="AI153" s="305"/>
      <c r="AJ153" s="305"/>
      <c r="AK153" s="305"/>
      <c r="AL153" s="305"/>
      <c r="AM153" s="305"/>
      <c r="AN153" s="305"/>
      <c r="AO153" s="305"/>
      <c r="AP153" s="305"/>
      <c r="AQ153" s="305"/>
      <c r="AR153" s="305"/>
      <c r="AS153" s="305"/>
      <c r="AT153" s="305"/>
      <c r="AU153" s="305"/>
      <c r="AV153" s="305"/>
      <c r="AW153" s="305"/>
      <c r="AX153" s="305"/>
      <c r="AY153" s="305"/>
      <c r="AZ153" s="305"/>
      <c r="BA153" s="305"/>
      <c r="BB153" s="305"/>
      <c r="BC153" s="305"/>
      <c r="BD153" s="305"/>
      <c r="BE153" s="305"/>
      <c r="BF153" s="305"/>
      <c r="BG153" s="305"/>
      <c r="BH153" s="305"/>
      <c r="BI153" s="305"/>
      <c r="BJ153" s="305"/>
      <c r="BK153" s="305"/>
      <c r="BL153" s="305"/>
      <c r="BM153" s="305"/>
      <c r="BN153" s="305"/>
      <c r="BO153" s="305"/>
      <c r="BP153" s="305"/>
      <c r="BQ153" s="305"/>
      <c r="BR153" s="305"/>
      <c r="BS153" s="305"/>
      <c r="BT153" s="305"/>
      <c r="BU153" s="305"/>
      <c r="BV153" s="305"/>
      <c r="BW153" s="305"/>
      <c r="BX153" s="305"/>
      <c r="BY153" s="305"/>
      <c r="BZ153" s="305"/>
      <c r="CA153" s="305"/>
      <c r="CB153" s="305"/>
      <c r="CC153" s="305"/>
      <c r="CD153" s="305"/>
      <c r="CE153" s="305"/>
      <c r="CF153" s="305"/>
      <c r="CG153" s="305"/>
      <c r="CH153" s="305"/>
      <c r="CI153" s="305"/>
      <c r="CJ153" s="305"/>
      <c r="CK153" s="305"/>
      <c r="CL153" s="305"/>
      <c r="CM153" s="305"/>
      <c r="CN153" s="305"/>
      <c r="CO153" s="305"/>
      <c r="CP153" s="305"/>
      <c r="CQ153" s="305"/>
      <c r="CR153" s="305"/>
      <c r="CS153" s="305"/>
      <c r="CT153" s="305"/>
      <c r="CU153" s="305"/>
      <c r="CV153" s="305"/>
      <c r="CW153" s="305"/>
      <c r="CX153" s="305"/>
      <c r="CY153" s="305"/>
      <c r="CZ153" s="305"/>
      <c r="DA153" s="305"/>
      <c r="DB153" s="305"/>
      <c r="DC153" s="305"/>
      <c r="DD153" s="305"/>
      <c r="DE153" s="305"/>
      <c r="DF153" s="305"/>
      <c r="DG153" s="305"/>
      <c r="DH153" s="305"/>
      <c r="DI153" s="305"/>
      <c r="DJ153" s="305"/>
      <c r="DK153" s="305"/>
      <c r="DL153" s="305"/>
      <c r="DM153" s="305"/>
      <c r="DN153" s="305"/>
      <c r="DO153" s="305"/>
      <c r="DP153" s="305"/>
      <c r="DQ153" s="305"/>
      <c r="DR153" s="305"/>
      <c r="DS153" s="305"/>
      <c r="DT153" s="305"/>
      <c r="DU153" s="305"/>
      <c r="DV153" s="305"/>
      <c r="DW153" s="305"/>
      <c r="DX153" s="305"/>
      <c r="DY153" s="305"/>
      <c r="DZ153" s="305"/>
      <c r="EA153" s="305"/>
      <c r="EB153" s="305"/>
      <c r="EC153" s="305"/>
      <c r="ED153" s="305"/>
      <c r="EE153" s="305"/>
      <c r="EF153" s="305"/>
      <c r="EG153" s="305"/>
      <c r="EH153" s="305"/>
      <c r="EI153" s="305"/>
      <c r="EJ153" s="305"/>
      <c r="EK153" s="305"/>
      <c r="EL153" s="305"/>
      <c r="EM153" s="305"/>
      <c r="EN153" s="305"/>
      <c r="EO153" s="305"/>
      <c r="EP153" s="305"/>
      <c r="EQ153" s="305"/>
      <c r="ER153" s="305"/>
      <c r="ES153" s="305"/>
      <c r="ET153" s="305"/>
      <c r="EU153" s="305"/>
      <c r="EV153" s="305"/>
      <c r="EW153" s="305"/>
      <c r="EX153" s="305"/>
      <c r="EY153" s="305"/>
      <c r="EZ153" s="305"/>
      <c r="FA153" s="305"/>
      <c r="FB153" s="305"/>
      <c r="FC153" s="305"/>
      <c r="FD153" s="305"/>
      <c r="FE153" s="305"/>
      <c r="FF153" s="305"/>
      <c r="FG153" s="305"/>
      <c r="FH153" s="305"/>
      <c r="FI153" s="305"/>
      <c r="FJ153" s="305"/>
      <c r="FK153" s="305"/>
      <c r="FL153" s="305"/>
      <c r="FM153" s="305"/>
      <c r="FN153" s="305"/>
      <c r="FO153" s="305"/>
      <c r="FP153" s="305"/>
      <c r="FQ153" s="305"/>
      <c r="FR153" s="305"/>
      <c r="FS153" s="305"/>
      <c r="FT153" s="305"/>
      <c r="FU153" s="305"/>
      <c r="FV153" s="305"/>
      <c r="FW153" s="305"/>
      <c r="FX153" s="305"/>
      <c r="FY153" s="305"/>
      <c r="FZ153" s="305"/>
      <c r="GA153" s="305"/>
      <c r="GB153" s="305"/>
      <c r="GC153" s="305"/>
      <c r="GD153" s="305"/>
      <c r="GE153" s="305"/>
      <c r="GF153" s="305"/>
      <c r="GG153" s="305"/>
      <c r="GH153" s="305"/>
      <c r="GI153" s="305"/>
      <c r="GJ153" s="305"/>
      <c r="GK153" s="305"/>
      <c r="GL153" s="305"/>
      <c r="GM153" s="305"/>
      <c r="GN153" s="305"/>
      <c r="GO153" s="305"/>
      <c r="GP153" s="305"/>
      <c r="GQ153" s="305"/>
      <c r="GR153" s="305"/>
    </row>
    <row r="154" spans="3:200" s="318" customFormat="1" ht="12.75" customHeight="1" x14ac:dyDescent="0.2">
      <c r="C154" s="367"/>
      <c r="D154" s="403"/>
      <c r="E154" s="369"/>
      <c r="F154" s="369"/>
      <c r="G154" s="369"/>
      <c r="H154" s="369"/>
      <c r="I154" s="370"/>
      <c r="J154"/>
      <c r="K154" s="371"/>
      <c r="L154" s="371"/>
      <c r="M154" s="371"/>
      <c r="N154" s="371"/>
      <c r="O154" s="305"/>
      <c r="P154" s="305"/>
      <c r="Q154" s="305"/>
      <c r="R154" s="305"/>
      <c r="S154" s="305"/>
      <c r="T154" s="305"/>
      <c r="U154" s="305"/>
      <c r="V154" s="305"/>
      <c r="W154" s="305"/>
      <c r="X154" s="305"/>
      <c r="Y154" s="305"/>
      <c r="Z154" s="305"/>
      <c r="AA154" s="305"/>
      <c r="AB154" s="305"/>
      <c r="AC154" s="305"/>
      <c r="AD154" s="305"/>
      <c r="AE154" s="305"/>
      <c r="AF154" s="305"/>
      <c r="AG154" s="305"/>
      <c r="AH154" s="305"/>
      <c r="AI154" s="305"/>
      <c r="AJ154" s="305"/>
      <c r="AK154" s="305"/>
      <c r="AL154" s="305"/>
      <c r="AM154" s="305"/>
      <c r="AN154" s="305"/>
      <c r="AO154" s="305"/>
      <c r="AP154" s="305"/>
      <c r="AQ154" s="305"/>
      <c r="AR154" s="305"/>
      <c r="AS154" s="305"/>
      <c r="AT154" s="305"/>
      <c r="AU154" s="305"/>
      <c r="AV154" s="305"/>
      <c r="AW154" s="305"/>
      <c r="AX154" s="305"/>
      <c r="AY154" s="305"/>
      <c r="AZ154" s="305"/>
      <c r="BA154" s="305"/>
      <c r="BB154" s="305"/>
      <c r="BC154" s="305"/>
      <c r="BD154" s="305"/>
      <c r="BE154" s="305"/>
      <c r="BF154" s="305"/>
      <c r="BG154" s="305"/>
      <c r="BH154" s="305"/>
      <c r="BI154" s="305"/>
      <c r="BJ154" s="305"/>
      <c r="BK154" s="305"/>
      <c r="BL154" s="305"/>
      <c r="BM154" s="305"/>
      <c r="BN154" s="305"/>
      <c r="BO154" s="305"/>
      <c r="BP154" s="305"/>
      <c r="BQ154" s="305"/>
      <c r="BR154" s="305"/>
      <c r="BS154" s="305"/>
      <c r="BT154" s="305"/>
      <c r="BU154" s="305"/>
      <c r="BV154" s="305"/>
      <c r="BW154" s="305"/>
      <c r="BX154" s="305"/>
      <c r="BY154" s="305"/>
      <c r="BZ154" s="305"/>
      <c r="CA154" s="305"/>
      <c r="CB154" s="305"/>
      <c r="CC154" s="305"/>
      <c r="CD154" s="305"/>
      <c r="CE154" s="305"/>
      <c r="CF154" s="305"/>
      <c r="CG154" s="305"/>
      <c r="CH154" s="305"/>
      <c r="CI154" s="305"/>
      <c r="CJ154" s="305"/>
      <c r="CK154" s="305"/>
      <c r="CL154" s="305"/>
      <c r="CM154" s="305"/>
      <c r="CN154" s="305"/>
      <c r="CO154" s="305"/>
      <c r="CP154" s="305"/>
      <c r="CQ154" s="305"/>
      <c r="CR154" s="305"/>
      <c r="CS154" s="305"/>
      <c r="CT154" s="305"/>
      <c r="CU154" s="305"/>
      <c r="CV154" s="305"/>
      <c r="CW154" s="305"/>
      <c r="CX154" s="305"/>
      <c r="CY154" s="305"/>
      <c r="CZ154" s="305"/>
      <c r="DA154" s="305"/>
      <c r="DB154" s="305"/>
      <c r="DC154" s="305"/>
      <c r="DD154" s="305"/>
      <c r="DE154" s="305"/>
      <c r="DF154" s="305"/>
      <c r="DG154" s="305"/>
      <c r="DH154" s="305"/>
      <c r="DI154" s="305"/>
      <c r="DJ154" s="305"/>
      <c r="DK154" s="305"/>
      <c r="DL154" s="305"/>
      <c r="DM154" s="305"/>
      <c r="DN154" s="305"/>
      <c r="DO154" s="305"/>
      <c r="DP154" s="305"/>
      <c r="DQ154" s="305"/>
      <c r="DR154" s="305"/>
      <c r="DS154" s="305"/>
      <c r="DT154" s="305"/>
      <c r="DU154" s="305"/>
      <c r="DV154" s="305"/>
      <c r="DW154" s="305"/>
      <c r="DX154" s="305"/>
      <c r="DY154" s="305"/>
      <c r="DZ154" s="305"/>
      <c r="EA154" s="305"/>
      <c r="EB154" s="305"/>
      <c r="EC154" s="305"/>
      <c r="ED154" s="305"/>
      <c r="EE154" s="305"/>
      <c r="EF154" s="305"/>
      <c r="EG154" s="305"/>
      <c r="EH154" s="305"/>
      <c r="EI154" s="305"/>
      <c r="EJ154" s="305"/>
      <c r="EK154" s="305"/>
      <c r="EL154" s="305"/>
      <c r="EM154" s="305"/>
      <c r="EN154" s="305"/>
      <c r="EO154" s="305"/>
      <c r="EP154" s="305"/>
      <c r="EQ154" s="305"/>
      <c r="ER154" s="305"/>
      <c r="ES154" s="305"/>
      <c r="ET154" s="305"/>
      <c r="EU154" s="305"/>
      <c r="EV154" s="305"/>
      <c r="EW154" s="305"/>
      <c r="EX154" s="305"/>
      <c r="EY154" s="305"/>
      <c r="EZ154" s="305"/>
      <c r="FA154" s="305"/>
      <c r="FB154" s="305"/>
      <c r="FC154" s="305"/>
      <c r="FD154" s="305"/>
      <c r="FE154" s="305"/>
      <c r="FF154" s="305"/>
      <c r="FG154" s="305"/>
      <c r="FH154" s="305"/>
      <c r="FI154" s="305"/>
      <c r="FJ154" s="305"/>
      <c r="FK154" s="305"/>
      <c r="FL154" s="305"/>
      <c r="FM154" s="305"/>
      <c r="FN154" s="305"/>
      <c r="FO154" s="305"/>
      <c r="FP154" s="305"/>
      <c r="FQ154" s="305"/>
      <c r="FR154" s="305"/>
      <c r="FS154" s="305"/>
      <c r="FT154" s="305"/>
      <c r="FU154" s="305"/>
      <c r="FV154" s="305"/>
      <c r="FW154" s="305"/>
      <c r="FX154" s="305"/>
      <c r="FY154" s="305"/>
      <c r="FZ154" s="305"/>
      <c r="GA154" s="305"/>
      <c r="GB154" s="305"/>
      <c r="GC154" s="305"/>
      <c r="GD154" s="305"/>
      <c r="GE154" s="305"/>
      <c r="GF154" s="305"/>
      <c r="GG154" s="305"/>
      <c r="GH154" s="305"/>
      <c r="GI154" s="305"/>
      <c r="GJ154" s="305"/>
      <c r="GK154" s="305"/>
      <c r="GL154" s="305"/>
      <c r="GM154" s="305"/>
      <c r="GN154" s="305"/>
      <c r="GO154" s="305"/>
      <c r="GP154" s="305"/>
      <c r="GQ154" s="305"/>
      <c r="GR154" s="305"/>
    </row>
    <row r="155" spans="3:200" s="318" customFormat="1" ht="12.75" customHeight="1" x14ac:dyDescent="0.2">
      <c r="C155" s="367"/>
      <c r="D155" s="403"/>
      <c r="E155" s="369"/>
      <c r="F155" s="369"/>
      <c r="G155" s="369"/>
      <c r="H155" s="369"/>
      <c r="I155" s="370"/>
      <c r="J155"/>
      <c r="K155" s="371"/>
      <c r="L155" s="371"/>
      <c r="M155" s="371"/>
      <c r="N155" s="371"/>
      <c r="O155" s="305"/>
      <c r="P155" s="305"/>
      <c r="Q155" s="305"/>
      <c r="R155" s="305"/>
      <c r="S155" s="305"/>
      <c r="T155" s="305"/>
      <c r="U155" s="305"/>
      <c r="V155" s="305"/>
      <c r="W155" s="305"/>
      <c r="X155" s="305"/>
      <c r="Y155" s="305"/>
      <c r="Z155" s="305"/>
      <c r="AA155" s="305"/>
      <c r="AB155" s="305"/>
      <c r="AC155" s="305"/>
      <c r="AD155" s="305"/>
      <c r="AE155" s="305"/>
      <c r="AF155" s="305"/>
      <c r="AG155" s="305"/>
      <c r="AH155" s="305"/>
      <c r="AI155" s="305"/>
      <c r="AJ155" s="305"/>
      <c r="AK155" s="305"/>
      <c r="AL155" s="305"/>
      <c r="AM155" s="305"/>
      <c r="AN155" s="305"/>
      <c r="AO155" s="305"/>
      <c r="AP155" s="305"/>
      <c r="AQ155" s="305"/>
      <c r="AR155" s="305"/>
      <c r="AS155" s="305"/>
      <c r="AT155" s="305"/>
      <c r="AU155" s="305"/>
      <c r="AV155" s="305"/>
      <c r="AW155" s="305"/>
      <c r="AX155" s="305"/>
      <c r="AY155" s="305"/>
      <c r="AZ155" s="305"/>
      <c r="BA155" s="305"/>
      <c r="BB155" s="305"/>
      <c r="BC155" s="305"/>
      <c r="BD155" s="305"/>
      <c r="BE155" s="305"/>
      <c r="BF155" s="305"/>
      <c r="BG155" s="305"/>
      <c r="BH155" s="305"/>
      <c r="BI155" s="305"/>
      <c r="BJ155" s="305"/>
      <c r="BK155" s="305"/>
      <c r="BL155" s="305"/>
      <c r="BM155" s="305"/>
      <c r="BN155" s="305"/>
      <c r="BO155" s="305"/>
      <c r="BP155" s="305"/>
      <c r="BQ155" s="305"/>
      <c r="BR155" s="305"/>
      <c r="BS155" s="305"/>
      <c r="BT155" s="305"/>
      <c r="BU155" s="305"/>
      <c r="BV155" s="305"/>
      <c r="BW155" s="305"/>
      <c r="BX155" s="305"/>
      <c r="BY155" s="305"/>
      <c r="BZ155" s="305"/>
      <c r="CA155" s="305"/>
      <c r="CB155" s="305"/>
      <c r="CC155" s="305"/>
      <c r="CD155" s="305"/>
      <c r="CE155" s="305"/>
      <c r="CF155" s="305"/>
      <c r="CG155" s="305"/>
      <c r="CH155" s="305"/>
      <c r="CI155" s="305"/>
      <c r="CJ155" s="305"/>
      <c r="CK155" s="305"/>
      <c r="CL155" s="305"/>
      <c r="CM155" s="305"/>
      <c r="CN155" s="305"/>
      <c r="CO155" s="305"/>
      <c r="CP155" s="305"/>
      <c r="CQ155" s="305"/>
      <c r="CR155" s="305"/>
      <c r="CS155" s="305"/>
      <c r="CT155" s="305"/>
      <c r="CU155" s="305"/>
      <c r="CV155" s="305"/>
      <c r="CW155" s="305"/>
      <c r="CX155" s="305"/>
      <c r="CY155" s="305"/>
      <c r="CZ155" s="305"/>
      <c r="DA155" s="305"/>
      <c r="DB155" s="305"/>
      <c r="DC155" s="305"/>
      <c r="DD155" s="305"/>
      <c r="DE155" s="305"/>
      <c r="DF155" s="305"/>
      <c r="DG155" s="305"/>
      <c r="DH155" s="305"/>
      <c r="DI155" s="305"/>
      <c r="DJ155" s="305"/>
      <c r="DK155" s="305"/>
      <c r="DL155" s="305"/>
      <c r="DM155" s="305"/>
      <c r="DN155" s="305"/>
      <c r="DO155" s="305"/>
      <c r="DP155" s="305"/>
      <c r="DQ155" s="305"/>
      <c r="DR155" s="305"/>
      <c r="DS155" s="305"/>
      <c r="DT155" s="305"/>
      <c r="DU155" s="305"/>
      <c r="DV155" s="305"/>
      <c r="DW155" s="305"/>
      <c r="DX155" s="305"/>
      <c r="DY155" s="305"/>
      <c r="DZ155" s="305"/>
      <c r="EA155" s="305"/>
      <c r="EB155" s="305"/>
      <c r="EC155" s="305"/>
      <c r="ED155" s="305"/>
      <c r="EE155" s="305"/>
      <c r="EF155" s="305"/>
      <c r="EG155" s="305"/>
      <c r="EH155" s="305"/>
      <c r="EI155" s="305"/>
      <c r="EJ155" s="305"/>
      <c r="EK155" s="305"/>
      <c r="EL155" s="305"/>
      <c r="EM155" s="305"/>
      <c r="EN155" s="305"/>
      <c r="EO155" s="305"/>
      <c r="EP155" s="305"/>
      <c r="EQ155" s="305"/>
      <c r="ER155" s="305"/>
      <c r="ES155" s="305"/>
      <c r="ET155" s="305"/>
      <c r="EU155" s="305"/>
      <c r="EV155" s="305"/>
      <c r="EW155" s="305"/>
      <c r="EX155" s="305"/>
      <c r="EY155" s="305"/>
      <c r="EZ155" s="305"/>
      <c r="FA155" s="305"/>
      <c r="FB155" s="305"/>
      <c r="FC155" s="305"/>
      <c r="FD155" s="305"/>
      <c r="FE155" s="305"/>
      <c r="FF155" s="305"/>
      <c r="FG155" s="305"/>
      <c r="FH155" s="305"/>
      <c r="FI155" s="305"/>
      <c r="FJ155" s="305"/>
      <c r="FK155" s="305"/>
      <c r="FL155" s="305"/>
      <c r="FM155" s="305"/>
      <c r="FN155" s="305"/>
      <c r="FO155" s="305"/>
      <c r="FP155" s="305"/>
      <c r="FQ155" s="305"/>
      <c r="FR155" s="305"/>
      <c r="FS155" s="305"/>
      <c r="FT155" s="305"/>
      <c r="FU155" s="305"/>
      <c r="FV155" s="305"/>
      <c r="FW155" s="305"/>
      <c r="FX155" s="305"/>
      <c r="FY155" s="305"/>
      <c r="FZ155" s="305"/>
      <c r="GA155" s="305"/>
      <c r="GB155" s="305"/>
      <c r="GC155" s="305"/>
      <c r="GD155" s="305"/>
      <c r="GE155" s="305"/>
      <c r="GF155" s="305"/>
      <c r="GG155" s="305"/>
      <c r="GH155" s="305"/>
      <c r="GI155" s="305"/>
      <c r="GJ155" s="305"/>
      <c r="GK155" s="305"/>
      <c r="GL155" s="305"/>
      <c r="GM155" s="305"/>
      <c r="GN155" s="305"/>
      <c r="GO155" s="305"/>
      <c r="GP155" s="305"/>
      <c r="GQ155" s="305"/>
      <c r="GR155" s="305"/>
    </row>
    <row r="156" spans="3:200" s="318" customFormat="1" ht="12.75" customHeight="1" x14ac:dyDescent="0.2">
      <c r="C156" s="367"/>
      <c r="D156" s="403"/>
      <c r="E156" s="369"/>
      <c r="F156" s="369"/>
      <c r="G156" s="369"/>
      <c r="H156" s="369"/>
      <c r="I156" s="370"/>
      <c r="J156"/>
      <c r="K156" s="371"/>
      <c r="L156" s="371"/>
      <c r="M156" s="371"/>
      <c r="N156" s="371"/>
      <c r="O156" s="305"/>
      <c r="P156" s="305"/>
      <c r="Q156" s="305"/>
      <c r="R156" s="305"/>
      <c r="S156" s="305"/>
      <c r="T156" s="305"/>
      <c r="U156" s="305"/>
      <c r="V156" s="305"/>
      <c r="W156" s="305"/>
      <c r="X156" s="305"/>
      <c r="Y156" s="305"/>
      <c r="Z156" s="305"/>
      <c r="AA156" s="305"/>
      <c r="AB156" s="305"/>
      <c r="AC156" s="305"/>
      <c r="AD156" s="305"/>
      <c r="AE156" s="305"/>
      <c r="AF156" s="305"/>
      <c r="AG156" s="305"/>
      <c r="AH156" s="305"/>
      <c r="AI156" s="305"/>
      <c r="AJ156" s="305"/>
      <c r="AK156" s="305"/>
      <c r="AL156" s="305"/>
      <c r="AM156" s="305"/>
      <c r="AN156" s="305"/>
      <c r="AO156" s="305"/>
      <c r="AP156" s="305"/>
      <c r="AQ156" s="305"/>
      <c r="AR156" s="305"/>
      <c r="AS156" s="305"/>
      <c r="AT156" s="305"/>
      <c r="AU156" s="305"/>
      <c r="AV156" s="305"/>
      <c r="AW156" s="305"/>
      <c r="AX156" s="305"/>
      <c r="AY156" s="305"/>
      <c r="AZ156" s="305"/>
      <c r="BA156" s="305"/>
      <c r="BB156" s="305"/>
      <c r="BC156" s="305"/>
      <c r="BD156" s="305"/>
      <c r="BE156" s="305"/>
      <c r="BF156" s="305"/>
      <c r="BG156" s="305"/>
      <c r="BH156" s="305"/>
      <c r="BI156" s="305"/>
      <c r="BJ156" s="305"/>
      <c r="BK156" s="305"/>
      <c r="BL156" s="305"/>
      <c r="BM156" s="305"/>
      <c r="BN156" s="305"/>
      <c r="BO156" s="305"/>
      <c r="BP156" s="305"/>
      <c r="BQ156" s="305"/>
      <c r="BR156" s="305"/>
      <c r="BS156" s="305"/>
      <c r="BT156" s="305"/>
      <c r="BU156" s="305"/>
      <c r="BV156" s="305"/>
      <c r="BW156" s="305"/>
      <c r="BX156" s="305"/>
      <c r="BY156" s="305"/>
      <c r="BZ156" s="305"/>
      <c r="CA156" s="305"/>
      <c r="CB156" s="305"/>
      <c r="CC156" s="305"/>
      <c r="CD156" s="305"/>
      <c r="CE156" s="305"/>
      <c r="CF156" s="305"/>
      <c r="CG156" s="305"/>
      <c r="CH156" s="305"/>
      <c r="CI156" s="305"/>
      <c r="CJ156" s="305"/>
      <c r="CK156" s="305"/>
      <c r="CL156" s="305"/>
      <c r="CM156" s="305"/>
      <c r="CN156" s="305"/>
      <c r="CO156" s="305"/>
      <c r="CP156" s="305"/>
      <c r="CQ156" s="305"/>
      <c r="CR156" s="305"/>
      <c r="CS156" s="305"/>
      <c r="CT156" s="305"/>
      <c r="CU156" s="305"/>
      <c r="CV156" s="305"/>
      <c r="CW156" s="305"/>
      <c r="CX156" s="305"/>
      <c r="CY156" s="305"/>
      <c r="CZ156" s="305"/>
      <c r="DA156" s="305"/>
      <c r="DB156" s="305"/>
      <c r="DC156" s="305"/>
      <c r="DD156" s="305"/>
      <c r="DE156" s="305"/>
      <c r="DF156" s="305"/>
      <c r="DG156" s="305"/>
      <c r="DH156" s="305"/>
      <c r="DI156" s="305"/>
      <c r="DJ156" s="305"/>
      <c r="DK156" s="305"/>
      <c r="DL156" s="305"/>
      <c r="DM156" s="305"/>
      <c r="DN156" s="305"/>
      <c r="DO156" s="305"/>
      <c r="DP156" s="305"/>
      <c r="DQ156" s="305"/>
      <c r="DR156" s="305"/>
      <c r="DS156" s="305"/>
      <c r="DT156" s="305"/>
      <c r="DU156" s="305"/>
      <c r="DV156" s="305"/>
      <c r="DW156" s="305"/>
      <c r="DX156" s="305"/>
      <c r="DY156" s="305"/>
      <c r="DZ156" s="305"/>
      <c r="EA156" s="305"/>
      <c r="EB156" s="305"/>
      <c r="EC156" s="305"/>
      <c r="ED156" s="305"/>
      <c r="EE156" s="305"/>
      <c r="EF156" s="305"/>
      <c r="EG156" s="305"/>
      <c r="EH156" s="305"/>
      <c r="EI156" s="305"/>
      <c r="EJ156" s="305"/>
      <c r="EK156" s="305"/>
      <c r="EL156" s="305"/>
      <c r="EM156" s="305"/>
      <c r="EN156" s="305"/>
      <c r="EO156" s="305"/>
      <c r="EP156" s="305"/>
      <c r="EQ156" s="305"/>
      <c r="ER156" s="305"/>
      <c r="ES156" s="305"/>
      <c r="ET156" s="305"/>
      <c r="EU156" s="305"/>
      <c r="EV156" s="305"/>
      <c r="EW156" s="305"/>
      <c r="EX156" s="305"/>
      <c r="EY156" s="305"/>
      <c r="EZ156" s="305"/>
      <c r="FA156" s="305"/>
      <c r="FB156" s="305"/>
      <c r="FC156" s="305"/>
      <c r="FD156" s="305"/>
      <c r="FE156" s="305"/>
      <c r="FF156" s="305"/>
      <c r="FG156" s="305"/>
      <c r="FH156" s="305"/>
      <c r="FI156" s="305"/>
      <c r="FJ156" s="305"/>
      <c r="FK156" s="305"/>
      <c r="FL156" s="305"/>
      <c r="FM156" s="305"/>
      <c r="FN156" s="305"/>
      <c r="FO156" s="305"/>
      <c r="FP156" s="305"/>
      <c r="FQ156" s="305"/>
      <c r="FR156" s="305"/>
      <c r="FS156" s="305"/>
      <c r="FT156" s="305"/>
      <c r="FU156" s="305"/>
      <c r="FV156" s="305"/>
      <c r="FW156" s="305"/>
      <c r="FX156" s="305"/>
      <c r="FY156" s="305"/>
      <c r="FZ156" s="305"/>
      <c r="GA156" s="305"/>
      <c r="GB156" s="305"/>
      <c r="GC156" s="305"/>
      <c r="GD156" s="305"/>
      <c r="GE156" s="305"/>
      <c r="GF156" s="305"/>
      <c r="GG156" s="305"/>
      <c r="GH156" s="305"/>
      <c r="GI156" s="305"/>
      <c r="GJ156" s="305"/>
      <c r="GK156" s="305"/>
      <c r="GL156" s="305"/>
      <c r="GM156" s="305"/>
      <c r="GN156" s="305"/>
      <c r="GO156" s="305"/>
      <c r="GP156" s="305"/>
      <c r="GQ156" s="305"/>
      <c r="GR156" s="305"/>
    </row>
    <row r="157" spans="3:200" s="318" customFormat="1" ht="12.75" customHeight="1" x14ac:dyDescent="0.2">
      <c r="C157" s="367"/>
      <c r="D157" s="403"/>
      <c r="E157" s="369"/>
      <c r="F157" s="369"/>
      <c r="G157" s="369"/>
      <c r="H157" s="369"/>
      <c r="I157" s="370"/>
      <c r="J157"/>
      <c r="K157" s="371"/>
      <c r="L157" s="371"/>
      <c r="M157" s="371"/>
      <c r="N157" s="371"/>
      <c r="O157" s="305"/>
      <c r="P157" s="305"/>
      <c r="Q157" s="305"/>
      <c r="R157" s="305"/>
      <c r="S157" s="305"/>
      <c r="T157" s="305"/>
      <c r="U157" s="305"/>
      <c r="V157" s="305"/>
      <c r="W157" s="305"/>
      <c r="X157" s="305"/>
      <c r="Y157" s="305"/>
      <c r="Z157" s="305"/>
      <c r="AA157" s="305"/>
      <c r="AB157" s="305"/>
      <c r="AC157" s="305"/>
      <c r="AD157" s="305"/>
      <c r="AE157" s="305"/>
      <c r="AF157" s="305"/>
      <c r="AG157" s="305"/>
      <c r="AH157" s="305"/>
      <c r="AI157" s="305"/>
      <c r="AJ157" s="305"/>
      <c r="AK157" s="305"/>
      <c r="AL157" s="305"/>
      <c r="AM157" s="305"/>
      <c r="AN157" s="305"/>
      <c r="AO157" s="305"/>
      <c r="AP157" s="305"/>
      <c r="AQ157" s="305"/>
      <c r="AR157" s="305"/>
      <c r="AS157" s="305"/>
      <c r="AT157" s="305"/>
      <c r="AU157" s="305"/>
      <c r="AV157" s="305"/>
      <c r="AW157" s="305"/>
      <c r="AX157" s="305"/>
      <c r="AY157" s="305"/>
      <c r="AZ157" s="305"/>
      <c r="BA157" s="305"/>
      <c r="BB157" s="305"/>
      <c r="BC157" s="305"/>
      <c r="BD157" s="305"/>
      <c r="BE157" s="305"/>
      <c r="BF157" s="305"/>
      <c r="BG157" s="305"/>
      <c r="BH157" s="305"/>
      <c r="BI157" s="305"/>
      <c r="BJ157" s="305"/>
      <c r="BK157" s="305"/>
      <c r="BL157" s="305"/>
      <c r="BM157" s="305"/>
      <c r="BN157" s="305"/>
      <c r="BO157" s="305"/>
      <c r="BP157" s="305"/>
      <c r="BQ157" s="305"/>
      <c r="BR157" s="305"/>
      <c r="BS157" s="305"/>
      <c r="BT157" s="305"/>
      <c r="BU157" s="305"/>
      <c r="BV157" s="305"/>
      <c r="BW157" s="305"/>
      <c r="BX157" s="305"/>
      <c r="BY157" s="305"/>
      <c r="BZ157" s="305"/>
      <c r="CA157" s="305"/>
      <c r="CB157" s="305"/>
      <c r="CC157" s="305"/>
      <c r="CD157" s="305"/>
      <c r="CE157" s="305"/>
      <c r="CF157" s="305"/>
      <c r="CG157" s="305"/>
      <c r="CH157" s="305"/>
      <c r="CI157" s="305"/>
      <c r="CJ157" s="305"/>
      <c r="CK157" s="305"/>
      <c r="CL157" s="305"/>
      <c r="CM157" s="305"/>
      <c r="CN157" s="305"/>
      <c r="CO157" s="305"/>
      <c r="CP157" s="305"/>
      <c r="CQ157" s="305"/>
      <c r="CR157" s="305"/>
      <c r="CS157" s="305"/>
      <c r="CT157" s="305"/>
      <c r="CU157" s="305"/>
      <c r="CV157" s="305"/>
      <c r="CW157" s="305"/>
      <c r="CX157" s="305"/>
      <c r="CY157" s="305"/>
      <c r="CZ157" s="305"/>
      <c r="DA157" s="305"/>
      <c r="DB157" s="305"/>
      <c r="DC157" s="305"/>
      <c r="DD157" s="305"/>
      <c r="DE157" s="305"/>
      <c r="DF157" s="305"/>
      <c r="DG157" s="305"/>
      <c r="DH157" s="305"/>
      <c r="DI157" s="305"/>
      <c r="DJ157" s="305"/>
      <c r="DK157" s="305"/>
      <c r="DL157" s="305"/>
      <c r="DM157" s="305"/>
      <c r="DN157" s="305"/>
      <c r="DO157" s="305"/>
      <c r="DP157" s="305"/>
      <c r="DQ157" s="305"/>
      <c r="DR157" s="305"/>
      <c r="DS157" s="305"/>
      <c r="DT157" s="305"/>
      <c r="DU157" s="305"/>
      <c r="DV157" s="305"/>
      <c r="DW157" s="305"/>
      <c r="DX157" s="305"/>
      <c r="DY157" s="305"/>
      <c r="DZ157" s="305"/>
      <c r="EA157" s="305"/>
      <c r="EB157" s="305"/>
      <c r="EC157" s="305"/>
      <c r="ED157" s="305"/>
      <c r="EE157" s="305"/>
      <c r="EF157" s="305"/>
      <c r="EG157" s="305"/>
      <c r="EH157" s="305"/>
      <c r="EI157" s="305"/>
      <c r="EJ157" s="305"/>
      <c r="EK157" s="305"/>
      <c r="EL157" s="305"/>
      <c r="EM157" s="305"/>
      <c r="EN157" s="305"/>
      <c r="EO157" s="305"/>
      <c r="EP157" s="305"/>
      <c r="EQ157" s="305"/>
      <c r="ER157" s="305"/>
      <c r="ES157" s="305"/>
      <c r="ET157" s="305"/>
      <c r="EU157" s="305"/>
      <c r="EV157" s="305"/>
      <c r="EW157" s="305"/>
      <c r="EX157" s="305"/>
      <c r="EY157" s="305"/>
      <c r="EZ157" s="305"/>
      <c r="FA157" s="305"/>
      <c r="FB157" s="305"/>
      <c r="FC157" s="305"/>
      <c r="FD157" s="305"/>
      <c r="FE157" s="305"/>
      <c r="FF157" s="305"/>
      <c r="FG157" s="305"/>
      <c r="FH157" s="305"/>
      <c r="FI157" s="305"/>
      <c r="FJ157" s="305"/>
      <c r="FK157" s="305"/>
      <c r="FL157" s="305"/>
      <c r="FM157" s="305"/>
      <c r="FN157" s="305"/>
      <c r="FO157" s="305"/>
      <c r="FP157" s="305"/>
      <c r="FQ157" s="305"/>
      <c r="FR157" s="305"/>
      <c r="FS157" s="305"/>
      <c r="FT157" s="305"/>
      <c r="FU157" s="305"/>
      <c r="FV157" s="305"/>
      <c r="FW157" s="305"/>
      <c r="FX157" s="305"/>
      <c r="FY157" s="305"/>
      <c r="FZ157" s="305"/>
      <c r="GA157" s="305"/>
      <c r="GB157" s="305"/>
      <c r="GC157" s="305"/>
      <c r="GD157" s="305"/>
      <c r="GE157" s="305"/>
      <c r="GF157" s="305"/>
      <c r="GG157" s="305"/>
      <c r="GH157" s="305"/>
      <c r="GI157" s="305"/>
      <c r="GJ157" s="305"/>
      <c r="GK157" s="305"/>
      <c r="GL157" s="305"/>
      <c r="GM157" s="305"/>
      <c r="GN157" s="305"/>
      <c r="GO157" s="305"/>
      <c r="GP157" s="305"/>
      <c r="GQ157" s="305"/>
      <c r="GR157" s="305"/>
    </row>
    <row r="158" spans="3:200" s="318" customFormat="1" ht="12.75" customHeight="1" x14ac:dyDescent="0.2">
      <c r="C158" s="367"/>
      <c r="D158" s="403"/>
      <c r="E158" s="369"/>
      <c r="F158" s="369"/>
      <c r="G158" s="369"/>
      <c r="H158" s="369"/>
      <c r="I158" s="370"/>
      <c r="J158"/>
      <c r="K158" s="371"/>
      <c r="L158" s="371"/>
      <c r="M158" s="371"/>
      <c r="N158" s="371"/>
      <c r="O158" s="305"/>
      <c r="P158" s="305"/>
      <c r="Q158" s="305"/>
      <c r="R158" s="305"/>
      <c r="S158" s="305"/>
      <c r="T158" s="305"/>
      <c r="U158" s="305"/>
      <c r="V158" s="305"/>
      <c r="W158" s="305"/>
      <c r="X158" s="305"/>
      <c r="Y158" s="305"/>
      <c r="Z158" s="305"/>
      <c r="AA158" s="305"/>
      <c r="AB158" s="305"/>
      <c r="AC158" s="305"/>
      <c r="AD158" s="305"/>
      <c r="AE158" s="305"/>
      <c r="AF158" s="305"/>
      <c r="AG158" s="305"/>
      <c r="AH158" s="305"/>
      <c r="AI158" s="305"/>
      <c r="AJ158" s="305"/>
      <c r="AK158" s="305"/>
      <c r="AL158" s="305"/>
      <c r="AM158" s="305"/>
      <c r="AN158" s="305"/>
      <c r="AO158" s="305"/>
      <c r="AP158" s="305"/>
      <c r="AQ158" s="305"/>
      <c r="AR158" s="305"/>
      <c r="AS158" s="305"/>
      <c r="AT158" s="305"/>
      <c r="AU158" s="305"/>
      <c r="AV158" s="305"/>
      <c r="AW158" s="305"/>
      <c r="AX158" s="305"/>
      <c r="AY158" s="305"/>
      <c r="AZ158" s="305"/>
      <c r="BA158" s="305"/>
      <c r="BB158" s="305"/>
      <c r="BC158" s="305"/>
      <c r="BD158" s="305"/>
      <c r="BE158" s="305"/>
      <c r="BF158" s="305"/>
      <c r="BG158" s="305"/>
      <c r="BH158" s="305"/>
      <c r="BI158" s="305"/>
      <c r="BJ158" s="305"/>
      <c r="BK158" s="305"/>
      <c r="BL158" s="305"/>
      <c r="BM158" s="305"/>
      <c r="BN158" s="305"/>
      <c r="BO158" s="305"/>
      <c r="BP158" s="305"/>
      <c r="BQ158" s="305"/>
      <c r="BR158" s="305"/>
      <c r="BS158" s="305"/>
      <c r="BT158" s="305"/>
      <c r="BU158" s="305"/>
      <c r="BV158" s="305"/>
      <c r="BW158" s="305"/>
      <c r="BX158" s="305"/>
      <c r="BY158" s="305"/>
      <c r="BZ158" s="305"/>
      <c r="CA158" s="305"/>
      <c r="CB158" s="305"/>
      <c r="CC158" s="305"/>
      <c r="CD158" s="305"/>
      <c r="CE158" s="305"/>
      <c r="CF158" s="305"/>
      <c r="CG158" s="305"/>
      <c r="CH158" s="305"/>
      <c r="CI158" s="305"/>
      <c r="CJ158" s="305"/>
      <c r="CK158" s="305"/>
      <c r="CL158" s="305"/>
      <c r="CM158" s="305"/>
      <c r="CN158" s="305"/>
      <c r="CO158" s="305"/>
      <c r="CP158" s="305"/>
      <c r="CQ158" s="305"/>
      <c r="CR158" s="305"/>
      <c r="CS158" s="305"/>
      <c r="CT158" s="305"/>
      <c r="CU158" s="305"/>
      <c r="CV158" s="305"/>
      <c r="CW158" s="305"/>
      <c r="CX158" s="305"/>
      <c r="CY158" s="305"/>
      <c r="CZ158" s="305"/>
      <c r="DA158" s="305"/>
      <c r="DB158" s="305"/>
      <c r="DC158" s="305"/>
      <c r="DD158" s="305"/>
      <c r="DE158" s="305"/>
      <c r="DF158" s="305"/>
      <c r="DG158" s="305"/>
      <c r="DH158" s="305"/>
      <c r="DI158" s="305"/>
      <c r="DJ158" s="305"/>
      <c r="DK158" s="305"/>
      <c r="DL158" s="305"/>
      <c r="DM158" s="305"/>
      <c r="DN158" s="305"/>
      <c r="DO158" s="305"/>
      <c r="DP158" s="305"/>
      <c r="DQ158" s="305"/>
      <c r="DR158" s="305"/>
      <c r="DS158" s="305"/>
      <c r="DT158" s="305"/>
      <c r="DU158" s="305"/>
      <c r="DV158" s="305"/>
      <c r="DW158" s="305"/>
      <c r="DX158" s="305"/>
      <c r="DY158" s="305"/>
      <c r="DZ158" s="305"/>
      <c r="EA158" s="305"/>
      <c r="EB158" s="305"/>
      <c r="EC158" s="305"/>
      <c r="ED158" s="305"/>
      <c r="EE158" s="305"/>
      <c r="EF158" s="305"/>
      <c r="EG158" s="305"/>
      <c r="EH158" s="305"/>
      <c r="EI158" s="305"/>
      <c r="EJ158" s="305"/>
      <c r="EK158" s="305"/>
      <c r="EL158" s="305"/>
      <c r="EM158" s="305"/>
      <c r="EN158" s="305"/>
      <c r="EO158" s="305"/>
      <c r="EP158" s="305"/>
      <c r="EQ158" s="305"/>
      <c r="ER158" s="305"/>
      <c r="ES158" s="305"/>
      <c r="ET158" s="305"/>
      <c r="EU158" s="305"/>
      <c r="EV158" s="305"/>
      <c r="EW158" s="305"/>
      <c r="EX158" s="305"/>
      <c r="EY158" s="305"/>
      <c r="EZ158" s="305"/>
      <c r="FA158" s="305"/>
      <c r="FB158" s="305"/>
      <c r="FC158" s="305"/>
      <c r="FD158" s="305"/>
      <c r="FE158" s="305"/>
      <c r="FF158" s="305"/>
      <c r="FG158" s="305"/>
      <c r="FH158" s="305"/>
      <c r="FI158" s="305"/>
      <c r="FJ158" s="305"/>
      <c r="FK158" s="305"/>
      <c r="FL158" s="305"/>
      <c r="FM158" s="305"/>
      <c r="FN158" s="305"/>
      <c r="FO158" s="305"/>
      <c r="FP158" s="305"/>
      <c r="FQ158" s="305"/>
      <c r="FR158" s="305"/>
      <c r="FS158" s="305"/>
      <c r="FT158" s="305"/>
      <c r="FU158" s="305"/>
      <c r="FV158" s="305"/>
      <c r="FW158" s="305"/>
      <c r="FX158" s="305"/>
      <c r="FY158" s="305"/>
      <c r="FZ158" s="305"/>
      <c r="GA158" s="305"/>
      <c r="GB158" s="305"/>
      <c r="GC158" s="305"/>
      <c r="GD158" s="305"/>
      <c r="GE158" s="305"/>
      <c r="GF158" s="305"/>
      <c r="GG158" s="305"/>
      <c r="GH158" s="305"/>
      <c r="GI158" s="305"/>
      <c r="GJ158" s="305"/>
      <c r="GK158" s="305"/>
      <c r="GL158" s="305"/>
      <c r="GM158" s="305"/>
      <c r="GN158" s="305"/>
      <c r="GO158" s="305"/>
      <c r="GP158" s="305"/>
      <c r="GQ158" s="305"/>
      <c r="GR158" s="305"/>
    </row>
    <row r="159" spans="3:200" s="318" customFormat="1" ht="12.75" customHeight="1" x14ac:dyDescent="0.2">
      <c r="C159" s="367"/>
      <c r="D159" s="403"/>
      <c r="E159" s="369"/>
      <c r="F159" s="369"/>
      <c r="G159" s="369"/>
      <c r="H159" s="369"/>
      <c r="I159" s="370"/>
      <c r="J159"/>
      <c r="K159" s="371"/>
      <c r="L159" s="371"/>
      <c r="M159" s="371"/>
      <c r="N159" s="371"/>
      <c r="O159" s="305"/>
      <c r="P159" s="305"/>
      <c r="Q159" s="305"/>
      <c r="R159" s="305"/>
      <c r="S159" s="305"/>
      <c r="T159" s="305"/>
      <c r="U159" s="305"/>
      <c r="V159" s="305"/>
      <c r="W159" s="305"/>
      <c r="X159" s="305"/>
      <c r="Y159" s="305"/>
      <c r="Z159" s="305"/>
      <c r="AA159" s="305"/>
      <c r="AB159" s="305"/>
      <c r="AC159" s="305"/>
      <c r="AD159" s="305"/>
      <c r="AE159" s="305"/>
      <c r="AF159" s="305"/>
      <c r="AG159" s="305"/>
      <c r="AH159" s="305"/>
      <c r="AI159" s="305"/>
      <c r="AJ159" s="305"/>
      <c r="AK159" s="305"/>
      <c r="AL159" s="305"/>
      <c r="AM159" s="305"/>
      <c r="AN159" s="305"/>
      <c r="AO159" s="305"/>
      <c r="AP159" s="305"/>
      <c r="AQ159" s="305"/>
      <c r="AR159" s="305"/>
      <c r="AS159" s="305"/>
      <c r="AT159" s="305"/>
      <c r="AU159" s="305"/>
      <c r="AV159" s="305"/>
      <c r="AW159" s="305"/>
      <c r="AX159" s="305"/>
      <c r="AY159" s="305"/>
      <c r="AZ159" s="305"/>
      <c r="BA159" s="305"/>
      <c r="BB159" s="305"/>
      <c r="BC159" s="305"/>
      <c r="BD159" s="305"/>
      <c r="BE159" s="305"/>
      <c r="BF159" s="305"/>
      <c r="BG159" s="305"/>
      <c r="BH159" s="305"/>
      <c r="BI159" s="305"/>
      <c r="BJ159" s="305"/>
      <c r="BK159" s="305"/>
      <c r="BL159" s="305"/>
      <c r="BM159" s="305"/>
      <c r="BN159" s="305"/>
      <c r="BO159" s="305"/>
      <c r="BP159" s="305"/>
      <c r="BQ159" s="305"/>
      <c r="BR159" s="305"/>
      <c r="BS159" s="305"/>
      <c r="BT159" s="305"/>
      <c r="BU159" s="305"/>
      <c r="BV159" s="305"/>
      <c r="BW159" s="305"/>
      <c r="BX159" s="305"/>
      <c r="BY159" s="305"/>
      <c r="BZ159" s="305"/>
      <c r="CA159" s="305"/>
      <c r="CB159" s="305"/>
      <c r="CC159" s="305"/>
      <c r="CD159" s="305"/>
      <c r="CE159" s="305"/>
      <c r="CF159" s="305"/>
      <c r="CG159" s="305"/>
      <c r="CH159" s="305"/>
      <c r="CI159" s="305"/>
      <c r="CJ159" s="305"/>
      <c r="CK159" s="305"/>
      <c r="CL159" s="305"/>
      <c r="CM159" s="305"/>
      <c r="CN159" s="305"/>
      <c r="CO159" s="305"/>
      <c r="CP159" s="305"/>
      <c r="CQ159" s="305"/>
      <c r="CR159" s="305"/>
      <c r="CS159" s="305"/>
      <c r="CT159" s="305"/>
      <c r="CU159" s="305"/>
      <c r="CV159" s="305"/>
      <c r="CW159" s="305"/>
      <c r="CX159" s="305"/>
      <c r="CY159" s="305"/>
      <c r="CZ159" s="305"/>
      <c r="DA159" s="305"/>
      <c r="DB159" s="305"/>
      <c r="DC159" s="305"/>
      <c r="DD159" s="305"/>
      <c r="DE159" s="305"/>
      <c r="DF159" s="305"/>
      <c r="DG159" s="305"/>
      <c r="DH159" s="305"/>
      <c r="DI159" s="305"/>
      <c r="DJ159" s="305"/>
      <c r="DK159" s="305"/>
      <c r="DL159" s="305"/>
      <c r="DM159" s="305"/>
      <c r="DN159" s="305"/>
      <c r="DO159" s="305"/>
      <c r="DP159" s="305"/>
      <c r="DQ159" s="305"/>
      <c r="DR159" s="305"/>
      <c r="DS159" s="305"/>
      <c r="DT159" s="305"/>
      <c r="DU159" s="305"/>
      <c r="DV159" s="305"/>
      <c r="DW159" s="305"/>
      <c r="DX159" s="305"/>
      <c r="DY159" s="305"/>
      <c r="DZ159" s="305"/>
      <c r="EA159" s="305"/>
      <c r="EB159" s="305"/>
      <c r="EC159" s="305"/>
      <c r="ED159" s="305"/>
      <c r="EE159" s="305"/>
      <c r="EF159" s="305"/>
      <c r="EG159" s="305"/>
      <c r="EH159" s="305"/>
      <c r="EI159" s="305"/>
      <c r="EJ159" s="305"/>
      <c r="EK159" s="305"/>
      <c r="EL159" s="305"/>
      <c r="EM159" s="305"/>
      <c r="EN159" s="305"/>
      <c r="EO159" s="305"/>
      <c r="EP159" s="305"/>
      <c r="EQ159" s="305"/>
      <c r="ER159" s="305"/>
      <c r="ES159" s="305"/>
      <c r="ET159" s="305"/>
      <c r="EU159" s="305"/>
      <c r="EV159" s="305"/>
      <c r="EW159" s="305"/>
      <c r="EX159" s="305"/>
      <c r="EY159" s="305"/>
      <c r="EZ159" s="305"/>
      <c r="FA159" s="305"/>
      <c r="FB159" s="305"/>
      <c r="FC159" s="305"/>
      <c r="FD159" s="305"/>
      <c r="FE159" s="305"/>
      <c r="FF159" s="305"/>
      <c r="FG159" s="305"/>
      <c r="FH159" s="305"/>
      <c r="FI159" s="305"/>
      <c r="FJ159" s="305"/>
      <c r="FK159" s="305"/>
      <c r="FL159" s="305"/>
      <c r="FM159" s="305"/>
      <c r="FN159" s="305"/>
      <c r="FO159" s="305"/>
      <c r="FP159" s="305"/>
      <c r="FQ159" s="305"/>
      <c r="FR159" s="305"/>
      <c r="FS159" s="305"/>
      <c r="FT159" s="305"/>
      <c r="FU159" s="305"/>
      <c r="FV159" s="305"/>
      <c r="FW159" s="305"/>
      <c r="FX159" s="305"/>
      <c r="FY159" s="305"/>
      <c r="FZ159" s="305"/>
      <c r="GA159" s="305"/>
      <c r="GB159" s="305"/>
      <c r="GC159" s="305"/>
      <c r="GD159" s="305"/>
      <c r="GE159" s="305"/>
      <c r="GF159" s="305"/>
      <c r="GG159" s="305"/>
      <c r="GH159" s="305"/>
      <c r="GI159" s="305"/>
      <c r="GJ159" s="305"/>
      <c r="GK159" s="305"/>
      <c r="GL159" s="305"/>
      <c r="GM159" s="305"/>
      <c r="GN159" s="305"/>
      <c r="GO159" s="305"/>
      <c r="GP159" s="305"/>
      <c r="GQ159" s="305"/>
      <c r="GR159" s="305"/>
    </row>
    <row r="160" spans="3:200" s="318" customFormat="1" ht="12.75" customHeight="1" x14ac:dyDescent="0.2">
      <c r="C160" s="367"/>
      <c r="D160" s="403"/>
      <c r="E160" s="369"/>
      <c r="F160" s="369"/>
      <c r="G160" s="369"/>
      <c r="H160" s="369"/>
      <c r="I160" s="370"/>
      <c r="J160"/>
      <c r="K160" s="371"/>
      <c r="L160" s="371"/>
      <c r="M160" s="371"/>
      <c r="N160" s="371"/>
      <c r="O160" s="305"/>
      <c r="P160" s="305"/>
      <c r="Q160" s="305"/>
      <c r="R160" s="305"/>
      <c r="S160" s="305"/>
      <c r="T160" s="305"/>
      <c r="U160" s="305"/>
      <c r="V160" s="305"/>
      <c r="W160" s="305"/>
      <c r="X160" s="305"/>
      <c r="Y160" s="305"/>
      <c r="Z160" s="305"/>
      <c r="AA160" s="305"/>
      <c r="AB160" s="305"/>
      <c r="AC160" s="305"/>
      <c r="AD160" s="305"/>
      <c r="AE160" s="305"/>
      <c r="AF160" s="305"/>
      <c r="AG160" s="305"/>
      <c r="AH160" s="305"/>
      <c r="AI160" s="305"/>
      <c r="AJ160" s="305"/>
      <c r="AK160" s="305"/>
      <c r="AL160" s="305"/>
      <c r="AM160" s="305"/>
      <c r="AN160" s="305"/>
      <c r="AO160" s="305"/>
      <c r="AP160" s="305"/>
      <c r="AQ160" s="305"/>
      <c r="AR160" s="305"/>
      <c r="AS160" s="305"/>
      <c r="AT160" s="305"/>
      <c r="AU160" s="305"/>
      <c r="AV160" s="305"/>
      <c r="AW160" s="305"/>
      <c r="AX160" s="305"/>
      <c r="AY160" s="305"/>
      <c r="AZ160" s="305"/>
      <c r="BA160" s="305"/>
      <c r="BB160" s="305"/>
      <c r="BC160" s="305"/>
      <c r="BD160" s="305"/>
      <c r="BE160" s="305"/>
      <c r="BF160" s="305"/>
      <c r="BG160" s="305"/>
      <c r="BH160" s="305"/>
      <c r="BI160" s="305"/>
      <c r="BJ160" s="305"/>
      <c r="BK160" s="305"/>
      <c r="BL160" s="305"/>
      <c r="BM160" s="305"/>
      <c r="BN160" s="305"/>
      <c r="BO160" s="305"/>
      <c r="BP160" s="305"/>
      <c r="BQ160" s="305"/>
      <c r="BR160" s="305"/>
      <c r="BS160" s="305"/>
      <c r="BT160" s="305"/>
      <c r="BU160" s="305"/>
      <c r="BV160" s="305"/>
      <c r="BW160" s="305"/>
      <c r="BX160" s="305"/>
      <c r="BY160" s="305"/>
      <c r="BZ160" s="305"/>
      <c r="CA160" s="305"/>
      <c r="CB160" s="305"/>
      <c r="CC160" s="305"/>
      <c r="CD160" s="305"/>
      <c r="CE160" s="305"/>
      <c r="CF160" s="305"/>
      <c r="CG160" s="305"/>
      <c r="CH160" s="305"/>
      <c r="CI160" s="305"/>
      <c r="CJ160" s="305"/>
      <c r="CK160" s="305"/>
      <c r="CL160" s="305"/>
      <c r="CM160" s="305"/>
      <c r="CN160" s="305"/>
      <c r="CO160" s="305"/>
      <c r="CP160" s="305"/>
      <c r="CQ160" s="305"/>
      <c r="CR160" s="305"/>
      <c r="CS160" s="305"/>
      <c r="CT160" s="305"/>
      <c r="CU160" s="305"/>
      <c r="CV160" s="305"/>
      <c r="CW160" s="305"/>
      <c r="CX160" s="305"/>
      <c r="CY160" s="305"/>
      <c r="CZ160" s="305"/>
      <c r="DA160" s="305"/>
      <c r="DB160" s="305"/>
      <c r="DC160" s="305"/>
      <c r="DD160" s="305"/>
      <c r="DE160" s="305"/>
      <c r="DF160" s="305"/>
      <c r="DG160" s="305"/>
      <c r="DH160" s="305"/>
      <c r="DI160" s="305"/>
      <c r="DJ160" s="305"/>
      <c r="DK160" s="305"/>
      <c r="DL160" s="305"/>
      <c r="DM160" s="305"/>
      <c r="DN160" s="305"/>
      <c r="DO160" s="305"/>
      <c r="DP160" s="305"/>
      <c r="DQ160" s="305"/>
      <c r="DR160" s="305"/>
      <c r="DS160" s="305"/>
      <c r="DT160" s="305"/>
      <c r="DU160" s="305"/>
      <c r="DV160" s="305"/>
      <c r="DW160" s="305"/>
      <c r="DX160" s="305"/>
      <c r="DY160" s="305"/>
      <c r="DZ160" s="305"/>
      <c r="EA160" s="305"/>
      <c r="EB160" s="305"/>
      <c r="EC160" s="305"/>
      <c r="ED160" s="305"/>
      <c r="EE160" s="305"/>
      <c r="EF160" s="305"/>
      <c r="EG160" s="305"/>
      <c r="EH160" s="305"/>
      <c r="EI160" s="305"/>
      <c r="EJ160" s="305"/>
      <c r="EK160" s="305"/>
      <c r="EL160" s="305"/>
      <c r="EM160" s="305"/>
      <c r="EN160" s="305"/>
      <c r="EO160" s="305"/>
      <c r="EP160" s="305"/>
      <c r="EQ160" s="305"/>
      <c r="ER160" s="305"/>
      <c r="ES160" s="305"/>
      <c r="ET160" s="305"/>
      <c r="EU160" s="305"/>
      <c r="EV160" s="305"/>
      <c r="EW160" s="305"/>
      <c r="EX160" s="305"/>
      <c r="EY160" s="305"/>
      <c r="EZ160" s="305"/>
      <c r="FA160" s="305"/>
      <c r="FB160" s="305"/>
      <c r="FC160" s="305"/>
      <c r="FD160" s="305"/>
      <c r="FE160" s="305"/>
      <c r="FF160" s="305"/>
      <c r="FG160" s="305"/>
      <c r="FH160" s="305"/>
      <c r="FI160" s="305"/>
      <c r="FJ160" s="305"/>
      <c r="FK160" s="305"/>
      <c r="FL160" s="305"/>
      <c r="FM160" s="305"/>
      <c r="FN160" s="305"/>
      <c r="FO160" s="305"/>
      <c r="FP160" s="305"/>
      <c r="FQ160" s="305"/>
      <c r="FR160" s="305"/>
      <c r="FS160" s="305"/>
      <c r="FT160" s="305"/>
      <c r="FU160" s="305"/>
      <c r="FV160" s="305"/>
      <c r="FW160" s="305"/>
      <c r="FX160" s="305"/>
      <c r="FY160" s="305"/>
      <c r="FZ160" s="305"/>
      <c r="GA160" s="305"/>
      <c r="GB160" s="305"/>
      <c r="GC160" s="305"/>
      <c r="GD160" s="305"/>
      <c r="GE160" s="305"/>
      <c r="GF160" s="305"/>
      <c r="GG160" s="305"/>
      <c r="GH160" s="305"/>
      <c r="GI160" s="305"/>
      <c r="GJ160" s="305"/>
      <c r="GK160" s="305"/>
      <c r="GL160" s="305"/>
      <c r="GM160" s="305"/>
      <c r="GN160" s="305"/>
      <c r="GO160" s="305"/>
      <c r="GP160" s="305"/>
      <c r="GQ160" s="305"/>
      <c r="GR160" s="305"/>
    </row>
    <row r="161" spans="3:200" s="318" customFormat="1" ht="12.75" customHeight="1" x14ac:dyDescent="0.2">
      <c r="C161" s="367"/>
      <c r="D161" s="403"/>
      <c r="E161" s="369"/>
      <c r="F161" s="369"/>
      <c r="G161" s="369"/>
      <c r="H161" s="369"/>
      <c r="I161" s="370"/>
      <c r="J161"/>
      <c r="K161" s="371"/>
      <c r="L161" s="371"/>
      <c r="M161" s="371"/>
      <c r="N161" s="371"/>
      <c r="O161" s="305"/>
      <c r="P161" s="305"/>
      <c r="Q161" s="305"/>
      <c r="R161" s="305"/>
      <c r="S161" s="305"/>
      <c r="T161" s="305"/>
      <c r="U161" s="305"/>
      <c r="V161" s="305"/>
      <c r="W161" s="305"/>
      <c r="X161" s="305"/>
      <c r="Y161" s="305"/>
      <c r="Z161" s="305"/>
      <c r="AA161" s="305"/>
      <c r="AB161" s="305"/>
      <c r="AC161" s="305"/>
      <c r="AD161" s="305"/>
      <c r="AE161" s="305"/>
      <c r="AF161" s="305"/>
      <c r="AG161" s="305"/>
      <c r="AH161" s="305"/>
      <c r="AI161" s="305"/>
      <c r="AJ161" s="305"/>
      <c r="AK161" s="305"/>
      <c r="AL161" s="305"/>
      <c r="AM161" s="305"/>
      <c r="AN161" s="305"/>
      <c r="AO161" s="305"/>
      <c r="AP161" s="305"/>
      <c r="AQ161" s="305"/>
      <c r="AR161" s="305"/>
      <c r="AS161" s="305"/>
      <c r="AT161" s="305"/>
      <c r="AU161" s="305"/>
      <c r="AV161" s="305"/>
      <c r="AW161" s="305"/>
      <c r="AX161" s="305"/>
      <c r="AY161" s="305"/>
      <c r="AZ161" s="305"/>
      <c r="BA161" s="305"/>
      <c r="BB161" s="305"/>
      <c r="BC161" s="305"/>
      <c r="BD161" s="305"/>
      <c r="BE161" s="305"/>
      <c r="BF161" s="305"/>
      <c r="BG161" s="305"/>
      <c r="BH161" s="305"/>
      <c r="BI161" s="305"/>
      <c r="BJ161" s="305"/>
      <c r="BK161" s="305"/>
      <c r="BL161" s="305"/>
      <c r="BM161" s="305"/>
      <c r="BN161" s="305"/>
      <c r="BO161" s="305"/>
      <c r="BP161" s="305"/>
      <c r="BQ161" s="305"/>
      <c r="BR161" s="305"/>
      <c r="BS161" s="305"/>
      <c r="BT161" s="305"/>
      <c r="BU161" s="305"/>
      <c r="BV161" s="305"/>
      <c r="BW161" s="305"/>
      <c r="BX161" s="305"/>
      <c r="BY161" s="305"/>
      <c r="BZ161" s="305"/>
      <c r="CA161" s="305"/>
      <c r="CB161" s="305"/>
      <c r="CC161" s="305"/>
      <c r="CD161" s="305"/>
      <c r="CE161" s="305"/>
      <c r="CF161" s="305"/>
      <c r="CG161" s="305"/>
      <c r="CH161" s="305"/>
      <c r="CI161" s="305"/>
      <c r="CJ161" s="305"/>
      <c r="CK161" s="305"/>
      <c r="CL161" s="305"/>
      <c r="CM161" s="305"/>
      <c r="CN161" s="305"/>
      <c r="CO161" s="305"/>
      <c r="CP161" s="305"/>
      <c r="CQ161" s="305"/>
      <c r="CR161" s="305"/>
      <c r="CS161" s="305"/>
      <c r="CT161" s="305"/>
      <c r="CU161" s="305"/>
      <c r="CV161" s="305"/>
      <c r="CW161" s="305"/>
      <c r="CX161" s="305"/>
      <c r="CY161" s="305"/>
      <c r="CZ161" s="305"/>
      <c r="DA161" s="305"/>
      <c r="DB161" s="305"/>
      <c r="DC161" s="305"/>
      <c r="DD161" s="305"/>
      <c r="DE161" s="305"/>
      <c r="DF161" s="305"/>
      <c r="DG161" s="305"/>
      <c r="DH161" s="305"/>
      <c r="DI161" s="305"/>
      <c r="DJ161" s="305"/>
      <c r="DK161" s="305"/>
      <c r="DL161" s="305"/>
      <c r="DM161" s="305"/>
      <c r="DN161" s="305"/>
      <c r="DO161" s="305"/>
      <c r="DP161" s="305"/>
      <c r="DQ161" s="305"/>
      <c r="DR161" s="305"/>
      <c r="DS161" s="305"/>
      <c r="DT161" s="305"/>
      <c r="DU161" s="305"/>
      <c r="DV161" s="305"/>
      <c r="DW161" s="305"/>
      <c r="DX161" s="305"/>
      <c r="DY161" s="305"/>
      <c r="DZ161" s="305"/>
      <c r="EA161" s="305"/>
      <c r="EB161" s="305"/>
      <c r="EC161" s="305"/>
      <c r="ED161" s="305"/>
      <c r="EE161" s="305"/>
      <c r="EF161" s="305"/>
      <c r="EG161" s="305"/>
      <c r="EH161" s="305"/>
      <c r="EI161" s="305"/>
      <c r="EJ161" s="305"/>
      <c r="EK161" s="305"/>
      <c r="EL161" s="305"/>
      <c r="EM161" s="305"/>
      <c r="EN161" s="305"/>
      <c r="EO161" s="305"/>
      <c r="EP161" s="305"/>
      <c r="EQ161" s="305"/>
      <c r="ER161" s="305"/>
      <c r="ES161" s="305"/>
      <c r="ET161" s="305"/>
      <c r="EU161" s="305"/>
      <c r="EV161" s="305"/>
      <c r="EW161" s="305"/>
      <c r="EX161" s="305"/>
      <c r="EY161" s="305"/>
      <c r="EZ161" s="305"/>
      <c r="FA161" s="305"/>
      <c r="FB161" s="305"/>
      <c r="FC161" s="305"/>
      <c r="FD161" s="305"/>
      <c r="FE161" s="305"/>
      <c r="FF161" s="305"/>
      <c r="FG161" s="305"/>
      <c r="FH161" s="305"/>
      <c r="FI161" s="305"/>
      <c r="FJ161" s="305"/>
      <c r="FK161" s="305"/>
      <c r="FL161" s="305"/>
      <c r="FM161" s="305"/>
      <c r="FN161" s="305"/>
      <c r="FO161" s="305"/>
      <c r="FP161" s="305"/>
      <c r="FQ161" s="305"/>
      <c r="FR161" s="305"/>
      <c r="FS161" s="305"/>
      <c r="FT161" s="305"/>
      <c r="FU161" s="305"/>
      <c r="FV161" s="305"/>
      <c r="FW161" s="305"/>
      <c r="FX161" s="305"/>
      <c r="FY161" s="305"/>
      <c r="FZ161" s="305"/>
      <c r="GA161" s="305"/>
      <c r="GB161" s="305"/>
      <c r="GC161" s="305"/>
      <c r="GD161" s="305"/>
      <c r="GE161" s="305"/>
      <c r="GF161" s="305"/>
      <c r="GG161" s="305"/>
      <c r="GH161" s="305"/>
      <c r="GI161" s="305"/>
      <c r="GJ161" s="305"/>
      <c r="GK161" s="305"/>
      <c r="GL161" s="305"/>
      <c r="GM161" s="305"/>
      <c r="GN161" s="305"/>
      <c r="GO161" s="305"/>
      <c r="GP161" s="305"/>
      <c r="GQ161" s="305"/>
      <c r="GR161" s="305"/>
    </row>
    <row r="162" spans="3:200" s="318" customFormat="1" ht="12.75" customHeight="1" x14ac:dyDescent="0.2">
      <c r="C162" s="367"/>
      <c r="D162" s="403"/>
      <c r="E162" s="369"/>
      <c r="F162" s="369"/>
      <c r="G162" s="369"/>
      <c r="H162" s="369"/>
      <c r="I162" s="370"/>
      <c r="J162"/>
      <c r="K162" s="371"/>
      <c r="L162" s="371"/>
      <c r="M162" s="371"/>
      <c r="N162" s="371"/>
      <c r="O162" s="305"/>
      <c r="P162" s="305"/>
      <c r="Q162" s="305"/>
      <c r="R162" s="305"/>
      <c r="S162" s="305"/>
      <c r="T162" s="305"/>
      <c r="U162" s="305"/>
      <c r="V162" s="305"/>
      <c r="W162" s="305"/>
      <c r="X162" s="305"/>
      <c r="Y162" s="305"/>
      <c r="Z162" s="305"/>
      <c r="AA162" s="305"/>
      <c r="AB162" s="305"/>
      <c r="AC162" s="305"/>
      <c r="AD162" s="305"/>
      <c r="AE162" s="305"/>
      <c r="AF162" s="305"/>
      <c r="AG162" s="305"/>
      <c r="AH162" s="305"/>
      <c r="AI162" s="305"/>
      <c r="AJ162" s="305"/>
      <c r="AK162" s="305"/>
      <c r="AL162" s="305"/>
      <c r="AM162" s="305"/>
      <c r="AN162" s="305"/>
      <c r="AO162" s="305"/>
      <c r="AP162" s="305"/>
      <c r="AQ162" s="305"/>
      <c r="AR162" s="305"/>
      <c r="AS162" s="305"/>
      <c r="AT162" s="305"/>
      <c r="AU162" s="305"/>
      <c r="AV162" s="305"/>
      <c r="AW162" s="305"/>
      <c r="AX162" s="305"/>
      <c r="AY162" s="305"/>
      <c r="AZ162" s="305"/>
      <c r="BA162" s="305"/>
      <c r="BB162" s="305"/>
      <c r="BC162" s="305"/>
      <c r="BD162" s="305"/>
      <c r="BE162" s="305"/>
      <c r="BF162" s="305"/>
      <c r="BG162" s="305"/>
      <c r="BH162" s="305"/>
      <c r="BI162" s="305"/>
      <c r="BJ162" s="305"/>
      <c r="BK162" s="305"/>
      <c r="BL162" s="305"/>
      <c r="BM162" s="305"/>
      <c r="BN162" s="305"/>
      <c r="BO162" s="305"/>
      <c r="BP162" s="305"/>
      <c r="BQ162" s="305"/>
      <c r="BR162" s="305"/>
      <c r="BS162" s="305"/>
      <c r="BT162" s="305"/>
      <c r="BU162" s="305"/>
      <c r="BV162" s="305"/>
      <c r="BW162" s="305"/>
      <c r="BX162" s="305"/>
      <c r="BY162" s="305"/>
      <c r="BZ162" s="305"/>
      <c r="CA162" s="305"/>
      <c r="CB162" s="305"/>
      <c r="CC162" s="305"/>
      <c r="CD162" s="305"/>
      <c r="CE162" s="305"/>
      <c r="CF162" s="305"/>
      <c r="CG162" s="305"/>
      <c r="CH162" s="305"/>
      <c r="CI162" s="305"/>
      <c r="CJ162" s="305"/>
      <c r="CK162" s="305"/>
      <c r="CL162" s="305"/>
      <c r="CM162" s="305"/>
      <c r="CN162" s="305"/>
      <c r="CO162" s="305"/>
      <c r="CP162" s="305"/>
      <c r="CQ162" s="305"/>
      <c r="CR162" s="305"/>
      <c r="CS162" s="305"/>
      <c r="CT162" s="305"/>
      <c r="CU162" s="305"/>
      <c r="CV162" s="305"/>
      <c r="CW162" s="305"/>
      <c r="CX162" s="305"/>
      <c r="CY162" s="305"/>
      <c r="CZ162" s="305"/>
      <c r="DA162" s="305"/>
      <c r="DB162" s="305"/>
      <c r="DC162" s="305"/>
      <c r="DD162" s="305"/>
      <c r="DE162" s="305"/>
      <c r="DF162" s="305"/>
      <c r="DG162" s="305"/>
      <c r="DH162" s="305"/>
      <c r="DI162" s="305"/>
      <c r="DJ162" s="305"/>
      <c r="DK162" s="305"/>
      <c r="DL162" s="305"/>
      <c r="DM162" s="305"/>
      <c r="DN162" s="305"/>
      <c r="DO162" s="305"/>
      <c r="DP162" s="305"/>
      <c r="DQ162" s="305"/>
      <c r="DR162" s="305"/>
      <c r="DS162" s="305"/>
      <c r="DT162" s="305"/>
      <c r="DU162" s="305"/>
      <c r="DV162" s="305"/>
      <c r="DW162" s="305"/>
      <c r="DX162" s="305"/>
      <c r="DY162" s="305"/>
      <c r="DZ162" s="305"/>
      <c r="EA162" s="305"/>
      <c r="EB162" s="305"/>
      <c r="EC162" s="305"/>
      <c r="ED162" s="305"/>
      <c r="EE162" s="305"/>
      <c r="EF162" s="305"/>
      <c r="EG162" s="305"/>
      <c r="EH162" s="305"/>
      <c r="EI162" s="305"/>
      <c r="EJ162" s="305"/>
      <c r="EK162" s="305"/>
      <c r="EL162" s="305"/>
      <c r="EM162" s="305"/>
      <c r="EN162" s="305"/>
      <c r="EO162" s="305"/>
      <c r="EP162" s="305"/>
      <c r="EQ162" s="305"/>
      <c r="ER162" s="305"/>
      <c r="ES162" s="305"/>
      <c r="ET162" s="305"/>
      <c r="EU162" s="305"/>
      <c r="EV162" s="305"/>
      <c r="EW162" s="305"/>
      <c r="EX162" s="305"/>
      <c r="EY162" s="305"/>
      <c r="EZ162" s="305"/>
      <c r="FA162" s="305"/>
      <c r="FB162" s="305"/>
      <c r="FC162" s="305"/>
      <c r="FD162" s="305"/>
      <c r="FE162" s="305"/>
      <c r="FF162" s="305"/>
      <c r="FG162" s="305"/>
      <c r="FH162" s="305"/>
      <c r="FI162" s="305"/>
      <c r="FJ162" s="305"/>
      <c r="FK162" s="305"/>
      <c r="FL162" s="305"/>
      <c r="FM162" s="305"/>
      <c r="FN162" s="305"/>
      <c r="FO162" s="305"/>
      <c r="FP162" s="305"/>
      <c r="FQ162" s="305"/>
      <c r="FR162" s="305"/>
      <c r="FS162" s="305"/>
      <c r="FT162" s="305"/>
      <c r="FU162" s="305"/>
      <c r="FV162" s="305"/>
      <c r="FW162" s="305"/>
      <c r="FX162" s="305"/>
      <c r="FY162" s="305"/>
      <c r="FZ162" s="305"/>
      <c r="GA162" s="305"/>
      <c r="GB162" s="305"/>
      <c r="GC162" s="305"/>
      <c r="GD162" s="305"/>
      <c r="GE162" s="305"/>
      <c r="GF162" s="305"/>
      <c r="GG162" s="305"/>
      <c r="GH162" s="305"/>
      <c r="GI162" s="305"/>
      <c r="GJ162" s="305"/>
      <c r="GK162" s="305"/>
      <c r="GL162" s="305"/>
      <c r="GM162" s="305"/>
      <c r="GN162" s="305"/>
      <c r="GO162" s="305"/>
      <c r="GP162" s="305"/>
      <c r="GQ162" s="305"/>
      <c r="GR162" s="305"/>
    </row>
    <row r="163" spans="3:200" s="318" customFormat="1" ht="12.75" customHeight="1" x14ac:dyDescent="0.2">
      <c r="C163" s="367"/>
      <c r="D163" s="403"/>
      <c r="E163" s="369"/>
      <c r="F163" s="369"/>
      <c r="G163" s="369"/>
      <c r="H163" s="369"/>
      <c r="I163" s="370"/>
      <c r="J163"/>
      <c r="K163" s="371"/>
      <c r="L163" s="371"/>
      <c r="M163" s="371"/>
      <c r="N163" s="371"/>
      <c r="O163" s="305"/>
      <c r="P163" s="305"/>
      <c r="Q163" s="305"/>
      <c r="R163" s="305"/>
      <c r="S163" s="305"/>
      <c r="T163" s="305"/>
      <c r="U163" s="305"/>
      <c r="V163" s="305"/>
      <c r="W163" s="305"/>
      <c r="X163" s="305"/>
      <c r="Y163" s="305"/>
      <c r="Z163" s="305"/>
      <c r="AA163" s="305"/>
      <c r="AB163" s="305"/>
      <c r="AC163" s="305"/>
      <c r="AD163" s="305"/>
      <c r="AE163" s="305"/>
      <c r="AF163" s="305"/>
      <c r="AG163" s="305"/>
      <c r="AH163" s="305"/>
      <c r="AI163" s="305"/>
      <c r="AJ163" s="305"/>
      <c r="AK163" s="305"/>
      <c r="AL163" s="305"/>
      <c r="AM163" s="305"/>
      <c r="AN163" s="305"/>
      <c r="AO163" s="305"/>
      <c r="AP163" s="305"/>
      <c r="AQ163" s="305"/>
      <c r="AR163" s="305"/>
      <c r="AS163" s="305"/>
      <c r="AT163" s="305"/>
      <c r="AU163" s="305"/>
      <c r="AV163" s="305"/>
      <c r="AW163" s="305"/>
      <c r="AX163" s="305"/>
      <c r="AY163" s="305"/>
      <c r="AZ163" s="305"/>
      <c r="BA163" s="305"/>
      <c r="BB163" s="305"/>
      <c r="BC163" s="305"/>
      <c r="BD163" s="305"/>
      <c r="BE163" s="305"/>
      <c r="BF163" s="305"/>
      <c r="BG163" s="305"/>
      <c r="BH163" s="305"/>
      <c r="BI163" s="305"/>
      <c r="BJ163" s="305"/>
      <c r="BK163" s="305"/>
      <c r="BL163" s="305"/>
      <c r="BM163" s="305"/>
      <c r="BN163" s="305"/>
      <c r="BO163" s="305"/>
      <c r="BP163" s="305"/>
      <c r="BQ163" s="305"/>
      <c r="BR163" s="305"/>
      <c r="BS163" s="305"/>
      <c r="BT163" s="305"/>
      <c r="BU163" s="305"/>
      <c r="BV163" s="305"/>
      <c r="BW163" s="305"/>
      <c r="BX163" s="305"/>
      <c r="BY163" s="305"/>
      <c r="BZ163" s="305"/>
      <c r="CA163" s="305"/>
      <c r="CB163" s="305"/>
      <c r="CC163" s="305"/>
      <c r="CD163" s="305"/>
      <c r="CE163" s="305"/>
      <c r="CF163" s="305"/>
      <c r="CG163" s="305"/>
      <c r="CH163" s="305"/>
      <c r="CI163" s="305"/>
      <c r="CJ163" s="305"/>
      <c r="CK163" s="305"/>
      <c r="CL163" s="305"/>
      <c r="CM163" s="305"/>
      <c r="CN163" s="305"/>
      <c r="CO163" s="305"/>
      <c r="CP163" s="305"/>
      <c r="CQ163" s="305"/>
      <c r="CR163" s="305"/>
      <c r="CS163" s="305"/>
      <c r="CT163" s="305"/>
      <c r="CU163" s="305"/>
      <c r="CV163" s="305"/>
      <c r="CW163" s="305"/>
      <c r="CX163" s="305"/>
      <c r="CY163" s="305"/>
      <c r="CZ163" s="305"/>
      <c r="DA163" s="305"/>
      <c r="DB163" s="305"/>
      <c r="DC163" s="305"/>
      <c r="DD163" s="305"/>
      <c r="DE163" s="305"/>
      <c r="DF163" s="305"/>
      <c r="DG163" s="305"/>
      <c r="DH163" s="305"/>
      <c r="DI163" s="305"/>
      <c r="DJ163" s="305"/>
      <c r="DK163" s="305"/>
      <c r="DL163" s="305"/>
      <c r="DM163" s="305"/>
      <c r="DN163" s="305"/>
      <c r="DO163" s="305"/>
      <c r="DP163" s="305"/>
      <c r="DQ163" s="305"/>
      <c r="DR163" s="305"/>
      <c r="DS163" s="305"/>
      <c r="DT163" s="305"/>
      <c r="DU163" s="305"/>
      <c r="DV163" s="305"/>
      <c r="DW163" s="305"/>
      <c r="DX163" s="305"/>
      <c r="DY163" s="305"/>
      <c r="DZ163" s="305"/>
      <c r="EA163" s="305"/>
      <c r="EB163" s="305"/>
      <c r="EC163" s="305"/>
      <c r="ED163" s="305"/>
      <c r="EE163" s="305"/>
      <c r="EF163" s="305"/>
      <c r="EG163" s="305"/>
      <c r="EH163" s="305"/>
      <c r="EI163" s="305"/>
      <c r="EJ163" s="305"/>
      <c r="EK163" s="305"/>
      <c r="EL163" s="305"/>
      <c r="EM163" s="305"/>
      <c r="EN163" s="305"/>
      <c r="EO163" s="305"/>
      <c r="EP163" s="305"/>
      <c r="EQ163" s="305"/>
      <c r="ER163" s="305"/>
      <c r="ES163" s="305"/>
      <c r="ET163" s="305"/>
      <c r="EU163" s="305"/>
      <c r="EV163" s="305"/>
      <c r="EW163" s="305"/>
      <c r="EX163" s="305"/>
      <c r="EY163" s="305"/>
      <c r="EZ163" s="305"/>
      <c r="FA163" s="305"/>
      <c r="FB163" s="305"/>
      <c r="FC163" s="305"/>
      <c r="FD163" s="305"/>
      <c r="FE163" s="305"/>
      <c r="FF163" s="305"/>
      <c r="FG163" s="305"/>
      <c r="FH163" s="305"/>
      <c r="FI163" s="305"/>
      <c r="FJ163" s="305"/>
      <c r="FK163" s="305"/>
      <c r="FL163" s="305"/>
      <c r="FM163" s="305"/>
      <c r="FN163" s="305"/>
      <c r="FO163" s="305"/>
      <c r="FP163" s="305"/>
      <c r="FQ163" s="305"/>
      <c r="FR163" s="305"/>
      <c r="FS163" s="305"/>
      <c r="FT163" s="305"/>
      <c r="FU163" s="305"/>
      <c r="FV163" s="305"/>
      <c r="FW163" s="305"/>
      <c r="FX163" s="305"/>
      <c r="FY163" s="305"/>
      <c r="FZ163" s="305"/>
      <c r="GA163" s="305"/>
      <c r="GB163" s="305"/>
      <c r="GC163" s="305"/>
      <c r="GD163" s="305"/>
      <c r="GE163" s="305"/>
      <c r="GF163" s="305"/>
      <c r="GG163" s="305"/>
      <c r="GH163" s="305"/>
      <c r="GI163" s="305"/>
      <c r="GJ163" s="305"/>
      <c r="GK163" s="305"/>
      <c r="GL163" s="305"/>
      <c r="GM163" s="305"/>
      <c r="GN163" s="305"/>
      <c r="GO163" s="305"/>
      <c r="GP163" s="305"/>
      <c r="GQ163" s="305"/>
      <c r="GR163" s="305"/>
    </row>
    <row r="164" spans="3:200" s="318" customFormat="1" ht="12.75" customHeight="1" x14ac:dyDescent="0.2">
      <c r="C164" s="367"/>
      <c r="D164" s="403"/>
      <c r="E164" s="369"/>
      <c r="F164" s="369"/>
      <c r="G164" s="369"/>
      <c r="H164" s="369"/>
      <c r="I164" s="370"/>
      <c r="J164"/>
      <c r="K164" s="371"/>
      <c r="L164" s="371"/>
      <c r="M164" s="371"/>
      <c r="N164" s="371"/>
      <c r="O164" s="305"/>
      <c r="P164" s="305"/>
      <c r="Q164" s="305"/>
      <c r="R164" s="305"/>
      <c r="S164" s="305"/>
      <c r="T164" s="305"/>
      <c r="U164" s="305"/>
      <c r="V164" s="305"/>
      <c r="W164" s="305"/>
      <c r="X164" s="305"/>
      <c r="Y164" s="305"/>
      <c r="Z164" s="305"/>
      <c r="AA164" s="305"/>
      <c r="AB164" s="305"/>
      <c r="AC164" s="305"/>
      <c r="AD164" s="305"/>
      <c r="AE164" s="305"/>
      <c r="AF164" s="305"/>
      <c r="AG164" s="305"/>
      <c r="AH164" s="305"/>
      <c r="AI164" s="305"/>
      <c r="AJ164" s="305"/>
      <c r="AK164" s="305"/>
      <c r="AL164" s="305"/>
      <c r="AM164" s="305"/>
      <c r="AN164" s="305"/>
      <c r="AO164" s="305"/>
      <c r="AP164" s="305"/>
      <c r="AQ164" s="305"/>
      <c r="AR164" s="305"/>
      <c r="AS164" s="305"/>
      <c r="AT164" s="305"/>
      <c r="AU164" s="305"/>
      <c r="AV164" s="305"/>
      <c r="AW164" s="305"/>
      <c r="AX164" s="305"/>
      <c r="AY164" s="305"/>
      <c r="AZ164" s="305"/>
      <c r="BA164" s="305"/>
      <c r="BB164" s="305"/>
      <c r="BC164" s="305"/>
      <c r="BD164" s="305"/>
      <c r="BE164" s="305"/>
      <c r="BF164" s="305"/>
      <c r="BG164" s="305"/>
      <c r="BH164" s="305"/>
      <c r="BI164" s="305"/>
      <c r="BJ164" s="305"/>
      <c r="BK164" s="305"/>
      <c r="BL164" s="305"/>
      <c r="BM164" s="305"/>
      <c r="BN164" s="305"/>
      <c r="BO164" s="305"/>
      <c r="BP164" s="305"/>
      <c r="BQ164" s="305"/>
      <c r="BR164" s="305"/>
      <c r="BS164" s="305"/>
      <c r="BT164" s="305"/>
      <c r="BU164" s="305"/>
      <c r="BV164" s="305"/>
      <c r="BW164" s="305"/>
      <c r="BX164" s="305"/>
      <c r="BY164" s="305"/>
      <c r="BZ164" s="305"/>
      <c r="CA164" s="305"/>
      <c r="CB164" s="305"/>
      <c r="CC164" s="305"/>
      <c r="CD164" s="305"/>
      <c r="CE164" s="305"/>
      <c r="CF164" s="305"/>
      <c r="CG164" s="305"/>
      <c r="CH164" s="305"/>
      <c r="CI164" s="305"/>
      <c r="CJ164" s="305"/>
      <c r="CK164" s="305"/>
      <c r="CL164" s="305"/>
      <c r="CM164" s="305"/>
      <c r="CN164" s="305"/>
      <c r="CO164" s="305"/>
      <c r="CP164" s="305"/>
      <c r="CQ164" s="305"/>
      <c r="CR164" s="305"/>
      <c r="CS164" s="305"/>
      <c r="CT164" s="305"/>
      <c r="CU164" s="305"/>
      <c r="CV164" s="305"/>
      <c r="CW164" s="305"/>
      <c r="CX164" s="305"/>
      <c r="CY164" s="305"/>
      <c r="CZ164" s="305"/>
      <c r="DA164" s="305"/>
      <c r="DB164" s="305"/>
      <c r="DC164" s="305"/>
      <c r="DD164" s="305"/>
      <c r="DE164" s="305"/>
      <c r="DF164" s="305"/>
      <c r="DG164" s="305"/>
      <c r="DH164" s="305"/>
      <c r="DI164" s="305"/>
      <c r="DJ164" s="305"/>
      <c r="DK164" s="305"/>
      <c r="DL164" s="305"/>
      <c r="DM164" s="305"/>
      <c r="DN164" s="305"/>
      <c r="DO164" s="305"/>
      <c r="DP164" s="305"/>
      <c r="DQ164" s="305"/>
      <c r="DR164" s="305"/>
      <c r="DS164" s="305"/>
      <c r="DT164" s="305"/>
      <c r="DU164" s="305"/>
      <c r="DV164" s="305"/>
      <c r="DW164" s="305"/>
      <c r="DX164" s="305"/>
      <c r="DY164" s="305"/>
      <c r="DZ164" s="305"/>
      <c r="EA164" s="305"/>
      <c r="EB164" s="305"/>
      <c r="EC164" s="305"/>
      <c r="ED164" s="305"/>
      <c r="EE164" s="305"/>
      <c r="EF164" s="305"/>
      <c r="EG164" s="305"/>
      <c r="EH164" s="305"/>
      <c r="EI164" s="305"/>
      <c r="EJ164" s="305"/>
      <c r="EK164" s="305"/>
      <c r="EL164" s="305"/>
      <c r="EM164" s="305"/>
      <c r="EN164" s="305"/>
      <c r="EO164" s="305"/>
      <c r="EP164" s="305"/>
      <c r="EQ164" s="305"/>
      <c r="ER164" s="305"/>
      <c r="ES164" s="305"/>
      <c r="ET164" s="305"/>
      <c r="EU164" s="305"/>
      <c r="EV164" s="305"/>
      <c r="EW164" s="305"/>
      <c r="EX164" s="305"/>
      <c r="EY164" s="305"/>
      <c r="EZ164" s="305"/>
      <c r="FA164" s="305"/>
      <c r="FB164" s="305"/>
      <c r="FC164" s="305"/>
      <c r="FD164" s="305"/>
      <c r="FE164" s="305"/>
      <c r="FF164" s="305"/>
      <c r="FG164" s="305"/>
      <c r="FH164" s="305"/>
      <c r="FI164" s="305"/>
      <c r="FJ164" s="305"/>
      <c r="FK164" s="305"/>
      <c r="FL164" s="305"/>
      <c r="FM164" s="305"/>
      <c r="FN164" s="305"/>
      <c r="FO164" s="305"/>
      <c r="FP164" s="305"/>
      <c r="FQ164" s="305"/>
      <c r="FR164" s="305"/>
      <c r="FS164" s="305"/>
      <c r="FT164" s="305"/>
      <c r="FU164" s="305"/>
      <c r="FV164" s="305"/>
      <c r="FW164" s="305"/>
      <c r="FX164" s="305"/>
      <c r="FY164" s="305"/>
      <c r="FZ164" s="305"/>
      <c r="GA164" s="305"/>
      <c r="GB164" s="305"/>
      <c r="GC164" s="305"/>
      <c r="GD164" s="305"/>
      <c r="GE164" s="305"/>
      <c r="GF164" s="305"/>
      <c r="GG164" s="305"/>
      <c r="GH164" s="305"/>
      <c r="GI164" s="305"/>
      <c r="GJ164" s="305"/>
      <c r="GK164" s="305"/>
      <c r="GL164" s="305"/>
      <c r="GM164" s="305"/>
      <c r="GN164" s="305"/>
      <c r="GO164" s="305"/>
      <c r="GP164" s="305"/>
      <c r="GQ164" s="305"/>
      <c r="GR164" s="305"/>
    </row>
    <row r="165" spans="3:200" s="318" customFormat="1" ht="12.75" customHeight="1" x14ac:dyDescent="0.2">
      <c r="C165" s="367"/>
      <c r="D165" s="403"/>
      <c r="E165" s="369"/>
      <c r="F165" s="369"/>
      <c r="G165" s="369"/>
      <c r="H165" s="369"/>
      <c r="I165" s="370"/>
      <c r="J165"/>
      <c r="K165" s="371"/>
      <c r="L165" s="371"/>
      <c r="M165" s="371"/>
      <c r="N165" s="371"/>
      <c r="O165" s="305"/>
      <c r="P165" s="305"/>
      <c r="Q165" s="305"/>
      <c r="R165" s="305"/>
      <c r="S165" s="305"/>
      <c r="T165" s="305"/>
      <c r="U165" s="305"/>
      <c r="V165" s="305"/>
      <c r="W165" s="305"/>
      <c r="X165" s="305"/>
      <c r="Y165" s="305"/>
      <c r="Z165" s="305"/>
      <c r="AA165" s="305"/>
      <c r="AB165" s="305"/>
      <c r="AC165" s="305"/>
      <c r="AD165" s="305"/>
      <c r="AE165" s="305"/>
      <c r="AF165" s="305"/>
      <c r="AG165" s="305"/>
      <c r="AH165" s="305"/>
      <c r="AI165" s="305"/>
      <c r="AJ165" s="305"/>
      <c r="AK165" s="305"/>
      <c r="AL165" s="305"/>
      <c r="AM165" s="305"/>
      <c r="AN165" s="305"/>
      <c r="AO165" s="305"/>
      <c r="AP165" s="305"/>
      <c r="AQ165" s="305"/>
      <c r="AR165" s="305"/>
      <c r="AS165" s="305"/>
      <c r="AT165" s="305"/>
      <c r="AU165" s="305"/>
      <c r="AV165" s="305"/>
      <c r="AW165" s="305"/>
      <c r="AX165" s="305"/>
      <c r="AY165" s="305"/>
      <c r="AZ165" s="305"/>
      <c r="BA165" s="305"/>
      <c r="BB165" s="305"/>
      <c r="BC165" s="305"/>
      <c r="BD165" s="305"/>
      <c r="BE165" s="305"/>
      <c r="BF165" s="305"/>
      <c r="BG165" s="305"/>
      <c r="BH165" s="305"/>
      <c r="BI165" s="305"/>
      <c r="BJ165" s="305"/>
      <c r="BK165" s="305"/>
      <c r="BL165" s="305"/>
      <c r="BM165" s="305"/>
      <c r="BN165" s="305"/>
      <c r="BO165" s="305"/>
      <c r="BP165" s="305"/>
      <c r="BQ165" s="305"/>
      <c r="BR165" s="305"/>
      <c r="BS165" s="305"/>
      <c r="BT165" s="305"/>
      <c r="BU165" s="305"/>
      <c r="BV165" s="305"/>
      <c r="BW165" s="305"/>
      <c r="BX165" s="305"/>
      <c r="BY165" s="305"/>
      <c r="BZ165" s="305"/>
      <c r="CA165" s="305"/>
      <c r="CB165" s="305"/>
      <c r="CC165" s="305"/>
      <c r="CD165" s="305"/>
      <c r="CE165" s="305"/>
      <c r="CF165" s="305"/>
      <c r="CG165" s="305"/>
      <c r="CH165" s="305"/>
      <c r="CI165" s="305"/>
      <c r="CJ165" s="305"/>
      <c r="CK165" s="305"/>
      <c r="CL165" s="305"/>
      <c r="CM165" s="305"/>
      <c r="CN165" s="305"/>
      <c r="CO165" s="305"/>
      <c r="CP165" s="305"/>
      <c r="CQ165" s="305"/>
      <c r="CR165" s="305"/>
      <c r="CS165" s="305"/>
      <c r="CT165" s="305"/>
      <c r="CU165" s="305"/>
      <c r="CV165" s="305"/>
      <c r="CW165" s="305"/>
      <c r="CX165" s="305"/>
      <c r="CY165" s="305"/>
      <c r="CZ165" s="305"/>
      <c r="DA165" s="305"/>
      <c r="DB165" s="305"/>
      <c r="DC165" s="305"/>
      <c r="DD165" s="305"/>
      <c r="DE165" s="305"/>
      <c r="DF165" s="305"/>
      <c r="DG165" s="305"/>
      <c r="DH165" s="305"/>
      <c r="DI165" s="305"/>
      <c r="DJ165" s="305"/>
      <c r="DK165" s="305"/>
      <c r="DL165" s="305"/>
      <c r="DM165" s="305"/>
      <c r="DN165" s="305"/>
      <c r="DO165" s="305"/>
      <c r="DP165" s="305"/>
      <c r="DQ165" s="305"/>
      <c r="DR165" s="305"/>
      <c r="DS165" s="305"/>
      <c r="DT165" s="305"/>
      <c r="DU165" s="305"/>
      <c r="DV165" s="305"/>
      <c r="DW165" s="305"/>
      <c r="DX165" s="305"/>
      <c r="DY165" s="305"/>
      <c r="DZ165" s="305"/>
      <c r="EA165" s="305"/>
      <c r="EB165" s="305"/>
      <c r="EC165" s="305"/>
      <c r="ED165" s="305"/>
      <c r="EE165" s="305"/>
      <c r="EF165" s="305"/>
      <c r="EG165" s="305"/>
      <c r="EH165" s="305"/>
      <c r="EI165" s="305"/>
      <c r="EJ165" s="305"/>
      <c r="EK165" s="305"/>
      <c r="EL165" s="305"/>
      <c r="EM165" s="305"/>
      <c r="EN165" s="305"/>
      <c r="EO165" s="305"/>
      <c r="EP165" s="305"/>
      <c r="EQ165" s="305"/>
      <c r="ER165" s="305"/>
      <c r="ES165" s="305"/>
      <c r="ET165" s="305"/>
      <c r="EU165" s="305"/>
      <c r="EV165" s="305"/>
      <c r="EW165" s="305"/>
      <c r="EX165" s="305"/>
      <c r="EY165" s="305"/>
      <c r="EZ165" s="305"/>
      <c r="FA165" s="305"/>
      <c r="FB165" s="305"/>
      <c r="FC165" s="305"/>
      <c r="FD165" s="305"/>
      <c r="FE165" s="305"/>
      <c r="FF165" s="305"/>
      <c r="FG165" s="305"/>
      <c r="FH165" s="305"/>
      <c r="FI165" s="305"/>
      <c r="FJ165" s="305"/>
      <c r="FK165" s="305"/>
      <c r="FL165" s="305"/>
      <c r="FM165" s="305"/>
      <c r="FN165" s="305"/>
      <c r="FO165" s="305"/>
      <c r="FP165" s="305"/>
      <c r="FQ165" s="305"/>
      <c r="FR165" s="305"/>
      <c r="FS165" s="305"/>
      <c r="FT165" s="305"/>
      <c r="FU165" s="305"/>
      <c r="FV165" s="305"/>
      <c r="FW165" s="305"/>
      <c r="FX165" s="305"/>
      <c r="FY165" s="305"/>
      <c r="FZ165" s="305"/>
      <c r="GA165" s="305"/>
      <c r="GB165" s="305"/>
      <c r="GC165" s="305"/>
      <c r="GD165" s="305"/>
      <c r="GE165" s="305"/>
      <c r="GF165" s="305"/>
      <c r="GG165" s="305"/>
      <c r="GH165" s="305"/>
      <c r="GI165" s="305"/>
      <c r="GJ165" s="305"/>
      <c r="GK165" s="305"/>
      <c r="GL165" s="305"/>
      <c r="GM165" s="305"/>
      <c r="GN165" s="305"/>
      <c r="GO165" s="305"/>
      <c r="GP165" s="305"/>
      <c r="GQ165" s="305"/>
      <c r="GR165" s="305"/>
    </row>
    <row r="166" spans="3:200" s="318" customFormat="1" ht="12.75" customHeight="1" x14ac:dyDescent="0.2">
      <c r="C166" s="367"/>
      <c r="D166" s="403"/>
      <c r="E166" s="369"/>
      <c r="F166" s="369"/>
      <c r="G166" s="369"/>
      <c r="H166" s="369"/>
      <c r="I166" s="370"/>
      <c r="J166"/>
      <c r="K166" s="371"/>
      <c r="L166" s="371"/>
      <c r="M166" s="371"/>
      <c r="N166" s="371"/>
      <c r="O166" s="305"/>
      <c r="P166" s="305"/>
      <c r="Q166" s="305"/>
      <c r="R166" s="305"/>
      <c r="S166" s="305"/>
      <c r="T166" s="305"/>
      <c r="U166" s="305"/>
      <c r="V166" s="305"/>
      <c r="W166" s="305"/>
      <c r="X166" s="305"/>
      <c r="Y166" s="305"/>
      <c r="Z166" s="305"/>
      <c r="AA166" s="305"/>
      <c r="AB166" s="305"/>
      <c r="AC166" s="305"/>
      <c r="AD166" s="305"/>
      <c r="AE166" s="305"/>
      <c r="AF166" s="305"/>
      <c r="AG166" s="305"/>
      <c r="AH166" s="305"/>
      <c r="AI166" s="305"/>
      <c r="AJ166" s="305"/>
      <c r="AK166" s="305"/>
      <c r="AL166" s="305"/>
      <c r="AM166" s="305"/>
      <c r="AN166" s="305"/>
      <c r="AO166" s="305"/>
      <c r="AP166" s="305"/>
      <c r="AQ166" s="305"/>
      <c r="AR166" s="305"/>
      <c r="AS166" s="305"/>
      <c r="AT166" s="305"/>
      <c r="AU166" s="305"/>
      <c r="AV166" s="305"/>
      <c r="AW166" s="305"/>
      <c r="AX166" s="305"/>
      <c r="AY166" s="305"/>
      <c r="AZ166" s="305"/>
      <c r="BA166" s="305"/>
      <c r="BB166" s="305"/>
      <c r="BC166" s="305"/>
      <c r="BD166" s="305"/>
      <c r="BE166" s="305"/>
      <c r="BF166" s="305"/>
      <c r="BG166" s="305"/>
      <c r="BH166" s="305"/>
      <c r="BI166" s="305"/>
      <c r="BJ166" s="305"/>
      <c r="BK166" s="305"/>
      <c r="BL166" s="305"/>
      <c r="BM166" s="305"/>
      <c r="BN166" s="305"/>
      <c r="BO166" s="305"/>
      <c r="BP166" s="305"/>
      <c r="BQ166" s="305"/>
      <c r="BR166" s="305"/>
      <c r="BS166" s="305"/>
      <c r="BT166" s="305"/>
      <c r="BU166" s="305"/>
      <c r="BV166" s="305"/>
      <c r="BW166" s="305"/>
      <c r="BX166" s="305"/>
      <c r="BY166" s="305"/>
      <c r="BZ166" s="305"/>
      <c r="CA166" s="305"/>
      <c r="CB166" s="305"/>
      <c r="CC166" s="305"/>
      <c r="CD166" s="305"/>
      <c r="CE166" s="305"/>
      <c r="CF166" s="305"/>
      <c r="CG166" s="305"/>
      <c r="CH166" s="305"/>
      <c r="CI166" s="305"/>
      <c r="CJ166" s="305"/>
      <c r="CK166" s="305"/>
      <c r="CL166" s="305"/>
      <c r="CM166" s="305"/>
      <c r="CN166" s="305"/>
      <c r="CO166" s="305"/>
      <c r="CP166" s="305"/>
      <c r="CQ166" s="305"/>
      <c r="CR166" s="305"/>
      <c r="CS166" s="305"/>
      <c r="CT166" s="305"/>
      <c r="CU166" s="305"/>
      <c r="CV166" s="305"/>
      <c r="CW166" s="305"/>
      <c r="CX166" s="305"/>
      <c r="CY166" s="305"/>
      <c r="CZ166" s="305"/>
      <c r="DA166" s="305"/>
      <c r="DB166" s="305"/>
      <c r="DC166" s="305"/>
      <c r="DD166" s="305"/>
      <c r="DE166" s="305"/>
      <c r="DF166" s="305"/>
      <c r="DG166" s="305"/>
      <c r="DH166" s="305"/>
      <c r="DI166" s="305"/>
      <c r="DJ166" s="305"/>
      <c r="DK166" s="305"/>
      <c r="DL166" s="305"/>
      <c r="DM166" s="305"/>
      <c r="DN166" s="305"/>
      <c r="DO166" s="305"/>
      <c r="DP166" s="305"/>
      <c r="DQ166" s="305"/>
      <c r="DR166" s="305"/>
      <c r="DS166" s="305"/>
      <c r="DT166" s="305"/>
      <c r="DU166" s="305"/>
      <c r="DV166" s="305"/>
      <c r="DW166" s="305"/>
      <c r="DX166" s="305"/>
      <c r="DY166" s="305"/>
      <c r="DZ166" s="305"/>
      <c r="EA166" s="305"/>
      <c r="EB166" s="305"/>
      <c r="EC166" s="305"/>
      <c r="ED166" s="305"/>
      <c r="EE166" s="305"/>
      <c r="EF166" s="305"/>
      <c r="EG166" s="305"/>
      <c r="EH166" s="305"/>
      <c r="EI166" s="305"/>
      <c r="EJ166" s="305"/>
      <c r="EK166" s="305"/>
      <c r="EL166" s="305"/>
      <c r="EM166" s="305"/>
      <c r="EN166" s="305"/>
      <c r="EO166" s="305"/>
      <c r="EP166" s="305"/>
      <c r="EQ166" s="305"/>
      <c r="ER166" s="305"/>
      <c r="ES166" s="305"/>
      <c r="ET166" s="305"/>
      <c r="EU166" s="305"/>
      <c r="EV166" s="305"/>
      <c r="EW166" s="305"/>
      <c r="EX166" s="305"/>
      <c r="EY166" s="305"/>
      <c r="EZ166" s="305"/>
      <c r="FA166" s="305"/>
      <c r="FB166" s="305"/>
      <c r="FC166" s="305"/>
      <c r="FD166" s="305"/>
      <c r="FE166" s="305"/>
      <c r="FF166" s="305"/>
      <c r="FG166" s="305"/>
      <c r="FH166" s="305"/>
      <c r="FI166" s="305"/>
      <c r="FJ166" s="305"/>
      <c r="FK166" s="305"/>
      <c r="FL166" s="305"/>
      <c r="FM166" s="305"/>
      <c r="FN166" s="305"/>
      <c r="FO166" s="305"/>
      <c r="FP166" s="305"/>
      <c r="FQ166" s="305"/>
      <c r="FR166" s="305"/>
      <c r="FS166" s="305"/>
      <c r="FT166" s="305"/>
      <c r="FU166" s="305"/>
      <c r="FV166" s="305"/>
      <c r="FW166" s="305"/>
      <c r="FX166" s="305"/>
      <c r="FY166" s="305"/>
      <c r="FZ166" s="305"/>
      <c r="GA166" s="305"/>
      <c r="GB166" s="305"/>
      <c r="GC166" s="305"/>
      <c r="GD166" s="305"/>
      <c r="GE166" s="305"/>
      <c r="GF166" s="305"/>
      <c r="GG166" s="305"/>
      <c r="GH166" s="305"/>
      <c r="GI166" s="305"/>
      <c r="GJ166" s="305"/>
      <c r="GK166" s="305"/>
      <c r="GL166" s="305"/>
      <c r="GM166" s="305"/>
      <c r="GN166" s="305"/>
      <c r="GO166" s="305"/>
      <c r="GP166" s="305"/>
      <c r="GQ166" s="305"/>
      <c r="GR166" s="305"/>
    </row>
    <row r="167" spans="3:200" s="318" customFormat="1" ht="12.75" customHeight="1" x14ac:dyDescent="0.2">
      <c r="C167" s="367"/>
      <c r="D167" s="403"/>
      <c r="E167" s="369"/>
      <c r="F167" s="369"/>
      <c r="G167" s="369"/>
      <c r="H167" s="369"/>
      <c r="I167" s="370"/>
      <c r="J167"/>
      <c r="K167" s="371"/>
      <c r="L167" s="371"/>
      <c r="M167" s="371"/>
      <c r="N167" s="371"/>
      <c r="O167" s="305"/>
      <c r="P167" s="305"/>
      <c r="Q167" s="305"/>
      <c r="R167" s="305"/>
      <c r="S167" s="305"/>
      <c r="T167" s="305"/>
      <c r="U167" s="305"/>
      <c r="V167" s="305"/>
      <c r="W167" s="305"/>
      <c r="X167" s="305"/>
      <c r="Y167" s="305"/>
      <c r="Z167" s="305"/>
      <c r="AA167" s="305"/>
      <c r="AB167" s="305"/>
      <c r="AC167" s="305"/>
      <c r="AD167" s="305"/>
      <c r="AE167" s="305"/>
      <c r="AF167" s="305"/>
      <c r="AG167" s="305"/>
      <c r="AH167" s="305"/>
      <c r="AI167" s="305"/>
      <c r="AJ167" s="305"/>
      <c r="AK167" s="305"/>
      <c r="AL167" s="305"/>
      <c r="AM167" s="305"/>
      <c r="AN167" s="305"/>
      <c r="AO167" s="305"/>
      <c r="AP167" s="305"/>
      <c r="AQ167" s="305"/>
      <c r="AR167" s="305"/>
      <c r="AS167" s="305"/>
      <c r="AT167" s="305"/>
      <c r="AU167" s="305"/>
      <c r="AV167" s="305"/>
      <c r="AW167" s="305"/>
      <c r="AX167" s="305"/>
      <c r="AY167" s="305"/>
      <c r="AZ167" s="305"/>
      <c r="BA167" s="305"/>
      <c r="BB167" s="305"/>
      <c r="BC167" s="305"/>
      <c r="BD167" s="305"/>
      <c r="BE167" s="305"/>
      <c r="BF167" s="305"/>
      <c r="BG167" s="305"/>
      <c r="BH167" s="305"/>
      <c r="BI167" s="305"/>
      <c r="BJ167" s="305"/>
      <c r="BK167" s="305"/>
      <c r="BL167" s="305"/>
      <c r="BM167" s="305"/>
      <c r="BN167" s="305"/>
      <c r="BO167" s="305"/>
      <c r="BP167" s="305"/>
      <c r="BQ167" s="305"/>
      <c r="BR167" s="305"/>
      <c r="BS167" s="305"/>
      <c r="BT167" s="305"/>
      <c r="BU167" s="305"/>
      <c r="BV167" s="305"/>
      <c r="BW167" s="305"/>
      <c r="BX167" s="305"/>
      <c r="BY167" s="305"/>
      <c r="BZ167" s="305"/>
      <c r="CA167" s="305"/>
      <c r="CB167" s="305"/>
      <c r="CC167" s="305"/>
      <c r="CD167" s="305"/>
      <c r="CE167" s="305"/>
      <c r="CF167" s="305"/>
      <c r="CG167" s="305"/>
      <c r="CH167" s="305"/>
      <c r="CI167" s="305"/>
      <c r="CJ167" s="305"/>
      <c r="CK167" s="305"/>
      <c r="CL167" s="305"/>
      <c r="CM167" s="305"/>
      <c r="CN167" s="305"/>
      <c r="CO167" s="305"/>
      <c r="CP167" s="305"/>
      <c r="CQ167" s="305"/>
      <c r="CR167" s="305"/>
      <c r="CS167" s="305"/>
      <c r="CT167" s="305"/>
      <c r="CU167" s="305"/>
      <c r="CV167" s="305"/>
      <c r="CW167" s="305"/>
      <c r="CX167" s="305"/>
      <c r="CY167" s="305"/>
      <c r="CZ167" s="305"/>
      <c r="DA167" s="305"/>
      <c r="DB167" s="305"/>
      <c r="DC167" s="305"/>
      <c r="DD167" s="305"/>
      <c r="DE167" s="305"/>
      <c r="DF167" s="305"/>
      <c r="DG167" s="305"/>
      <c r="DH167" s="305"/>
      <c r="DI167" s="305"/>
      <c r="DJ167" s="305"/>
      <c r="DK167" s="305"/>
      <c r="DL167" s="305"/>
      <c r="DM167" s="305"/>
      <c r="DN167" s="305"/>
      <c r="DO167" s="305"/>
      <c r="DP167" s="305"/>
      <c r="DQ167" s="305"/>
      <c r="DR167" s="305"/>
      <c r="DS167" s="305"/>
      <c r="DT167" s="305"/>
      <c r="DU167" s="305"/>
      <c r="DV167" s="305"/>
      <c r="DW167" s="305"/>
      <c r="DX167" s="305"/>
      <c r="DY167" s="305"/>
      <c r="DZ167" s="305"/>
      <c r="EA167" s="305"/>
      <c r="EB167" s="305"/>
      <c r="EC167" s="305"/>
      <c r="ED167" s="305"/>
      <c r="EE167" s="305"/>
      <c r="EF167" s="305"/>
      <c r="EG167" s="305"/>
      <c r="EH167" s="305"/>
      <c r="EI167" s="305"/>
      <c r="EJ167" s="305"/>
      <c r="EK167" s="305"/>
      <c r="EL167" s="305"/>
      <c r="EM167" s="305"/>
      <c r="EN167" s="305"/>
      <c r="EO167" s="305"/>
      <c r="EP167" s="305"/>
      <c r="EQ167" s="305"/>
      <c r="ER167" s="305"/>
      <c r="ES167" s="305"/>
      <c r="ET167" s="305"/>
      <c r="EU167" s="305"/>
      <c r="EV167" s="305"/>
      <c r="EW167" s="305"/>
      <c r="EX167" s="305"/>
      <c r="EY167" s="305"/>
      <c r="EZ167" s="305"/>
      <c r="FA167" s="305"/>
      <c r="FB167" s="305"/>
      <c r="FC167" s="305"/>
      <c r="FD167" s="305"/>
      <c r="FE167" s="305"/>
      <c r="FF167" s="305"/>
      <c r="FG167" s="305"/>
      <c r="FH167" s="305"/>
      <c r="FI167" s="305"/>
      <c r="FJ167" s="305"/>
      <c r="FK167" s="305"/>
      <c r="FL167" s="305"/>
      <c r="FM167" s="305"/>
      <c r="FN167" s="305"/>
      <c r="FO167" s="305"/>
      <c r="FP167" s="305"/>
      <c r="FQ167" s="305"/>
      <c r="FR167" s="305"/>
      <c r="FS167" s="305"/>
      <c r="FT167" s="305"/>
      <c r="FU167" s="305"/>
      <c r="FV167" s="305"/>
      <c r="FW167" s="305"/>
      <c r="FX167" s="305"/>
      <c r="FY167" s="305"/>
      <c r="FZ167" s="305"/>
      <c r="GA167" s="305"/>
      <c r="GB167" s="305"/>
      <c r="GC167" s="305"/>
      <c r="GD167" s="305"/>
      <c r="GE167" s="305"/>
      <c r="GF167" s="305"/>
      <c r="GG167" s="305"/>
      <c r="GH167" s="305"/>
      <c r="GI167" s="305"/>
      <c r="GJ167" s="305"/>
      <c r="GK167" s="305"/>
      <c r="GL167" s="305"/>
      <c r="GM167" s="305"/>
      <c r="GN167" s="305"/>
      <c r="GO167" s="305"/>
      <c r="GP167" s="305"/>
      <c r="GQ167" s="305"/>
      <c r="GR167" s="305"/>
    </row>
    <row r="168" spans="3:200" s="318" customFormat="1" ht="12.75" customHeight="1" x14ac:dyDescent="0.2">
      <c r="C168" s="367"/>
      <c r="D168" s="403"/>
      <c r="E168" s="369"/>
      <c r="F168" s="369"/>
      <c r="G168" s="369"/>
      <c r="H168" s="369"/>
      <c r="I168" s="370"/>
      <c r="J168"/>
      <c r="K168" s="371"/>
      <c r="L168" s="371"/>
      <c r="M168" s="371"/>
      <c r="N168" s="371"/>
      <c r="O168" s="305"/>
      <c r="P168" s="305"/>
      <c r="Q168" s="305"/>
      <c r="R168" s="305"/>
      <c r="S168" s="305"/>
      <c r="T168" s="305"/>
      <c r="U168" s="305"/>
      <c r="V168" s="305"/>
      <c r="W168" s="305"/>
      <c r="X168" s="305"/>
      <c r="Y168" s="305"/>
      <c r="Z168" s="305"/>
      <c r="AA168" s="305"/>
      <c r="AB168" s="305"/>
      <c r="AC168" s="305"/>
      <c r="AD168" s="305"/>
      <c r="AE168" s="305"/>
      <c r="AF168" s="305"/>
      <c r="AG168" s="305"/>
      <c r="AH168" s="305"/>
      <c r="AI168" s="305"/>
      <c r="AJ168" s="305"/>
      <c r="AK168" s="305"/>
      <c r="AL168" s="305"/>
      <c r="AM168" s="305"/>
      <c r="AN168" s="305"/>
      <c r="AO168" s="305"/>
      <c r="AP168" s="305"/>
      <c r="AQ168" s="305"/>
      <c r="AR168" s="305"/>
      <c r="AS168" s="305"/>
      <c r="AT168" s="305"/>
      <c r="AU168" s="305"/>
      <c r="AV168" s="305"/>
      <c r="AW168" s="305"/>
      <c r="AX168" s="305"/>
      <c r="AY168" s="305"/>
      <c r="AZ168" s="305"/>
      <c r="BA168" s="305"/>
      <c r="BB168" s="305"/>
      <c r="BC168" s="305"/>
      <c r="BD168" s="305"/>
      <c r="BE168" s="305"/>
      <c r="BF168" s="305"/>
      <c r="BG168" s="305"/>
      <c r="BH168" s="305"/>
      <c r="BI168" s="305"/>
      <c r="BJ168" s="305"/>
      <c r="BK168" s="305"/>
      <c r="BL168" s="305"/>
      <c r="BM168" s="305"/>
      <c r="BN168" s="305"/>
      <c r="BO168" s="305"/>
      <c r="BP168" s="305"/>
      <c r="BQ168" s="305"/>
      <c r="BR168" s="305"/>
      <c r="BS168" s="305"/>
      <c r="BT168" s="305"/>
      <c r="BU168" s="305"/>
      <c r="BV168" s="305"/>
      <c r="BW168" s="305"/>
      <c r="BX168" s="305"/>
      <c r="BY168" s="305"/>
      <c r="BZ168" s="305"/>
      <c r="CA168" s="305"/>
      <c r="CB168" s="305"/>
      <c r="CC168" s="305"/>
      <c r="CD168" s="305"/>
      <c r="CE168" s="305"/>
      <c r="CF168" s="305"/>
      <c r="CG168" s="305"/>
      <c r="CH168" s="305"/>
      <c r="CI168" s="305"/>
      <c r="CJ168" s="305"/>
      <c r="CK168" s="305"/>
      <c r="CL168" s="305"/>
      <c r="CM168" s="305"/>
      <c r="CN168" s="305"/>
      <c r="CO168" s="305"/>
      <c r="CP168" s="305"/>
      <c r="CQ168" s="305"/>
      <c r="CR168" s="305"/>
      <c r="CS168" s="305"/>
      <c r="CT168" s="305"/>
      <c r="CU168" s="305"/>
      <c r="CV168" s="305"/>
      <c r="CW168" s="305"/>
      <c r="CX168" s="305"/>
      <c r="CY168" s="305"/>
      <c r="CZ168" s="305"/>
      <c r="DA168" s="305"/>
      <c r="DB168" s="305"/>
      <c r="DC168" s="305"/>
      <c r="DD168" s="305"/>
      <c r="DE168" s="305"/>
      <c r="DF168" s="305"/>
      <c r="DG168" s="305"/>
      <c r="DH168" s="305"/>
      <c r="DI168" s="305"/>
      <c r="DJ168" s="305"/>
      <c r="DK168" s="305"/>
      <c r="DL168" s="305"/>
      <c r="DM168" s="305"/>
      <c r="DN168" s="305"/>
      <c r="DO168" s="305"/>
      <c r="DP168" s="305"/>
      <c r="DQ168" s="305"/>
      <c r="DR168" s="305"/>
      <c r="DS168" s="305"/>
      <c r="DT168" s="305"/>
      <c r="DU168" s="305"/>
      <c r="DV168" s="305"/>
      <c r="DW168" s="305"/>
      <c r="DX168" s="305"/>
      <c r="DY168" s="305"/>
      <c r="DZ168" s="305"/>
      <c r="EA168" s="305"/>
      <c r="EB168" s="305"/>
      <c r="EC168" s="305"/>
      <c r="ED168" s="305"/>
      <c r="EE168" s="305"/>
      <c r="EF168" s="305"/>
      <c r="EG168" s="305"/>
      <c r="EH168" s="305"/>
      <c r="EI168" s="305"/>
      <c r="EJ168" s="305"/>
      <c r="EK168" s="305"/>
      <c r="EL168" s="305"/>
      <c r="EM168" s="305"/>
      <c r="EN168" s="305"/>
      <c r="EO168" s="305"/>
      <c r="EP168" s="305"/>
      <c r="EQ168" s="305"/>
      <c r="ER168" s="305"/>
      <c r="ES168" s="305"/>
      <c r="ET168" s="305"/>
      <c r="EU168" s="305"/>
      <c r="EV168" s="305"/>
      <c r="EW168" s="305"/>
      <c r="EX168" s="305"/>
      <c r="EY168" s="305"/>
      <c r="EZ168" s="305"/>
      <c r="FA168" s="305"/>
      <c r="FB168" s="305"/>
      <c r="FC168" s="305"/>
      <c r="FD168" s="305"/>
      <c r="FE168" s="305"/>
      <c r="FF168" s="305"/>
      <c r="FG168" s="305"/>
      <c r="FH168" s="305"/>
      <c r="FI168" s="305"/>
      <c r="FJ168" s="305"/>
      <c r="FK168" s="305"/>
      <c r="FL168" s="305"/>
      <c r="FM168" s="305"/>
      <c r="FN168" s="305"/>
      <c r="FO168" s="305"/>
      <c r="FP168" s="305"/>
      <c r="FQ168" s="305"/>
      <c r="FR168" s="305"/>
      <c r="FS168" s="305"/>
      <c r="FT168" s="305"/>
      <c r="FU168" s="305"/>
      <c r="FV168" s="305"/>
      <c r="FW168" s="305"/>
      <c r="FX168" s="305"/>
      <c r="FY168" s="305"/>
      <c r="FZ168" s="305"/>
      <c r="GA168" s="305"/>
      <c r="GB168" s="305"/>
      <c r="GC168" s="305"/>
      <c r="GD168" s="305"/>
      <c r="GE168" s="305"/>
      <c r="GF168" s="305"/>
      <c r="GG168" s="305"/>
      <c r="GH168" s="305"/>
      <c r="GI168" s="305"/>
      <c r="GJ168" s="305"/>
      <c r="GK168" s="305"/>
      <c r="GL168" s="305"/>
      <c r="GM168" s="305"/>
      <c r="GN168" s="305"/>
      <c r="GO168" s="305"/>
      <c r="GP168" s="305"/>
      <c r="GQ168" s="305"/>
      <c r="GR168" s="305"/>
    </row>
    <row r="169" spans="3:200" s="318" customFormat="1" ht="12.75" customHeight="1" x14ac:dyDescent="0.2">
      <c r="C169" s="367"/>
      <c r="D169" s="403"/>
      <c r="E169" s="369"/>
      <c r="F169" s="369"/>
      <c r="G169" s="369"/>
      <c r="H169" s="369"/>
      <c r="I169" s="370"/>
      <c r="J169"/>
      <c r="K169" s="371"/>
      <c r="L169" s="371"/>
      <c r="M169" s="371"/>
      <c r="N169" s="371"/>
      <c r="O169" s="305"/>
      <c r="P169" s="305"/>
      <c r="Q169" s="305"/>
      <c r="R169" s="305"/>
      <c r="S169" s="305"/>
      <c r="T169" s="305"/>
      <c r="U169" s="305"/>
      <c r="V169" s="305"/>
      <c r="W169" s="305"/>
      <c r="X169" s="305"/>
      <c r="Y169" s="305"/>
      <c r="Z169" s="305"/>
      <c r="AA169" s="305"/>
      <c r="AB169" s="305"/>
      <c r="AC169" s="305"/>
      <c r="AD169" s="305"/>
      <c r="AE169" s="305"/>
      <c r="AF169" s="305"/>
      <c r="AG169" s="305"/>
      <c r="AH169" s="305"/>
      <c r="AI169" s="305"/>
      <c r="AJ169" s="305"/>
      <c r="AK169" s="305"/>
      <c r="AL169" s="305"/>
      <c r="AM169" s="305"/>
      <c r="AN169" s="305"/>
      <c r="AO169" s="305"/>
      <c r="AP169" s="305"/>
      <c r="AQ169" s="305"/>
      <c r="AR169" s="305"/>
      <c r="AS169" s="305"/>
      <c r="AT169" s="305"/>
      <c r="AU169" s="305"/>
      <c r="AV169" s="305"/>
      <c r="AW169" s="305"/>
      <c r="AX169" s="305"/>
      <c r="AY169" s="305"/>
      <c r="AZ169" s="305"/>
      <c r="BA169" s="305"/>
      <c r="BB169" s="305"/>
      <c r="BC169" s="305"/>
      <c r="BD169" s="305"/>
      <c r="BE169" s="305"/>
      <c r="BF169" s="305"/>
      <c r="BG169" s="305"/>
      <c r="BH169" s="305"/>
      <c r="BI169" s="305"/>
      <c r="BJ169" s="305"/>
      <c r="BK169" s="305"/>
      <c r="BL169" s="305"/>
      <c r="BM169" s="305"/>
      <c r="BN169" s="305"/>
      <c r="BO169" s="305"/>
      <c r="BP169" s="305"/>
      <c r="BQ169" s="305"/>
      <c r="BR169" s="305"/>
      <c r="BS169" s="305"/>
      <c r="BT169" s="305"/>
      <c r="BU169" s="305"/>
      <c r="BV169" s="305"/>
      <c r="BW169" s="305"/>
      <c r="BX169" s="305"/>
      <c r="BY169" s="305"/>
      <c r="BZ169" s="305"/>
      <c r="CA169" s="305"/>
      <c r="CB169" s="305"/>
      <c r="CC169" s="305"/>
      <c r="CD169" s="305"/>
      <c r="CE169" s="305"/>
      <c r="CF169" s="305"/>
      <c r="CG169" s="305"/>
      <c r="CH169" s="305"/>
      <c r="CI169" s="305"/>
      <c r="CJ169" s="305"/>
      <c r="CK169" s="305"/>
      <c r="CL169" s="305"/>
      <c r="CM169" s="305"/>
      <c r="CN169" s="305"/>
      <c r="CO169" s="305"/>
      <c r="CP169" s="305"/>
      <c r="CQ169" s="305"/>
      <c r="CR169" s="305"/>
      <c r="CS169" s="305"/>
      <c r="CT169" s="305"/>
      <c r="CU169" s="305"/>
      <c r="CV169" s="305"/>
      <c r="CW169" s="305"/>
      <c r="CX169" s="305"/>
      <c r="CY169" s="305"/>
      <c r="CZ169" s="305"/>
      <c r="DA169" s="305"/>
      <c r="DB169" s="305"/>
      <c r="DC169" s="305"/>
      <c r="DD169" s="305"/>
      <c r="DE169" s="305"/>
      <c r="DF169" s="305"/>
      <c r="DG169" s="305"/>
      <c r="DH169" s="305"/>
      <c r="DI169" s="305"/>
      <c r="DJ169" s="305"/>
      <c r="DK169" s="305"/>
      <c r="DL169" s="305"/>
      <c r="DM169" s="305"/>
      <c r="DN169" s="305"/>
      <c r="DO169" s="305"/>
      <c r="DP169" s="305"/>
      <c r="DQ169" s="305"/>
      <c r="DR169" s="305"/>
      <c r="DS169" s="305"/>
      <c r="DT169" s="305"/>
      <c r="DU169" s="305"/>
      <c r="DV169" s="305"/>
      <c r="DW169" s="305"/>
      <c r="DX169" s="305"/>
      <c r="DY169" s="305"/>
      <c r="DZ169" s="305"/>
      <c r="EA169" s="305"/>
      <c r="EB169" s="305"/>
      <c r="EC169" s="305"/>
      <c r="ED169" s="305"/>
      <c r="EE169" s="305"/>
      <c r="EF169" s="305"/>
      <c r="EG169" s="305"/>
      <c r="EH169" s="305"/>
      <c r="EI169" s="305"/>
      <c r="EJ169" s="305"/>
      <c r="EK169" s="305"/>
      <c r="EL169" s="305"/>
      <c r="EM169" s="305"/>
      <c r="EN169" s="305"/>
      <c r="EO169" s="305"/>
      <c r="EP169" s="305"/>
      <c r="EQ169" s="305"/>
      <c r="ER169" s="305"/>
      <c r="ES169" s="305"/>
      <c r="ET169" s="305"/>
      <c r="EU169" s="305"/>
      <c r="EV169" s="305"/>
      <c r="EW169" s="305"/>
      <c r="EX169" s="305"/>
      <c r="EY169" s="305"/>
      <c r="EZ169" s="305"/>
      <c r="FA169" s="305"/>
      <c r="FB169" s="305"/>
      <c r="FC169" s="305"/>
      <c r="FD169" s="305"/>
      <c r="FE169" s="305"/>
      <c r="FF169" s="305"/>
      <c r="FG169" s="305"/>
      <c r="FH169" s="305"/>
      <c r="FI169" s="305"/>
      <c r="FJ169" s="305"/>
      <c r="FK169" s="305"/>
      <c r="FL169" s="305"/>
      <c r="FM169" s="305"/>
      <c r="FN169" s="305"/>
      <c r="FO169" s="305"/>
      <c r="FP169" s="305"/>
      <c r="FQ169" s="305"/>
      <c r="FR169" s="305"/>
      <c r="FS169" s="305"/>
      <c r="FT169" s="305"/>
      <c r="FU169" s="305"/>
      <c r="FV169" s="305"/>
      <c r="FW169" s="305"/>
      <c r="FX169" s="305"/>
      <c r="FY169" s="305"/>
      <c r="FZ169" s="305"/>
      <c r="GA169" s="305"/>
      <c r="GB169" s="305"/>
      <c r="GC169" s="305"/>
      <c r="GD169" s="305"/>
      <c r="GE169" s="305"/>
      <c r="GF169" s="305"/>
      <c r="GG169" s="305"/>
      <c r="GH169" s="305"/>
      <c r="GI169" s="305"/>
      <c r="GJ169" s="305"/>
      <c r="GK169" s="305"/>
      <c r="GL169" s="305"/>
      <c r="GM169" s="305"/>
      <c r="GN169" s="305"/>
      <c r="GO169" s="305"/>
      <c r="GP169" s="305"/>
      <c r="GQ169" s="305"/>
      <c r="GR169" s="305"/>
    </row>
    <row r="170" spans="3:200" s="318" customFormat="1" ht="12.75" customHeight="1" x14ac:dyDescent="0.2">
      <c r="C170" s="367"/>
      <c r="D170" s="403"/>
      <c r="E170" s="369"/>
      <c r="F170" s="369"/>
      <c r="G170" s="369"/>
      <c r="H170" s="369"/>
      <c r="I170" s="370"/>
      <c r="J170"/>
      <c r="K170" s="371"/>
      <c r="L170" s="371"/>
      <c r="M170" s="371"/>
      <c r="N170" s="371"/>
      <c r="O170" s="305"/>
      <c r="P170" s="305"/>
      <c r="Q170" s="305"/>
      <c r="R170" s="305"/>
      <c r="S170" s="305"/>
      <c r="T170" s="305"/>
      <c r="U170" s="305"/>
      <c r="V170" s="305"/>
      <c r="W170" s="305"/>
      <c r="X170" s="305"/>
      <c r="Y170" s="305"/>
      <c r="Z170" s="305"/>
      <c r="AA170" s="305"/>
      <c r="AB170" s="305"/>
      <c r="AC170" s="305"/>
      <c r="AD170" s="305"/>
      <c r="AE170" s="305"/>
      <c r="AF170" s="305"/>
      <c r="AG170" s="305"/>
      <c r="AH170" s="305"/>
      <c r="AI170" s="305"/>
      <c r="AJ170" s="305"/>
      <c r="AK170" s="305"/>
      <c r="AL170" s="305"/>
      <c r="AM170" s="305"/>
      <c r="AN170" s="305"/>
      <c r="AO170" s="305"/>
      <c r="AP170" s="305"/>
      <c r="AQ170" s="305"/>
      <c r="AR170" s="305"/>
      <c r="AS170" s="305"/>
      <c r="AT170" s="305"/>
      <c r="AU170" s="305"/>
      <c r="AV170" s="305"/>
      <c r="AW170" s="305"/>
      <c r="AX170" s="305"/>
      <c r="AY170" s="305"/>
      <c r="AZ170" s="305"/>
      <c r="BA170" s="305"/>
      <c r="BB170" s="305"/>
      <c r="BC170" s="305"/>
      <c r="BD170" s="305"/>
      <c r="BE170" s="305"/>
      <c r="BF170" s="305"/>
      <c r="BG170" s="305"/>
      <c r="BH170" s="305"/>
      <c r="BI170" s="305"/>
      <c r="BJ170" s="305"/>
      <c r="BK170" s="305"/>
      <c r="BL170" s="305"/>
      <c r="BM170" s="305"/>
      <c r="BN170" s="305"/>
      <c r="BO170" s="305"/>
      <c r="BP170" s="305"/>
      <c r="BQ170" s="305"/>
      <c r="BR170" s="305"/>
      <c r="BS170" s="305"/>
      <c r="BT170" s="305"/>
      <c r="BU170" s="305"/>
      <c r="BV170" s="305"/>
      <c r="BW170" s="305"/>
      <c r="BX170" s="305"/>
      <c r="BY170" s="305"/>
      <c r="BZ170" s="305"/>
      <c r="CA170" s="305"/>
      <c r="CB170" s="305"/>
      <c r="CC170" s="305"/>
      <c r="CD170" s="305"/>
      <c r="CE170" s="305"/>
      <c r="CF170" s="305"/>
      <c r="CG170" s="305"/>
      <c r="CH170" s="305"/>
      <c r="CI170" s="305"/>
      <c r="CJ170" s="305"/>
      <c r="CK170" s="305"/>
      <c r="CL170" s="305"/>
      <c r="CM170" s="305"/>
      <c r="CN170" s="305"/>
      <c r="CO170" s="305"/>
      <c r="CP170" s="305"/>
      <c r="CQ170" s="305"/>
      <c r="CR170" s="305"/>
      <c r="CS170" s="305"/>
      <c r="CT170" s="305"/>
      <c r="CU170" s="305"/>
      <c r="CV170" s="305"/>
      <c r="CW170" s="305"/>
      <c r="CX170" s="305"/>
      <c r="CY170" s="305"/>
      <c r="CZ170" s="305"/>
      <c r="DA170" s="305"/>
      <c r="DB170" s="305"/>
      <c r="DC170" s="305"/>
      <c r="DD170" s="305"/>
      <c r="DE170" s="305"/>
      <c r="DF170" s="305"/>
      <c r="DG170" s="305"/>
      <c r="DH170" s="305"/>
      <c r="DI170" s="305"/>
      <c r="DJ170" s="305"/>
      <c r="DK170" s="305"/>
      <c r="DL170" s="305"/>
      <c r="DM170" s="305"/>
      <c r="DN170" s="305"/>
      <c r="DO170" s="305"/>
      <c r="DP170" s="305"/>
      <c r="DQ170" s="305"/>
      <c r="DR170" s="305"/>
      <c r="DS170" s="305"/>
      <c r="DT170" s="305"/>
      <c r="DU170" s="305"/>
      <c r="DV170" s="305"/>
      <c r="DW170" s="305"/>
      <c r="DX170" s="305"/>
      <c r="DY170" s="305"/>
      <c r="DZ170" s="305"/>
      <c r="EA170" s="305"/>
      <c r="EB170" s="305"/>
      <c r="EC170" s="305"/>
      <c r="ED170" s="305"/>
      <c r="EE170" s="305"/>
      <c r="EF170" s="305"/>
      <c r="EG170" s="305"/>
      <c r="EH170" s="305"/>
      <c r="EI170" s="305"/>
      <c r="EJ170" s="305"/>
      <c r="EK170" s="305"/>
      <c r="EL170" s="305"/>
      <c r="EM170" s="305"/>
      <c r="EN170" s="305"/>
      <c r="EO170" s="305"/>
      <c r="EP170" s="305"/>
      <c r="EQ170" s="305"/>
      <c r="ER170" s="305"/>
      <c r="ES170" s="305"/>
      <c r="ET170" s="305"/>
      <c r="EU170" s="305"/>
      <c r="EV170" s="305"/>
      <c r="EW170" s="305"/>
      <c r="EX170" s="305"/>
      <c r="EY170" s="305"/>
      <c r="EZ170" s="305"/>
      <c r="FA170" s="305"/>
      <c r="FB170" s="305"/>
      <c r="FC170" s="305"/>
      <c r="FD170" s="305"/>
      <c r="FE170" s="305"/>
      <c r="FF170" s="305"/>
      <c r="FG170" s="305"/>
      <c r="FH170" s="305"/>
      <c r="FI170" s="305"/>
      <c r="FJ170" s="305"/>
      <c r="FK170" s="305"/>
      <c r="FL170" s="305"/>
      <c r="FM170" s="305"/>
      <c r="FN170" s="305"/>
      <c r="FO170" s="305"/>
      <c r="FP170" s="305"/>
      <c r="FQ170" s="305"/>
      <c r="FR170" s="305"/>
      <c r="FS170" s="305"/>
      <c r="FT170" s="305"/>
      <c r="FU170" s="305"/>
      <c r="FV170" s="305"/>
      <c r="FW170" s="305"/>
      <c r="FX170" s="305"/>
      <c r="FY170" s="305"/>
      <c r="FZ170" s="305"/>
      <c r="GA170" s="305"/>
      <c r="GB170" s="305"/>
      <c r="GC170" s="305"/>
      <c r="GD170" s="305"/>
      <c r="GE170" s="305"/>
      <c r="GF170" s="305"/>
      <c r="GG170" s="305"/>
      <c r="GH170" s="305"/>
      <c r="GI170" s="305"/>
      <c r="GJ170" s="305"/>
      <c r="GK170" s="305"/>
      <c r="GL170" s="305"/>
      <c r="GM170" s="305"/>
      <c r="GN170" s="305"/>
      <c r="GO170" s="305"/>
      <c r="GP170" s="305"/>
      <c r="GQ170" s="305"/>
      <c r="GR170" s="305"/>
    </row>
    <row r="171" spans="3:200" s="318" customFormat="1" ht="12.75" customHeight="1" x14ac:dyDescent="0.2">
      <c r="C171" s="367"/>
      <c r="D171" s="403"/>
      <c r="E171" s="369"/>
      <c r="F171" s="369"/>
      <c r="G171" s="369"/>
      <c r="H171" s="369"/>
      <c r="I171" s="370"/>
      <c r="J171"/>
      <c r="K171" s="371"/>
      <c r="L171" s="371"/>
      <c r="M171" s="371"/>
      <c r="N171" s="371"/>
      <c r="O171" s="305"/>
      <c r="P171" s="305"/>
      <c r="Q171" s="305"/>
      <c r="R171" s="305"/>
      <c r="S171" s="305"/>
      <c r="T171" s="305"/>
      <c r="U171" s="305"/>
      <c r="V171" s="305"/>
      <c r="W171" s="305"/>
      <c r="X171" s="305"/>
      <c r="Y171" s="305"/>
      <c r="Z171" s="305"/>
      <c r="AA171" s="305"/>
      <c r="AB171" s="305"/>
      <c r="AC171" s="305"/>
      <c r="AD171" s="305"/>
      <c r="AE171" s="305"/>
      <c r="AF171" s="305"/>
      <c r="AG171" s="305"/>
      <c r="AH171" s="305"/>
      <c r="AI171" s="305"/>
      <c r="AJ171" s="305"/>
      <c r="AK171" s="305"/>
      <c r="AL171" s="305"/>
      <c r="AM171" s="305"/>
      <c r="AN171" s="305"/>
      <c r="AO171" s="305"/>
      <c r="AP171" s="305"/>
      <c r="AQ171" s="305"/>
      <c r="AR171" s="305"/>
      <c r="AS171" s="305"/>
      <c r="AT171" s="305"/>
      <c r="AU171" s="305"/>
      <c r="AV171" s="305"/>
      <c r="AW171" s="305"/>
      <c r="AX171" s="305"/>
      <c r="AY171" s="305"/>
      <c r="AZ171" s="305"/>
      <c r="BA171" s="305"/>
      <c r="BB171" s="305"/>
      <c r="BC171" s="305"/>
      <c r="BD171" s="305"/>
      <c r="BE171" s="305"/>
      <c r="BF171" s="305"/>
      <c r="BG171" s="305"/>
      <c r="BH171" s="305"/>
      <c r="BI171" s="305"/>
      <c r="BJ171" s="305"/>
      <c r="BK171" s="305"/>
      <c r="BL171" s="305"/>
      <c r="BM171" s="305"/>
      <c r="BN171" s="305"/>
      <c r="BO171" s="305"/>
      <c r="BP171" s="305"/>
      <c r="BQ171" s="305"/>
      <c r="BR171" s="305"/>
      <c r="BS171" s="305"/>
      <c r="BT171" s="305"/>
      <c r="BU171" s="305"/>
      <c r="BV171" s="305"/>
      <c r="BW171" s="305"/>
      <c r="BX171" s="305"/>
      <c r="BY171" s="305"/>
      <c r="BZ171" s="305"/>
      <c r="CA171" s="305"/>
      <c r="CB171" s="305"/>
      <c r="CC171" s="305"/>
      <c r="CD171" s="305"/>
      <c r="CE171" s="305"/>
      <c r="CF171" s="305"/>
      <c r="CG171" s="305"/>
      <c r="CH171" s="305"/>
      <c r="CI171" s="305"/>
      <c r="CJ171" s="305"/>
      <c r="CK171" s="305"/>
      <c r="CL171" s="305"/>
      <c r="CM171" s="305"/>
      <c r="CN171" s="305"/>
      <c r="CO171" s="305"/>
      <c r="CP171" s="305"/>
      <c r="CQ171" s="305"/>
      <c r="CR171" s="305"/>
      <c r="CS171" s="305"/>
      <c r="CT171" s="305"/>
      <c r="CU171" s="305"/>
      <c r="CV171" s="305"/>
      <c r="CW171" s="305"/>
      <c r="CX171" s="305"/>
      <c r="CY171" s="305"/>
      <c r="CZ171" s="305"/>
      <c r="DA171" s="305"/>
      <c r="DB171" s="305"/>
      <c r="DC171" s="305"/>
      <c r="DD171" s="305"/>
      <c r="DE171" s="305"/>
      <c r="DF171" s="305"/>
      <c r="DG171" s="305"/>
      <c r="DH171" s="305"/>
      <c r="DI171" s="305"/>
      <c r="DJ171" s="305"/>
      <c r="DK171" s="305"/>
      <c r="DL171" s="305"/>
      <c r="DM171" s="305"/>
      <c r="DN171" s="305"/>
      <c r="DO171" s="305"/>
      <c r="DP171" s="305"/>
      <c r="DQ171" s="305"/>
      <c r="DR171" s="305"/>
      <c r="DS171" s="305"/>
      <c r="DT171" s="305"/>
      <c r="DU171" s="305"/>
      <c r="DV171" s="305"/>
      <c r="DW171" s="305"/>
      <c r="DX171" s="305"/>
      <c r="DY171" s="305"/>
      <c r="DZ171" s="305"/>
      <c r="EA171" s="305"/>
      <c r="EB171" s="305"/>
      <c r="EC171" s="305"/>
      <c r="ED171" s="305"/>
      <c r="EE171" s="305"/>
      <c r="EF171" s="305"/>
      <c r="EG171" s="305"/>
      <c r="EH171" s="305"/>
      <c r="EI171" s="305"/>
      <c r="EJ171" s="305"/>
      <c r="EK171" s="305"/>
      <c r="EL171" s="305"/>
      <c r="EM171" s="305"/>
      <c r="EN171" s="305"/>
      <c r="EO171" s="305"/>
      <c r="EP171" s="305"/>
      <c r="EQ171" s="305"/>
      <c r="ER171" s="305"/>
      <c r="ES171" s="305"/>
      <c r="ET171" s="305"/>
      <c r="EU171" s="305"/>
      <c r="EV171" s="305"/>
      <c r="EW171" s="305"/>
      <c r="EX171" s="305"/>
      <c r="EY171" s="305"/>
      <c r="EZ171" s="305"/>
      <c r="FA171" s="305"/>
      <c r="FB171" s="305"/>
      <c r="FC171" s="305"/>
      <c r="FD171" s="305"/>
      <c r="FE171" s="305"/>
      <c r="FF171" s="305"/>
      <c r="FG171" s="305"/>
      <c r="FH171" s="305"/>
      <c r="FI171" s="305"/>
      <c r="FJ171" s="305"/>
      <c r="FK171" s="305"/>
      <c r="FL171" s="305"/>
      <c r="FM171" s="305"/>
      <c r="FN171" s="305"/>
      <c r="FO171" s="305"/>
      <c r="FP171" s="305"/>
      <c r="FQ171" s="305"/>
      <c r="FR171" s="305"/>
      <c r="FS171" s="305"/>
      <c r="FT171" s="305"/>
      <c r="FU171" s="305"/>
      <c r="FV171" s="305"/>
      <c r="FW171" s="305"/>
      <c r="FX171" s="305"/>
      <c r="FY171" s="305"/>
      <c r="FZ171" s="305"/>
      <c r="GA171" s="305"/>
      <c r="GB171" s="305"/>
      <c r="GC171" s="305"/>
      <c r="GD171" s="305"/>
      <c r="GE171" s="305"/>
      <c r="GF171" s="305"/>
      <c r="GG171" s="305"/>
      <c r="GH171" s="305"/>
      <c r="GI171" s="305"/>
      <c r="GJ171" s="305"/>
      <c r="GK171" s="305"/>
      <c r="GL171" s="305"/>
      <c r="GM171" s="305"/>
      <c r="GN171" s="305"/>
      <c r="GO171" s="305"/>
      <c r="GP171" s="305"/>
      <c r="GQ171" s="305"/>
      <c r="GR171" s="305"/>
    </row>
    <row r="172" spans="3:200" s="318" customFormat="1" ht="12.75" customHeight="1" x14ac:dyDescent="0.2">
      <c r="C172" s="367"/>
      <c r="D172" s="403"/>
      <c r="E172" s="369"/>
      <c r="F172" s="369"/>
      <c r="G172" s="369"/>
      <c r="H172" s="369"/>
      <c r="I172" s="370"/>
      <c r="J172"/>
      <c r="K172" s="371"/>
      <c r="L172" s="371"/>
      <c r="M172" s="371"/>
      <c r="N172" s="371"/>
      <c r="O172" s="305"/>
      <c r="P172" s="305"/>
      <c r="Q172" s="305"/>
      <c r="R172" s="305"/>
      <c r="S172" s="305"/>
      <c r="T172" s="305"/>
      <c r="U172" s="305"/>
      <c r="V172" s="305"/>
      <c r="W172" s="305"/>
      <c r="X172" s="305"/>
      <c r="Y172" s="305"/>
      <c r="Z172" s="305"/>
      <c r="AA172" s="305"/>
      <c r="AB172" s="305"/>
      <c r="AC172" s="305"/>
      <c r="AD172" s="305"/>
      <c r="AE172" s="305"/>
      <c r="AF172" s="305"/>
      <c r="AG172" s="305"/>
      <c r="AH172" s="305"/>
      <c r="AI172" s="305"/>
      <c r="AJ172" s="305"/>
      <c r="AK172" s="305"/>
      <c r="AL172" s="305"/>
      <c r="AM172" s="305"/>
      <c r="AN172" s="305"/>
      <c r="AO172" s="305"/>
      <c r="AP172" s="305"/>
      <c r="AQ172" s="305"/>
      <c r="AR172" s="305"/>
      <c r="AS172" s="305"/>
      <c r="AT172" s="305"/>
      <c r="AU172" s="305"/>
      <c r="AV172" s="305"/>
      <c r="AW172" s="305"/>
      <c r="AX172" s="305"/>
      <c r="AY172" s="305"/>
      <c r="AZ172" s="305"/>
      <c r="BA172" s="305"/>
      <c r="BB172" s="305"/>
      <c r="BC172" s="305"/>
      <c r="BD172" s="305"/>
      <c r="BE172" s="305"/>
      <c r="BF172" s="305"/>
      <c r="BG172" s="305"/>
      <c r="BH172" s="305"/>
      <c r="BI172" s="305"/>
      <c r="BJ172" s="305"/>
      <c r="BK172" s="305"/>
      <c r="BL172" s="305"/>
      <c r="BM172" s="305"/>
      <c r="BN172" s="305"/>
      <c r="BO172" s="305"/>
      <c r="BP172" s="305"/>
      <c r="BQ172" s="305"/>
      <c r="BR172" s="305"/>
      <c r="BS172" s="305"/>
      <c r="BT172" s="305"/>
      <c r="BU172" s="305"/>
      <c r="BV172" s="305"/>
      <c r="BW172" s="305"/>
      <c r="BX172" s="305"/>
      <c r="BY172" s="305"/>
      <c r="BZ172" s="305"/>
      <c r="CA172" s="305"/>
      <c r="CB172" s="305"/>
      <c r="CC172" s="305"/>
      <c r="CD172" s="305"/>
      <c r="CE172" s="305"/>
      <c r="CF172" s="305"/>
      <c r="CG172" s="305"/>
      <c r="CH172" s="305"/>
      <c r="CI172" s="305"/>
      <c r="CJ172" s="305"/>
      <c r="CK172" s="305"/>
      <c r="CL172" s="305"/>
      <c r="CM172" s="305"/>
      <c r="CN172" s="305"/>
      <c r="CO172" s="305"/>
      <c r="CP172" s="305"/>
      <c r="CQ172" s="305"/>
      <c r="CR172" s="305"/>
      <c r="CS172" s="305"/>
      <c r="CT172" s="305"/>
      <c r="CU172" s="305"/>
      <c r="CV172" s="305"/>
      <c r="CW172" s="305"/>
      <c r="CX172" s="305"/>
      <c r="CY172" s="305"/>
      <c r="CZ172" s="305"/>
      <c r="DA172" s="305"/>
      <c r="DB172" s="305"/>
      <c r="DC172" s="305"/>
      <c r="DD172" s="305"/>
      <c r="DE172" s="305"/>
      <c r="DF172" s="305"/>
      <c r="DG172" s="305"/>
      <c r="DH172" s="305"/>
      <c r="DI172" s="305"/>
      <c r="DJ172" s="305"/>
      <c r="DK172" s="305"/>
      <c r="DL172" s="305"/>
      <c r="DM172" s="305"/>
      <c r="DN172" s="305"/>
      <c r="DO172" s="305"/>
      <c r="DP172" s="305"/>
      <c r="DQ172" s="305"/>
      <c r="DR172" s="305"/>
      <c r="DS172" s="305"/>
      <c r="DT172" s="305"/>
      <c r="DU172" s="305"/>
      <c r="DV172" s="305"/>
      <c r="DW172" s="305"/>
      <c r="DX172" s="305"/>
      <c r="DY172" s="305"/>
      <c r="DZ172" s="305"/>
      <c r="EA172" s="305"/>
      <c r="EB172" s="305"/>
      <c r="EC172" s="305"/>
      <c r="ED172" s="305"/>
      <c r="EE172" s="305"/>
      <c r="EF172" s="305"/>
      <c r="EG172" s="305"/>
      <c r="EH172" s="305"/>
      <c r="EI172" s="305"/>
      <c r="EJ172" s="305"/>
      <c r="EK172" s="305"/>
      <c r="EL172" s="305"/>
      <c r="EM172" s="305"/>
      <c r="EN172" s="305"/>
      <c r="EO172" s="305"/>
      <c r="EP172" s="305"/>
      <c r="EQ172" s="305"/>
      <c r="ER172" s="305"/>
      <c r="ES172" s="305"/>
      <c r="ET172" s="305"/>
      <c r="EU172" s="305"/>
      <c r="EV172" s="305"/>
      <c r="EW172" s="305"/>
      <c r="EX172" s="305"/>
      <c r="EY172" s="305"/>
      <c r="EZ172" s="305"/>
      <c r="FA172" s="305"/>
      <c r="FB172" s="305"/>
      <c r="FC172" s="305"/>
      <c r="FD172" s="305"/>
      <c r="FE172" s="305"/>
      <c r="FF172" s="305"/>
      <c r="FG172" s="305"/>
      <c r="FH172" s="305"/>
      <c r="FI172" s="305"/>
      <c r="FJ172" s="305"/>
      <c r="FK172" s="305"/>
      <c r="FL172" s="305"/>
      <c r="FM172" s="305"/>
      <c r="FN172" s="305"/>
      <c r="FO172" s="305"/>
      <c r="FP172" s="305"/>
      <c r="FQ172" s="305"/>
      <c r="FR172" s="305"/>
      <c r="FS172" s="305"/>
      <c r="FT172" s="305"/>
      <c r="FU172" s="305"/>
      <c r="FV172" s="305"/>
      <c r="FW172" s="305"/>
      <c r="FX172" s="305"/>
      <c r="FY172" s="305"/>
      <c r="FZ172" s="305"/>
      <c r="GA172" s="305"/>
      <c r="GB172" s="305"/>
      <c r="GC172" s="305"/>
      <c r="GD172" s="305"/>
      <c r="GE172" s="305"/>
      <c r="GF172" s="305"/>
      <c r="GG172" s="305"/>
      <c r="GH172" s="305"/>
      <c r="GI172" s="305"/>
      <c r="GJ172" s="305"/>
      <c r="GK172" s="305"/>
      <c r="GL172" s="305"/>
      <c r="GM172" s="305"/>
      <c r="GN172" s="305"/>
      <c r="GO172" s="305"/>
      <c r="GP172" s="305"/>
      <c r="GQ172" s="305"/>
      <c r="GR172" s="305"/>
    </row>
    <row r="173" spans="3:200" s="318" customFormat="1" ht="12.75" customHeight="1" x14ac:dyDescent="0.2">
      <c r="C173" s="367"/>
      <c r="D173" s="403"/>
      <c r="E173" s="369"/>
      <c r="F173" s="369"/>
      <c r="G173" s="369"/>
      <c r="H173" s="369"/>
      <c r="I173" s="370"/>
      <c r="J173"/>
      <c r="K173" s="371"/>
      <c r="L173" s="371"/>
      <c r="M173" s="371"/>
      <c r="N173" s="371"/>
      <c r="O173" s="305"/>
      <c r="P173" s="305"/>
      <c r="Q173" s="305"/>
      <c r="R173" s="305"/>
      <c r="S173" s="305"/>
      <c r="T173" s="305"/>
      <c r="U173" s="305"/>
      <c r="V173" s="305"/>
      <c r="W173" s="305"/>
      <c r="X173" s="305"/>
      <c r="Y173" s="305"/>
      <c r="Z173" s="305"/>
      <c r="AA173" s="305"/>
      <c r="AB173" s="305"/>
      <c r="AC173" s="305"/>
      <c r="AD173" s="305"/>
      <c r="AE173" s="305"/>
      <c r="AF173" s="305"/>
      <c r="AG173" s="305"/>
      <c r="AH173" s="305"/>
      <c r="AI173" s="305"/>
      <c r="AJ173" s="305"/>
      <c r="AK173" s="305"/>
      <c r="AL173" s="305"/>
      <c r="AM173" s="305"/>
      <c r="AN173" s="305"/>
      <c r="AO173" s="305"/>
      <c r="AP173" s="305"/>
      <c r="AQ173" s="305"/>
      <c r="AR173" s="305"/>
      <c r="AS173" s="305"/>
      <c r="AT173" s="305"/>
      <c r="AU173" s="305"/>
      <c r="AV173" s="305"/>
      <c r="AW173" s="305"/>
      <c r="AX173" s="305"/>
      <c r="AY173" s="305"/>
      <c r="AZ173" s="305"/>
      <c r="BA173" s="305"/>
      <c r="BB173" s="305"/>
      <c r="BC173" s="305"/>
      <c r="BD173" s="305"/>
      <c r="BE173" s="305"/>
      <c r="BF173" s="305"/>
      <c r="BG173" s="305"/>
      <c r="BH173" s="305"/>
      <c r="BI173" s="305"/>
      <c r="BJ173" s="305"/>
      <c r="BK173" s="305"/>
      <c r="BL173" s="305"/>
      <c r="BM173" s="305"/>
      <c r="BN173" s="305"/>
      <c r="BO173" s="305"/>
      <c r="BP173" s="305"/>
      <c r="BQ173" s="305"/>
      <c r="BR173" s="305"/>
      <c r="BS173" s="305"/>
      <c r="BT173" s="305"/>
      <c r="BU173" s="305"/>
      <c r="BV173" s="305"/>
      <c r="BW173" s="305"/>
      <c r="BX173" s="305"/>
      <c r="BY173" s="305"/>
      <c r="BZ173" s="305"/>
      <c r="CA173" s="305"/>
      <c r="CB173" s="305"/>
      <c r="CC173" s="305"/>
      <c r="CD173" s="305"/>
      <c r="CE173" s="305"/>
      <c r="CF173" s="305"/>
      <c r="CG173" s="305"/>
      <c r="CH173" s="305"/>
      <c r="CI173" s="305"/>
      <c r="CJ173" s="305"/>
      <c r="CK173" s="305"/>
      <c r="CL173" s="305"/>
      <c r="CM173" s="305"/>
      <c r="CN173" s="305"/>
      <c r="CO173" s="305"/>
      <c r="CP173" s="305"/>
      <c r="CQ173" s="305"/>
      <c r="CR173" s="305"/>
      <c r="CS173" s="305"/>
      <c r="CT173" s="305"/>
      <c r="CU173" s="305"/>
      <c r="CV173" s="305"/>
      <c r="CW173" s="305"/>
      <c r="CX173" s="305"/>
      <c r="CY173" s="305"/>
      <c r="CZ173" s="305"/>
      <c r="DA173" s="305"/>
      <c r="DB173" s="305"/>
      <c r="DC173" s="305"/>
      <c r="DD173" s="305"/>
      <c r="DE173" s="305"/>
      <c r="DF173" s="305"/>
      <c r="DG173" s="305"/>
      <c r="DH173" s="305"/>
      <c r="DI173" s="305"/>
      <c r="DJ173" s="305"/>
      <c r="DK173" s="305"/>
      <c r="DL173" s="305"/>
      <c r="DM173" s="305"/>
      <c r="DN173" s="305"/>
      <c r="DO173" s="305"/>
      <c r="DP173" s="305"/>
      <c r="DQ173" s="305"/>
      <c r="DR173" s="305"/>
      <c r="DS173" s="305"/>
      <c r="DT173" s="305"/>
      <c r="DU173" s="305"/>
      <c r="DV173" s="305"/>
      <c r="DW173" s="305"/>
      <c r="DX173" s="305"/>
      <c r="DY173" s="305"/>
      <c r="DZ173" s="305"/>
      <c r="EA173" s="305"/>
      <c r="EB173" s="305"/>
      <c r="EC173" s="305"/>
      <c r="ED173" s="305"/>
      <c r="EE173" s="305"/>
      <c r="EF173" s="305"/>
      <c r="EG173" s="305"/>
      <c r="EH173" s="305"/>
      <c r="EI173" s="305"/>
      <c r="EJ173" s="305"/>
      <c r="EK173" s="305"/>
      <c r="EL173" s="305"/>
      <c r="EM173" s="305"/>
      <c r="EN173" s="305"/>
      <c r="EO173" s="305"/>
      <c r="EP173" s="305"/>
      <c r="EQ173" s="305"/>
      <c r="ER173" s="305"/>
      <c r="ES173" s="305"/>
      <c r="ET173" s="305"/>
      <c r="EU173" s="305"/>
      <c r="EV173" s="305"/>
      <c r="EW173" s="305"/>
      <c r="EX173" s="305"/>
      <c r="EY173" s="305"/>
      <c r="EZ173" s="305"/>
      <c r="FA173" s="305"/>
      <c r="FB173" s="305"/>
      <c r="FC173" s="305"/>
      <c r="FD173" s="305"/>
      <c r="FE173" s="305"/>
      <c r="FF173" s="305"/>
      <c r="FG173" s="305"/>
      <c r="FH173" s="305"/>
      <c r="FI173" s="305"/>
      <c r="FJ173" s="305"/>
      <c r="FK173" s="305"/>
      <c r="FL173" s="305"/>
      <c r="FM173" s="305"/>
      <c r="FN173" s="305"/>
      <c r="FO173" s="305"/>
      <c r="FP173" s="305"/>
      <c r="FQ173" s="305"/>
      <c r="FR173" s="305"/>
      <c r="FS173" s="305"/>
      <c r="FT173" s="305"/>
      <c r="FU173" s="305"/>
      <c r="FV173" s="305"/>
      <c r="FW173" s="305"/>
      <c r="FX173" s="305"/>
      <c r="FY173" s="305"/>
      <c r="FZ173" s="305"/>
      <c r="GA173" s="305"/>
      <c r="GB173" s="305"/>
      <c r="GC173" s="305"/>
      <c r="GD173" s="305"/>
      <c r="GE173" s="305"/>
      <c r="GF173" s="305"/>
      <c r="GG173" s="305"/>
      <c r="GH173" s="305"/>
      <c r="GI173" s="305"/>
      <c r="GJ173" s="305"/>
      <c r="GK173" s="305"/>
      <c r="GL173" s="305"/>
      <c r="GM173" s="305"/>
      <c r="GN173" s="305"/>
      <c r="GO173" s="305"/>
      <c r="GP173" s="305"/>
      <c r="GQ173" s="305"/>
      <c r="GR173" s="305"/>
    </row>
    <row r="174" spans="3:200" s="318" customFormat="1" ht="12.75" customHeight="1" x14ac:dyDescent="0.2">
      <c r="C174" s="367"/>
      <c r="D174" s="403"/>
      <c r="E174" s="369"/>
      <c r="F174" s="369"/>
      <c r="G174" s="369"/>
      <c r="H174" s="369"/>
      <c r="I174" s="370"/>
      <c r="J174"/>
      <c r="K174" s="371"/>
      <c r="L174" s="371"/>
      <c r="M174" s="371"/>
      <c r="N174" s="371"/>
      <c r="O174" s="305"/>
      <c r="P174" s="305"/>
      <c r="Q174" s="305"/>
      <c r="R174" s="305"/>
      <c r="S174" s="305"/>
      <c r="T174" s="305"/>
      <c r="U174" s="305"/>
      <c r="V174" s="305"/>
      <c r="W174" s="305"/>
      <c r="X174" s="305"/>
      <c r="Y174" s="305"/>
      <c r="Z174" s="305"/>
      <c r="AA174" s="305"/>
      <c r="AB174" s="305"/>
      <c r="AC174" s="305"/>
      <c r="AD174" s="305"/>
      <c r="AE174" s="305"/>
      <c r="AF174" s="305"/>
      <c r="AG174" s="305"/>
      <c r="AH174" s="305"/>
      <c r="AI174" s="305"/>
      <c r="AJ174" s="305"/>
      <c r="AK174" s="305"/>
      <c r="AL174" s="305"/>
      <c r="AM174" s="305"/>
      <c r="AN174" s="305"/>
      <c r="AO174" s="305"/>
      <c r="AP174" s="305"/>
      <c r="AQ174" s="305"/>
      <c r="AR174" s="305"/>
      <c r="AS174" s="305"/>
      <c r="AT174" s="305"/>
      <c r="AU174" s="305"/>
      <c r="AV174" s="305"/>
      <c r="AW174" s="305"/>
      <c r="AX174" s="305"/>
      <c r="AY174" s="305"/>
      <c r="AZ174" s="305"/>
      <c r="BA174" s="305"/>
      <c r="BB174" s="305"/>
      <c r="BC174" s="305"/>
      <c r="BD174" s="305"/>
      <c r="BE174" s="305"/>
      <c r="BF174" s="305"/>
      <c r="BG174" s="305"/>
      <c r="BH174" s="305"/>
      <c r="BI174" s="305"/>
      <c r="BJ174" s="305"/>
      <c r="BK174" s="305"/>
      <c r="BL174" s="305"/>
      <c r="BM174" s="305"/>
      <c r="BN174" s="305"/>
      <c r="BO174" s="305"/>
      <c r="BP174" s="305"/>
      <c r="BQ174" s="305"/>
      <c r="BR174" s="305"/>
      <c r="BS174" s="305"/>
      <c r="BT174" s="305"/>
      <c r="BU174" s="305"/>
      <c r="BV174" s="305"/>
      <c r="BW174" s="305"/>
      <c r="BX174" s="305"/>
      <c r="BY174" s="305"/>
      <c r="BZ174" s="305"/>
      <c r="CA174" s="305"/>
      <c r="CB174" s="305"/>
      <c r="CC174" s="305"/>
      <c r="CD174" s="305"/>
      <c r="CE174" s="305"/>
      <c r="CF174" s="305"/>
      <c r="CG174" s="305"/>
      <c r="CH174" s="305"/>
      <c r="CI174" s="305"/>
      <c r="CJ174" s="305"/>
      <c r="CK174" s="305"/>
      <c r="CL174" s="305"/>
      <c r="CM174" s="305"/>
      <c r="CN174" s="305"/>
      <c r="CO174" s="305"/>
      <c r="CP174" s="305"/>
      <c r="CQ174" s="305"/>
      <c r="CR174" s="305"/>
      <c r="CS174" s="305"/>
      <c r="CT174" s="305"/>
      <c r="CU174" s="305"/>
      <c r="CV174" s="305"/>
      <c r="CW174" s="305"/>
      <c r="CX174" s="305"/>
      <c r="CY174" s="305"/>
      <c r="CZ174" s="305"/>
      <c r="DA174" s="305"/>
      <c r="DB174" s="305"/>
      <c r="DC174" s="305"/>
      <c r="DD174" s="305"/>
      <c r="DE174" s="305"/>
      <c r="DF174" s="305"/>
      <c r="DG174" s="305"/>
      <c r="DH174" s="305"/>
      <c r="DI174" s="305"/>
      <c r="DJ174" s="305"/>
      <c r="DK174" s="305"/>
      <c r="DL174" s="305"/>
      <c r="DM174" s="305"/>
      <c r="DN174" s="305"/>
      <c r="DO174" s="305"/>
      <c r="DP174" s="305"/>
      <c r="DQ174" s="305"/>
      <c r="DR174" s="305"/>
      <c r="DS174" s="305"/>
      <c r="DT174" s="305"/>
      <c r="DU174" s="305"/>
      <c r="DV174" s="305"/>
      <c r="DW174" s="305"/>
      <c r="DX174" s="305"/>
      <c r="DY174" s="305"/>
      <c r="DZ174" s="305"/>
      <c r="EA174" s="305"/>
      <c r="EB174" s="305"/>
      <c r="EC174" s="305"/>
      <c r="ED174" s="305"/>
      <c r="EE174" s="305"/>
      <c r="EF174" s="305"/>
      <c r="EG174" s="305"/>
      <c r="EH174" s="305"/>
      <c r="EI174" s="305"/>
      <c r="EJ174" s="305"/>
      <c r="EK174" s="305"/>
      <c r="EL174" s="305"/>
      <c r="EM174" s="305"/>
      <c r="EN174" s="305"/>
      <c r="EO174" s="305"/>
      <c r="EP174" s="305"/>
      <c r="EQ174" s="305"/>
      <c r="ER174" s="305"/>
      <c r="ES174" s="305"/>
      <c r="ET174" s="305"/>
      <c r="EU174" s="305"/>
      <c r="EV174" s="305"/>
      <c r="EW174" s="305"/>
      <c r="EX174" s="305"/>
      <c r="EY174" s="305"/>
      <c r="EZ174" s="305"/>
      <c r="FA174" s="305"/>
      <c r="FB174" s="305"/>
      <c r="FC174" s="305"/>
      <c r="FD174" s="305"/>
      <c r="FE174" s="305"/>
      <c r="FF174" s="305"/>
      <c r="FG174" s="305"/>
      <c r="FH174" s="305"/>
      <c r="FI174" s="305"/>
      <c r="FJ174" s="305"/>
      <c r="FK174" s="305"/>
      <c r="FL174" s="305"/>
      <c r="FM174" s="305"/>
      <c r="FN174" s="305"/>
      <c r="FO174" s="305"/>
      <c r="FP174" s="305"/>
      <c r="FQ174" s="305"/>
      <c r="FR174" s="305"/>
      <c r="FS174" s="305"/>
      <c r="FT174" s="305"/>
      <c r="FU174" s="305"/>
      <c r="FV174" s="305"/>
      <c r="FW174" s="305"/>
      <c r="FX174" s="305"/>
      <c r="FY174" s="305"/>
      <c r="FZ174" s="305"/>
      <c r="GA174" s="305"/>
      <c r="GB174" s="305"/>
      <c r="GC174" s="305"/>
      <c r="GD174" s="305"/>
      <c r="GE174" s="305"/>
      <c r="GF174" s="305"/>
      <c r="GG174" s="305"/>
      <c r="GH174" s="305"/>
      <c r="GI174" s="305"/>
      <c r="GJ174" s="305"/>
      <c r="GK174" s="305"/>
      <c r="GL174" s="305"/>
      <c r="GM174" s="305"/>
      <c r="GN174" s="305"/>
      <c r="GO174" s="305"/>
      <c r="GP174" s="305"/>
      <c r="GQ174" s="305"/>
      <c r="GR174" s="305"/>
    </row>
    <row r="175" spans="3:200" s="318" customFormat="1" ht="12.75" customHeight="1" x14ac:dyDescent="0.2">
      <c r="C175" s="367"/>
      <c r="D175" s="403"/>
      <c r="E175" s="369"/>
      <c r="F175" s="369"/>
      <c r="G175" s="369"/>
      <c r="H175" s="369"/>
      <c r="I175" s="370"/>
      <c r="J175"/>
      <c r="K175" s="371"/>
      <c r="L175" s="371"/>
      <c r="M175" s="371"/>
      <c r="N175" s="371"/>
      <c r="O175" s="305"/>
      <c r="P175" s="305"/>
      <c r="Q175" s="305"/>
      <c r="R175" s="305"/>
      <c r="S175" s="305"/>
      <c r="T175" s="305"/>
      <c r="U175" s="305"/>
      <c r="V175" s="305"/>
      <c r="W175" s="305"/>
      <c r="X175" s="305"/>
      <c r="Y175" s="305"/>
      <c r="Z175" s="305"/>
      <c r="AA175" s="305"/>
      <c r="AB175" s="305"/>
      <c r="AC175" s="305"/>
      <c r="AD175" s="305"/>
      <c r="AE175" s="305"/>
      <c r="AF175" s="305"/>
      <c r="AG175" s="305"/>
      <c r="AH175" s="305"/>
      <c r="AI175" s="305"/>
      <c r="AJ175" s="305"/>
      <c r="AK175" s="305"/>
      <c r="AL175" s="305"/>
      <c r="AM175" s="305"/>
      <c r="AN175" s="305"/>
      <c r="AO175" s="305"/>
      <c r="AP175" s="305"/>
      <c r="AQ175" s="305"/>
      <c r="AR175" s="305"/>
      <c r="AS175" s="305"/>
      <c r="AT175" s="305"/>
      <c r="AU175" s="305"/>
      <c r="AV175" s="305"/>
      <c r="AW175" s="305"/>
      <c r="AX175" s="305"/>
      <c r="AY175" s="305"/>
      <c r="AZ175" s="305"/>
      <c r="BA175" s="305"/>
      <c r="BB175" s="305"/>
      <c r="BC175" s="305"/>
      <c r="BD175" s="305"/>
      <c r="BE175" s="305"/>
      <c r="BF175" s="305"/>
      <c r="BG175" s="305"/>
      <c r="BH175" s="305"/>
      <c r="BI175" s="305"/>
      <c r="BJ175" s="305"/>
      <c r="BK175" s="305"/>
      <c r="BL175" s="305"/>
      <c r="BM175" s="305"/>
      <c r="BN175" s="305"/>
      <c r="BO175" s="305"/>
      <c r="BP175" s="305"/>
      <c r="BQ175" s="305"/>
      <c r="BR175" s="305"/>
      <c r="BS175" s="305"/>
      <c r="BT175" s="305"/>
      <c r="BU175" s="305"/>
      <c r="BV175" s="305"/>
      <c r="BW175" s="305"/>
      <c r="BX175" s="305"/>
      <c r="BY175" s="305"/>
      <c r="BZ175" s="305"/>
      <c r="CA175" s="305"/>
      <c r="CB175" s="305"/>
      <c r="CC175" s="305"/>
      <c r="CD175" s="305"/>
      <c r="CE175" s="305"/>
      <c r="CF175" s="305"/>
      <c r="CG175" s="305"/>
      <c r="CH175" s="305"/>
      <c r="CI175" s="305"/>
      <c r="CJ175" s="305"/>
      <c r="CK175" s="305"/>
      <c r="CL175" s="305"/>
      <c r="CM175" s="305"/>
      <c r="CN175" s="305"/>
      <c r="CO175" s="305"/>
      <c r="CP175" s="305"/>
      <c r="CQ175" s="305"/>
      <c r="CR175" s="305"/>
      <c r="CS175" s="305"/>
      <c r="CT175" s="305"/>
      <c r="CU175" s="305"/>
      <c r="CV175" s="305"/>
      <c r="CW175" s="305"/>
      <c r="CX175" s="305"/>
      <c r="CY175" s="305"/>
      <c r="CZ175" s="305"/>
      <c r="DA175" s="305"/>
      <c r="DB175" s="305"/>
      <c r="DC175" s="305"/>
      <c r="DD175" s="305"/>
      <c r="DE175" s="305"/>
      <c r="DF175" s="305"/>
      <c r="DG175" s="305"/>
      <c r="DH175" s="305"/>
      <c r="DI175" s="305"/>
      <c r="DJ175" s="305"/>
      <c r="DK175" s="305"/>
      <c r="DL175" s="305"/>
      <c r="DM175" s="305"/>
      <c r="DN175" s="305"/>
      <c r="DO175" s="305"/>
      <c r="DP175" s="305"/>
      <c r="DQ175" s="305"/>
      <c r="DR175" s="305"/>
      <c r="DS175" s="305"/>
      <c r="DT175" s="305"/>
      <c r="DU175" s="305"/>
      <c r="DV175" s="305"/>
      <c r="DW175" s="305"/>
      <c r="DX175" s="305"/>
      <c r="DY175" s="305"/>
      <c r="DZ175" s="305"/>
      <c r="EA175" s="305"/>
      <c r="EB175" s="305"/>
      <c r="EC175" s="305"/>
      <c r="ED175" s="305"/>
      <c r="EE175" s="305"/>
      <c r="EF175" s="305"/>
      <c r="EG175" s="305"/>
      <c r="EH175" s="305"/>
      <c r="EI175" s="305"/>
      <c r="EJ175" s="305"/>
      <c r="EK175" s="305"/>
      <c r="EL175" s="305"/>
      <c r="EM175" s="305"/>
      <c r="EN175" s="305"/>
      <c r="EO175" s="305"/>
      <c r="EP175" s="305"/>
      <c r="EQ175" s="305"/>
      <c r="ER175" s="305"/>
      <c r="ES175" s="305"/>
      <c r="ET175" s="305"/>
      <c r="EU175" s="305"/>
      <c r="EV175" s="305"/>
      <c r="EW175" s="305"/>
      <c r="EX175" s="305"/>
      <c r="EY175" s="305"/>
      <c r="EZ175" s="305"/>
      <c r="FA175" s="305"/>
      <c r="FB175" s="305"/>
      <c r="FC175" s="305"/>
      <c r="FD175" s="305"/>
      <c r="FE175" s="305"/>
      <c r="FF175" s="305"/>
      <c r="FG175" s="305"/>
      <c r="FH175" s="305"/>
      <c r="FI175" s="305"/>
      <c r="FJ175" s="305"/>
      <c r="FK175" s="305"/>
      <c r="FL175" s="305"/>
      <c r="FM175" s="305"/>
      <c r="FN175" s="305"/>
      <c r="FO175" s="305"/>
      <c r="FP175" s="305"/>
      <c r="FQ175" s="305"/>
      <c r="FR175" s="305"/>
      <c r="FS175" s="305"/>
      <c r="FT175" s="305"/>
      <c r="FU175" s="305"/>
      <c r="FV175" s="305"/>
      <c r="FW175" s="305"/>
      <c r="FX175" s="305"/>
      <c r="FY175" s="305"/>
      <c r="FZ175" s="305"/>
      <c r="GA175" s="305"/>
      <c r="GB175" s="305"/>
      <c r="GC175" s="305"/>
      <c r="GD175" s="305"/>
      <c r="GE175" s="305"/>
      <c r="GF175" s="305"/>
      <c r="GG175" s="305"/>
      <c r="GH175" s="305"/>
      <c r="GI175" s="305"/>
      <c r="GJ175" s="305"/>
      <c r="GK175" s="305"/>
      <c r="GL175" s="305"/>
      <c r="GM175" s="305"/>
      <c r="GN175" s="305"/>
      <c r="GO175" s="305"/>
      <c r="GP175" s="305"/>
      <c r="GQ175" s="305"/>
      <c r="GR175" s="305"/>
    </row>
    <row r="176" spans="3:200" s="318" customFormat="1" ht="12.75" customHeight="1" x14ac:dyDescent="0.2">
      <c r="C176" s="367"/>
      <c r="D176" s="403"/>
      <c r="E176" s="369"/>
      <c r="F176" s="369"/>
      <c r="G176" s="369"/>
      <c r="H176" s="369"/>
      <c r="I176" s="370"/>
      <c r="J176"/>
      <c r="K176" s="371"/>
      <c r="L176" s="371"/>
      <c r="M176" s="371"/>
      <c r="N176" s="371"/>
      <c r="O176" s="305"/>
      <c r="P176" s="305"/>
      <c r="Q176" s="305"/>
      <c r="R176" s="305"/>
      <c r="S176" s="305"/>
      <c r="T176" s="305"/>
      <c r="U176" s="305"/>
      <c r="V176" s="305"/>
      <c r="W176" s="305"/>
      <c r="X176" s="305"/>
      <c r="Y176" s="305"/>
      <c r="Z176" s="305"/>
      <c r="AA176" s="305"/>
      <c r="AB176" s="305"/>
      <c r="AC176" s="305"/>
      <c r="AD176" s="305"/>
      <c r="AE176" s="305"/>
      <c r="AF176" s="305"/>
      <c r="AG176" s="305"/>
      <c r="AH176" s="305"/>
      <c r="AI176" s="305"/>
      <c r="AJ176" s="305"/>
      <c r="AK176" s="305"/>
      <c r="AL176" s="305"/>
      <c r="AM176" s="305"/>
      <c r="AN176" s="305"/>
      <c r="AO176" s="305"/>
      <c r="AP176" s="305"/>
      <c r="AQ176" s="305"/>
      <c r="AR176" s="305"/>
      <c r="AS176" s="305"/>
      <c r="AT176" s="305"/>
      <c r="AU176" s="305"/>
      <c r="AV176" s="305"/>
      <c r="AW176" s="305"/>
      <c r="AX176" s="305"/>
      <c r="AY176" s="305"/>
      <c r="AZ176" s="305"/>
      <c r="BA176" s="305"/>
      <c r="BB176" s="305"/>
      <c r="BC176" s="305"/>
      <c r="BD176" s="305"/>
      <c r="BE176" s="305"/>
      <c r="BF176" s="305"/>
      <c r="BG176" s="305"/>
      <c r="BH176" s="305"/>
      <c r="BI176" s="305"/>
      <c r="BJ176" s="305"/>
      <c r="BK176" s="305"/>
      <c r="BL176" s="305"/>
      <c r="BM176" s="305"/>
      <c r="BN176" s="305"/>
      <c r="BO176" s="305"/>
      <c r="BP176" s="305"/>
      <c r="BQ176" s="305"/>
      <c r="BR176" s="305"/>
      <c r="BS176" s="305"/>
      <c r="BT176" s="305"/>
      <c r="BU176" s="305"/>
      <c r="BV176" s="305"/>
      <c r="BW176" s="305"/>
      <c r="BX176" s="305"/>
      <c r="BY176" s="305"/>
      <c r="BZ176" s="305"/>
      <c r="CA176" s="305"/>
      <c r="CB176" s="305"/>
      <c r="CC176" s="305"/>
      <c r="CD176" s="305"/>
      <c r="CE176" s="305"/>
      <c r="CF176" s="305"/>
      <c r="CG176" s="305"/>
      <c r="CH176" s="305"/>
      <c r="CI176" s="305"/>
      <c r="CJ176" s="305"/>
      <c r="CK176" s="305"/>
      <c r="CL176" s="305"/>
      <c r="CM176" s="305"/>
      <c r="CN176" s="305"/>
      <c r="CO176" s="305"/>
      <c r="CP176" s="305"/>
      <c r="CQ176" s="305"/>
      <c r="CR176" s="305"/>
      <c r="CS176" s="305"/>
      <c r="CT176" s="305"/>
      <c r="CU176" s="305"/>
      <c r="CV176" s="305"/>
      <c r="CW176" s="305"/>
      <c r="CX176" s="305"/>
      <c r="CY176" s="305"/>
      <c r="CZ176" s="305"/>
      <c r="DA176" s="305"/>
      <c r="DB176" s="305"/>
      <c r="DC176" s="305"/>
      <c r="DD176" s="305"/>
      <c r="DE176" s="305"/>
      <c r="DF176" s="305"/>
      <c r="DG176" s="305"/>
      <c r="DH176" s="305"/>
      <c r="DI176" s="305"/>
      <c r="DJ176" s="305"/>
      <c r="DK176" s="305"/>
      <c r="DL176" s="305"/>
      <c r="DM176" s="305"/>
      <c r="DN176" s="305"/>
      <c r="DO176" s="305"/>
      <c r="DP176" s="305"/>
      <c r="DQ176" s="305"/>
      <c r="DR176" s="305"/>
      <c r="DS176" s="305"/>
      <c r="DT176" s="305"/>
      <c r="DU176" s="305"/>
      <c r="DV176" s="305"/>
      <c r="DW176" s="305"/>
      <c r="DX176" s="305"/>
      <c r="DY176" s="305"/>
      <c r="DZ176" s="305"/>
      <c r="EA176" s="305"/>
      <c r="EB176" s="305"/>
      <c r="EC176" s="305"/>
      <c r="ED176" s="305"/>
      <c r="EE176" s="305"/>
      <c r="EF176" s="305"/>
      <c r="EG176" s="305"/>
      <c r="EH176" s="305"/>
      <c r="EI176" s="305"/>
      <c r="EJ176" s="305"/>
      <c r="EK176" s="305"/>
      <c r="EL176" s="305"/>
      <c r="EM176" s="305"/>
      <c r="EN176" s="305"/>
      <c r="EO176" s="305"/>
      <c r="EP176" s="305"/>
      <c r="EQ176" s="305"/>
      <c r="ER176" s="305"/>
      <c r="ES176" s="305"/>
      <c r="ET176" s="305"/>
      <c r="EU176" s="305"/>
      <c r="EV176" s="305"/>
      <c r="EW176" s="305"/>
      <c r="EX176" s="305"/>
      <c r="EY176" s="305"/>
      <c r="EZ176" s="305"/>
      <c r="FA176" s="305"/>
      <c r="FB176" s="305"/>
      <c r="FC176" s="305"/>
      <c r="FD176" s="305"/>
      <c r="FE176" s="305"/>
      <c r="FF176" s="305"/>
      <c r="FG176" s="305"/>
      <c r="FH176" s="305"/>
      <c r="FI176" s="305"/>
      <c r="FJ176" s="305"/>
      <c r="FK176" s="305"/>
      <c r="FL176" s="305"/>
      <c r="FM176" s="305"/>
      <c r="FN176" s="305"/>
      <c r="FO176" s="305"/>
      <c r="FP176" s="305"/>
      <c r="FQ176" s="305"/>
      <c r="FR176" s="305"/>
      <c r="FS176" s="305"/>
      <c r="FT176" s="305"/>
      <c r="FU176" s="305"/>
      <c r="FV176" s="305"/>
      <c r="FW176" s="305"/>
      <c r="FX176" s="305"/>
      <c r="FY176" s="305"/>
      <c r="FZ176" s="305"/>
      <c r="GA176" s="305"/>
      <c r="GB176" s="305"/>
      <c r="GC176" s="305"/>
      <c r="GD176" s="305"/>
      <c r="GE176" s="305"/>
      <c r="GF176" s="305"/>
      <c r="GG176" s="305"/>
      <c r="GH176" s="305"/>
      <c r="GI176" s="305"/>
      <c r="GJ176" s="305"/>
      <c r="GK176" s="305"/>
      <c r="GL176" s="305"/>
      <c r="GM176" s="305"/>
      <c r="GN176" s="305"/>
      <c r="GO176" s="305"/>
      <c r="GP176" s="305"/>
      <c r="GQ176" s="305"/>
      <c r="GR176" s="305"/>
    </row>
    <row r="177" spans="3:200" s="318" customFormat="1" ht="12.75" customHeight="1" x14ac:dyDescent="0.2">
      <c r="C177" s="367"/>
      <c r="D177" s="403"/>
      <c r="E177" s="369"/>
      <c r="F177" s="369"/>
      <c r="G177" s="369"/>
      <c r="H177" s="369"/>
      <c r="I177" s="370"/>
      <c r="J177"/>
      <c r="K177" s="371"/>
      <c r="L177" s="371"/>
      <c r="M177" s="371"/>
      <c r="N177" s="371"/>
      <c r="O177" s="305"/>
      <c r="P177" s="305"/>
      <c r="Q177" s="305"/>
      <c r="R177" s="305"/>
      <c r="S177" s="305"/>
      <c r="T177" s="305"/>
      <c r="U177" s="305"/>
      <c r="V177" s="305"/>
      <c r="W177" s="305"/>
      <c r="X177" s="305"/>
      <c r="Y177" s="305"/>
      <c r="Z177" s="305"/>
      <c r="AA177" s="305"/>
      <c r="AB177" s="305"/>
      <c r="AC177" s="305"/>
      <c r="AD177" s="305"/>
      <c r="AE177" s="305"/>
      <c r="AF177" s="305"/>
      <c r="AG177" s="305"/>
      <c r="AH177" s="305"/>
      <c r="AI177" s="305"/>
      <c r="AJ177" s="305"/>
      <c r="AK177" s="305"/>
      <c r="AL177" s="305"/>
      <c r="AM177" s="305"/>
      <c r="AN177" s="305"/>
      <c r="AO177" s="305"/>
      <c r="AP177" s="305"/>
      <c r="AQ177" s="305"/>
      <c r="AR177" s="305"/>
      <c r="AS177" s="305"/>
      <c r="AT177" s="305"/>
      <c r="AU177" s="305"/>
      <c r="AV177" s="305"/>
      <c r="AW177" s="305"/>
      <c r="AX177" s="305"/>
      <c r="AY177" s="305"/>
      <c r="AZ177" s="305"/>
      <c r="BA177" s="305"/>
      <c r="BB177" s="305"/>
      <c r="BC177" s="305"/>
      <c r="BD177" s="305"/>
      <c r="BE177" s="305"/>
      <c r="BF177" s="305"/>
      <c r="BG177" s="305"/>
      <c r="BH177" s="305"/>
      <c r="BI177" s="305"/>
      <c r="BJ177" s="305"/>
      <c r="BK177" s="305"/>
      <c r="BL177" s="305"/>
      <c r="BM177" s="305"/>
      <c r="BN177" s="305"/>
      <c r="BO177" s="305"/>
      <c r="BP177" s="305"/>
      <c r="BQ177" s="305"/>
      <c r="BR177" s="305"/>
      <c r="BS177" s="305"/>
      <c r="BT177" s="305"/>
      <c r="BU177" s="305"/>
      <c r="BV177" s="305"/>
      <c r="BW177" s="305"/>
      <c r="BX177" s="305"/>
      <c r="BY177" s="305"/>
      <c r="BZ177" s="305"/>
      <c r="CA177" s="305"/>
      <c r="CB177" s="305"/>
      <c r="CC177" s="305"/>
      <c r="CD177" s="305"/>
      <c r="CE177" s="305"/>
      <c r="CF177" s="305"/>
      <c r="CG177" s="305"/>
      <c r="CH177" s="305"/>
      <c r="CI177" s="305"/>
      <c r="CJ177" s="305"/>
      <c r="CK177" s="305"/>
      <c r="CL177" s="305"/>
      <c r="CM177" s="305"/>
      <c r="CN177" s="305"/>
      <c r="CO177" s="305"/>
      <c r="CP177" s="305"/>
      <c r="CQ177" s="305"/>
      <c r="CR177" s="305"/>
      <c r="CS177" s="305"/>
      <c r="CT177" s="305"/>
      <c r="CU177" s="305"/>
      <c r="CV177" s="305"/>
      <c r="CW177" s="305"/>
      <c r="CX177" s="305"/>
      <c r="CY177" s="305"/>
      <c r="CZ177" s="305"/>
      <c r="DA177" s="305"/>
      <c r="DB177" s="305"/>
      <c r="DC177" s="305"/>
      <c r="DD177" s="305"/>
      <c r="DE177" s="305"/>
      <c r="DF177" s="305"/>
      <c r="DG177" s="305"/>
      <c r="DH177" s="305"/>
      <c r="DI177" s="305"/>
      <c r="DJ177" s="305"/>
      <c r="DK177" s="305"/>
      <c r="DL177" s="305"/>
      <c r="DM177" s="305"/>
      <c r="DN177" s="305"/>
      <c r="DO177" s="305"/>
      <c r="DP177" s="305"/>
      <c r="DQ177" s="305"/>
      <c r="DR177" s="305"/>
      <c r="DS177" s="305"/>
      <c r="DT177" s="305"/>
      <c r="DU177" s="305"/>
      <c r="DV177" s="305"/>
      <c r="DW177" s="305"/>
      <c r="DX177" s="305"/>
      <c r="DY177" s="305"/>
      <c r="DZ177" s="305"/>
      <c r="EA177" s="305"/>
      <c r="EB177" s="305"/>
      <c r="EC177" s="305"/>
      <c r="ED177" s="305"/>
      <c r="EE177" s="305"/>
      <c r="EF177" s="305"/>
      <c r="EG177" s="305"/>
      <c r="EH177" s="305"/>
      <c r="EI177" s="305"/>
      <c r="EJ177" s="305"/>
      <c r="EK177" s="305"/>
      <c r="EL177" s="305"/>
      <c r="EM177" s="305"/>
      <c r="EN177" s="305"/>
      <c r="EO177" s="305"/>
      <c r="EP177" s="305"/>
      <c r="EQ177" s="305"/>
      <c r="ER177" s="305"/>
      <c r="ES177" s="305"/>
      <c r="ET177" s="305"/>
      <c r="EU177" s="305"/>
      <c r="EV177" s="305"/>
      <c r="EW177" s="305"/>
      <c r="EX177" s="305"/>
      <c r="EY177" s="305"/>
      <c r="EZ177" s="305"/>
      <c r="FA177" s="305"/>
      <c r="FB177" s="305"/>
      <c r="FC177" s="305"/>
      <c r="FD177" s="305"/>
      <c r="FE177" s="305"/>
      <c r="FF177" s="305"/>
      <c r="FG177" s="305"/>
      <c r="FH177" s="305"/>
      <c r="FI177" s="305"/>
      <c r="FJ177" s="305"/>
      <c r="FK177" s="305"/>
      <c r="FL177" s="305"/>
      <c r="FM177" s="305"/>
      <c r="FN177" s="305"/>
      <c r="FO177" s="305"/>
      <c r="FP177" s="305"/>
      <c r="FQ177" s="305"/>
      <c r="FR177" s="305"/>
      <c r="FS177" s="305"/>
      <c r="FT177" s="305"/>
      <c r="FU177" s="305"/>
      <c r="FV177" s="305"/>
      <c r="FW177" s="305"/>
      <c r="FX177" s="305"/>
      <c r="FY177" s="305"/>
      <c r="FZ177" s="305"/>
      <c r="GA177" s="305"/>
      <c r="GB177" s="305"/>
      <c r="GC177" s="305"/>
      <c r="GD177" s="305"/>
      <c r="GE177" s="305"/>
      <c r="GF177" s="305"/>
      <c r="GG177" s="305"/>
      <c r="GH177" s="305"/>
      <c r="GI177" s="305"/>
      <c r="GJ177" s="305"/>
      <c r="GK177" s="305"/>
      <c r="GL177" s="305"/>
      <c r="GM177" s="305"/>
      <c r="GN177" s="305"/>
      <c r="GO177" s="305"/>
      <c r="GP177" s="305"/>
      <c r="GQ177" s="305"/>
      <c r="GR177" s="305"/>
    </row>
    <row r="178" spans="3:200" s="318" customFormat="1" ht="12.75" customHeight="1" x14ac:dyDescent="0.2">
      <c r="C178" s="367"/>
      <c r="D178" s="403"/>
      <c r="E178" s="369"/>
      <c r="F178" s="369"/>
      <c r="G178" s="369"/>
      <c r="H178" s="369"/>
      <c r="I178" s="370"/>
      <c r="J178"/>
      <c r="K178" s="371"/>
      <c r="L178" s="371"/>
      <c r="M178" s="371"/>
      <c r="N178" s="371"/>
      <c r="O178" s="305"/>
      <c r="P178" s="305"/>
      <c r="Q178" s="305"/>
      <c r="R178" s="305"/>
      <c r="S178" s="305"/>
      <c r="T178" s="305"/>
      <c r="U178" s="305"/>
      <c r="V178" s="305"/>
      <c r="W178" s="305"/>
      <c r="X178" s="305"/>
      <c r="Y178" s="305"/>
      <c r="Z178" s="305"/>
      <c r="AA178" s="305"/>
      <c r="AB178" s="305"/>
      <c r="AC178" s="305"/>
      <c r="AD178" s="305"/>
      <c r="AE178" s="305"/>
      <c r="AF178" s="305"/>
      <c r="AG178" s="305"/>
      <c r="AH178" s="305"/>
      <c r="AI178" s="305"/>
      <c r="AJ178" s="305"/>
      <c r="AK178" s="305"/>
      <c r="AL178" s="305"/>
      <c r="AM178" s="305"/>
      <c r="AN178" s="305"/>
      <c r="AO178" s="305"/>
      <c r="AP178" s="305"/>
      <c r="AQ178" s="305"/>
      <c r="AR178" s="305"/>
      <c r="AS178" s="305"/>
      <c r="AT178" s="305"/>
      <c r="AU178" s="305"/>
      <c r="AV178" s="305"/>
      <c r="AW178" s="305"/>
      <c r="AX178" s="305"/>
      <c r="AY178" s="305"/>
      <c r="AZ178" s="305"/>
      <c r="BA178" s="305"/>
      <c r="BB178" s="305"/>
      <c r="BC178" s="305"/>
      <c r="BD178" s="305"/>
      <c r="BE178" s="305"/>
      <c r="BF178" s="305"/>
      <c r="BG178" s="305"/>
      <c r="BH178" s="305"/>
      <c r="BI178" s="305"/>
      <c r="BJ178" s="305"/>
      <c r="BK178" s="305"/>
      <c r="BL178" s="305"/>
      <c r="BM178" s="305"/>
      <c r="BN178" s="305"/>
      <c r="BO178" s="305"/>
      <c r="BP178" s="305"/>
      <c r="BQ178" s="305"/>
      <c r="BR178" s="305"/>
      <c r="BS178" s="305"/>
      <c r="BT178" s="305"/>
      <c r="BU178" s="305"/>
      <c r="BV178" s="305"/>
      <c r="BW178" s="305"/>
      <c r="BX178" s="305"/>
      <c r="BY178" s="305"/>
      <c r="BZ178" s="305"/>
      <c r="CA178" s="305"/>
      <c r="CB178" s="305"/>
      <c r="CC178" s="305"/>
      <c r="CD178" s="305"/>
      <c r="CE178" s="305"/>
      <c r="CF178" s="305"/>
      <c r="CG178" s="305"/>
      <c r="CH178" s="305"/>
      <c r="CI178" s="305"/>
      <c r="CJ178" s="305"/>
      <c r="CK178" s="305"/>
      <c r="CL178" s="305"/>
      <c r="CM178" s="305"/>
      <c r="CN178" s="305"/>
      <c r="CO178" s="305"/>
      <c r="CP178" s="305"/>
      <c r="CQ178" s="305"/>
      <c r="CR178" s="305"/>
      <c r="CS178" s="305"/>
      <c r="CT178" s="305"/>
      <c r="CU178" s="305"/>
      <c r="CV178" s="305"/>
      <c r="CW178" s="305"/>
      <c r="CX178" s="305"/>
      <c r="CY178" s="305"/>
      <c r="CZ178" s="305"/>
      <c r="DA178" s="305"/>
      <c r="DB178" s="305"/>
      <c r="DC178" s="305"/>
      <c r="DD178" s="305"/>
      <c r="DE178" s="305"/>
      <c r="DF178" s="305"/>
      <c r="DG178" s="305"/>
      <c r="DH178" s="305"/>
      <c r="DI178" s="305"/>
      <c r="DJ178" s="305"/>
      <c r="DK178" s="305"/>
      <c r="DL178" s="305"/>
      <c r="DM178" s="305"/>
      <c r="DN178" s="305"/>
      <c r="DO178" s="305"/>
      <c r="DP178" s="305"/>
      <c r="DQ178" s="305"/>
      <c r="DR178" s="305"/>
      <c r="DS178" s="305"/>
      <c r="DT178" s="305"/>
      <c r="DU178" s="305"/>
      <c r="DV178" s="305"/>
      <c r="DW178" s="305"/>
      <c r="DX178" s="305"/>
      <c r="DY178" s="305"/>
      <c r="DZ178" s="305"/>
      <c r="EA178" s="305"/>
      <c r="EB178" s="305"/>
      <c r="EC178" s="305"/>
      <c r="ED178" s="305"/>
      <c r="EE178" s="305"/>
      <c r="EF178" s="305"/>
      <c r="EG178" s="305"/>
      <c r="EH178" s="305"/>
      <c r="EI178" s="305"/>
      <c r="EJ178" s="305"/>
      <c r="EK178" s="305"/>
      <c r="EL178" s="305"/>
      <c r="EM178" s="305"/>
      <c r="EN178" s="305"/>
      <c r="EO178" s="305"/>
      <c r="EP178" s="305"/>
      <c r="EQ178" s="305"/>
      <c r="ER178" s="305"/>
      <c r="ES178" s="305"/>
      <c r="ET178" s="305"/>
      <c r="EU178" s="305"/>
      <c r="EV178" s="305"/>
      <c r="EW178" s="305"/>
      <c r="EX178" s="305"/>
      <c r="EY178" s="305"/>
      <c r="EZ178" s="305"/>
      <c r="FA178" s="305"/>
      <c r="FB178" s="305"/>
      <c r="FC178" s="305"/>
      <c r="FD178" s="305"/>
      <c r="FE178" s="305"/>
      <c r="FF178" s="305"/>
      <c r="FG178" s="305"/>
      <c r="FH178" s="305"/>
      <c r="FI178" s="305"/>
      <c r="FJ178" s="305"/>
      <c r="FK178" s="305"/>
      <c r="FL178" s="305"/>
      <c r="FM178" s="305"/>
      <c r="FN178" s="305"/>
      <c r="FO178" s="305"/>
      <c r="FP178" s="305"/>
      <c r="FQ178" s="305"/>
      <c r="FR178" s="305"/>
      <c r="FS178" s="305"/>
      <c r="FT178" s="305"/>
      <c r="FU178" s="305"/>
      <c r="FV178" s="305"/>
      <c r="FW178" s="305"/>
      <c r="FX178" s="305"/>
      <c r="FY178" s="305"/>
      <c r="FZ178" s="305"/>
      <c r="GA178" s="305"/>
      <c r="GB178" s="305"/>
      <c r="GC178" s="305"/>
      <c r="GD178" s="305"/>
      <c r="GE178" s="305"/>
      <c r="GF178" s="305"/>
      <c r="GG178" s="305"/>
      <c r="GH178" s="305"/>
      <c r="GI178" s="305"/>
      <c r="GJ178" s="305"/>
      <c r="GK178" s="305"/>
      <c r="GL178" s="305"/>
      <c r="GM178" s="305"/>
      <c r="GN178" s="305"/>
      <c r="GO178" s="305"/>
      <c r="GP178" s="305"/>
      <c r="GQ178" s="305"/>
      <c r="GR178" s="305"/>
    </row>
    <row r="179" spans="3:200" s="318" customFormat="1" ht="12.75" customHeight="1" x14ac:dyDescent="0.2">
      <c r="C179" s="367"/>
      <c r="D179" s="403"/>
      <c r="E179" s="369"/>
      <c r="F179" s="369"/>
      <c r="G179" s="369"/>
      <c r="H179" s="369"/>
      <c r="I179" s="370"/>
      <c r="J179"/>
      <c r="K179" s="371"/>
      <c r="L179" s="371"/>
      <c r="M179" s="371"/>
      <c r="N179" s="371"/>
      <c r="O179" s="305"/>
      <c r="P179" s="305"/>
      <c r="Q179" s="305"/>
      <c r="R179" s="305"/>
      <c r="S179" s="305"/>
      <c r="T179" s="305"/>
      <c r="U179" s="305"/>
      <c r="V179" s="305"/>
      <c r="W179" s="305"/>
      <c r="X179" s="305"/>
      <c r="Y179" s="305"/>
      <c r="Z179" s="305"/>
      <c r="AA179" s="305"/>
      <c r="AB179" s="305"/>
      <c r="AC179" s="305"/>
      <c r="AD179" s="305"/>
      <c r="AE179" s="305"/>
      <c r="AF179" s="305"/>
      <c r="AG179" s="305"/>
      <c r="AH179" s="305"/>
      <c r="AI179" s="305"/>
      <c r="AJ179" s="305"/>
      <c r="AK179" s="305"/>
      <c r="AL179" s="305"/>
      <c r="AM179" s="305"/>
      <c r="AN179" s="305"/>
      <c r="AO179" s="305"/>
      <c r="AP179" s="305"/>
      <c r="AQ179" s="305"/>
      <c r="AR179" s="305"/>
      <c r="AS179" s="305"/>
      <c r="AT179" s="305"/>
      <c r="AU179" s="305"/>
      <c r="AV179" s="305"/>
      <c r="AW179" s="305"/>
      <c r="AX179" s="305"/>
      <c r="AY179" s="305"/>
      <c r="AZ179" s="305"/>
      <c r="BA179" s="305"/>
      <c r="BB179" s="305"/>
      <c r="BC179" s="305"/>
      <c r="BD179" s="305"/>
      <c r="BE179" s="305"/>
      <c r="BF179" s="305"/>
      <c r="BG179" s="305"/>
      <c r="BH179" s="305"/>
      <c r="BI179" s="305"/>
      <c r="BJ179" s="305"/>
      <c r="BK179" s="305"/>
      <c r="BL179" s="305"/>
      <c r="BM179" s="305"/>
      <c r="BN179" s="305"/>
      <c r="BO179" s="305"/>
      <c r="BP179" s="305"/>
      <c r="BQ179" s="305"/>
      <c r="BR179" s="305"/>
      <c r="BS179" s="305"/>
      <c r="BT179" s="305"/>
      <c r="BU179" s="305"/>
      <c r="BV179" s="305"/>
      <c r="BW179" s="305"/>
      <c r="BX179" s="305"/>
      <c r="BY179" s="305"/>
      <c r="BZ179" s="305"/>
      <c r="CA179" s="305"/>
      <c r="CB179" s="305"/>
      <c r="CC179" s="305"/>
      <c r="CD179" s="305"/>
      <c r="CE179" s="305"/>
      <c r="CF179" s="305"/>
      <c r="CG179" s="305"/>
      <c r="CH179" s="305"/>
      <c r="CI179" s="305"/>
      <c r="CJ179" s="305"/>
      <c r="CK179" s="305"/>
      <c r="CL179" s="305"/>
      <c r="CM179" s="305"/>
      <c r="CN179" s="305"/>
      <c r="CO179" s="305"/>
      <c r="CP179" s="305"/>
      <c r="CQ179" s="305"/>
      <c r="CR179" s="305"/>
      <c r="CS179" s="305"/>
      <c r="CT179" s="305"/>
      <c r="CU179" s="305"/>
      <c r="CV179" s="305"/>
      <c r="CW179" s="305"/>
      <c r="CX179" s="305"/>
      <c r="CY179" s="305"/>
      <c r="CZ179" s="305"/>
      <c r="DA179" s="305"/>
      <c r="DB179" s="305"/>
      <c r="DC179" s="305"/>
      <c r="DD179" s="305"/>
      <c r="DE179" s="305"/>
      <c r="DF179" s="305"/>
      <c r="DG179" s="305"/>
      <c r="DH179" s="305"/>
      <c r="DI179" s="305"/>
      <c r="DJ179" s="305"/>
      <c r="DK179" s="305"/>
      <c r="DL179" s="305"/>
      <c r="DM179" s="305"/>
      <c r="DN179" s="305"/>
      <c r="DO179" s="305"/>
      <c r="DP179" s="305"/>
      <c r="DQ179" s="305"/>
      <c r="DR179" s="305"/>
      <c r="DS179" s="305"/>
      <c r="DT179" s="305"/>
      <c r="DU179" s="305"/>
      <c r="DV179" s="305"/>
      <c r="DW179" s="305"/>
      <c r="DX179" s="305"/>
      <c r="DY179" s="305"/>
      <c r="DZ179" s="305"/>
      <c r="EA179" s="305"/>
      <c r="EB179" s="305"/>
      <c r="EC179" s="305"/>
      <c r="ED179" s="305"/>
      <c r="EE179" s="305"/>
      <c r="EF179" s="305"/>
      <c r="EG179" s="305"/>
      <c r="EH179" s="305"/>
      <c r="EI179" s="305"/>
      <c r="EJ179" s="305"/>
      <c r="EK179" s="305"/>
      <c r="EL179" s="305"/>
      <c r="EM179" s="305"/>
      <c r="EN179" s="305"/>
      <c r="EO179" s="305"/>
      <c r="EP179" s="305"/>
      <c r="EQ179" s="305"/>
      <c r="ER179" s="305"/>
      <c r="ES179" s="305"/>
      <c r="ET179" s="305"/>
      <c r="EU179" s="305"/>
      <c r="EV179" s="305"/>
      <c r="EW179" s="305"/>
      <c r="EX179" s="305"/>
      <c r="EY179" s="305"/>
      <c r="EZ179" s="305"/>
      <c r="FA179" s="305"/>
      <c r="FB179" s="305"/>
      <c r="FC179" s="305"/>
      <c r="FD179" s="305"/>
      <c r="FE179" s="305"/>
      <c r="FF179" s="305"/>
      <c r="FG179" s="305"/>
      <c r="FH179" s="305"/>
      <c r="FI179" s="305"/>
      <c r="FJ179" s="305"/>
      <c r="FK179" s="305"/>
      <c r="FL179" s="305"/>
      <c r="FM179" s="305"/>
      <c r="FN179" s="305"/>
      <c r="FO179" s="305"/>
      <c r="FP179" s="305"/>
      <c r="FQ179" s="305"/>
      <c r="FR179" s="305"/>
      <c r="FS179" s="305"/>
      <c r="FT179" s="305"/>
      <c r="FU179" s="305"/>
      <c r="FV179" s="305"/>
      <c r="FW179" s="305"/>
      <c r="FX179" s="305"/>
      <c r="FY179" s="305"/>
      <c r="FZ179" s="305"/>
      <c r="GA179" s="305"/>
      <c r="GB179" s="305"/>
      <c r="GC179" s="305"/>
      <c r="GD179" s="305"/>
      <c r="GE179" s="305"/>
      <c r="GF179" s="305"/>
      <c r="GG179" s="305"/>
      <c r="GH179" s="305"/>
      <c r="GI179" s="305"/>
      <c r="GJ179" s="305"/>
      <c r="GK179" s="305"/>
      <c r="GL179" s="305"/>
      <c r="GM179" s="305"/>
      <c r="GN179" s="305"/>
      <c r="GO179" s="305"/>
      <c r="GP179" s="305"/>
      <c r="GQ179" s="305"/>
      <c r="GR179" s="305"/>
    </row>
    <row r="180" spans="3:200" s="318" customFormat="1" ht="12.75" customHeight="1" x14ac:dyDescent="0.2">
      <c r="C180" s="367"/>
      <c r="D180" s="403"/>
      <c r="E180" s="369"/>
      <c r="F180" s="369"/>
      <c r="G180" s="369"/>
      <c r="H180" s="369"/>
      <c r="I180" s="370"/>
      <c r="J180"/>
      <c r="K180" s="371"/>
      <c r="L180" s="371"/>
      <c r="M180" s="371"/>
      <c r="N180" s="371"/>
      <c r="O180" s="305"/>
      <c r="P180" s="305"/>
      <c r="Q180" s="305"/>
      <c r="R180" s="305"/>
      <c r="S180" s="305"/>
      <c r="T180" s="305"/>
      <c r="U180" s="305"/>
      <c r="V180" s="305"/>
      <c r="W180" s="305"/>
      <c r="X180" s="305"/>
      <c r="Y180" s="305"/>
      <c r="Z180" s="305"/>
      <c r="AA180" s="305"/>
      <c r="AB180" s="305"/>
      <c r="AC180" s="305"/>
      <c r="AD180" s="305"/>
      <c r="AE180" s="305"/>
      <c r="AF180" s="305"/>
      <c r="AG180" s="305"/>
      <c r="AH180" s="305"/>
      <c r="AI180" s="305"/>
      <c r="AJ180" s="305"/>
      <c r="AK180" s="305"/>
      <c r="AL180" s="305"/>
      <c r="AM180" s="305"/>
      <c r="AN180" s="305"/>
      <c r="AO180" s="305"/>
      <c r="AP180" s="305"/>
      <c r="AQ180" s="305"/>
      <c r="AR180" s="305"/>
      <c r="AS180" s="305"/>
      <c r="AT180" s="305"/>
      <c r="AU180" s="305"/>
      <c r="AV180" s="305"/>
      <c r="AW180" s="305"/>
      <c r="AX180" s="305"/>
      <c r="AY180" s="305"/>
      <c r="AZ180" s="305"/>
      <c r="BA180" s="305"/>
      <c r="BB180" s="305"/>
      <c r="BC180" s="305"/>
      <c r="BD180" s="305"/>
      <c r="BE180" s="305"/>
      <c r="BF180" s="305"/>
      <c r="BG180" s="305"/>
      <c r="BH180" s="305"/>
      <c r="BI180" s="305"/>
      <c r="BJ180" s="305"/>
      <c r="BK180" s="305"/>
      <c r="BL180" s="305"/>
      <c r="BM180" s="305"/>
      <c r="BN180" s="305"/>
      <c r="BO180" s="305"/>
      <c r="BP180" s="305"/>
      <c r="BQ180" s="305"/>
      <c r="BR180" s="305"/>
      <c r="BS180" s="305"/>
      <c r="BT180" s="305"/>
      <c r="BU180" s="305"/>
      <c r="BV180" s="305"/>
      <c r="BW180" s="305"/>
      <c r="BX180" s="305"/>
      <c r="BY180" s="305"/>
      <c r="BZ180" s="305"/>
      <c r="CA180" s="305"/>
      <c r="CB180" s="305"/>
      <c r="CC180" s="305"/>
      <c r="CD180" s="305"/>
      <c r="CE180" s="305"/>
      <c r="CF180" s="305"/>
      <c r="CG180" s="305"/>
      <c r="CH180" s="305"/>
      <c r="CI180" s="305"/>
      <c r="CJ180" s="305"/>
      <c r="CK180" s="305"/>
      <c r="CL180" s="305"/>
      <c r="CM180" s="305"/>
      <c r="CN180" s="305"/>
      <c r="CO180" s="305"/>
      <c r="CP180" s="305"/>
      <c r="CQ180" s="305"/>
      <c r="CR180" s="305"/>
      <c r="CS180" s="305"/>
      <c r="CT180" s="305"/>
      <c r="CU180" s="305"/>
      <c r="CV180" s="305"/>
      <c r="CW180" s="305"/>
      <c r="CX180" s="305"/>
      <c r="CY180" s="305"/>
      <c r="CZ180" s="305"/>
      <c r="DA180" s="305"/>
      <c r="DB180" s="305"/>
      <c r="DC180" s="305"/>
      <c r="DD180" s="305"/>
      <c r="DE180" s="305"/>
      <c r="DF180" s="305"/>
      <c r="DG180" s="305"/>
      <c r="DH180" s="305"/>
      <c r="DI180" s="305"/>
      <c r="DJ180" s="305"/>
      <c r="DK180" s="305"/>
      <c r="DL180" s="305"/>
      <c r="DM180" s="305"/>
      <c r="DN180" s="305"/>
      <c r="DO180" s="305"/>
      <c r="DP180" s="305"/>
      <c r="DQ180" s="305"/>
      <c r="DR180" s="305"/>
      <c r="DS180" s="305"/>
      <c r="DT180" s="305"/>
      <c r="DU180" s="305"/>
      <c r="DV180" s="305"/>
      <c r="DW180" s="305"/>
      <c r="DX180" s="305"/>
      <c r="DY180" s="305"/>
      <c r="DZ180" s="305"/>
      <c r="EA180" s="305"/>
      <c r="EB180" s="305"/>
      <c r="EC180" s="305"/>
      <c r="ED180" s="305"/>
      <c r="EE180" s="305"/>
      <c r="EF180" s="305"/>
      <c r="EG180" s="305"/>
      <c r="EH180" s="305"/>
      <c r="EI180" s="305"/>
      <c r="EJ180" s="305"/>
      <c r="EK180" s="305"/>
      <c r="EL180" s="305"/>
      <c r="EM180" s="305"/>
      <c r="EN180" s="305"/>
      <c r="EO180" s="305"/>
      <c r="EP180" s="305"/>
      <c r="EQ180" s="305"/>
      <c r="ER180" s="305"/>
      <c r="ES180" s="305"/>
      <c r="ET180" s="305"/>
      <c r="EU180" s="305"/>
      <c r="EV180" s="305"/>
      <c r="EW180" s="305"/>
      <c r="EX180" s="305"/>
      <c r="EY180" s="305"/>
      <c r="EZ180" s="305"/>
      <c r="FA180" s="305"/>
      <c r="FB180" s="305"/>
      <c r="FC180" s="305"/>
      <c r="FD180" s="305"/>
      <c r="FE180" s="305"/>
      <c r="FF180" s="305"/>
      <c r="FG180" s="305"/>
      <c r="FH180" s="305"/>
      <c r="FI180" s="305"/>
      <c r="FJ180" s="305"/>
      <c r="FK180" s="305"/>
      <c r="FL180" s="305"/>
      <c r="FM180" s="305"/>
      <c r="FN180" s="305"/>
      <c r="FO180" s="305"/>
      <c r="FP180" s="305"/>
      <c r="FQ180" s="305"/>
      <c r="FR180" s="305"/>
      <c r="FS180" s="305"/>
      <c r="FT180" s="305"/>
      <c r="FU180" s="305"/>
      <c r="FV180" s="305"/>
      <c r="FW180" s="305"/>
      <c r="FX180" s="305"/>
      <c r="FY180" s="305"/>
      <c r="FZ180" s="305"/>
      <c r="GA180" s="305"/>
      <c r="GB180" s="305"/>
      <c r="GC180" s="305"/>
      <c r="GD180" s="305"/>
      <c r="GE180" s="305"/>
      <c r="GF180" s="305"/>
      <c r="GG180" s="305"/>
      <c r="GH180" s="305"/>
      <c r="GI180" s="305"/>
      <c r="GJ180" s="305"/>
      <c r="GK180" s="305"/>
      <c r="GL180" s="305"/>
      <c r="GM180" s="305"/>
      <c r="GN180" s="305"/>
      <c r="GO180" s="305"/>
      <c r="GP180" s="305"/>
      <c r="GQ180" s="305"/>
      <c r="GR180" s="305"/>
    </row>
    <row r="181" spans="3:200" s="318" customFormat="1" ht="12.75" customHeight="1" x14ac:dyDescent="0.2">
      <c r="C181" s="367"/>
      <c r="D181" s="403"/>
      <c r="E181" s="369"/>
      <c r="F181" s="369"/>
      <c r="G181" s="369"/>
      <c r="H181" s="369"/>
      <c r="I181" s="370"/>
      <c r="J181"/>
      <c r="K181" s="371"/>
      <c r="L181" s="371"/>
      <c r="M181" s="371"/>
      <c r="N181" s="371"/>
      <c r="O181" s="305"/>
      <c r="P181" s="305"/>
      <c r="Q181" s="305"/>
      <c r="R181" s="305"/>
      <c r="S181" s="305"/>
      <c r="T181" s="305"/>
      <c r="U181" s="305"/>
      <c r="V181" s="305"/>
      <c r="W181" s="305"/>
      <c r="X181" s="305"/>
      <c r="Y181" s="305"/>
      <c r="Z181" s="305"/>
      <c r="AA181" s="305"/>
      <c r="AB181" s="305"/>
      <c r="AC181" s="305"/>
      <c r="AD181" s="305"/>
      <c r="AE181" s="305"/>
      <c r="AF181" s="305"/>
      <c r="AG181" s="305"/>
      <c r="AH181" s="305"/>
      <c r="AI181" s="305"/>
      <c r="AJ181" s="305"/>
      <c r="AK181" s="305"/>
      <c r="AL181" s="305"/>
      <c r="AM181" s="305"/>
      <c r="AN181" s="305"/>
      <c r="AO181" s="305"/>
      <c r="AP181" s="305"/>
      <c r="AQ181" s="305"/>
      <c r="AR181" s="305"/>
      <c r="AS181" s="305"/>
      <c r="AT181" s="305"/>
      <c r="AU181" s="305"/>
      <c r="AV181" s="305"/>
      <c r="AW181" s="305"/>
      <c r="AX181" s="305"/>
      <c r="AY181" s="305"/>
      <c r="AZ181" s="305"/>
      <c r="BA181" s="305"/>
      <c r="BB181" s="305"/>
      <c r="BC181" s="305"/>
      <c r="BD181" s="305"/>
      <c r="BE181" s="305"/>
      <c r="BF181" s="305"/>
      <c r="BG181" s="305"/>
      <c r="BH181" s="305"/>
      <c r="BI181" s="305"/>
      <c r="BJ181" s="305"/>
      <c r="BK181" s="305"/>
      <c r="BL181" s="305"/>
      <c r="BM181" s="305"/>
      <c r="BN181" s="305"/>
      <c r="BO181" s="305"/>
      <c r="BP181" s="305"/>
      <c r="BQ181" s="305"/>
      <c r="BR181" s="305"/>
      <c r="BS181" s="305"/>
      <c r="BT181" s="305"/>
      <c r="BU181" s="305"/>
      <c r="BV181" s="305"/>
      <c r="BW181" s="305"/>
      <c r="BX181" s="305"/>
      <c r="BY181" s="305"/>
      <c r="BZ181" s="305"/>
      <c r="CA181" s="305"/>
      <c r="CB181" s="305"/>
      <c r="CC181" s="305"/>
      <c r="CD181" s="305"/>
      <c r="CE181" s="305"/>
      <c r="CF181" s="305"/>
      <c r="CG181" s="305"/>
      <c r="CH181" s="305"/>
      <c r="CI181" s="305"/>
      <c r="CJ181" s="305"/>
      <c r="CK181" s="305"/>
      <c r="CL181" s="305"/>
      <c r="CM181" s="305"/>
      <c r="CN181" s="305"/>
      <c r="CO181" s="305"/>
      <c r="CP181" s="305"/>
      <c r="CQ181" s="305"/>
      <c r="CR181" s="305"/>
      <c r="CS181" s="305"/>
      <c r="CT181" s="305"/>
      <c r="CU181" s="305"/>
      <c r="CV181" s="305"/>
      <c r="CW181" s="305"/>
      <c r="CX181" s="305"/>
      <c r="CY181" s="305"/>
      <c r="CZ181" s="305"/>
      <c r="DA181" s="305"/>
      <c r="DB181" s="305"/>
      <c r="DC181" s="305"/>
      <c r="DD181" s="305"/>
      <c r="DE181" s="305"/>
      <c r="DF181" s="305"/>
      <c r="DG181" s="305"/>
      <c r="DH181" s="305"/>
      <c r="DI181" s="305"/>
      <c r="DJ181" s="305"/>
      <c r="DK181" s="305"/>
      <c r="DL181" s="305"/>
      <c r="DM181" s="305"/>
      <c r="DN181" s="305"/>
      <c r="DO181" s="305"/>
      <c r="DP181" s="305"/>
      <c r="DQ181" s="305"/>
      <c r="DR181" s="305"/>
      <c r="DS181" s="305"/>
      <c r="DT181" s="305"/>
      <c r="DU181" s="305"/>
      <c r="DV181" s="305"/>
      <c r="DW181" s="305"/>
      <c r="DX181" s="305"/>
      <c r="DY181" s="305"/>
      <c r="DZ181" s="305"/>
      <c r="EA181" s="305"/>
      <c r="EB181" s="305"/>
      <c r="EC181" s="305"/>
      <c r="ED181" s="305"/>
      <c r="EE181" s="305"/>
      <c r="EF181" s="305"/>
      <c r="EG181" s="305"/>
      <c r="EH181" s="305"/>
      <c r="EI181" s="305"/>
      <c r="EJ181" s="305"/>
      <c r="EK181" s="305"/>
      <c r="EL181" s="305"/>
      <c r="EM181" s="305"/>
      <c r="EN181" s="305"/>
      <c r="EO181" s="305"/>
      <c r="EP181" s="305"/>
      <c r="EQ181" s="305"/>
      <c r="ER181" s="305"/>
      <c r="ES181" s="305"/>
      <c r="ET181" s="305"/>
      <c r="EU181" s="305"/>
      <c r="EV181" s="305"/>
      <c r="EW181" s="305"/>
      <c r="EX181" s="305"/>
      <c r="EY181" s="305"/>
      <c r="EZ181" s="305"/>
      <c r="FA181" s="305"/>
      <c r="FB181" s="305"/>
      <c r="FC181" s="305"/>
      <c r="FD181" s="305"/>
      <c r="FE181" s="305"/>
      <c r="FF181" s="305"/>
      <c r="FG181" s="305"/>
      <c r="FH181" s="305"/>
      <c r="FI181" s="305"/>
      <c r="FJ181" s="305"/>
      <c r="FK181" s="305"/>
      <c r="FL181" s="305"/>
      <c r="FM181" s="305"/>
      <c r="FN181" s="305"/>
      <c r="FO181" s="305"/>
      <c r="FP181" s="305"/>
      <c r="FQ181" s="305"/>
      <c r="FR181" s="305"/>
      <c r="FS181" s="305"/>
      <c r="FT181" s="305"/>
      <c r="FU181" s="305"/>
      <c r="FV181" s="305"/>
      <c r="FW181" s="305"/>
      <c r="FX181" s="305"/>
      <c r="FY181" s="305"/>
      <c r="FZ181" s="305"/>
      <c r="GA181" s="305"/>
      <c r="GB181" s="305"/>
      <c r="GC181" s="305"/>
      <c r="GD181" s="305"/>
      <c r="GE181" s="305"/>
      <c r="GF181" s="305"/>
      <c r="GG181" s="305"/>
      <c r="GH181" s="305"/>
      <c r="GI181" s="305"/>
      <c r="GJ181" s="305"/>
      <c r="GK181" s="305"/>
      <c r="GL181" s="305"/>
      <c r="GM181" s="305"/>
      <c r="GN181" s="305"/>
      <c r="GO181" s="305"/>
      <c r="GP181" s="305"/>
      <c r="GQ181" s="305"/>
      <c r="GR181" s="305"/>
    </row>
    <row r="182" spans="3:200" s="318" customFormat="1" ht="12.75" customHeight="1" x14ac:dyDescent="0.2">
      <c r="C182" s="367"/>
      <c r="D182" s="403"/>
      <c r="E182" s="369"/>
      <c r="F182" s="369"/>
      <c r="G182" s="369"/>
      <c r="H182" s="369"/>
      <c r="I182" s="370"/>
      <c r="J182"/>
      <c r="K182" s="371"/>
      <c r="L182" s="371"/>
      <c r="M182" s="371"/>
      <c r="N182" s="371"/>
      <c r="O182" s="305"/>
      <c r="P182" s="305"/>
      <c r="Q182" s="305"/>
      <c r="R182" s="305"/>
      <c r="S182" s="305"/>
      <c r="T182" s="305"/>
      <c r="U182" s="305"/>
      <c r="V182" s="305"/>
      <c r="W182" s="305"/>
      <c r="X182" s="305"/>
      <c r="Y182" s="305"/>
      <c r="Z182" s="305"/>
      <c r="AA182" s="305"/>
      <c r="AB182" s="305"/>
      <c r="AC182" s="305"/>
      <c r="AD182" s="305"/>
      <c r="AE182" s="305"/>
      <c r="AF182" s="305"/>
      <c r="AG182" s="305"/>
      <c r="AH182" s="305"/>
      <c r="AI182" s="305"/>
      <c r="AJ182" s="305"/>
      <c r="AK182" s="305"/>
      <c r="AL182" s="305"/>
      <c r="AM182" s="305"/>
      <c r="AN182" s="305"/>
      <c r="AO182" s="305"/>
      <c r="AP182" s="305"/>
      <c r="AQ182" s="305"/>
      <c r="AR182" s="305"/>
      <c r="AS182" s="305"/>
      <c r="AT182" s="305"/>
      <c r="AU182" s="305"/>
      <c r="AV182" s="305"/>
      <c r="AW182" s="305"/>
      <c r="AX182" s="305"/>
      <c r="AY182" s="305"/>
      <c r="AZ182" s="305"/>
      <c r="BA182" s="305"/>
      <c r="BB182" s="305"/>
      <c r="BC182" s="305"/>
      <c r="BD182" s="305"/>
      <c r="BE182" s="305"/>
      <c r="BF182" s="305"/>
      <c r="BG182" s="305"/>
      <c r="BH182" s="305"/>
      <c r="BI182" s="305"/>
      <c r="BJ182" s="305"/>
      <c r="BK182" s="305"/>
      <c r="BL182" s="305"/>
      <c r="BM182" s="305"/>
      <c r="BN182" s="305"/>
      <c r="BO182" s="305"/>
      <c r="BP182" s="305"/>
      <c r="BQ182" s="305"/>
      <c r="BR182" s="305"/>
      <c r="BS182" s="305"/>
      <c r="BT182" s="305"/>
      <c r="BU182" s="305"/>
      <c r="BV182" s="305"/>
      <c r="BW182" s="305"/>
      <c r="BX182" s="305"/>
      <c r="BY182" s="305"/>
      <c r="BZ182" s="305"/>
      <c r="CA182" s="305"/>
      <c r="CB182" s="305"/>
      <c r="CC182" s="305"/>
      <c r="CD182" s="305"/>
      <c r="CE182" s="305"/>
      <c r="CF182" s="305"/>
      <c r="CG182" s="305"/>
      <c r="CH182" s="305"/>
      <c r="CI182" s="305"/>
      <c r="CJ182" s="305"/>
      <c r="CK182" s="305"/>
      <c r="CL182" s="305"/>
      <c r="CM182" s="305"/>
      <c r="CN182" s="305"/>
      <c r="CO182" s="305"/>
      <c r="CP182" s="305"/>
      <c r="CQ182" s="305"/>
      <c r="CR182" s="305"/>
      <c r="CS182" s="305"/>
      <c r="CT182" s="305"/>
      <c r="CU182" s="305"/>
      <c r="CV182" s="305"/>
      <c r="CW182" s="305"/>
      <c r="CX182" s="305"/>
      <c r="CY182" s="305"/>
      <c r="CZ182" s="305"/>
      <c r="DA182" s="305"/>
      <c r="DB182" s="305"/>
      <c r="DC182" s="305"/>
      <c r="DD182" s="305"/>
      <c r="DE182" s="305"/>
      <c r="DF182" s="305"/>
      <c r="DG182" s="305"/>
      <c r="DH182" s="305"/>
      <c r="DI182" s="305"/>
      <c r="DJ182" s="305"/>
      <c r="DK182" s="305"/>
      <c r="DL182" s="305"/>
      <c r="DM182" s="305"/>
      <c r="DN182" s="305"/>
      <c r="DO182" s="305"/>
      <c r="DP182" s="305"/>
      <c r="DQ182" s="305"/>
      <c r="DR182" s="305"/>
      <c r="DS182" s="305"/>
      <c r="DT182" s="305"/>
      <c r="DU182" s="305"/>
      <c r="DV182" s="305"/>
      <c r="DW182" s="305"/>
      <c r="DX182" s="305"/>
      <c r="DY182" s="305"/>
      <c r="DZ182" s="305"/>
      <c r="EA182" s="305"/>
      <c r="EB182" s="305"/>
      <c r="EC182" s="305"/>
      <c r="ED182" s="305"/>
      <c r="EE182" s="305"/>
      <c r="EF182" s="305"/>
      <c r="EG182" s="305"/>
      <c r="EH182" s="305"/>
      <c r="EI182" s="305"/>
      <c r="EJ182" s="305"/>
      <c r="EK182" s="305"/>
      <c r="EL182" s="305"/>
      <c r="EM182" s="305"/>
      <c r="EN182" s="305"/>
      <c r="EO182" s="305"/>
      <c r="EP182" s="305"/>
      <c r="EQ182" s="305"/>
      <c r="ER182" s="305"/>
      <c r="ES182" s="305"/>
      <c r="ET182" s="305"/>
      <c r="EU182" s="305"/>
      <c r="EV182" s="305"/>
      <c r="EW182" s="305"/>
      <c r="EX182" s="305"/>
      <c r="EY182" s="305"/>
      <c r="EZ182" s="305"/>
      <c r="FA182" s="305"/>
      <c r="FB182" s="305"/>
      <c r="FC182" s="305"/>
      <c r="FD182" s="305"/>
      <c r="FE182" s="305"/>
      <c r="FF182" s="305"/>
      <c r="FG182" s="305"/>
      <c r="FH182" s="305"/>
      <c r="FI182" s="305"/>
      <c r="FJ182" s="305"/>
      <c r="FK182" s="305"/>
      <c r="FL182" s="305"/>
      <c r="FM182" s="305"/>
      <c r="FN182" s="305"/>
      <c r="FO182" s="305"/>
      <c r="FP182" s="305"/>
      <c r="FQ182" s="305"/>
      <c r="FR182" s="305"/>
      <c r="FS182" s="305"/>
      <c r="FT182" s="305"/>
      <c r="FU182" s="305"/>
      <c r="FV182" s="305"/>
      <c r="FW182" s="305"/>
      <c r="FX182" s="305"/>
      <c r="FY182" s="305"/>
      <c r="FZ182" s="305"/>
      <c r="GA182" s="305"/>
      <c r="GB182" s="305"/>
      <c r="GC182" s="305"/>
      <c r="GD182" s="305"/>
      <c r="GE182" s="305"/>
      <c r="GF182" s="305"/>
      <c r="GG182" s="305"/>
      <c r="GH182" s="305"/>
      <c r="GI182" s="305"/>
      <c r="GJ182" s="305"/>
      <c r="GK182" s="305"/>
      <c r="GL182" s="305"/>
      <c r="GM182" s="305"/>
      <c r="GN182" s="305"/>
      <c r="GO182" s="305"/>
      <c r="GP182" s="305"/>
      <c r="GQ182" s="305"/>
      <c r="GR182" s="305"/>
    </row>
    <row r="183" spans="3:200" s="318" customFormat="1" ht="12.75" customHeight="1" x14ac:dyDescent="0.2">
      <c r="C183" s="367"/>
      <c r="D183" s="403"/>
      <c r="E183" s="369"/>
      <c r="F183" s="369"/>
      <c r="G183" s="369"/>
      <c r="H183" s="369"/>
      <c r="I183" s="370"/>
      <c r="J183"/>
      <c r="K183" s="371"/>
      <c r="L183" s="371"/>
      <c r="M183" s="371"/>
      <c r="N183" s="371"/>
      <c r="O183" s="305"/>
      <c r="P183" s="305"/>
      <c r="Q183" s="305"/>
      <c r="R183" s="305"/>
      <c r="S183" s="305"/>
      <c r="T183" s="305"/>
      <c r="U183" s="305"/>
      <c r="V183" s="305"/>
      <c r="W183" s="305"/>
      <c r="X183" s="305"/>
      <c r="Y183" s="305"/>
      <c r="Z183" s="305"/>
      <c r="AA183" s="305"/>
      <c r="AB183" s="305"/>
      <c r="AC183" s="305"/>
      <c r="AD183" s="305"/>
      <c r="AE183" s="305"/>
      <c r="AF183" s="305"/>
      <c r="AG183" s="305"/>
      <c r="AH183" s="305"/>
      <c r="AI183" s="305"/>
      <c r="AJ183" s="305"/>
      <c r="AK183" s="305"/>
      <c r="AL183" s="305"/>
      <c r="AM183" s="305"/>
      <c r="AN183" s="305"/>
      <c r="AO183" s="305"/>
      <c r="AP183" s="305"/>
      <c r="AQ183" s="305"/>
      <c r="AR183" s="305"/>
      <c r="AS183" s="305"/>
      <c r="AT183" s="305"/>
      <c r="AU183" s="305"/>
      <c r="AV183" s="305"/>
      <c r="AW183" s="305"/>
      <c r="AX183" s="305"/>
      <c r="AY183" s="305"/>
      <c r="AZ183" s="305"/>
      <c r="BA183" s="305"/>
      <c r="BB183" s="305"/>
      <c r="BC183" s="305"/>
      <c r="BD183" s="305"/>
      <c r="BE183" s="305"/>
      <c r="BF183" s="305"/>
      <c r="BG183" s="305"/>
      <c r="BH183" s="305"/>
      <c r="BI183" s="305"/>
      <c r="BJ183" s="305"/>
      <c r="BK183" s="305"/>
      <c r="BL183" s="305"/>
      <c r="BM183" s="305"/>
      <c r="BN183" s="305"/>
      <c r="BO183" s="305"/>
      <c r="BP183" s="305"/>
      <c r="BQ183" s="305"/>
      <c r="BR183" s="305"/>
      <c r="BS183" s="305"/>
      <c r="BT183" s="305"/>
      <c r="BU183" s="305"/>
      <c r="BV183" s="305"/>
      <c r="BW183" s="305"/>
      <c r="BX183" s="305"/>
      <c r="BY183" s="305"/>
      <c r="BZ183" s="305"/>
      <c r="CA183" s="305"/>
      <c r="CB183" s="305"/>
      <c r="CC183" s="305"/>
      <c r="CD183" s="305"/>
      <c r="CE183" s="305"/>
      <c r="CF183" s="305"/>
      <c r="CG183" s="305"/>
      <c r="CH183" s="305"/>
      <c r="CI183" s="305"/>
      <c r="CJ183" s="305"/>
      <c r="CK183" s="305"/>
      <c r="CL183" s="305"/>
      <c r="CM183" s="305"/>
      <c r="CN183" s="305"/>
      <c r="CO183" s="305"/>
      <c r="CP183" s="305"/>
      <c r="CQ183" s="305"/>
      <c r="CR183" s="305"/>
      <c r="CS183" s="305"/>
      <c r="CT183" s="305"/>
      <c r="CU183" s="305"/>
      <c r="CV183" s="305"/>
      <c r="CW183" s="305"/>
      <c r="CX183" s="305"/>
      <c r="CY183" s="305"/>
      <c r="CZ183" s="305"/>
      <c r="DA183" s="305"/>
      <c r="DB183" s="305"/>
      <c r="DC183" s="305"/>
      <c r="DD183" s="305"/>
      <c r="DE183" s="305"/>
      <c r="DF183" s="305"/>
      <c r="DG183" s="305"/>
      <c r="DH183" s="305"/>
      <c r="DI183" s="305"/>
      <c r="DJ183" s="305"/>
      <c r="DK183" s="305"/>
      <c r="DL183" s="305"/>
      <c r="DM183" s="305"/>
      <c r="DN183" s="305"/>
      <c r="DO183" s="305"/>
      <c r="DP183" s="305"/>
      <c r="DQ183" s="305"/>
      <c r="DR183" s="305"/>
      <c r="DS183" s="305"/>
      <c r="DT183" s="305"/>
      <c r="DU183" s="305"/>
      <c r="DV183" s="305"/>
      <c r="DW183" s="305"/>
      <c r="DX183" s="305"/>
      <c r="DY183" s="305"/>
      <c r="DZ183" s="305"/>
      <c r="EA183" s="305"/>
      <c r="EB183" s="305"/>
      <c r="EC183" s="305"/>
      <c r="ED183" s="305"/>
      <c r="EE183" s="305"/>
      <c r="EF183" s="305"/>
      <c r="EG183" s="305"/>
      <c r="EH183" s="305"/>
      <c r="EI183" s="305"/>
      <c r="EJ183" s="305"/>
      <c r="EK183" s="305"/>
      <c r="EL183" s="305"/>
      <c r="EM183" s="305"/>
      <c r="EN183" s="305"/>
      <c r="EO183" s="305"/>
      <c r="EP183" s="305"/>
      <c r="EQ183" s="305"/>
      <c r="ER183" s="305"/>
      <c r="ES183" s="305"/>
      <c r="ET183" s="305"/>
      <c r="EU183" s="305"/>
      <c r="EV183" s="305"/>
      <c r="EW183" s="305"/>
      <c r="EX183" s="305"/>
      <c r="EY183" s="305"/>
      <c r="EZ183" s="305"/>
      <c r="FA183" s="305"/>
      <c r="FB183" s="305"/>
      <c r="FC183" s="305"/>
      <c r="FD183" s="305"/>
      <c r="FE183" s="305"/>
      <c r="FF183" s="305"/>
      <c r="FG183" s="305"/>
      <c r="FH183" s="305"/>
      <c r="FI183" s="305"/>
      <c r="FJ183" s="305"/>
      <c r="FK183" s="305"/>
      <c r="FL183" s="305"/>
      <c r="FM183" s="305"/>
      <c r="FN183" s="305"/>
      <c r="FO183" s="305"/>
      <c r="FP183" s="305"/>
      <c r="FQ183" s="305"/>
      <c r="FR183" s="305"/>
      <c r="FS183" s="305"/>
      <c r="FT183" s="305"/>
      <c r="FU183" s="305"/>
      <c r="FV183" s="305"/>
      <c r="FW183" s="305"/>
      <c r="FX183" s="305"/>
      <c r="FY183" s="305"/>
      <c r="FZ183" s="305"/>
      <c r="GA183" s="305"/>
      <c r="GB183" s="305"/>
      <c r="GC183" s="305"/>
      <c r="GD183" s="305"/>
      <c r="GE183" s="305"/>
      <c r="GF183" s="305"/>
      <c r="GG183" s="305"/>
      <c r="GH183" s="305"/>
      <c r="GI183" s="305"/>
      <c r="GJ183" s="305"/>
      <c r="GK183" s="305"/>
      <c r="GL183" s="305"/>
      <c r="GM183" s="305"/>
      <c r="GN183" s="305"/>
      <c r="GO183" s="305"/>
      <c r="GP183" s="305"/>
      <c r="GQ183" s="305"/>
      <c r="GR183" s="305"/>
    </row>
    <row r="184" spans="3:200" s="318" customFormat="1" ht="12.75" customHeight="1" x14ac:dyDescent="0.2">
      <c r="C184" s="367"/>
      <c r="D184" s="403"/>
      <c r="E184" s="369"/>
      <c r="F184" s="369"/>
      <c r="G184" s="369"/>
      <c r="H184" s="369"/>
      <c r="I184" s="370"/>
      <c r="J184"/>
      <c r="K184" s="371"/>
      <c r="L184" s="371"/>
      <c r="M184" s="371"/>
      <c r="N184" s="371"/>
      <c r="O184" s="305"/>
      <c r="P184" s="305"/>
      <c r="Q184" s="305"/>
      <c r="R184" s="305"/>
      <c r="S184" s="305"/>
      <c r="T184" s="305"/>
      <c r="U184" s="305"/>
      <c r="V184" s="305"/>
      <c r="W184" s="305"/>
      <c r="X184" s="305"/>
      <c r="Y184" s="305"/>
      <c r="Z184" s="305"/>
      <c r="AA184" s="305"/>
      <c r="AB184" s="305"/>
      <c r="AC184" s="305"/>
      <c r="AD184" s="305"/>
      <c r="AE184" s="305"/>
      <c r="AF184" s="305"/>
      <c r="AG184" s="305"/>
      <c r="AH184" s="305"/>
      <c r="AI184" s="305"/>
      <c r="AJ184" s="305"/>
      <c r="AK184" s="305"/>
      <c r="AL184" s="305"/>
      <c r="AM184" s="305"/>
      <c r="AN184" s="305"/>
      <c r="AO184" s="305"/>
      <c r="AP184" s="305"/>
      <c r="AQ184" s="305"/>
      <c r="AR184" s="305"/>
      <c r="AS184" s="305"/>
      <c r="AT184" s="305"/>
      <c r="AU184" s="305"/>
      <c r="AV184" s="305"/>
      <c r="AW184" s="305"/>
      <c r="AX184" s="305"/>
      <c r="AY184" s="305"/>
      <c r="AZ184" s="305"/>
      <c r="BA184" s="305"/>
      <c r="BB184" s="305"/>
      <c r="BC184" s="305"/>
      <c r="BD184" s="305"/>
      <c r="BE184" s="305"/>
      <c r="BF184" s="305"/>
      <c r="BG184" s="305"/>
      <c r="BH184" s="305"/>
      <c r="BI184" s="305"/>
      <c r="BJ184" s="305"/>
      <c r="BK184" s="305"/>
      <c r="BL184" s="305"/>
      <c r="BM184" s="305"/>
      <c r="BN184" s="305"/>
      <c r="BO184" s="305"/>
      <c r="BP184" s="305"/>
      <c r="BQ184" s="305"/>
      <c r="BR184" s="305"/>
      <c r="BS184" s="305"/>
      <c r="BT184" s="305"/>
      <c r="BU184" s="305"/>
      <c r="BV184" s="305"/>
      <c r="BW184" s="305"/>
      <c r="BX184" s="305"/>
      <c r="BY184" s="305"/>
      <c r="BZ184" s="305"/>
      <c r="CA184" s="305"/>
      <c r="CB184" s="305"/>
      <c r="CC184" s="305"/>
      <c r="CD184" s="305"/>
      <c r="CE184" s="305"/>
      <c r="CF184" s="305"/>
      <c r="CG184" s="305"/>
      <c r="CH184" s="305"/>
      <c r="CI184" s="305"/>
      <c r="CJ184" s="305"/>
      <c r="CK184" s="305"/>
      <c r="CL184" s="305"/>
      <c r="CM184" s="305"/>
      <c r="CN184" s="305"/>
      <c r="CO184" s="305"/>
      <c r="CP184" s="305"/>
      <c r="CQ184" s="305"/>
      <c r="CR184" s="305"/>
      <c r="CS184" s="305"/>
      <c r="CT184" s="305"/>
      <c r="CU184" s="305"/>
      <c r="CV184" s="305"/>
      <c r="CW184" s="305"/>
      <c r="CX184" s="305"/>
      <c r="CY184" s="305"/>
      <c r="CZ184" s="305"/>
      <c r="DA184" s="305"/>
      <c r="DB184" s="305"/>
      <c r="DC184" s="305"/>
      <c r="DD184" s="305"/>
      <c r="DE184" s="305"/>
      <c r="DF184" s="305"/>
      <c r="DG184" s="305"/>
      <c r="DH184" s="305"/>
      <c r="DI184" s="305"/>
      <c r="DJ184" s="305"/>
      <c r="DK184" s="305"/>
      <c r="DL184" s="305"/>
      <c r="DM184" s="305"/>
      <c r="DN184" s="305"/>
      <c r="DO184" s="305"/>
      <c r="DP184" s="305"/>
      <c r="DQ184" s="305"/>
      <c r="DR184" s="305"/>
      <c r="DS184" s="305"/>
      <c r="DT184" s="305"/>
      <c r="DU184" s="305"/>
      <c r="DV184" s="305"/>
      <c r="DW184" s="305"/>
      <c r="DX184" s="305"/>
      <c r="DY184" s="305"/>
      <c r="DZ184" s="305"/>
      <c r="EA184" s="305"/>
      <c r="EB184" s="305"/>
      <c r="EC184" s="305"/>
      <c r="ED184" s="305"/>
      <c r="EE184" s="305"/>
      <c r="EF184" s="305"/>
      <c r="EG184" s="305"/>
      <c r="EH184" s="305"/>
      <c r="EI184" s="305"/>
      <c r="EJ184" s="305"/>
      <c r="EK184" s="305"/>
      <c r="EL184" s="305"/>
      <c r="EM184" s="305"/>
      <c r="EN184" s="305"/>
      <c r="EO184" s="305"/>
      <c r="EP184" s="305"/>
      <c r="EQ184" s="305"/>
      <c r="ER184" s="305"/>
      <c r="ES184" s="305"/>
      <c r="ET184" s="305"/>
      <c r="EU184" s="305"/>
      <c r="EV184" s="305"/>
      <c r="EW184" s="305"/>
      <c r="EX184" s="305"/>
      <c r="EY184" s="305"/>
      <c r="EZ184" s="305"/>
      <c r="FA184" s="305"/>
      <c r="FB184" s="305"/>
      <c r="FC184" s="305"/>
      <c r="FD184" s="305"/>
      <c r="FE184" s="305"/>
      <c r="FF184" s="305"/>
      <c r="FG184" s="305"/>
      <c r="FH184" s="305"/>
      <c r="FI184" s="305"/>
      <c r="FJ184" s="305"/>
      <c r="FK184" s="305"/>
      <c r="FL184" s="305"/>
      <c r="FM184" s="305"/>
      <c r="FN184" s="305"/>
      <c r="FO184" s="305"/>
      <c r="FP184" s="305"/>
      <c r="FQ184" s="305"/>
      <c r="FR184" s="305"/>
      <c r="FS184" s="305"/>
      <c r="FT184" s="305"/>
      <c r="FU184" s="305"/>
      <c r="FV184" s="305"/>
      <c r="FW184" s="305"/>
      <c r="FX184" s="305"/>
      <c r="FY184" s="305"/>
      <c r="FZ184" s="305"/>
      <c r="GA184" s="305"/>
      <c r="GB184" s="305"/>
      <c r="GC184" s="305"/>
      <c r="GD184" s="305"/>
      <c r="GE184" s="305"/>
      <c r="GF184" s="305"/>
      <c r="GG184" s="305"/>
      <c r="GH184" s="305"/>
      <c r="GI184" s="305"/>
      <c r="GJ184" s="305"/>
      <c r="GK184" s="305"/>
      <c r="GL184" s="305"/>
      <c r="GM184" s="305"/>
      <c r="GN184" s="305"/>
      <c r="GO184" s="305"/>
      <c r="GP184" s="305"/>
      <c r="GQ184" s="305"/>
      <c r="GR184" s="305"/>
    </row>
    <row r="185" spans="3:200" s="318" customFormat="1" ht="12.75" customHeight="1" x14ac:dyDescent="0.2">
      <c r="C185" s="367"/>
      <c r="D185" s="403"/>
      <c r="E185" s="369"/>
      <c r="F185" s="369"/>
      <c r="G185" s="369"/>
      <c r="H185" s="369"/>
      <c r="I185" s="370"/>
      <c r="J185"/>
      <c r="K185" s="371"/>
      <c r="L185" s="371"/>
      <c r="M185" s="371"/>
      <c r="N185" s="371"/>
      <c r="O185" s="305"/>
      <c r="P185" s="305"/>
      <c r="Q185" s="305"/>
      <c r="R185" s="305"/>
      <c r="S185" s="305"/>
      <c r="T185" s="305"/>
      <c r="U185" s="305"/>
      <c r="V185" s="305"/>
      <c r="W185" s="305"/>
      <c r="X185" s="305"/>
      <c r="Y185" s="305"/>
      <c r="Z185" s="305"/>
      <c r="AA185" s="305"/>
      <c r="AB185" s="305"/>
      <c r="AC185" s="305"/>
      <c r="AD185" s="305"/>
      <c r="AE185" s="305"/>
      <c r="AF185" s="305"/>
      <c r="AG185" s="305"/>
      <c r="AH185" s="305"/>
      <c r="AI185" s="305"/>
      <c r="AJ185" s="305"/>
      <c r="AK185" s="305"/>
      <c r="AL185" s="305"/>
      <c r="AM185" s="305"/>
      <c r="AN185" s="305"/>
      <c r="AO185" s="305"/>
      <c r="AP185" s="305"/>
      <c r="AQ185" s="305"/>
      <c r="AR185" s="305"/>
      <c r="AS185" s="305"/>
      <c r="AT185" s="305"/>
      <c r="AU185" s="305"/>
      <c r="AV185" s="305"/>
      <c r="AW185" s="305"/>
      <c r="AX185" s="305"/>
      <c r="AY185" s="305"/>
      <c r="AZ185" s="305"/>
      <c r="BA185" s="305"/>
      <c r="BB185" s="305"/>
      <c r="BC185" s="305"/>
      <c r="BD185" s="305"/>
      <c r="BE185" s="305"/>
      <c r="BF185" s="305"/>
      <c r="BG185" s="305"/>
      <c r="BH185" s="305"/>
      <c r="BI185" s="305"/>
      <c r="BJ185" s="305"/>
      <c r="BK185" s="305"/>
      <c r="BL185" s="305"/>
      <c r="BM185" s="305"/>
      <c r="BN185" s="305"/>
      <c r="BO185" s="305"/>
      <c r="BP185" s="305"/>
      <c r="BQ185" s="305"/>
      <c r="BR185" s="305"/>
      <c r="BS185" s="305"/>
      <c r="BT185" s="305"/>
      <c r="BU185" s="305"/>
      <c r="BV185" s="305"/>
      <c r="BW185" s="305"/>
      <c r="BX185" s="305"/>
      <c r="BY185" s="305"/>
      <c r="BZ185" s="305"/>
      <c r="CA185" s="305"/>
      <c r="CB185" s="305"/>
      <c r="CC185" s="305"/>
      <c r="CD185" s="305"/>
      <c r="CE185" s="305"/>
      <c r="CF185" s="305"/>
      <c r="CG185" s="305"/>
      <c r="CH185" s="305"/>
      <c r="CI185" s="305"/>
      <c r="CJ185" s="305"/>
      <c r="CK185" s="305"/>
      <c r="CL185" s="305"/>
      <c r="CM185" s="305"/>
      <c r="CN185" s="305"/>
      <c r="CO185" s="305"/>
      <c r="CP185" s="305"/>
      <c r="CQ185" s="305"/>
      <c r="CR185" s="305"/>
      <c r="CS185" s="305"/>
      <c r="CT185" s="305"/>
      <c r="CU185" s="305"/>
      <c r="CV185" s="305"/>
      <c r="CW185" s="305"/>
      <c r="CX185" s="305"/>
      <c r="CY185" s="305"/>
      <c r="CZ185" s="305"/>
      <c r="DA185" s="305"/>
      <c r="DB185" s="305"/>
      <c r="DC185" s="305"/>
      <c r="DD185" s="305"/>
      <c r="DE185" s="305"/>
      <c r="DF185" s="305"/>
      <c r="DG185" s="305"/>
      <c r="DH185" s="305"/>
      <c r="DI185" s="305"/>
      <c r="DJ185" s="305"/>
      <c r="DK185" s="305"/>
      <c r="DL185" s="305"/>
      <c r="DM185" s="305"/>
      <c r="DN185" s="305"/>
      <c r="DO185" s="305"/>
      <c r="DP185" s="305"/>
      <c r="DQ185" s="305"/>
      <c r="DR185" s="305"/>
      <c r="DS185" s="305"/>
      <c r="DT185" s="305"/>
      <c r="DU185" s="305"/>
      <c r="DV185" s="305"/>
      <c r="DW185" s="305"/>
      <c r="DX185" s="305"/>
      <c r="DY185" s="305"/>
      <c r="DZ185" s="305"/>
      <c r="EA185" s="305"/>
      <c r="EB185" s="305"/>
      <c r="EC185" s="305"/>
      <c r="ED185" s="305"/>
      <c r="EE185" s="305"/>
      <c r="EF185" s="305"/>
      <c r="EG185" s="305"/>
      <c r="EH185" s="305"/>
      <c r="EI185" s="305"/>
      <c r="EJ185" s="305"/>
      <c r="EK185" s="305"/>
      <c r="EL185" s="305"/>
      <c r="EM185" s="305"/>
      <c r="EN185" s="305"/>
      <c r="EO185" s="305"/>
      <c r="EP185" s="305"/>
      <c r="EQ185" s="305"/>
      <c r="ER185" s="305"/>
      <c r="ES185" s="305"/>
      <c r="ET185" s="305"/>
      <c r="EU185" s="305"/>
      <c r="EV185" s="305"/>
      <c r="EW185" s="305"/>
      <c r="EX185" s="305"/>
      <c r="EY185" s="305"/>
      <c r="EZ185" s="305"/>
      <c r="FA185" s="305"/>
      <c r="FB185" s="305"/>
      <c r="FC185" s="305"/>
      <c r="FD185" s="305"/>
      <c r="FE185" s="305"/>
      <c r="FF185" s="305"/>
      <c r="FG185" s="305"/>
      <c r="FH185" s="305"/>
      <c r="FI185" s="305"/>
      <c r="FJ185" s="305"/>
      <c r="FK185" s="305"/>
      <c r="FL185" s="305"/>
      <c r="FM185" s="305"/>
      <c r="FN185" s="305"/>
      <c r="FO185" s="305"/>
      <c r="FP185" s="305"/>
      <c r="FQ185" s="305"/>
      <c r="FR185" s="305"/>
      <c r="FS185" s="305"/>
      <c r="FT185" s="305"/>
      <c r="FU185" s="305"/>
      <c r="FV185" s="305"/>
      <c r="FW185" s="305"/>
      <c r="FX185" s="305"/>
      <c r="FY185" s="305"/>
      <c r="FZ185" s="305"/>
      <c r="GA185" s="305"/>
      <c r="GB185" s="305"/>
      <c r="GC185" s="305"/>
      <c r="GD185" s="305"/>
      <c r="GE185" s="305"/>
      <c r="GF185" s="305"/>
      <c r="GG185" s="305"/>
      <c r="GH185" s="305"/>
      <c r="GI185" s="305"/>
      <c r="GJ185" s="305"/>
      <c r="GK185" s="305"/>
      <c r="GL185" s="305"/>
      <c r="GM185" s="305"/>
      <c r="GN185" s="305"/>
      <c r="GO185" s="305"/>
      <c r="GP185" s="305"/>
      <c r="GQ185" s="305"/>
      <c r="GR185" s="305"/>
    </row>
    <row r="186" spans="3:200" s="318" customFormat="1" ht="12.75" customHeight="1" x14ac:dyDescent="0.2">
      <c r="C186" s="367"/>
      <c r="D186" s="403"/>
      <c r="E186" s="369"/>
      <c r="F186" s="369"/>
      <c r="G186" s="369"/>
      <c r="H186" s="369"/>
      <c r="I186" s="370"/>
      <c r="J186"/>
      <c r="K186" s="371"/>
      <c r="L186" s="371"/>
      <c r="M186" s="371"/>
      <c r="N186" s="371"/>
      <c r="O186" s="305"/>
      <c r="P186" s="305"/>
      <c r="Q186" s="305"/>
      <c r="R186" s="305"/>
      <c r="S186" s="305"/>
      <c r="T186" s="305"/>
      <c r="U186" s="305"/>
      <c r="V186" s="305"/>
      <c r="W186" s="305"/>
      <c r="X186" s="305"/>
      <c r="Y186" s="305"/>
      <c r="Z186" s="305"/>
      <c r="AA186" s="305"/>
      <c r="AB186" s="305"/>
      <c r="AC186" s="305"/>
      <c r="AD186" s="305"/>
      <c r="AE186" s="305"/>
      <c r="AF186" s="305"/>
      <c r="AG186" s="305"/>
      <c r="AH186" s="305"/>
      <c r="AI186" s="305"/>
      <c r="AJ186" s="305"/>
      <c r="AK186" s="305"/>
      <c r="AL186" s="305"/>
      <c r="AM186" s="305"/>
      <c r="AN186" s="305"/>
      <c r="AO186" s="305"/>
      <c r="AP186" s="305"/>
      <c r="AQ186" s="305"/>
      <c r="AR186" s="305"/>
      <c r="AS186" s="305"/>
      <c r="AT186" s="305"/>
      <c r="AU186" s="305"/>
      <c r="AV186" s="305"/>
      <c r="AW186" s="305"/>
      <c r="AX186" s="305"/>
      <c r="AY186" s="305"/>
      <c r="AZ186" s="305"/>
      <c r="BA186" s="305"/>
      <c r="BB186" s="305"/>
      <c r="BC186" s="305"/>
      <c r="BD186" s="305"/>
      <c r="BE186" s="305"/>
      <c r="BF186" s="305"/>
      <c r="BG186" s="305"/>
      <c r="BH186" s="305"/>
      <c r="BI186" s="305"/>
      <c r="BJ186" s="305"/>
      <c r="BK186" s="305"/>
      <c r="BL186" s="305"/>
      <c r="BM186" s="305"/>
      <c r="BN186" s="305"/>
      <c r="BO186" s="305"/>
      <c r="BP186" s="305"/>
      <c r="BQ186" s="305"/>
      <c r="BR186" s="305"/>
      <c r="BS186" s="305"/>
      <c r="BT186" s="305"/>
      <c r="BU186" s="305"/>
      <c r="BV186" s="305"/>
      <c r="BW186" s="305"/>
      <c r="BX186" s="305"/>
      <c r="BY186" s="305"/>
      <c r="BZ186" s="305"/>
      <c r="CA186" s="305"/>
      <c r="CB186" s="305"/>
      <c r="CC186" s="305"/>
      <c r="CD186" s="305"/>
      <c r="CE186" s="305"/>
      <c r="CF186" s="305"/>
      <c r="CG186" s="305"/>
      <c r="CH186" s="305"/>
      <c r="CI186" s="305"/>
      <c r="CJ186" s="305"/>
      <c r="CK186" s="305"/>
      <c r="CL186" s="305"/>
      <c r="CM186" s="305"/>
      <c r="CN186" s="305"/>
      <c r="CO186" s="305"/>
      <c r="CP186" s="305"/>
      <c r="CQ186" s="305"/>
      <c r="CR186" s="305"/>
      <c r="CS186" s="305"/>
      <c r="CT186" s="305"/>
      <c r="CU186" s="305"/>
      <c r="CV186" s="305"/>
      <c r="CW186" s="305"/>
      <c r="CX186" s="305"/>
      <c r="CY186" s="305"/>
      <c r="CZ186" s="305"/>
      <c r="DA186" s="305"/>
      <c r="DB186" s="305"/>
      <c r="DC186" s="305"/>
      <c r="DD186" s="305"/>
      <c r="DE186" s="305"/>
      <c r="DF186" s="305"/>
      <c r="DG186" s="305"/>
      <c r="DH186" s="305"/>
      <c r="DI186" s="305"/>
      <c r="DJ186" s="305"/>
      <c r="DK186" s="305"/>
      <c r="DL186" s="305"/>
      <c r="DM186" s="305"/>
      <c r="DN186" s="305"/>
      <c r="DO186" s="305"/>
      <c r="DP186" s="305"/>
      <c r="DQ186" s="305"/>
      <c r="DR186" s="305"/>
      <c r="DS186" s="305"/>
      <c r="DT186" s="305"/>
      <c r="DU186" s="305"/>
      <c r="DV186" s="305"/>
      <c r="DW186" s="305"/>
      <c r="DX186" s="305"/>
      <c r="DY186" s="305"/>
      <c r="DZ186" s="305"/>
      <c r="EA186" s="305"/>
      <c r="EB186" s="305"/>
      <c r="EC186" s="305"/>
      <c r="ED186" s="305"/>
      <c r="EE186" s="305"/>
      <c r="EF186" s="305"/>
      <c r="EG186" s="305"/>
      <c r="EH186" s="305"/>
      <c r="EI186" s="305"/>
      <c r="EJ186" s="305"/>
      <c r="EK186" s="305"/>
      <c r="EL186" s="305"/>
      <c r="EM186" s="305"/>
      <c r="EN186" s="305"/>
      <c r="EO186" s="305"/>
      <c r="EP186" s="305"/>
      <c r="EQ186" s="305"/>
      <c r="ER186" s="305"/>
      <c r="ES186" s="305"/>
      <c r="ET186" s="305"/>
      <c r="EU186" s="305"/>
      <c r="EV186" s="305"/>
      <c r="EW186" s="305"/>
      <c r="EX186" s="305"/>
      <c r="EY186" s="305"/>
      <c r="EZ186" s="305"/>
      <c r="FA186" s="305"/>
      <c r="FB186" s="305"/>
      <c r="FC186" s="305"/>
      <c r="FD186" s="305"/>
      <c r="FE186" s="305"/>
      <c r="FF186" s="305"/>
      <c r="FG186" s="305"/>
      <c r="FH186" s="305"/>
      <c r="FI186" s="305"/>
      <c r="FJ186" s="305"/>
      <c r="FK186" s="305"/>
      <c r="FL186" s="305"/>
      <c r="FM186" s="305"/>
      <c r="FN186" s="305"/>
      <c r="FO186" s="305"/>
      <c r="FP186" s="305"/>
      <c r="FQ186" s="305"/>
      <c r="FR186" s="305"/>
      <c r="FS186" s="305"/>
      <c r="FT186" s="305"/>
      <c r="FU186" s="305"/>
      <c r="FV186" s="305"/>
      <c r="FW186" s="305"/>
      <c r="FX186" s="305"/>
      <c r="FY186" s="305"/>
      <c r="FZ186" s="305"/>
      <c r="GA186" s="305"/>
      <c r="GB186" s="305"/>
      <c r="GC186" s="305"/>
      <c r="GD186" s="305"/>
      <c r="GE186" s="305"/>
      <c r="GF186" s="305"/>
      <c r="GG186" s="305"/>
      <c r="GH186" s="305"/>
      <c r="GI186" s="305"/>
      <c r="GJ186" s="305"/>
      <c r="GK186" s="305"/>
      <c r="GL186" s="305"/>
      <c r="GM186" s="305"/>
      <c r="GN186" s="305"/>
      <c r="GO186" s="305"/>
      <c r="GP186" s="305"/>
      <c r="GQ186" s="305"/>
      <c r="GR186" s="305"/>
    </row>
    <row r="187" spans="3:200" s="318" customFormat="1" ht="12.75" customHeight="1" x14ac:dyDescent="0.2">
      <c r="C187" s="367"/>
      <c r="D187" s="403"/>
      <c r="E187" s="369"/>
      <c r="F187" s="369"/>
      <c r="G187" s="369"/>
      <c r="H187" s="369"/>
      <c r="I187" s="370"/>
      <c r="J187"/>
      <c r="K187" s="371"/>
      <c r="L187" s="371"/>
      <c r="M187" s="371"/>
      <c r="N187" s="371"/>
      <c r="O187" s="305"/>
      <c r="P187" s="305"/>
      <c r="Q187" s="305"/>
      <c r="R187" s="305"/>
      <c r="S187" s="305"/>
      <c r="T187" s="305"/>
      <c r="U187" s="305"/>
      <c r="V187" s="305"/>
      <c r="W187" s="305"/>
      <c r="X187" s="305"/>
      <c r="Y187" s="305"/>
      <c r="Z187" s="305"/>
      <c r="AA187" s="305"/>
      <c r="AB187" s="305"/>
      <c r="AC187" s="305"/>
      <c r="AD187" s="305"/>
      <c r="AE187" s="305"/>
      <c r="AF187" s="305"/>
      <c r="AG187" s="305"/>
      <c r="AH187" s="305"/>
      <c r="AI187" s="305"/>
      <c r="AJ187" s="305"/>
      <c r="AK187" s="305"/>
      <c r="AL187" s="305"/>
      <c r="AM187" s="305"/>
      <c r="AN187" s="305"/>
      <c r="AO187" s="305"/>
      <c r="AP187" s="305"/>
      <c r="AQ187" s="305"/>
      <c r="AR187" s="305"/>
      <c r="AS187" s="305"/>
      <c r="AT187" s="305"/>
      <c r="AU187" s="305"/>
      <c r="AV187" s="305"/>
      <c r="AW187" s="305"/>
      <c r="AX187" s="305"/>
      <c r="AY187" s="305"/>
      <c r="AZ187" s="305"/>
      <c r="BA187" s="305"/>
      <c r="BB187" s="305"/>
      <c r="BC187" s="305"/>
      <c r="BD187" s="305"/>
      <c r="BE187" s="305"/>
      <c r="BF187" s="305"/>
      <c r="BG187" s="305"/>
      <c r="BH187" s="305"/>
      <c r="BI187" s="305"/>
      <c r="BJ187" s="305"/>
      <c r="BK187" s="305"/>
      <c r="BL187" s="305"/>
      <c r="BM187" s="305"/>
      <c r="BN187" s="305"/>
      <c r="BO187" s="305"/>
      <c r="BP187" s="305"/>
      <c r="BQ187" s="305"/>
      <c r="BR187" s="305"/>
      <c r="BS187" s="305"/>
      <c r="BT187" s="305"/>
      <c r="BU187" s="305"/>
      <c r="BV187" s="305"/>
      <c r="BW187" s="305"/>
      <c r="BX187" s="305"/>
      <c r="BY187" s="305"/>
      <c r="BZ187" s="305"/>
      <c r="CA187" s="305"/>
      <c r="CB187" s="305"/>
      <c r="CC187" s="305"/>
      <c r="CD187" s="305"/>
      <c r="CE187" s="305"/>
      <c r="CF187" s="305"/>
      <c r="CG187" s="305"/>
      <c r="CH187" s="305"/>
      <c r="CI187" s="305"/>
      <c r="CJ187" s="305"/>
      <c r="CK187" s="305"/>
      <c r="CL187" s="305"/>
      <c r="CM187" s="305"/>
      <c r="CN187" s="305"/>
      <c r="CO187" s="305"/>
      <c r="CP187" s="305"/>
      <c r="CQ187" s="305"/>
      <c r="CR187" s="305"/>
      <c r="CS187" s="305"/>
      <c r="CT187" s="305"/>
      <c r="CU187" s="305"/>
      <c r="CV187" s="305"/>
      <c r="CW187" s="305"/>
      <c r="CX187" s="305"/>
      <c r="CY187" s="305"/>
      <c r="CZ187" s="305"/>
      <c r="DA187" s="305"/>
      <c r="DB187" s="305"/>
      <c r="DC187" s="305"/>
      <c r="DD187" s="305"/>
      <c r="DE187" s="305"/>
      <c r="DF187" s="305"/>
      <c r="DG187" s="305"/>
      <c r="DH187" s="305"/>
      <c r="DI187" s="305"/>
      <c r="DJ187" s="305"/>
      <c r="DK187" s="305"/>
      <c r="DL187" s="305"/>
      <c r="DM187" s="305"/>
      <c r="DN187" s="305"/>
      <c r="DO187" s="305"/>
      <c r="DP187" s="305"/>
      <c r="DQ187" s="305"/>
      <c r="DR187" s="305"/>
      <c r="DS187" s="305"/>
      <c r="DT187" s="305"/>
      <c r="DU187" s="305"/>
      <c r="DV187" s="305"/>
      <c r="DW187" s="305"/>
      <c r="DX187" s="305"/>
      <c r="DY187" s="305"/>
      <c r="DZ187" s="305"/>
      <c r="EA187" s="305"/>
      <c r="EB187" s="305"/>
      <c r="EC187" s="305"/>
      <c r="ED187" s="305"/>
      <c r="EE187" s="305"/>
      <c r="EF187" s="305"/>
      <c r="EG187" s="305"/>
      <c r="EH187" s="305"/>
      <c r="EI187" s="305"/>
      <c r="EJ187" s="305"/>
      <c r="EK187" s="305"/>
      <c r="EL187" s="305"/>
      <c r="EM187" s="305"/>
      <c r="EN187" s="305"/>
      <c r="EO187" s="305"/>
      <c r="EP187" s="305"/>
      <c r="EQ187" s="305"/>
      <c r="ER187" s="305"/>
      <c r="ES187" s="305"/>
      <c r="ET187" s="305"/>
      <c r="EU187" s="305"/>
      <c r="EV187" s="305"/>
      <c r="EW187" s="305"/>
      <c r="EX187" s="305"/>
      <c r="EY187" s="305"/>
      <c r="EZ187" s="305"/>
      <c r="FA187" s="305"/>
      <c r="FB187" s="305"/>
      <c r="FC187" s="305"/>
      <c r="FD187" s="305"/>
      <c r="FE187" s="305"/>
      <c r="FF187" s="305"/>
      <c r="FG187" s="305"/>
      <c r="FH187" s="305"/>
      <c r="FI187" s="305"/>
      <c r="FJ187" s="305"/>
      <c r="FK187" s="305"/>
      <c r="FL187" s="305"/>
      <c r="FM187" s="305"/>
      <c r="FN187" s="305"/>
      <c r="FO187" s="305"/>
      <c r="FP187" s="305"/>
      <c r="FQ187" s="305"/>
      <c r="FR187" s="305"/>
      <c r="FS187" s="305"/>
      <c r="FT187" s="305"/>
      <c r="FU187" s="305"/>
      <c r="FV187" s="305"/>
      <c r="FW187" s="305"/>
      <c r="FX187" s="305"/>
      <c r="FY187" s="305"/>
      <c r="FZ187" s="305"/>
      <c r="GA187" s="305"/>
      <c r="GB187" s="305"/>
      <c r="GC187" s="305"/>
      <c r="GD187" s="305"/>
      <c r="GE187" s="305"/>
      <c r="GF187" s="305"/>
      <c r="GG187" s="305"/>
      <c r="GH187" s="305"/>
      <c r="GI187" s="305"/>
      <c r="GJ187" s="305"/>
      <c r="GK187" s="305"/>
      <c r="GL187" s="305"/>
      <c r="GM187" s="305"/>
      <c r="GN187" s="305"/>
      <c r="GO187" s="305"/>
      <c r="GP187" s="305"/>
      <c r="GQ187" s="305"/>
      <c r="GR187" s="305"/>
    </row>
    <row r="188" spans="3:200" s="318" customFormat="1" ht="12.75" customHeight="1" x14ac:dyDescent="0.2">
      <c r="C188" s="367"/>
      <c r="D188" s="403"/>
      <c r="E188" s="369"/>
      <c r="F188" s="369"/>
      <c r="G188" s="369"/>
      <c r="H188" s="369"/>
      <c r="I188" s="370"/>
      <c r="J188"/>
      <c r="K188" s="371"/>
      <c r="L188" s="371"/>
      <c r="M188" s="371"/>
      <c r="N188" s="371"/>
      <c r="O188" s="305"/>
      <c r="P188" s="305"/>
      <c r="Q188" s="305"/>
      <c r="R188" s="305"/>
      <c r="S188" s="305"/>
      <c r="T188" s="305"/>
      <c r="U188" s="305"/>
      <c r="V188" s="305"/>
      <c r="W188" s="305"/>
      <c r="X188" s="305"/>
      <c r="Y188" s="305"/>
      <c r="Z188" s="305"/>
      <c r="AA188" s="305"/>
      <c r="AB188" s="305"/>
      <c r="AC188" s="305"/>
      <c r="AD188" s="305"/>
      <c r="AE188" s="305"/>
      <c r="AF188" s="305"/>
      <c r="AG188" s="305"/>
      <c r="AH188" s="305"/>
      <c r="AI188" s="305"/>
      <c r="AJ188" s="305"/>
      <c r="AK188" s="305"/>
      <c r="AL188" s="305"/>
      <c r="AM188" s="305"/>
      <c r="AN188" s="305"/>
      <c r="AO188" s="305"/>
      <c r="AP188" s="305"/>
      <c r="AQ188" s="305"/>
      <c r="AR188" s="305"/>
      <c r="AS188" s="305"/>
      <c r="AT188" s="305"/>
      <c r="AU188" s="305"/>
      <c r="AV188" s="305"/>
      <c r="AW188" s="305"/>
      <c r="AX188" s="305"/>
      <c r="AY188" s="305"/>
      <c r="AZ188" s="305"/>
      <c r="BA188" s="305"/>
      <c r="BB188" s="305"/>
      <c r="BC188" s="305"/>
      <c r="BD188" s="305"/>
      <c r="BE188" s="305"/>
      <c r="BF188" s="305"/>
      <c r="BG188" s="305"/>
      <c r="BH188" s="305"/>
      <c r="BI188" s="305"/>
      <c r="BJ188" s="305"/>
      <c r="BK188" s="305"/>
      <c r="BL188" s="305"/>
      <c r="BM188" s="305"/>
      <c r="BN188" s="305"/>
      <c r="BO188" s="305"/>
      <c r="BP188" s="305"/>
      <c r="BQ188" s="305"/>
      <c r="BR188" s="305"/>
      <c r="BS188" s="305"/>
      <c r="BT188" s="305"/>
      <c r="BU188" s="305"/>
      <c r="BV188" s="305"/>
      <c r="BW188" s="305"/>
      <c r="BX188" s="305"/>
      <c r="BY188" s="305"/>
      <c r="BZ188" s="305"/>
      <c r="CA188" s="305"/>
      <c r="CB188" s="305"/>
      <c r="CC188" s="305"/>
      <c r="CD188" s="305"/>
      <c r="CE188" s="305"/>
      <c r="CF188" s="305"/>
      <c r="CG188" s="305"/>
      <c r="CH188" s="305"/>
      <c r="CI188" s="305"/>
      <c r="CJ188" s="305"/>
      <c r="CK188" s="305"/>
      <c r="CL188" s="305"/>
      <c r="CM188" s="305"/>
      <c r="CN188" s="305"/>
      <c r="CO188" s="305"/>
      <c r="CP188" s="305"/>
      <c r="CQ188" s="305"/>
      <c r="CR188" s="305"/>
      <c r="CS188" s="305"/>
      <c r="CT188" s="305"/>
      <c r="CU188" s="305"/>
      <c r="CV188" s="305"/>
      <c r="CW188" s="305"/>
      <c r="CX188" s="305"/>
      <c r="CY188" s="305"/>
      <c r="CZ188" s="305"/>
      <c r="DA188" s="305"/>
      <c r="DB188" s="305"/>
      <c r="DC188" s="305"/>
      <c r="DD188" s="305"/>
      <c r="DE188" s="305"/>
      <c r="DF188" s="305"/>
      <c r="DG188" s="305"/>
      <c r="DH188" s="305"/>
      <c r="DI188" s="305"/>
      <c r="DJ188" s="305"/>
      <c r="DK188" s="305"/>
      <c r="DL188" s="305"/>
      <c r="DM188" s="305"/>
      <c r="DN188" s="305"/>
      <c r="DO188" s="305"/>
      <c r="DP188" s="305"/>
      <c r="DQ188" s="305"/>
      <c r="DR188" s="305"/>
      <c r="DS188" s="305"/>
      <c r="DT188" s="305"/>
      <c r="DU188" s="305"/>
      <c r="DV188" s="305"/>
      <c r="DW188" s="305"/>
      <c r="DX188" s="305"/>
      <c r="DY188" s="305"/>
      <c r="DZ188" s="305"/>
      <c r="EA188" s="305"/>
      <c r="EB188" s="305"/>
      <c r="EC188" s="305"/>
      <c r="ED188" s="305"/>
      <c r="EE188" s="305"/>
      <c r="EF188" s="305"/>
      <c r="EG188" s="305"/>
      <c r="EH188" s="305"/>
      <c r="EI188" s="305"/>
      <c r="EJ188" s="305"/>
      <c r="EK188" s="305"/>
      <c r="EL188" s="305"/>
      <c r="EM188" s="305"/>
      <c r="EN188" s="305"/>
      <c r="EO188" s="305"/>
      <c r="EP188" s="305"/>
      <c r="EQ188" s="305"/>
      <c r="ER188" s="305"/>
      <c r="ES188" s="305"/>
      <c r="ET188" s="305"/>
      <c r="EU188" s="305"/>
      <c r="EV188" s="305"/>
      <c r="EW188" s="305"/>
      <c r="EX188" s="305"/>
      <c r="EY188" s="305"/>
      <c r="EZ188" s="305"/>
      <c r="FA188" s="305"/>
      <c r="FB188" s="305"/>
      <c r="FC188" s="305"/>
      <c r="FD188" s="305"/>
      <c r="FE188" s="305"/>
      <c r="FF188" s="305"/>
      <c r="FG188" s="305"/>
      <c r="FH188" s="305"/>
      <c r="FI188" s="305"/>
      <c r="FJ188" s="305"/>
      <c r="FK188" s="305"/>
      <c r="FL188" s="305"/>
      <c r="FM188" s="305"/>
      <c r="FN188" s="305"/>
      <c r="FO188" s="305"/>
      <c r="FP188" s="305"/>
      <c r="FQ188" s="305"/>
      <c r="FR188" s="305"/>
      <c r="FS188" s="305"/>
      <c r="FT188" s="305"/>
      <c r="FU188" s="305"/>
      <c r="FV188" s="305"/>
      <c r="FW188" s="305"/>
      <c r="FX188" s="305"/>
      <c r="FY188" s="305"/>
      <c r="FZ188" s="305"/>
      <c r="GA188" s="305"/>
      <c r="GB188" s="305"/>
      <c r="GC188" s="305"/>
      <c r="GD188" s="305"/>
      <c r="GE188" s="305"/>
      <c r="GF188" s="305"/>
      <c r="GG188" s="305"/>
      <c r="GH188" s="305"/>
      <c r="GI188" s="305"/>
      <c r="GJ188" s="305"/>
      <c r="GK188" s="305"/>
      <c r="GL188" s="305"/>
      <c r="GM188" s="305"/>
      <c r="GN188" s="305"/>
      <c r="GO188" s="305"/>
      <c r="GP188" s="305"/>
      <c r="GQ188" s="305"/>
      <c r="GR188" s="305"/>
    </row>
    <row r="189" spans="3:200" s="318" customFormat="1" ht="12.75" customHeight="1" x14ac:dyDescent="0.2">
      <c r="C189" s="367"/>
      <c r="D189" s="403"/>
      <c r="E189" s="369"/>
      <c r="F189" s="369"/>
      <c r="G189" s="369"/>
      <c r="H189" s="369"/>
      <c r="I189" s="370"/>
      <c r="J189"/>
      <c r="K189" s="371"/>
      <c r="L189" s="371"/>
      <c r="M189" s="371"/>
      <c r="N189" s="371"/>
      <c r="O189" s="305"/>
      <c r="P189" s="305"/>
      <c r="Q189" s="305"/>
      <c r="R189" s="305"/>
      <c r="S189" s="305"/>
      <c r="T189" s="305"/>
      <c r="U189" s="305"/>
      <c r="V189" s="305"/>
      <c r="W189" s="305"/>
      <c r="X189" s="305"/>
      <c r="Y189" s="305"/>
      <c r="Z189" s="305"/>
      <c r="AA189" s="305"/>
      <c r="AB189" s="305"/>
      <c r="AC189" s="305"/>
      <c r="AD189" s="305"/>
      <c r="AE189" s="305"/>
      <c r="AF189" s="305"/>
      <c r="AG189" s="305"/>
      <c r="AH189" s="305"/>
      <c r="AI189" s="305"/>
      <c r="AJ189" s="305"/>
      <c r="AK189" s="305"/>
      <c r="AL189" s="305"/>
      <c r="AM189" s="305"/>
      <c r="AN189" s="305"/>
      <c r="AO189" s="305"/>
      <c r="AP189" s="305"/>
      <c r="AQ189" s="305"/>
      <c r="AR189" s="305"/>
      <c r="AS189" s="305"/>
      <c r="AT189" s="305"/>
      <c r="AU189" s="305"/>
      <c r="AV189" s="305"/>
      <c r="AW189" s="305"/>
      <c r="AX189" s="305"/>
      <c r="AY189" s="305"/>
      <c r="AZ189" s="305"/>
      <c r="BA189" s="305"/>
      <c r="BB189" s="305"/>
      <c r="BC189" s="305"/>
      <c r="BD189" s="305"/>
      <c r="BE189" s="305"/>
      <c r="BF189" s="305"/>
      <c r="BG189" s="305"/>
      <c r="BH189" s="305"/>
      <c r="BI189" s="305"/>
      <c r="BJ189" s="305"/>
      <c r="BK189" s="305"/>
      <c r="BL189" s="305"/>
      <c r="BM189" s="305"/>
      <c r="BN189" s="305"/>
      <c r="BO189" s="305"/>
      <c r="BP189" s="305"/>
      <c r="BQ189" s="305"/>
      <c r="BR189" s="305"/>
      <c r="BS189" s="305"/>
      <c r="BT189" s="305"/>
      <c r="BU189" s="305"/>
      <c r="BV189" s="305"/>
      <c r="BW189" s="305"/>
      <c r="BX189" s="305"/>
      <c r="BY189" s="305"/>
      <c r="BZ189" s="305"/>
      <c r="CA189" s="305"/>
      <c r="CB189" s="305"/>
      <c r="CC189" s="305"/>
      <c r="CD189" s="305"/>
      <c r="CE189" s="305"/>
      <c r="CF189" s="305"/>
      <c r="CG189" s="305"/>
      <c r="CH189" s="305"/>
      <c r="CI189" s="305"/>
      <c r="CJ189" s="305"/>
      <c r="CK189" s="305"/>
      <c r="CL189" s="305"/>
      <c r="CM189" s="305"/>
      <c r="CN189" s="305"/>
      <c r="CO189" s="305"/>
      <c r="CP189" s="305"/>
      <c r="CQ189" s="305"/>
      <c r="CR189" s="305"/>
      <c r="CS189" s="305"/>
      <c r="CT189" s="305"/>
      <c r="CU189" s="305"/>
      <c r="CV189" s="305"/>
      <c r="CW189" s="305"/>
      <c r="CX189" s="305"/>
      <c r="CY189" s="305"/>
      <c r="CZ189" s="305"/>
      <c r="DA189" s="305"/>
      <c r="DB189" s="305"/>
      <c r="DC189" s="305"/>
      <c r="DD189" s="305"/>
      <c r="DE189" s="305"/>
      <c r="DF189" s="305"/>
      <c r="DG189" s="305"/>
      <c r="DH189" s="305"/>
      <c r="DI189" s="305"/>
      <c r="DJ189" s="305"/>
      <c r="DK189" s="305"/>
      <c r="DL189" s="305"/>
      <c r="DM189" s="305"/>
      <c r="DN189" s="305"/>
      <c r="DO189" s="305"/>
      <c r="DP189" s="305"/>
      <c r="DQ189" s="305"/>
      <c r="DR189" s="305"/>
      <c r="DS189" s="305"/>
      <c r="DT189" s="305"/>
      <c r="DU189" s="305"/>
      <c r="DV189" s="305"/>
      <c r="DW189" s="305"/>
      <c r="DX189" s="305"/>
      <c r="DY189" s="305"/>
      <c r="DZ189" s="305"/>
      <c r="EA189" s="305"/>
      <c r="EB189" s="305"/>
      <c r="EC189" s="305"/>
      <c r="ED189" s="305"/>
      <c r="EE189" s="305"/>
      <c r="EF189" s="305"/>
      <c r="EG189" s="305"/>
      <c r="EH189" s="305"/>
      <c r="EI189" s="305"/>
      <c r="EJ189" s="305"/>
      <c r="EK189" s="305"/>
      <c r="EL189" s="305"/>
      <c r="EM189" s="305"/>
      <c r="EN189" s="305"/>
      <c r="EO189" s="305"/>
      <c r="EP189" s="305"/>
      <c r="EQ189" s="305"/>
      <c r="ER189" s="305"/>
      <c r="ES189" s="305"/>
      <c r="ET189" s="305"/>
      <c r="EU189" s="305"/>
      <c r="EV189" s="305"/>
      <c r="EW189" s="305"/>
      <c r="EX189" s="305"/>
      <c r="EY189" s="305"/>
      <c r="EZ189" s="305"/>
      <c r="FA189" s="305"/>
      <c r="FB189" s="305"/>
      <c r="FC189" s="305"/>
      <c r="FD189" s="305"/>
      <c r="FE189" s="305"/>
      <c r="FF189" s="305"/>
      <c r="FG189" s="305"/>
      <c r="FH189" s="305"/>
      <c r="FI189" s="305"/>
      <c r="FJ189" s="305"/>
      <c r="FK189" s="305"/>
      <c r="FL189" s="305"/>
      <c r="FM189" s="305"/>
      <c r="FN189" s="305"/>
      <c r="FO189" s="305"/>
      <c r="FP189" s="305"/>
      <c r="FQ189" s="305"/>
      <c r="FR189" s="305"/>
      <c r="FS189" s="305"/>
      <c r="FT189" s="305"/>
      <c r="FU189" s="305"/>
      <c r="FV189" s="305"/>
      <c r="FW189" s="305"/>
      <c r="FX189" s="305"/>
      <c r="FY189" s="305"/>
      <c r="FZ189" s="305"/>
      <c r="GA189" s="305"/>
      <c r="GB189" s="305"/>
      <c r="GC189" s="305"/>
      <c r="GD189" s="305"/>
      <c r="GE189" s="305"/>
      <c r="GF189" s="305"/>
      <c r="GG189" s="305"/>
      <c r="GH189" s="305"/>
      <c r="GI189" s="305"/>
      <c r="GJ189" s="305"/>
      <c r="GK189" s="305"/>
      <c r="GL189" s="305"/>
      <c r="GM189" s="305"/>
      <c r="GN189" s="305"/>
      <c r="GO189" s="305"/>
      <c r="GP189" s="305"/>
      <c r="GQ189" s="305"/>
      <c r="GR189" s="305"/>
    </row>
    <row r="190" spans="3:200" s="318" customFormat="1" ht="12.75" customHeight="1" x14ac:dyDescent="0.2">
      <c r="C190" s="367"/>
      <c r="D190" s="403"/>
      <c r="E190" s="369"/>
      <c r="F190" s="369"/>
      <c r="G190" s="369"/>
      <c r="H190" s="369"/>
      <c r="I190" s="370"/>
      <c r="J190"/>
      <c r="K190" s="371"/>
      <c r="L190" s="371"/>
      <c r="M190" s="371"/>
      <c r="N190" s="371"/>
      <c r="O190" s="305"/>
      <c r="P190" s="305"/>
      <c r="Q190" s="305"/>
      <c r="R190" s="305"/>
      <c r="S190" s="305"/>
      <c r="T190" s="305"/>
      <c r="U190" s="305"/>
      <c r="V190" s="305"/>
      <c r="W190" s="305"/>
      <c r="X190" s="305"/>
      <c r="Y190" s="305"/>
      <c r="Z190" s="305"/>
      <c r="AA190" s="305"/>
      <c r="AB190" s="305"/>
      <c r="AC190" s="305"/>
      <c r="AD190" s="305"/>
      <c r="AE190" s="305"/>
      <c r="AF190" s="305"/>
      <c r="AG190" s="305"/>
      <c r="AH190" s="305"/>
      <c r="AI190" s="305"/>
      <c r="AJ190" s="305"/>
      <c r="AK190" s="305"/>
      <c r="AL190" s="305"/>
      <c r="AM190" s="305"/>
      <c r="AN190" s="305"/>
      <c r="AO190" s="305"/>
      <c r="AP190" s="305"/>
      <c r="AQ190" s="305"/>
      <c r="AR190" s="305"/>
      <c r="AS190" s="305"/>
      <c r="AT190" s="305"/>
      <c r="AU190" s="305"/>
      <c r="AV190" s="305"/>
      <c r="AW190" s="305"/>
      <c r="AX190" s="305"/>
      <c r="AY190" s="305"/>
      <c r="AZ190" s="305"/>
      <c r="BA190" s="305"/>
      <c r="BB190" s="305"/>
      <c r="BC190" s="305"/>
      <c r="BD190" s="305"/>
      <c r="BE190" s="305"/>
      <c r="BF190" s="305"/>
      <c r="BG190" s="305"/>
      <c r="BH190" s="305"/>
      <c r="BI190" s="305"/>
      <c r="BJ190" s="305"/>
      <c r="BK190" s="305"/>
      <c r="BL190" s="305"/>
      <c r="BM190" s="305"/>
      <c r="BN190" s="305"/>
      <c r="BO190" s="305"/>
      <c r="BP190" s="305"/>
      <c r="BQ190" s="305"/>
      <c r="BR190" s="305"/>
      <c r="BS190" s="305"/>
      <c r="BT190" s="305"/>
      <c r="BU190" s="305"/>
      <c r="BV190" s="305"/>
      <c r="BW190" s="305"/>
      <c r="BX190" s="305"/>
      <c r="BY190" s="305"/>
      <c r="BZ190" s="305"/>
      <c r="CA190" s="305"/>
      <c r="CB190" s="305"/>
      <c r="CC190" s="305"/>
      <c r="CD190" s="305"/>
      <c r="CE190" s="305"/>
      <c r="CF190" s="305"/>
      <c r="CG190" s="305"/>
      <c r="CH190" s="305"/>
      <c r="CI190" s="305"/>
      <c r="CJ190" s="305"/>
      <c r="CK190" s="305"/>
      <c r="CL190" s="305"/>
      <c r="CM190" s="305"/>
      <c r="CN190" s="305"/>
      <c r="CO190" s="305"/>
      <c r="CP190" s="305"/>
      <c r="CQ190" s="305"/>
      <c r="CR190" s="305"/>
      <c r="CS190" s="305"/>
      <c r="CT190" s="305"/>
      <c r="CU190" s="305"/>
      <c r="CV190" s="305"/>
      <c r="CW190" s="305"/>
      <c r="CX190" s="305"/>
      <c r="CY190" s="305"/>
      <c r="CZ190" s="305"/>
      <c r="DA190" s="305"/>
      <c r="DB190" s="305"/>
      <c r="DC190" s="305"/>
      <c r="DD190" s="305"/>
      <c r="DE190" s="305"/>
      <c r="DF190" s="305"/>
      <c r="DG190" s="305"/>
      <c r="DH190" s="305"/>
      <c r="DI190" s="305"/>
      <c r="DJ190" s="305"/>
      <c r="DK190" s="305"/>
      <c r="DL190" s="305"/>
      <c r="DM190" s="305"/>
      <c r="DN190" s="305"/>
      <c r="DO190" s="305"/>
      <c r="DP190" s="305"/>
      <c r="DQ190" s="305"/>
      <c r="DR190" s="305"/>
      <c r="DS190" s="305"/>
      <c r="DT190" s="305"/>
      <c r="DU190" s="305"/>
      <c r="DV190" s="305"/>
      <c r="DW190" s="305"/>
      <c r="DX190" s="305"/>
      <c r="DY190" s="305"/>
      <c r="DZ190" s="305"/>
      <c r="EA190" s="305"/>
      <c r="EB190" s="305"/>
      <c r="EC190" s="305"/>
      <c r="ED190" s="305"/>
      <c r="EE190" s="305"/>
      <c r="EF190" s="305"/>
      <c r="EG190" s="305"/>
      <c r="EH190" s="305"/>
      <c r="EI190" s="305"/>
      <c r="EJ190" s="305"/>
      <c r="EK190" s="305"/>
      <c r="EL190" s="305"/>
      <c r="EM190" s="305"/>
      <c r="EN190" s="305"/>
      <c r="EO190" s="305"/>
      <c r="EP190" s="305"/>
      <c r="EQ190" s="305"/>
      <c r="ER190" s="305"/>
      <c r="ES190" s="305"/>
      <c r="ET190" s="305"/>
      <c r="EU190" s="305"/>
      <c r="EV190" s="305"/>
      <c r="EW190" s="305"/>
      <c r="EX190" s="305"/>
      <c r="EY190" s="305"/>
      <c r="EZ190" s="305"/>
      <c r="FA190" s="305"/>
      <c r="FB190" s="305"/>
      <c r="FC190" s="305"/>
      <c r="FD190" s="305"/>
      <c r="FE190" s="305"/>
      <c r="FF190" s="305"/>
      <c r="FG190" s="305"/>
      <c r="FH190" s="305"/>
      <c r="FI190" s="305"/>
      <c r="FJ190" s="305"/>
      <c r="FK190" s="305"/>
      <c r="FL190" s="305"/>
      <c r="FM190" s="305"/>
      <c r="FN190" s="305"/>
      <c r="FO190" s="305"/>
      <c r="FP190" s="305"/>
      <c r="FQ190" s="305"/>
      <c r="FR190" s="305"/>
      <c r="FS190" s="305"/>
      <c r="FT190" s="305"/>
      <c r="FU190" s="305"/>
      <c r="FV190" s="305"/>
      <c r="FW190" s="305"/>
      <c r="FX190" s="305"/>
      <c r="FY190" s="305"/>
      <c r="FZ190" s="305"/>
      <c r="GA190" s="305"/>
      <c r="GB190" s="305"/>
      <c r="GC190" s="305"/>
      <c r="GD190" s="305"/>
      <c r="GE190" s="305"/>
      <c r="GF190" s="305"/>
      <c r="GG190" s="305"/>
      <c r="GH190" s="305"/>
      <c r="GI190" s="305"/>
      <c r="GJ190" s="305"/>
      <c r="GK190" s="305"/>
      <c r="GL190" s="305"/>
      <c r="GM190" s="305"/>
      <c r="GN190" s="305"/>
      <c r="GO190" s="305"/>
      <c r="GP190" s="305"/>
      <c r="GQ190" s="305"/>
      <c r="GR190" s="305"/>
    </row>
    <row r="191" spans="3:200" s="318" customFormat="1" ht="12.75" customHeight="1" x14ac:dyDescent="0.2">
      <c r="C191" s="367"/>
      <c r="D191" s="403"/>
      <c r="E191" s="369"/>
      <c r="F191" s="369"/>
      <c r="G191" s="369"/>
      <c r="H191" s="369"/>
      <c r="I191" s="370"/>
      <c r="J191"/>
      <c r="K191" s="371"/>
      <c r="L191" s="371"/>
      <c r="M191" s="371"/>
      <c r="N191" s="371"/>
      <c r="O191" s="305"/>
      <c r="P191" s="305"/>
      <c r="Q191" s="305"/>
      <c r="R191" s="305"/>
      <c r="S191" s="305"/>
      <c r="T191" s="305"/>
      <c r="U191" s="305"/>
      <c r="V191" s="305"/>
      <c r="W191" s="305"/>
      <c r="X191" s="305"/>
      <c r="Y191" s="305"/>
      <c r="Z191" s="305"/>
      <c r="AA191" s="305"/>
      <c r="AB191" s="305"/>
      <c r="AC191" s="305"/>
      <c r="AD191" s="305"/>
      <c r="AE191" s="305"/>
      <c r="AF191" s="305"/>
      <c r="AG191" s="305"/>
      <c r="AH191" s="305"/>
      <c r="AI191" s="305"/>
      <c r="AJ191" s="305"/>
      <c r="AK191" s="305"/>
      <c r="AL191" s="305"/>
      <c r="AM191" s="305"/>
      <c r="AN191" s="305"/>
      <c r="AO191" s="305"/>
      <c r="AP191" s="305"/>
      <c r="AQ191" s="305"/>
      <c r="AR191" s="305"/>
      <c r="AS191" s="305"/>
      <c r="AT191" s="305"/>
      <c r="AU191" s="305"/>
      <c r="AV191" s="305"/>
      <c r="AW191" s="305"/>
      <c r="AX191" s="305"/>
      <c r="AY191" s="305"/>
      <c r="AZ191" s="305"/>
      <c r="BA191" s="305"/>
      <c r="BB191" s="305"/>
      <c r="BC191" s="305"/>
      <c r="BD191" s="305"/>
      <c r="BE191" s="305"/>
      <c r="BF191" s="305"/>
      <c r="BG191" s="305"/>
      <c r="BH191" s="305"/>
      <c r="BI191" s="305"/>
      <c r="BJ191" s="305"/>
      <c r="BK191" s="305"/>
      <c r="BL191" s="305"/>
      <c r="BM191" s="305"/>
      <c r="BN191" s="305"/>
      <c r="BO191" s="305"/>
      <c r="BP191" s="305"/>
      <c r="BQ191" s="305"/>
      <c r="BR191" s="305"/>
      <c r="BS191" s="305"/>
      <c r="BT191" s="305"/>
      <c r="BU191" s="305"/>
      <c r="BV191" s="305"/>
      <c r="BW191" s="305"/>
      <c r="BX191" s="305"/>
      <c r="BY191" s="305"/>
      <c r="BZ191" s="305"/>
      <c r="CA191" s="305"/>
      <c r="CB191" s="305"/>
      <c r="CC191" s="305"/>
      <c r="CD191" s="305"/>
      <c r="CE191" s="305"/>
      <c r="CF191" s="305"/>
      <c r="CG191" s="305"/>
      <c r="CH191" s="305"/>
      <c r="CI191" s="305"/>
      <c r="CJ191" s="305"/>
      <c r="CK191" s="305"/>
      <c r="CL191" s="305"/>
      <c r="CM191" s="305"/>
      <c r="CN191" s="305"/>
      <c r="CO191" s="305"/>
      <c r="CP191" s="305"/>
      <c r="CQ191" s="305"/>
      <c r="CR191" s="305"/>
      <c r="CS191" s="305"/>
      <c r="CT191" s="305"/>
      <c r="CU191" s="305"/>
      <c r="CV191" s="305"/>
      <c r="CW191" s="305"/>
      <c r="CX191" s="305"/>
      <c r="CY191" s="305"/>
      <c r="CZ191" s="305"/>
      <c r="DA191" s="305"/>
      <c r="DB191" s="305"/>
      <c r="DC191" s="305"/>
      <c r="DD191" s="305"/>
      <c r="DE191" s="305"/>
      <c r="DF191" s="305"/>
      <c r="DG191" s="305"/>
      <c r="DH191" s="305"/>
      <c r="DI191" s="305"/>
      <c r="DJ191" s="305"/>
      <c r="DK191" s="305"/>
      <c r="DL191" s="305"/>
      <c r="DM191" s="305"/>
      <c r="DN191" s="305"/>
      <c r="DO191" s="305"/>
      <c r="DP191" s="305"/>
      <c r="DQ191" s="305"/>
      <c r="DR191" s="305"/>
      <c r="DS191" s="305"/>
      <c r="DT191" s="305"/>
      <c r="DU191" s="305"/>
      <c r="DV191" s="305"/>
      <c r="DW191" s="305"/>
      <c r="DX191" s="305"/>
      <c r="DY191" s="305"/>
      <c r="DZ191" s="305"/>
      <c r="EA191" s="305"/>
      <c r="EB191" s="305"/>
      <c r="EC191" s="305"/>
      <c r="ED191" s="305"/>
      <c r="EE191" s="305"/>
      <c r="EF191" s="305"/>
      <c r="EG191" s="305"/>
      <c r="EH191" s="305"/>
      <c r="EI191" s="305"/>
      <c r="EJ191" s="305"/>
      <c r="EK191" s="305"/>
      <c r="EL191" s="305"/>
      <c r="EM191" s="305"/>
      <c r="EN191" s="305"/>
      <c r="EO191" s="305"/>
      <c r="EP191" s="305"/>
      <c r="EQ191" s="305"/>
      <c r="ER191" s="305"/>
      <c r="ES191" s="305"/>
      <c r="ET191" s="305"/>
      <c r="EU191" s="305"/>
      <c r="EV191" s="305"/>
      <c r="EW191" s="305"/>
      <c r="EX191" s="305"/>
      <c r="EY191" s="305"/>
      <c r="EZ191" s="305"/>
      <c r="FA191" s="305"/>
      <c r="FB191" s="305"/>
      <c r="FC191" s="305"/>
      <c r="FD191" s="305"/>
      <c r="FE191" s="305"/>
      <c r="FF191" s="305"/>
      <c r="FG191" s="305"/>
      <c r="FH191" s="305"/>
      <c r="FI191" s="305"/>
      <c r="FJ191" s="305"/>
      <c r="FK191" s="305"/>
      <c r="FL191" s="305"/>
      <c r="FM191" s="305"/>
      <c r="FN191" s="305"/>
      <c r="FO191" s="305"/>
      <c r="FP191" s="305"/>
      <c r="FQ191" s="305"/>
      <c r="FR191" s="305"/>
      <c r="FS191" s="305"/>
      <c r="FT191" s="305"/>
      <c r="FU191" s="305"/>
      <c r="FV191" s="305"/>
      <c r="FW191" s="305"/>
      <c r="FX191" s="305"/>
      <c r="FY191" s="305"/>
      <c r="FZ191" s="305"/>
      <c r="GA191" s="305"/>
      <c r="GB191" s="305"/>
      <c r="GC191" s="305"/>
      <c r="GD191" s="305"/>
      <c r="GE191" s="305"/>
      <c r="GF191" s="305"/>
      <c r="GG191" s="305"/>
      <c r="GH191" s="305"/>
      <c r="GI191" s="305"/>
      <c r="GJ191" s="305"/>
      <c r="GK191" s="305"/>
      <c r="GL191" s="305"/>
      <c r="GM191" s="305"/>
      <c r="GN191" s="305"/>
      <c r="GO191" s="305"/>
      <c r="GP191" s="305"/>
      <c r="GQ191" s="305"/>
      <c r="GR191" s="305"/>
    </row>
    <row r="192" spans="3:200" s="318" customFormat="1" ht="12.75" customHeight="1" x14ac:dyDescent="0.2">
      <c r="C192" s="367"/>
      <c r="D192" s="403"/>
      <c r="E192" s="369"/>
      <c r="F192" s="369"/>
      <c r="G192" s="369"/>
      <c r="H192" s="369"/>
      <c r="I192" s="370"/>
      <c r="J192"/>
      <c r="K192" s="371"/>
      <c r="L192" s="371"/>
      <c r="M192" s="371"/>
      <c r="N192" s="371"/>
      <c r="O192" s="305"/>
      <c r="P192" s="305"/>
      <c r="Q192" s="305"/>
      <c r="R192" s="305"/>
      <c r="S192" s="305"/>
      <c r="T192" s="305"/>
      <c r="U192" s="305"/>
      <c r="V192" s="305"/>
      <c r="W192" s="305"/>
      <c r="X192" s="305"/>
      <c r="Y192" s="305"/>
      <c r="Z192" s="305"/>
      <c r="AA192" s="305"/>
      <c r="AB192" s="305"/>
      <c r="AC192" s="305"/>
      <c r="AD192" s="305"/>
      <c r="AE192" s="305"/>
      <c r="AF192" s="305"/>
      <c r="AG192" s="305"/>
      <c r="AH192" s="305"/>
      <c r="AI192" s="305"/>
      <c r="AJ192" s="305"/>
      <c r="AK192" s="305"/>
      <c r="AL192" s="305"/>
      <c r="AM192" s="305"/>
      <c r="AN192" s="305"/>
      <c r="AO192" s="305"/>
      <c r="AP192" s="305"/>
      <c r="AQ192" s="305"/>
      <c r="AR192" s="305"/>
      <c r="AS192" s="305"/>
      <c r="AT192" s="305"/>
      <c r="AU192" s="305"/>
      <c r="AV192" s="305"/>
      <c r="AW192" s="305"/>
      <c r="AX192" s="305"/>
      <c r="AY192" s="305"/>
      <c r="AZ192" s="305"/>
      <c r="BA192" s="305"/>
      <c r="BB192" s="305"/>
      <c r="BC192" s="305"/>
      <c r="BD192" s="305"/>
      <c r="BE192" s="305"/>
      <c r="BF192" s="305"/>
      <c r="BG192" s="305"/>
      <c r="BH192" s="305"/>
      <c r="BI192" s="305"/>
      <c r="BJ192" s="305"/>
      <c r="BK192" s="305"/>
      <c r="BL192" s="305"/>
      <c r="BM192" s="305"/>
      <c r="BN192" s="305"/>
      <c r="BO192" s="305"/>
      <c r="BP192" s="305"/>
      <c r="BQ192" s="305"/>
      <c r="BR192" s="305"/>
      <c r="BS192" s="305"/>
      <c r="BT192" s="305"/>
      <c r="BU192" s="305"/>
      <c r="BV192" s="305"/>
      <c r="BW192" s="305"/>
      <c r="BX192" s="305"/>
      <c r="BY192" s="305"/>
      <c r="BZ192" s="305"/>
      <c r="CA192" s="305"/>
      <c r="CB192" s="305"/>
      <c r="CC192" s="305"/>
      <c r="CD192" s="305"/>
      <c r="CE192" s="305"/>
      <c r="CF192" s="305"/>
      <c r="CG192" s="305"/>
      <c r="CH192" s="305"/>
      <c r="CI192" s="305"/>
      <c r="CJ192" s="305"/>
      <c r="CK192" s="305"/>
      <c r="CL192" s="305"/>
      <c r="CM192" s="305"/>
      <c r="CN192" s="305"/>
      <c r="CO192" s="305"/>
      <c r="CP192" s="305"/>
      <c r="CQ192" s="305"/>
      <c r="CR192" s="305"/>
      <c r="CS192" s="305"/>
      <c r="CT192" s="305"/>
      <c r="CU192" s="305"/>
      <c r="CV192" s="305"/>
      <c r="CW192" s="305"/>
      <c r="CX192" s="305"/>
      <c r="CY192" s="305"/>
      <c r="CZ192" s="305"/>
      <c r="DA192" s="305"/>
      <c r="DB192" s="305"/>
      <c r="DC192" s="305"/>
      <c r="DD192" s="305"/>
      <c r="DE192" s="305"/>
      <c r="DF192" s="305"/>
      <c r="DG192" s="305"/>
      <c r="DH192" s="305"/>
      <c r="DI192" s="305"/>
      <c r="DJ192" s="305"/>
      <c r="DK192" s="305"/>
      <c r="DL192" s="305"/>
      <c r="DM192" s="305"/>
      <c r="DN192" s="305"/>
      <c r="DO192" s="305"/>
      <c r="DP192" s="305"/>
      <c r="DQ192" s="305"/>
      <c r="DR192" s="305"/>
      <c r="DS192" s="305"/>
      <c r="DT192" s="305"/>
      <c r="DU192" s="305"/>
      <c r="DV192" s="305"/>
      <c r="DW192" s="305"/>
      <c r="DX192" s="305"/>
      <c r="DY192" s="305"/>
      <c r="DZ192" s="305"/>
      <c r="EA192" s="305"/>
      <c r="EB192" s="305"/>
      <c r="EC192" s="305"/>
      <c r="ED192" s="305"/>
      <c r="EE192" s="305"/>
      <c r="EF192" s="305"/>
      <c r="EG192" s="305"/>
      <c r="EH192" s="305"/>
      <c r="EI192" s="305"/>
      <c r="EJ192" s="305"/>
      <c r="EK192" s="305"/>
      <c r="EL192" s="305"/>
      <c r="EM192" s="305"/>
      <c r="EN192" s="305"/>
      <c r="EO192" s="305"/>
      <c r="EP192" s="305"/>
      <c r="EQ192" s="305"/>
      <c r="ER192" s="305"/>
      <c r="ES192" s="305"/>
      <c r="ET192" s="305"/>
      <c r="EU192" s="305"/>
      <c r="EV192" s="305"/>
      <c r="EW192" s="305"/>
      <c r="EX192" s="305"/>
      <c r="EY192" s="305"/>
      <c r="EZ192" s="305"/>
      <c r="FA192" s="305"/>
      <c r="FB192" s="305"/>
      <c r="FC192" s="305"/>
      <c r="FD192" s="305"/>
      <c r="FE192" s="305"/>
      <c r="FF192" s="305"/>
      <c r="FG192" s="305"/>
      <c r="FH192" s="305"/>
      <c r="FI192" s="305"/>
      <c r="FJ192" s="305"/>
      <c r="FK192" s="305"/>
      <c r="FL192" s="305"/>
      <c r="FM192" s="305"/>
      <c r="FN192" s="305"/>
      <c r="FO192" s="305"/>
      <c r="FP192" s="305"/>
      <c r="FQ192" s="305"/>
      <c r="FR192" s="305"/>
      <c r="FS192" s="305"/>
      <c r="FT192" s="305"/>
      <c r="FU192" s="305"/>
      <c r="FV192" s="305"/>
      <c r="FW192" s="305"/>
      <c r="FX192" s="305"/>
      <c r="FY192" s="305"/>
      <c r="FZ192" s="305"/>
      <c r="GA192" s="305"/>
      <c r="GB192" s="305"/>
      <c r="GC192" s="305"/>
      <c r="GD192" s="305"/>
      <c r="GE192" s="305"/>
      <c r="GF192" s="305"/>
      <c r="GG192" s="305"/>
      <c r="GH192" s="305"/>
      <c r="GI192" s="305"/>
      <c r="GJ192" s="305"/>
      <c r="GK192" s="305"/>
      <c r="GL192" s="305"/>
      <c r="GM192" s="305"/>
      <c r="GN192" s="305"/>
      <c r="GO192" s="305"/>
      <c r="GP192" s="305"/>
      <c r="GQ192" s="305"/>
      <c r="GR192" s="305"/>
    </row>
    <row r="193" spans="3:200" s="318" customFormat="1" ht="12.75" customHeight="1" x14ac:dyDescent="0.2">
      <c r="C193" s="367"/>
      <c r="D193" s="403"/>
      <c r="E193" s="369"/>
      <c r="F193" s="369"/>
      <c r="G193" s="369"/>
      <c r="H193" s="369"/>
      <c r="I193" s="370"/>
      <c r="J193"/>
      <c r="K193" s="371"/>
      <c r="L193" s="371"/>
      <c r="M193" s="371"/>
      <c r="N193" s="371"/>
      <c r="O193" s="305"/>
      <c r="P193" s="305"/>
      <c r="Q193" s="305"/>
      <c r="R193" s="305"/>
      <c r="S193" s="305"/>
      <c r="T193" s="305"/>
      <c r="U193" s="305"/>
      <c r="V193" s="305"/>
      <c r="W193" s="305"/>
      <c r="X193" s="305"/>
      <c r="Y193" s="305"/>
      <c r="Z193" s="305"/>
      <c r="AA193" s="305"/>
      <c r="AB193" s="305"/>
      <c r="AC193" s="305"/>
      <c r="AD193" s="305"/>
      <c r="AE193" s="305"/>
      <c r="AF193" s="305"/>
      <c r="AG193" s="305"/>
      <c r="AH193" s="305"/>
      <c r="AI193" s="305"/>
      <c r="AJ193" s="305"/>
      <c r="AK193" s="305"/>
      <c r="AL193" s="305"/>
      <c r="AM193" s="305"/>
      <c r="AN193" s="305"/>
      <c r="AO193" s="305"/>
      <c r="AP193" s="305"/>
      <c r="AQ193" s="305"/>
      <c r="AR193" s="305"/>
      <c r="AS193" s="305"/>
      <c r="AT193" s="305"/>
      <c r="AU193" s="305"/>
      <c r="AV193" s="305"/>
      <c r="AW193" s="305"/>
      <c r="AX193" s="305"/>
      <c r="AY193" s="305"/>
      <c r="AZ193" s="305"/>
      <c r="BA193" s="305"/>
      <c r="BB193" s="305"/>
      <c r="BC193" s="305"/>
      <c r="BD193" s="305"/>
      <c r="BE193" s="305"/>
      <c r="BF193" s="305"/>
      <c r="BG193" s="305"/>
      <c r="BH193" s="305"/>
      <c r="BI193" s="305"/>
      <c r="BJ193" s="305"/>
      <c r="BK193" s="305"/>
      <c r="BL193" s="305"/>
      <c r="BM193" s="305"/>
      <c r="BN193" s="305"/>
      <c r="BO193" s="305"/>
      <c r="BP193" s="305"/>
      <c r="BQ193" s="305"/>
      <c r="BR193" s="305"/>
      <c r="BS193" s="305"/>
      <c r="BT193" s="305"/>
      <c r="BU193" s="305"/>
      <c r="BV193" s="305"/>
      <c r="BW193" s="305"/>
      <c r="BX193" s="305"/>
      <c r="BY193" s="305"/>
      <c r="BZ193" s="305"/>
      <c r="CA193" s="305"/>
      <c r="CB193" s="305"/>
      <c r="CC193" s="305"/>
      <c r="CD193" s="305"/>
      <c r="CE193" s="305"/>
      <c r="CF193" s="305"/>
      <c r="CG193" s="305"/>
      <c r="CH193" s="305"/>
      <c r="CI193" s="305"/>
      <c r="CJ193" s="305"/>
      <c r="CK193" s="305"/>
      <c r="CL193" s="305"/>
      <c r="CM193" s="305"/>
      <c r="CN193" s="305"/>
      <c r="CO193" s="305"/>
      <c r="CP193" s="305"/>
      <c r="CQ193" s="305"/>
      <c r="CR193" s="305"/>
      <c r="CS193" s="305"/>
      <c r="CT193" s="305"/>
      <c r="CU193" s="305"/>
      <c r="CV193" s="305"/>
      <c r="CW193" s="305"/>
      <c r="CX193" s="305"/>
      <c r="CY193" s="305"/>
      <c r="CZ193" s="305"/>
      <c r="DA193" s="305"/>
      <c r="DB193" s="305"/>
      <c r="DC193" s="305"/>
      <c r="DD193" s="305"/>
      <c r="DE193" s="305"/>
      <c r="DF193" s="305"/>
      <c r="DG193" s="305"/>
      <c r="DH193" s="305"/>
      <c r="DI193" s="305"/>
      <c r="DJ193" s="305"/>
      <c r="DK193" s="305"/>
      <c r="DL193" s="305"/>
      <c r="DM193" s="305"/>
      <c r="DN193" s="305"/>
      <c r="DO193" s="305"/>
      <c r="DP193" s="305"/>
      <c r="DQ193" s="305"/>
      <c r="DR193" s="305"/>
      <c r="DS193" s="305"/>
      <c r="DT193" s="305"/>
      <c r="DU193" s="305"/>
      <c r="DV193" s="305"/>
      <c r="DW193" s="305"/>
      <c r="DX193" s="305"/>
      <c r="DY193" s="305"/>
      <c r="DZ193" s="305"/>
      <c r="EA193" s="305"/>
      <c r="EB193" s="305"/>
      <c r="EC193" s="305"/>
      <c r="ED193" s="305"/>
      <c r="EE193" s="305"/>
      <c r="EF193" s="305"/>
      <c r="EG193" s="305"/>
      <c r="EH193" s="305"/>
      <c r="EI193" s="305"/>
      <c r="EJ193" s="305"/>
      <c r="EK193" s="305"/>
      <c r="EL193" s="305"/>
      <c r="EM193" s="305"/>
      <c r="EN193" s="305"/>
      <c r="EO193" s="305"/>
      <c r="EP193" s="305"/>
      <c r="EQ193" s="305"/>
      <c r="ER193" s="305"/>
      <c r="ES193" s="305"/>
      <c r="ET193" s="305"/>
      <c r="EU193" s="305"/>
      <c r="EV193" s="305"/>
      <c r="EW193" s="305"/>
      <c r="EX193" s="305"/>
      <c r="EY193" s="305"/>
      <c r="EZ193" s="305"/>
      <c r="FA193" s="305"/>
      <c r="FB193" s="305"/>
      <c r="FC193" s="305"/>
      <c r="FD193" s="305"/>
      <c r="FE193" s="305"/>
      <c r="FF193" s="305"/>
      <c r="FG193" s="305"/>
      <c r="FH193" s="305"/>
      <c r="FI193" s="305"/>
      <c r="FJ193" s="305"/>
      <c r="FK193" s="305"/>
      <c r="FL193" s="305"/>
      <c r="FM193" s="305"/>
      <c r="FN193" s="305"/>
      <c r="FO193" s="305"/>
      <c r="FP193" s="305"/>
      <c r="FQ193" s="305"/>
      <c r="FR193" s="305"/>
      <c r="FS193" s="305"/>
      <c r="FT193" s="305"/>
      <c r="FU193" s="305"/>
      <c r="FV193" s="305"/>
      <c r="FW193" s="305"/>
      <c r="FX193" s="305"/>
      <c r="FY193" s="305"/>
      <c r="FZ193" s="305"/>
      <c r="GA193" s="305"/>
      <c r="GB193" s="305"/>
      <c r="GC193" s="305"/>
      <c r="GD193" s="305"/>
      <c r="GE193" s="305"/>
      <c r="GF193" s="305"/>
      <c r="GG193" s="305"/>
      <c r="GH193" s="305"/>
      <c r="GI193" s="305"/>
      <c r="GJ193" s="305"/>
      <c r="GK193" s="305"/>
      <c r="GL193" s="305"/>
      <c r="GM193" s="305"/>
      <c r="GN193" s="305"/>
      <c r="GO193" s="305"/>
      <c r="GP193" s="305"/>
      <c r="GQ193" s="305"/>
      <c r="GR193" s="305"/>
    </row>
    <row r="194" spans="3:200" s="318" customFormat="1" ht="12.75" customHeight="1" x14ac:dyDescent="0.2">
      <c r="C194" s="367"/>
      <c r="D194" s="403"/>
      <c r="E194" s="369"/>
      <c r="F194" s="369"/>
      <c r="G194" s="369"/>
      <c r="H194" s="369"/>
      <c r="I194" s="370"/>
      <c r="J194"/>
      <c r="K194" s="371"/>
      <c r="L194" s="371"/>
      <c r="M194" s="371"/>
      <c r="N194" s="371"/>
      <c r="O194" s="305"/>
      <c r="P194" s="305"/>
      <c r="Q194" s="305"/>
      <c r="R194" s="305"/>
      <c r="S194" s="305"/>
      <c r="T194" s="305"/>
      <c r="U194" s="305"/>
      <c r="V194" s="305"/>
      <c r="W194" s="305"/>
      <c r="X194" s="305"/>
      <c r="Y194" s="305"/>
      <c r="Z194" s="305"/>
      <c r="AA194" s="305"/>
      <c r="AB194" s="305"/>
      <c r="AC194" s="305"/>
      <c r="AD194" s="305"/>
      <c r="AE194" s="305"/>
      <c r="AF194" s="305"/>
      <c r="AG194" s="305"/>
      <c r="AH194" s="305"/>
      <c r="AI194" s="305"/>
      <c r="AJ194" s="305"/>
      <c r="AK194" s="305"/>
      <c r="AL194" s="305"/>
      <c r="AM194" s="305"/>
      <c r="AN194" s="305"/>
      <c r="AO194" s="305"/>
      <c r="AP194" s="305"/>
      <c r="AQ194" s="305"/>
      <c r="AR194" s="305"/>
      <c r="AS194" s="305"/>
      <c r="AT194" s="305"/>
      <c r="AU194" s="305"/>
      <c r="AV194" s="305"/>
      <c r="AW194" s="305"/>
      <c r="AX194" s="305"/>
      <c r="AY194" s="305"/>
      <c r="AZ194" s="305"/>
      <c r="BA194" s="305"/>
      <c r="BB194" s="305"/>
      <c r="BC194" s="305"/>
      <c r="BD194" s="305"/>
      <c r="BE194" s="305"/>
      <c r="BF194" s="305"/>
      <c r="BG194" s="305"/>
      <c r="BH194" s="305"/>
      <c r="BI194" s="305"/>
      <c r="BJ194" s="305"/>
      <c r="BK194" s="305"/>
      <c r="BL194" s="305"/>
      <c r="BM194" s="305"/>
      <c r="BN194" s="305"/>
      <c r="BO194" s="305"/>
      <c r="BP194" s="305"/>
      <c r="BQ194" s="305"/>
      <c r="BR194" s="305"/>
      <c r="BS194" s="305"/>
      <c r="BT194" s="305"/>
      <c r="BU194" s="305"/>
      <c r="BV194" s="305"/>
      <c r="BW194" s="305"/>
      <c r="BX194" s="305"/>
      <c r="BY194" s="305"/>
      <c r="BZ194" s="305"/>
      <c r="CA194" s="305"/>
      <c r="CB194" s="305"/>
      <c r="CC194" s="305"/>
      <c r="CD194" s="305"/>
      <c r="CE194" s="305"/>
      <c r="CF194" s="305"/>
      <c r="CG194" s="305"/>
      <c r="CH194" s="305"/>
      <c r="CI194" s="305"/>
      <c r="CJ194" s="305"/>
      <c r="CK194" s="305"/>
      <c r="CL194" s="305"/>
      <c r="CM194" s="305"/>
      <c r="CN194" s="305"/>
      <c r="CO194" s="305"/>
      <c r="CP194" s="305"/>
      <c r="CQ194" s="305"/>
      <c r="CR194" s="305"/>
      <c r="CS194" s="305"/>
      <c r="CT194" s="305"/>
      <c r="CU194" s="305"/>
      <c r="CV194" s="305"/>
      <c r="CW194" s="305"/>
      <c r="CX194" s="305"/>
      <c r="CY194" s="305"/>
      <c r="CZ194" s="305"/>
      <c r="DA194" s="305"/>
      <c r="DB194" s="305"/>
      <c r="DC194" s="305"/>
      <c r="DD194" s="305"/>
      <c r="DE194" s="305"/>
      <c r="DF194" s="305"/>
      <c r="DG194" s="305"/>
      <c r="DH194" s="305"/>
      <c r="DI194" s="305"/>
      <c r="DJ194" s="305"/>
      <c r="DK194" s="305"/>
      <c r="DL194" s="305"/>
      <c r="DM194" s="305"/>
      <c r="DN194" s="305"/>
      <c r="DO194" s="305"/>
      <c r="DP194" s="305"/>
      <c r="DQ194" s="305"/>
      <c r="DR194" s="305"/>
      <c r="DS194" s="305"/>
      <c r="DT194" s="305"/>
      <c r="DU194" s="305"/>
      <c r="DV194" s="305"/>
      <c r="DW194" s="305"/>
      <c r="DX194" s="305"/>
      <c r="DY194" s="305"/>
      <c r="DZ194" s="305"/>
      <c r="EA194" s="305"/>
      <c r="EB194" s="305"/>
      <c r="EC194" s="305"/>
      <c r="ED194" s="305"/>
      <c r="EE194" s="305"/>
      <c r="EF194" s="305"/>
      <c r="EG194" s="305"/>
      <c r="EH194" s="305"/>
      <c r="EI194" s="305"/>
      <c r="EJ194" s="305"/>
      <c r="EK194" s="305"/>
      <c r="EL194" s="305"/>
      <c r="EM194" s="305"/>
      <c r="EN194" s="305"/>
      <c r="EO194" s="305"/>
      <c r="EP194" s="305"/>
      <c r="EQ194" s="305"/>
      <c r="ER194" s="305"/>
      <c r="ES194" s="305"/>
      <c r="ET194" s="305"/>
      <c r="EU194" s="305"/>
      <c r="EV194" s="305"/>
      <c r="EW194" s="305"/>
      <c r="EX194" s="305"/>
      <c r="EY194" s="305"/>
      <c r="EZ194" s="305"/>
      <c r="FA194" s="305"/>
      <c r="FB194" s="305"/>
      <c r="FC194" s="305"/>
      <c r="FD194" s="305"/>
      <c r="FE194" s="305"/>
      <c r="FF194" s="305"/>
      <c r="FG194" s="305"/>
      <c r="FH194" s="305"/>
      <c r="FI194" s="305"/>
      <c r="FJ194" s="305"/>
      <c r="FK194" s="305"/>
      <c r="FL194" s="305"/>
      <c r="FM194" s="305"/>
      <c r="FN194" s="305"/>
      <c r="FO194" s="305"/>
      <c r="FP194" s="305"/>
      <c r="FQ194" s="305"/>
      <c r="FR194" s="305"/>
      <c r="FS194" s="305"/>
      <c r="FT194" s="305"/>
      <c r="FU194" s="305"/>
      <c r="FV194" s="305"/>
      <c r="FW194" s="305"/>
      <c r="FX194" s="305"/>
      <c r="FY194" s="305"/>
      <c r="FZ194" s="305"/>
      <c r="GA194" s="305"/>
      <c r="GB194" s="305"/>
      <c r="GC194" s="305"/>
      <c r="GD194" s="305"/>
      <c r="GE194" s="305"/>
      <c r="GF194" s="305"/>
      <c r="GG194" s="305"/>
      <c r="GH194" s="305"/>
      <c r="GI194" s="305"/>
      <c r="GJ194" s="305"/>
      <c r="GK194" s="305"/>
      <c r="GL194" s="305"/>
      <c r="GM194" s="305"/>
      <c r="GN194" s="305"/>
      <c r="GO194" s="305"/>
      <c r="GP194" s="305"/>
      <c r="GQ194" s="305"/>
      <c r="GR194" s="305"/>
    </row>
    <row r="195" spans="3:200" s="318" customFormat="1" ht="12.75" customHeight="1" x14ac:dyDescent="0.2">
      <c r="C195" s="367"/>
      <c r="D195" s="403"/>
      <c r="E195" s="369"/>
      <c r="F195" s="369"/>
      <c r="G195" s="369"/>
      <c r="H195" s="369"/>
      <c r="I195" s="370"/>
      <c r="J195"/>
      <c r="K195" s="371"/>
      <c r="L195" s="371"/>
      <c r="M195" s="371"/>
      <c r="N195" s="371"/>
      <c r="O195" s="305"/>
      <c r="P195" s="305"/>
      <c r="Q195" s="305"/>
      <c r="R195" s="305"/>
      <c r="S195" s="305"/>
      <c r="T195" s="305"/>
      <c r="U195" s="305"/>
      <c r="V195" s="305"/>
      <c r="W195" s="305"/>
      <c r="X195" s="305"/>
      <c r="Y195" s="305"/>
      <c r="Z195" s="305"/>
      <c r="AA195" s="305"/>
      <c r="AB195" s="305"/>
      <c r="AC195" s="305"/>
      <c r="AD195" s="305"/>
      <c r="AE195" s="305"/>
      <c r="AF195" s="305"/>
      <c r="AG195" s="305"/>
      <c r="AH195" s="305"/>
      <c r="AI195" s="305"/>
      <c r="AJ195" s="305"/>
      <c r="AK195" s="305"/>
      <c r="AL195" s="305"/>
      <c r="AM195" s="305"/>
      <c r="AN195" s="305"/>
      <c r="AO195" s="305"/>
      <c r="AP195" s="305"/>
      <c r="AQ195" s="305"/>
      <c r="AR195" s="305"/>
      <c r="AS195" s="305"/>
      <c r="AT195" s="305"/>
      <c r="AU195" s="305"/>
      <c r="AV195" s="305"/>
      <c r="AW195" s="305"/>
      <c r="AX195" s="305"/>
      <c r="AY195" s="305"/>
      <c r="AZ195" s="305"/>
      <c r="BA195" s="305"/>
      <c r="BB195" s="305"/>
      <c r="BC195" s="305"/>
      <c r="BD195" s="305"/>
      <c r="BE195" s="305"/>
      <c r="BF195" s="305"/>
      <c r="BG195" s="305"/>
      <c r="BH195" s="305"/>
      <c r="BI195" s="305"/>
      <c r="BJ195" s="305"/>
      <c r="BK195" s="305"/>
      <c r="BL195" s="305"/>
      <c r="BM195" s="305"/>
      <c r="BN195" s="305"/>
      <c r="BO195" s="305"/>
      <c r="BP195" s="305"/>
      <c r="BQ195" s="305"/>
      <c r="BR195" s="305"/>
      <c r="BS195" s="305"/>
      <c r="BT195" s="305"/>
      <c r="BU195" s="305"/>
      <c r="BV195" s="305"/>
      <c r="BW195" s="305"/>
      <c r="BX195" s="305"/>
      <c r="BY195" s="305"/>
      <c r="BZ195" s="305"/>
      <c r="CA195" s="305"/>
      <c r="CB195" s="305"/>
      <c r="CC195" s="305"/>
      <c r="CD195" s="305"/>
      <c r="CE195" s="305"/>
      <c r="CF195" s="305"/>
      <c r="CG195" s="305"/>
      <c r="CH195" s="305"/>
      <c r="CI195" s="305"/>
      <c r="CJ195" s="305"/>
      <c r="CK195" s="305"/>
      <c r="CL195" s="305"/>
      <c r="CM195" s="305"/>
      <c r="CN195" s="305"/>
      <c r="CO195" s="305"/>
      <c r="CP195" s="305"/>
      <c r="CQ195" s="305"/>
      <c r="CR195" s="305"/>
      <c r="CS195" s="305"/>
      <c r="CT195" s="305"/>
      <c r="CU195" s="305"/>
      <c r="CV195" s="305"/>
      <c r="CW195" s="305"/>
      <c r="CX195" s="305"/>
      <c r="CY195" s="305"/>
      <c r="CZ195" s="305"/>
      <c r="DA195" s="305"/>
      <c r="DB195" s="305"/>
      <c r="DC195" s="305"/>
      <c r="DD195" s="305"/>
      <c r="DE195" s="305"/>
      <c r="DF195" s="305"/>
      <c r="DG195" s="305"/>
      <c r="DH195" s="305"/>
      <c r="DI195" s="305"/>
      <c r="DJ195" s="305"/>
      <c r="DK195" s="305"/>
      <c r="DL195" s="305"/>
      <c r="DM195" s="305"/>
      <c r="DN195" s="305"/>
      <c r="DO195" s="305"/>
      <c r="DP195" s="305"/>
      <c r="DQ195" s="305"/>
      <c r="DR195" s="305"/>
      <c r="DS195" s="305"/>
      <c r="DT195" s="305"/>
      <c r="DU195" s="305"/>
      <c r="DV195" s="305"/>
      <c r="DW195" s="305"/>
      <c r="DX195" s="305"/>
      <c r="DY195" s="305"/>
      <c r="DZ195" s="305"/>
      <c r="EA195" s="305"/>
      <c r="EB195" s="305"/>
      <c r="EC195" s="305"/>
      <c r="ED195" s="305"/>
      <c r="EE195" s="305"/>
      <c r="EF195" s="305"/>
      <c r="EG195" s="305"/>
      <c r="EH195" s="305"/>
      <c r="EI195" s="305"/>
      <c r="EJ195" s="305"/>
      <c r="EK195" s="305"/>
      <c r="EL195" s="305"/>
      <c r="EM195" s="305"/>
      <c r="EN195" s="305"/>
      <c r="EO195" s="305"/>
      <c r="EP195" s="305"/>
      <c r="EQ195" s="305"/>
      <c r="ER195" s="305"/>
      <c r="ES195" s="305"/>
      <c r="ET195" s="305"/>
      <c r="EU195" s="305"/>
      <c r="EV195" s="305"/>
      <c r="EW195" s="305"/>
      <c r="EX195" s="305"/>
      <c r="EY195" s="305"/>
      <c r="EZ195" s="305"/>
      <c r="FA195" s="305"/>
      <c r="FB195" s="305"/>
      <c r="FC195" s="305"/>
      <c r="FD195" s="305"/>
      <c r="FE195" s="305"/>
      <c r="FF195" s="305"/>
      <c r="FG195" s="305"/>
      <c r="FH195" s="305"/>
      <c r="FI195" s="305"/>
      <c r="FJ195" s="305"/>
      <c r="FK195" s="305"/>
      <c r="FL195" s="305"/>
      <c r="FM195" s="305"/>
      <c r="FN195" s="305"/>
      <c r="FO195" s="305"/>
      <c r="FP195" s="305"/>
      <c r="FQ195" s="305"/>
      <c r="FR195" s="305"/>
      <c r="FS195" s="305"/>
      <c r="FT195" s="305"/>
      <c r="FU195" s="305"/>
      <c r="FV195" s="305"/>
      <c r="FW195" s="305"/>
      <c r="FX195" s="305"/>
      <c r="FY195" s="305"/>
      <c r="FZ195" s="305"/>
      <c r="GA195" s="305"/>
      <c r="GB195" s="305"/>
      <c r="GC195" s="305"/>
      <c r="GD195" s="305"/>
      <c r="GE195" s="305"/>
      <c r="GF195" s="305"/>
      <c r="GG195" s="305"/>
      <c r="GH195" s="305"/>
      <c r="GI195" s="305"/>
      <c r="GJ195" s="305"/>
      <c r="GK195" s="305"/>
      <c r="GL195" s="305"/>
      <c r="GM195" s="305"/>
      <c r="GN195" s="305"/>
      <c r="GO195" s="305"/>
      <c r="GP195" s="305"/>
      <c r="GQ195" s="305"/>
      <c r="GR195" s="305"/>
    </row>
    <row r="196" spans="3:200" s="318" customFormat="1" ht="12.75" customHeight="1" x14ac:dyDescent="0.2">
      <c r="C196" s="367"/>
      <c r="D196" s="403"/>
      <c r="E196" s="369"/>
      <c r="F196" s="369"/>
      <c r="G196" s="369"/>
      <c r="H196" s="369"/>
      <c r="I196" s="370"/>
      <c r="J196"/>
      <c r="K196" s="371"/>
      <c r="L196" s="371"/>
      <c r="M196" s="371"/>
      <c r="N196" s="371"/>
      <c r="O196" s="305"/>
      <c r="P196" s="305"/>
      <c r="Q196" s="305"/>
      <c r="R196" s="305"/>
      <c r="S196" s="305"/>
      <c r="T196" s="305"/>
      <c r="U196" s="305"/>
      <c r="V196" s="305"/>
      <c r="W196" s="305"/>
      <c r="X196" s="305"/>
      <c r="Y196" s="305"/>
      <c r="Z196" s="305"/>
      <c r="AA196" s="305"/>
      <c r="AB196" s="305"/>
      <c r="AC196" s="305"/>
      <c r="AD196" s="305"/>
      <c r="AE196" s="305"/>
      <c r="AF196" s="305"/>
      <c r="AG196" s="305"/>
      <c r="AH196" s="305"/>
      <c r="AI196" s="305"/>
      <c r="AJ196" s="305"/>
      <c r="AK196" s="305"/>
      <c r="AL196" s="305"/>
      <c r="AM196" s="305"/>
      <c r="AN196" s="305"/>
      <c r="AO196" s="305"/>
      <c r="AP196" s="305"/>
      <c r="AQ196" s="305"/>
      <c r="AR196" s="305"/>
      <c r="AS196" s="305"/>
      <c r="AT196" s="305"/>
      <c r="AU196" s="305"/>
      <c r="AV196" s="305"/>
      <c r="AW196" s="305"/>
      <c r="AX196" s="305"/>
      <c r="AY196" s="305"/>
      <c r="AZ196" s="305"/>
      <c r="BA196" s="305"/>
      <c r="BB196" s="305"/>
      <c r="BC196" s="305"/>
      <c r="BD196" s="305"/>
      <c r="BE196" s="305"/>
      <c r="BF196" s="305"/>
      <c r="BG196" s="305"/>
      <c r="BH196" s="305"/>
      <c r="BI196" s="305"/>
      <c r="BJ196" s="305"/>
      <c r="BK196" s="305"/>
      <c r="BL196" s="305"/>
      <c r="BM196" s="305"/>
      <c r="BN196" s="305"/>
      <c r="BO196" s="305"/>
      <c r="BP196" s="305"/>
      <c r="BQ196" s="305"/>
      <c r="BR196" s="305"/>
      <c r="BS196" s="305"/>
      <c r="BT196" s="305"/>
      <c r="BU196" s="305"/>
      <c r="BV196" s="305"/>
      <c r="BW196" s="305"/>
      <c r="BX196" s="305"/>
      <c r="BY196" s="305"/>
      <c r="BZ196" s="305"/>
      <c r="CA196" s="305"/>
      <c r="CB196" s="305"/>
      <c r="CC196" s="305"/>
      <c r="CD196" s="305"/>
      <c r="CE196" s="305"/>
      <c r="CF196" s="305"/>
      <c r="CG196" s="305"/>
      <c r="CH196" s="305"/>
      <c r="CI196" s="305"/>
      <c r="CJ196" s="305"/>
      <c r="CK196" s="305"/>
      <c r="CL196" s="305"/>
      <c r="CM196" s="305"/>
      <c r="CN196" s="305"/>
      <c r="CO196" s="305"/>
      <c r="CP196" s="305"/>
      <c r="CQ196" s="305"/>
      <c r="CR196" s="305"/>
      <c r="CS196" s="305"/>
      <c r="CT196" s="305"/>
      <c r="CU196" s="305"/>
      <c r="CV196" s="305"/>
      <c r="CW196" s="305"/>
      <c r="CX196" s="305"/>
      <c r="CY196" s="305"/>
      <c r="CZ196" s="305"/>
      <c r="DA196" s="305"/>
      <c r="DB196" s="305"/>
      <c r="DC196" s="305"/>
      <c r="DD196" s="305"/>
      <c r="DE196" s="305"/>
      <c r="DF196" s="305"/>
      <c r="DG196" s="305"/>
      <c r="DH196" s="305"/>
      <c r="DI196" s="305"/>
      <c r="DJ196" s="305"/>
      <c r="DK196" s="305"/>
      <c r="DL196" s="305"/>
      <c r="DM196" s="305"/>
      <c r="DN196" s="305"/>
      <c r="DO196" s="305"/>
      <c r="DP196" s="305"/>
      <c r="DQ196" s="305"/>
      <c r="DR196" s="305"/>
      <c r="DS196" s="305"/>
      <c r="DT196" s="305"/>
      <c r="DU196" s="305"/>
      <c r="DV196" s="305"/>
      <c r="DW196" s="305"/>
      <c r="DX196" s="305"/>
      <c r="DY196" s="305"/>
      <c r="DZ196" s="305"/>
      <c r="EA196" s="305"/>
      <c r="EB196" s="305"/>
      <c r="EC196" s="305"/>
      <c r="ED196" s="305"/>
      <c r="EE196" s="305"/>
      <c r="EF196" s="305"/>
      <c r="EG196" s="305"/>
      <c r="EH196" s="305"/>
      <c r="EI196" s="305"/>
      <c r="EJ196" s="305"/>
      <c r="EK196" s="305"/>
      <c r="EL196" s="305"/>
      <c r="EM196" s="305"/>
      <c r="EN196" s="305"/>
      <c r="EO196" s="305"/>
      <c r="EP196" s="305"/>
      <c r="EQ196" s="305"/>
      <c r="ER196" s="305"/>
      <c r="ES196" s="305"/>
      <c r="ET196" s="305"/>
      <c r="EU196" s="305"/>
      <c r="EV196" s="305"/>
      <c r="EW196" s="305"/>
      <c r="EX196" s="305"/>
      <c r="EY196" s="305"/>
      <c r="EZ196" s="305"/>
      <c r="FA196" s="305"/>
      <c r="FB196" s="305"/>
      <c r="FC196" s="305"/>
      <c r="FD196" s="305"/>
      <c r="FE196" s="305"/>
      <c r="FF196" s="305"/>
      <c r="FG196" s="305"/>
      <c r="FH196" s="305"/>
      <c r="FI196" s="305"/>
      <c r="FJ196" s="305"/>
      <c r="FK196" s="305"/>
      <c r="FL196" s="305"/>
      <c r="FM196" s="305"/>
      <c r="FN196" s="305"/>
      <c r="FO196" s="305"/>
      <c r="FP196" s="305"/>
      <c r="FQ196" s="305"/>
      <c r="FR196" s="305"/>
      <c r="FS196" s="305"/>
      <c r="FT196" s="305"/>
      <c r="FU196" s="305"/>
      <c r="FV196" s="305"/>
      <c r="FW196" s="305"/>
      <c r="FX196" s="305"/>
      <c r="FY196" s="305"/>
      <c r="FZ196" s="305"/>
      <c r="GA196" s="305"/>
      <c r="GB196" s="305"/>
      <c r="GC196" s="305"/>
      <c r="GD196" s="305"/>
      <c r="GE196" s="305"/>
      <c r="GF196" s="305"/>
      <c r="GG196" s="305"/>
      <c r="GH196" s="305"/>
      <c r="GI196" s="305"/>
      <c r="GJ196" s="305"/>
      <c r="GK196" s="305"/>
      <c r="GL196" s="305"/>
      <c r="GM196" s="305"/>
      <c r="GN196" s="305"/>
      <c r="GO196" s="305"/>
      <c r="GP196" s="305"/>
      <c r="GQ196" s="305"/>
      <c r="GR196" s="305"/>
    </row>
    <row r="197" spans="3:200" s="318" customFormat="1" ht="12.75" customHeight="1" x14ac:dyDescent="0.2">
      <c r="C197" s="367"/>
      <c r="D197" s="403"/>
      <c r="E197" s="369"/>
      <c r="F197" s="369"/>
      <c r="G197" s="369"/>
      <c r="H197" s="369"/>
      <c r="I197" s="370"/>
      <c r="J197"/>
      <c r="K197" s="371"/>
      <c r="L197" s="371"/>
      <c r="M197" s="371"/>
      <c r="N197" s="371"/>
      <c r="O197" s="305"/>
      <c r="P197" s="305"/>
      <c r="Q197" s="305"/>
      <c r="R197" s="305"/>
      <c r="S197" s="305"/>
      <c r="T197" s="305"/>
      <c r="U197" s="305"/>
      <c r="V197" s="305"/>
      <c r="W197" s="305"/>
      <c r="X197" s="305"/>
      <c r="Y197" s="305"/>
      <c r="Z197" s="305"/>
      <c r="AA197" s="305"/>
      <c r="AB197" s="305"/>
      <c r="AC197" s="305"/>
      <c r="AD197" s="305"/>
      <c r="AE197" s="305"/>
      <c r="AF197" s="305"/>
      <c r="AG197" s="305"/>
      <c r="AH197" s="305"/>
      <c r="AI197" s="305"/>
      <c r="AJ197" s="305"/>
      <c r="AK197" s="305"/>
      <c r="AL197" s="305"/>
      <c r="AM197" s="305"/>
      <c r="AN197" s="305"/>
      <c r="AO197" s="305"/>
      <c r="AP197" s="305"/>
      <c r="AQ197" s="305"/>
      <c r="AR197" s="305"/>
      <c r="AS197" s="305"/>
      <c r="AT197" s="305"/>
      <c r="AU197" s="305"/>
      <c r="AV197" s="305"/>
      <c r="AW197" s="305"/>
      <c r="AX197" s="305"/>
      <c r="AY197" s="305"/>
      <c r="AZ197" s="305"/>
      <c r="BA197" s="305"/>
      <c r="BB197" s="305"/>
      <c r="BC197" s="305"/>
      <c r="BD197" s="305"/>
      <c r="BE197" s="305"/>
      <c r="BF197" s="305"/>
      <c r="BG197" s="305"/>
      <c r="BH197" s="305"/>
      <c r="BI197" s="305"/>
      <c r="BJ197" s="305"/>
      <c r="BK197" s="305"/>
      <c r="BL197" s="305"/>
      <c r="BM197" s="305"/>
      <c r="BN197" s="305"/>
      <c r="BO197" s="305"/>
      <c r="BP197" s="305"/>
      <c r="BQ197" s="305"/>
      <c r="BR197" s="305"/>
      <c r="BS197" s="305"/>
      <c r="BT197" s="305"/>
      <c r="BU197" s="305"/>
      <c r="BV197" s="305"/>
      <c r="BW197" s="305"/>
      <c r="BX197" s="305"/>
      <c r="BY197" s="305"/>
      <c r="BZ197" s="305"/>
      <c r="CA197" s="305"/>
      <c r="CB197" s="305"/>
      <c r="CC197" s="305"/>
      <c r="CD197" s="305"/>
      <c r="CE197" s="305"/>
      <c r="CF197" s="305"/>
      <c r="CG197" s="305"/>
      <c r="CH197" s="305"/>
      <c r="CI197" s="305"/>
      <c r="CJ197" s="305"/>
      <c r="CK197" s="305"/>
      <c r="CL197" s="305"/>
      <c r="CM197" s="305"/>
      <c r="CN197" s="305"/>
      <c r="CO197" s="305"/>
      <c r="CP197" s="305"/>
      <c r="CQ197" s="305"/>
      <c r="CR197" s="305"/>
      <c r="CS197" s="305"/>
      <c r="CT197" s="305"/>
      <c r="CU197" s="305"/>
      <c r="CV197" s="305"/>
      <c r="CW197" s="305"/>
      <c r="CX197" s="305"/>
      <c r="CY197" s="305"/>
      <c r="CZ197" s="305"/>
      <c r="DA197" s="305"/>
      <c r="DB197" s="305"/>
      <c r="DC197" s="305"/>
      <c r="DD197" s="305"/>
      <c r="DE197" s="305"/>
      <c r="DF197" s="305"/>
      <c r="DG197" s="305"/>
      <c r="DH197" s="305"/>
      <c r="DI197" s="305"/>
      <c r="DJ197" s="305"/>
      <c r="DK197" s="305"/>
      <c r="DL197" s="305"/>
      <c r="DM197" s="305"/>
      <c r="DN197" s="305"/>
      <c r="DO197" s="305"/>
      <c r="DP197" s="305"/>
      <c r="DQ197" s="305"/>
      <c r="DR197" s="305"/>
      <c r="DS197" s="305"/>
      <c r="DT197" s="305"/>
      <c r="DU197" s="305"/>
      <c r="DV197" s="305"/>
      <c r="DW197" s="305"/>
      <c r="DX197" s="305"/>
      <c r="DY197" s="305"/>
      <c r="DZ197" s="305"/>
      <c r="EA197" s="305"/>
      <c r="EB197" s="305"/>
      <c r="EC197" s="305"/>
      <c r="ED197" s="305"/>
      <c r="EE197" s="305"/>
      <c r="EF197" s="305"/>
      <c r="EG197" s="305"/>
      <c r="EH197" s="305"/>
      <c r="EI197" s="305"/>
      <c r="EJ197" s="305"/>
      <c r="EK197" s="305"/>
      <c r="EL197" s="305"/>
      <c r="EM197" s="305"/>
      <c r="EN197" s="305"/>
      <c r="EO197" s="305"/>
      <c r="EP197" s="305"/>
      <c r="EQ197" s="305"/>
      <c r="ER197" s="305"/>
      <c r="ES197" s="305"/>
      <c r="ET197" s="305"/>
      <c r="EU197" s="305"/>
      <c r="EV197" s="305"/>
      <c r="EW197" s="305"/>
      <c r="EX197" s="305"/>
      <c r="EY197" s="305"/>
      <c r="EZ197" s="305"/>
      <c r="FA197" s="305"/>
      <c r="FB197" s="305"/>
      <c r="FC197" s="305"/>
      <c r="FD197" s="305"/>
      <c r="FE197" s="305"/>
      <c r="FF197" s="305"/>
      <c r="FG197" s="305"/>
      <c r="FH197" s="305"/>
      <c r="FI197" s="305"/>
      <c r="FJ197" s="305"/>
      <c r="FK197" s="305"/>
      <c r="FL197" s="305"/>
      <c r="FM197" s="305"/>
      <c r="FN197" s="305"/>
      <c r="FO197" s="305"/>
      <c r="FP197" s="305"/>
      <c r="FQ197" s="305"/>
      <c r="FR197" s="305"/>
      <c r="FS197" s="305"/>
      <c r="FT197" s="305"/>
      <c r="FU197" s="305"/>
      <c r="FV197" s="305"/>
      <c r="FW197" s="305"/>
      <c r="FX197" s="305"/>
      <c r="FY197" s="305"/>
      <c r="FZ197" s="305"/>
      <c r="GA197" s="305"/>
      <c r="GB197" s="305"/>
      <c r="GC197" s="305"/>
      <c r="GD197" s="305"/>
      <c r="GE197" s="305"/>
      <c r="GF197" s="305"/>
      <c r="GG197" s="305"/>
      <c r="GH197" s="305"/>
      <c r="GI197" s="305"/>
      <c r="GJ197" s="305"/>
      <c r="GK197" s="305"/>
      <c r="GL197" s="305"/>
      <c r="GM197" s="305"/>
      <c r="GN197" s="305"/>
      <c r="GO197" s="305"/>
      <c r="GP197" s="305"/>
      <c r="GQ197" s="305"/>
      <c r="GR197" s="305"/>
    </row>
    <row r="198" spans="3:200" s="318" customFormat="1" ht="12.75" customHeight="1" x14ac:dyDescent="0.2">
      <c r="C198" s="367"/>
      <c r="D198" s="403"/>
      <c r="E198" s="369"/>
      <c r="F198" s="369"/>
      <c r="G198" s="369"/>
      <c r="H198" s="369"/>
      <c r="I198" s="370"/>
      <c r="J198"/>
      <c r="K198" s="371"/>
      <c r="L198" s="371"/>
      <c r="M198" s="371"/>
      <c r="N198" s="371"/>
      <c r="O198" s="305"/>
      <c r="P198" s="305"/>
      <c r="Q198" s="305"/>
      <c r="R198" s="305"/>
      <c r="S198" s="305"/>
      <c r="T198" s="305"/>
      <c r="U198" s="305"/>
      <c r="V198" s="305"/>
      <c r="W198" s="305"/>
      <c r="X198" s="305"/>
      <c r="Y198" s="305"/>
      <c r="Z198" s="305"/>
      <c r="AA198" s="305"/>
      <c r="AB198" s="305"/>
      <c r="AC198" s="305"/>
      <c r="AD198" s="305"/>
      <c r="AE198" s="305"/>
      <c r="AF198" s="305"/>
      <c r="AG198" s="305"/>
      <c r="AH198" s="305"/>
      <c r="AI198" s="305"/>
      <c r="AJ198" s="305"/>
      <c r="AK198" s="305"/>
      <c r="AL198" s="305"/>
      <c r="AM198" s="305"/>
      <c r="AN198" s="305"/>
      <c r="AO198" s="305"/>
      <c r="AP198" s="305"/>
      <c r="AQ198" s="305"/>
      <c r="AR198" s="305"/>
      <c r="AS198" s="305"/>
      <c r="AT198" s="305"/>
      <c r="AU198" s="305"/>
      <c r="AV198" s="305"/>
      <c r="AW198" s="305"/>
      <c r="AX198" s="305"/>
      <c r="AY198" s="305"/>
      <c r="AZ198" s="305"/>
      <c r="BA198" s="305"/>
      <c r="BB198" s="305"/>
      <c r="BC198" s="305"/>
      <c r="BD198" s="305"/>
      <c r="BE198" s="305"/>
      <c r="BF198" s="305"/>
      <c r="BG198" s="305"/>
      <c r="BH198" s="305"/>
      <c r="BI198" s="305"/>
      <c r="BJ198" s="305"/>
      <c r="BK198" s="305"/>
      <c r="BL198" s="305"/>
      <c r="BM198" s="305"/>
      <c r="BN198" s="305"/>
      <c r="BO198" s="305"/>
      <c r="BP198" s="305"/>
      <c r="BQ198" s="305"/>
      <c r="BR198" s="305"/>
      <c r="BS198" s="305"/>
      <c r="BT198" s="305"/>
      <c r="BU198" s="305"/>
      <c r="BV198" s="305"/>
      <c r="BW198" s="305"/>
      <c r="BX198" s="305"/>
      <c r="BY198" s="305"/>
      <c r="BZ198" s="305"/>
      <c r="CA198" s="305"/>
      <c r="CB198" s="305"/>
      <c r="CC198" s="305"/>
      <c r="CD198" s="305"/>
      <c r="CE198" s="305"/>
      <c r="CF198" s="305"/>
      <c r="CG198" s="305"/>
      <c r="CH198" s="305"/>
      <c r="CI198" s="305"/>
      <c r="CJ198" s="305"/>
      <c r="CK198" s="305"/>
      <c r="CL198" s="305"/>
      <c r="CM198" s="305"/>
      <c r="CN198" s="305"/>
      <c r="CO198" s="305"/>
      <c r="CP198" s="305"/>
      <c r="CQ198" s="305"/>
      <c r="CR198" s="305"/>
      <c r="CS198" s="305"/>
      <c r="CT198" s="305"/>
      <c r="CU198" s="305"/>
      <c r="CV198" s="305"/>
      <c r="CW198" s="305"/>
      <c r="CX198" s="305"/>
      <c r="CY198" s="305"/>
      <c r="CZ198" s="305"/>
      <c r="DA198" s="305"/>
      <c r="DB198" s="305"/>
      <c r="DC198" s="305"/>
      <c r="DD198" s="305"/>
      <c r="DE198" s="305"/>
      <c r="DF198" s="305"/>
      <c r="DG198" s="305"/>
      <c r="DH198" s="305"/>
      <c r="DI198" s="305"/>
      <c r="DJ198" s="305"/>
      <c r="DK198" s="305"/>
      <c r="DL198" s="305"/>
      <c r="DM198" s="305"/>
      <c r="DN198" s="305"/>
      <c r="DO198" s="305"/>
      <c r="DP198" s="305"/>
      <c r="DQ198" s="305"/>
      <c r="DR198" s="305"/>
      <c r="DS198" s="305"/>
      <c r="DT198" s="305"/>
      <c r="DU198" s="305"/>
      <c r="DV198" s="305"/>
      <c r="DW198" s="305"/>
      <c r="DX198" s="305"/>
      <c r="DY198" s="305"/>
      <c r="DZ198" s="305"/>
      <c r="EA198" s="305"/>
      <c r="EB198" s="305"/>
      <c r="EC198" s="305"/>
      <c r="ED198" s="305"/>
      <c r="EE198" s="305"/>
      <c r="EF198" s="305"/>
      <c r="EG198" s="305"/>
      <c r="EH198" s="305"/>
      <c r="EI198" s="305"/>
      <c r="EJ198" s="305"/>
      <c r="EK198" s="305"/>
      <c r="EL198" s="305"/>
      <c r="EM198" s="305"/>
      <c r="EN198" s="305"/>
      <c r="EO198" s="305"/>
      <c r="EP198" s="305"/>
      <c r="EQ198" s="305"/>
      <c r="ER198" s="305"/>
      <c r="ES198" s="305"/>
      <c r="ET198" s="305"/>
      <c r="EU198" s="305"/>
      <c r="EV198" s="305"/>
      <c r="EW198" s="305"/>
      <c r="EX198" s="305"/>
      <c r="EY198" s="305"/>
      <c r="EZ198" s="305"/>
      <c r="FA198" s="305"/>
      <c r="FB198" s="305"/>
      <c r="FC198" s="305"/>
      <c r="FD198" s="305"/>
      <c r="FE198" s="305"/>
      <c r="FF198" s="305"/>
      <c r="FG198" s="305"/>
      <c r="FH198" s="305"/>
      <c r="FI198" s="305"/>
      <c r="FJ198" s="305"/>
      <c r="FK198" s="305"/>
      <c r="FL198" s="305"/>
      <c r="FM198" s="305"/>
      <c r="FN198" s="305"/>
      <c r="FO198" s="305"/>
      <c r="FP198" s="305"/>
      <c r="FQ198" s="305"/>
      <c r="FR198" s="305"/>
      <c r="FS198" s="305"/>
      <c r="FT198" s="305"/>
      <c r="FU198" s="305"/>
      <c r="FV198" s="305"/>
      <c r="FW198" s="305"/>
      <c r="FX198" s="305"/>
      <c r="FY198" s="305"/>
      <c r="FZ198" s="305"/>
      <c r="GA198" s="305"/>
      <c r="GB198" s="305"/>
      <c r="GC198" s="305"/>
      <c r="GD198" s="305"/>
      <c r="GE198" s="305"/>
      <c r="GF198" s="305"/>
      <c r="GG198" s="305"/>
      <c r="GH198" s="305"/>
      <c r="GI198" s="305"/>
      <c r="GJ198" s="305"/>
      <c r="GK198" s="305"/>
      <c r="GL198" s="305"/>
      <c r="GM198" s="305"/>
      <c r="GN198" s="305"/>
      <c r="GO198" s="305"/>
      <c r="GP198" s="305"/>
      <c r="GQ198" s="305"/>
      <c r="GR198" s="305"/>
    </row>
    <row r="199" spans="3:200" s="318" customFormat="1" ht="12.75" customHeight="1" x14ac:dyDescent="0.2">
      <c r="C199" s="367"/>
      <c r="D199" s="403"/>
      <c r="E199" s="369"/>
      <c r="F199" s="369"/>
      <c r="G199" s="369"/>
      <c r="H199" s="369"/>
      <c r="I199" s="370"/>
      <c r="J199"/>
      <c r="K199" s="371"/>
      <c r="L199" s="371"/>
      <c r="M199" s="371"/>
      <c r="N199" s="371"/>
      <c r="O199" s="305"/>
      <c r="P199" s="305"/>
      <c r="Q199" s="305"/>
      <c r="R199" s="305"/>
      <c r="S199" s="305"/>
      <c r="T199" s="305"/>
      <c r="U199" s="305"/>
      <c r="V199" s="305"/>
      <c r="W199" s="305"/>
      <c r="X199" s="305"/>
      <c r="Y199" s="305"/>
      <c r="Z199" s="305"/>
      <c r="AA199" s="305"/>
      <c r="AB199" s="305"/>
      <c r="AC199" s="305"/>
      <c r="AD199" s="305"/>
      <c r="AE199" s="305"/>
      <c r="AF199" s="305"/>
      <c r="AG199" s="305"/>
      <c r="AH199" s="305"/>
      <c r="AI199" s="305"/>
      <c r="AJ199" s="305"/>
      <c r="AK199" s="305"/>
      <c r="AL199" s="305"/>
      <c r="AM199" s="305"/>
      <c r="AN199" s="305"/>
      <c r="AO199" s="305"/>
      <c r="AP199" s="305"/>
      <c r="AQ199" s="305"/>
      <c r="AR199" s="305"/>
      <c r="AS199" s="305"/>
      <c r="AT199" s="305"/>
      <c r="AU199" s="305"/>
      <c r="AV199" s="305"/>
      <c r="AW199" s="305"/>
      <c r="AX199" s="305"/>
      <c r="AY199" s="305"/>
      <c r="AZ199" s="305"/>
      <c r="BA199" s="305"/>
      <c r="BB199" s="305"/>
      <c r="BC199" s="305"/>
      <c r="BD199" s="305"/>
      <c r="BE199" s="305"/>
      <c r="BF199" s="305"/>
      <c r="BG199" s="305"/>
      <c r="BH199" s="305"/>
      <c r="BI199" s="305"/>
      <c r="BJ199" s="305"/>
      <c r="BK199" s="305"/>
      <c r="BL199" s="305"/>
      <c r="BM199" s="305"/>
      <c r="BN199" s="305"/>
      <c r="BO199" s="305"/>
      <c r="BP199" s="305"/>
      <c r="BQ199" s="305"/>
      <c r="BR199" s="305"/>
      <c r="BS199" s="305"/>
      <c r="BT199" s="305"/>
      <c r="BU199" s="305"/>
      <c r="BV199" s="305"/>
      <c r="BW199" s="305"/>
      <c r="BX199" s="305"/>
      <c r="BY199" s="305"/>
      <c r="BZ199" s="305"/>
      <c r="CA199" s="305"/>
      <c r="CB199" s="305"/>
      <c r="CC199" s="305"/>
      <c r="CD199" s="305"/>
      <c r="CE199" s="305"/>
      <c r="CF199" s="305"/>
      <c r="CG199" s="305"/>
      <c r="CH199" s="305"/>
      <c r="CI199" s="305"/>
      <c r="CJ199" s="305"/>
      <c r="CK199" s="305"/>
      <c r="CL199" s="305"/>
      <c r="CM199" s="305"/>
      <c r="CN199" s="305"/>
      <c r="CO199" s="305"/>
      <c r="CP199" s="305"/>
      <c r="CQ199" s="305"/>
      <c r="CR199" s="305"/>
      <c r="CS199" s="305"/>
      <c r="CT199" s="305"/>
      <c r="CU199" s="305"/>
      <c r="CV199" s="305"/>
      <c r="CW199" s="305"/>
      <c r="CX199" s="305"/>
      <c r="CY199" s="305"/>
      <c r="CZ199" s="305"/>
      <c r="DA199" s="305"/>
      <c r="DB199" s="305"/>
      <c r="DC199" s="305"/>
      <c r="DD199" s="305"/>
      <c r="DE199" s="305"/>
      <c r="DF199" s="305"/>
      <c r="DG199" s="305"/>
      <c r="DH199" s="305"/>
      <c r="DI199" s="305"/>
      <c r="DJ199" s="305"/>
      <c r="DK199" s="305"/>
      <c r="DL199" s="305"/>
      <c r="DM199" s="305"/>
      <c r="DN199" s="305"/>
      <c r="DO199" s="305"/>
      <c r="DP199" s="305"/>
      <c r="DQ199" s="305"/>
      <c r="DR199" s="305"/>
      <c r="DS199" s="305"/>
      <c r="DT199" s="305"/>
      <c r="DU199" s="305"/>
      <c r="DV199" s="305"/>
      <c r="DW199" s="305"/>
      <c r="DX199" s="305"/>
      <c r="DY199" s="305"/>
      <c r="DZ199" s="305"/>
      <c r="EA199" s="305"/>
      <c r="EB199" s="305"/>
      <c r="EC199" s="305"/>
      <c r="ED199" s="305"/>
      <c r="EE199" s="305"/>
      <c r="EF199" s="305"/>
      <c r="EG199" s="305"/>
      <c r="EH199" s="305"/>
      <c r="EI199" s="305"/>
      <c r="EJ199" s="305"/>
      <c r="EK199" s="305"/>
      <c r="EL199" s="305"/>
      <c r="EM199" s="305"/>
      <c r="EN199" s="305"/>
      <c r="EO199" s="305"/>
      <c r="EP199" s="305"/>
      <c r="EQ199" s="305"/>
      <c r="ER199" s="305"/>
      <c r="ES199" s="305"/>
      <c r="ET199" s="305"/>
      <c r="EU199" s="305"/>
      <c r="EV199" s="305"/>
      <c r="EW199" s="305"/>
      <c r="EX199" s="305"/>
      <c r="EY199" s="305"/>
      <c r="EZ199" s="305"/>
      <c r="FA199" s="305"/>
      <c r="FB199" s="305"/>
      <c r="FC199" s="305"/>
      <c r="FD199" s="305"/>
      <c r="FE199" s="305"/>
      <c r="FF199" s="305"/>
      <c r="FG199" s="305"/>
      <c r="FH199" s="305"/>
      <c r="FI199" s="305"/>
      <c r="FJ199" s="305"/>
      <c r="FK199" s="305"/>
      <c r="FL199" s="305"/>
      <c r="FM199" s="305"/>
      <c r="FN199" s="305"/>
      <c r="FO199" s="305"/>
      <c r="FP199" s="305"/>
      <c r="FQ199" s="305"/>
      <c r="FR199" s="305"/>
      <c r="FS199" s="305"/>
      <c r="FT199" s="305"/>
      <c r="FU199" s="305"/>
      <c r="FV199" s="305"/>
      <c r="FW199" s="305"/>
      <c r="FX199" s="305"/>
      <c r="FY199" s="305"/>
      <c r="FZ199" s="305"/>
      <c r="GA199" s="305"/>
      <c r="GB199" s="305"/>
      <c r="GC199" s="305"/>
      <c r="GD199" s="305"/>
      <c r="GE199" s="305"/>
      <c r="GF199" s="305"/>
      <c r="GG199" s="305"/>
      <c r="GH199" s="305"/>
      <c r="GI199" s="305"/>
      <c r="GJ199" s="305"/>
      <c r="GK199" s="305"/>
      <c r="GL199" s="305"/>
      <c r="GM199" s="305"/>
      <c r="GN199" s="305"/>
      <c r="GO199" s="305"/>
      <c r="GP199" s="305"/>
      <c r="GQ199" s="305"/>
      <c r="GR199" s="305"/>
    </row>
    <row r="200" spans="3:200" s="318" customFormat="1" ht="12.75" customHeight="1" x14ac:dyDescent="0.2">
      <c r="C200" s="367"/>
      <c r="D200" s="403"/>
      <c r="E200" s="369"/>
      <c r="F200" s="369"/>
      <c r="G200" s="369"/>
      <c r="H200" s="369"/>
      <c r="I200" s="370"/>
      <c r="J200"/>
      <c r="K200" s="371"/>
      <c r="L200" s="371"/>
      <c r="M200" s="371"/>
      <c r="N200" s="371"/>
      <c r="O200" s="305"/>
      <c r="P200" s="305"/>
      <c r="Q200" s="305"/>
      <c r="R200" s="305"/>
      <c r="S200" s="305"/>
      <c r="T200" s="305"/>
      <c r="U200" s="305"/>
      <c r="V200" s="305"/>
      <c r="W200" s="305"/>
      <c r="X200" s="305"/>
      <c r="Y200" s="305"/>
      <c r="Z200" s="305"/>
      <c r="AA200" s="305"/>
      <c r="AB200" s="305"/>
      <c r="AC200" s="305"/>
      <c r="AD200" s="305"/>
      <c r="AE200" s="305"/>
      <c r="AF200" s="305"/>
      <c r="AG200" s="305"/>
      <c r="AH200" s="305"/>
      <c r="AI200" s="305"/>
      <c r="AJ200" s="305"/>
      <c r="AK200" s="305"/>
      <c r="AL200" s="305"/>
      <c r="AM200" s="305"/>
      <c r="AN200" s="305"/>
      <c r="AO200" s="305"/>
      <c r="AP200" s="305"/>
      <c r="AQ200" s="305"/>
      <c r="AR200" s="305"/>
      <c r="AS200" s="305"/>
      <c r="AT200" s="305"/>
      <c r="AU200" s="305"/>
      <c r="AV200" s="305"/>
      <c r="AW200" s="305"/>
      <c r="AX200" s="305"/>
      <c r="AY200" s="305"/>
      <c r="AZ200" s="305"/>
      <c r="BA200" s="305"/>
      <c r="BB200" s="305"/>
      <c r="BC200" s="305"/>
      <c r="BD200" s="305"/>
      <c r="BE200" s="305"/>
      <c r="BF200" s="305"/>
      <c r="BG200" s="305"/>
      <c r="BH200" s="305"/>
      <c r="BI200" s="305"/>
      <c r="BJ200" s="305"/>
      <c r="BK200" s="305"/>
      <c r="BL200" s="305"/>
      <c r="BM200" s="305"/>
      <c r="BN200" s="305"/>
      <c r="BO200" s="305"/>
      <c r="BP200" s="305"/>
      <c r="BQ200" s="305"/>
      <c r="BR200" s="305"/>
      <c r="BS200" s="305"/>
      <c r="BT200" s="305"/>
      <c r="BU200" s="305"/>
      <c r="BV200" s="305"/>
      <c r="BW200" s="305"/>
      <c r="BX200" s="305"/>
      <c r="BY200" s="305"/>
      <c r="BZ200" s="305"/>
      <c r="CA200" s="305"/>
      <c r="CB200" s="305"/>
      <c r="CC200" s="305"/>
      <c r="CD200" s="305"/>
      <c r="CE200" s="305"/>
      <c r="CF200" s="305"/>
      <c r="CG200" s="305"/>
      <c r="CH200" s="305"/>
      <c r="CI200" s="305"/>
      <c r="CJ200" s="305"/>
      <c r="CK200" s="305"/>
      <c r="CL200" s="305"/>
      <c r="CM200" s="305"/>
      <c r="CN200" s="305"/>
      <c r="CO200" s="305"/>
      <c r="CP200" s="305"/>
      <c r="CQ200" s="305"/>
      <c r="CR200" s="305"/>
      <c r="CS200" s="305"/>
      <c r="CT200" s="305"/>
      <c r="CU200" s="305"/>
      <c r="CV200" s="305"/>
      <c r="CW200" s="305"/>
      <c r="CX200" s="305"/>
      <c r="CY200" s="305"/>
      <c r="CZ200" s="305"/>
      <c r="DA200" s="305"/>
      <c r="DB200" s="305"/>
      <c r="DC200" s="305"/>
      <c r="DD200" s="305"/>
      <c r="DE200" s="305"/>
      <c r="DF200" s="305"/>
      <c r="DG200" s="305"/>
      <c r="DH200" s="305"/>
      <c r="DI200" s="305"/>
      <c r="DJ200" s="305"/>
      <c r="DK200" s="305"/>
      <c r="DL200" s="305"/>
      <c r="DM200" s="305"/>
      <c r="DN200" s="305"/>
      <c r="DO200" s="305"/>
      <c r="DP200" s="305"/>
      <c r="DQ200" s="305"/>
      <c r="DR200" s="305"/>
      <c r="DS200" s="305"/>
      <c r="DT200" s="305"/>
      <c r="DU200" s="305"/>
      <c r="DV200" s="305"/>
      <c r="DW200" s="305"/>
      <c r="DX200" s="305"/>
      <c r="DY200" s="305"/>
      <c r="DZ200" s="305"/>
      <c r="EA200" s="305"/>
      <c r="EB200" s="305"/>
      <c r="EC200" s="305"/>
      <c r="ED200" s="305"/>
      <c r="EE200" s="305"/>
      <c r="EF200" s="305"/>
      <c r="EG200" s="305"/>
      <c r="EH200" s="305"/>
      <c r="EI200" s="305"/>
      <c r="EJ200" s="305"/>
      <c r="EK200" s="305"/>
      <c r="EL200" s="305"/>
      <c r="EM200" s="305"/>
      <c r="EN200" s="305"/>
      <c r="EO200" s="305"/>
      <c r="EP200" s="305"/>
      <c r="EQ200" s="305"/>
      <c r="ER200" s="305"/>
      <c r="ES200" s="305"/>
      <c r="ET200" s="305"/>
      <c r="EU200" s="305"/>
      <c r="EV200" s="305"/>
      <c r="EW200" s="305"/>
      <c r="EX200" s="305"/>
      <c r="EY200" s="305"/>
      <c r="EZ200" s="305"/>
      <c r="FA200" s="305"/>
      <c r="FB200" s="305"/>
      <c r="FC200" s="305"/>
      <c r="FD200" s="305"/>
      <c r="FE200" s="305"/>
      <c r="FF200" s="305"/>
      <c r="FG200" s="305"/>
      <c r="FH200" s="305"/>
      <c r="FI200" s="305"/>
      <c r="FJ200" s="305"/>
      <c r="FK200" s="305"/>
      <c r="FL200" s="305"/>
      <c r="FM200" s="305"/>
      <c r="FN200" s="305"/>
      <c r="FO200" s="305"/>
      <c r="FP200" s="305"/>
      <c r="FQ200" s="305"/>
      <c r="FR200" s="305"/>
      <c r="FS200" s="305"/>
      <c r="FT200" s="305"/>
      <c r="FU200" s="305"/>
      <c r="FV200" s="305"/>
      <c r="FW200" s="305"/>
      <c r="FX200" s="305"/>
      <c r="FY200" s="305"/>
      <c r="FZ200" s="305"/>
      <c r="GA200" s="305"/>
      <c r="GB200" s="305"/>
      <c r="GC200" s="305"/>
      <c r="GD200" s="305"/>
      <c r="GE200" s="305"/>
      <c r="GF200" s="305"/>
      <c r="GG200" s="305"/>
      <c r="GH200" s="305"/>
      <c r="GI200" s="305"/>
      <c r="GJ200" s="305"/>
      <c r="GK200" s="305"/>
      <c r="GL200" s="305"/>
      <c r="GM200" s="305"/>
      <c r="GN200" s="305"/>
      <c r="GO200" s="305"/>
      <c r="GP200" s="305"/>
      <c r="GQ200" s="305"/>
      <c r="GR200" s="305"/>
    </row>
    <row r="201" spans="3:200" s="318" customFormat="1" ht="12.75" customHeight="1" x14ac:dyDescent="0.2">
      <c r="C201" s="367"/>
      <c r="D201" s="403"/>
      <c r="E201" s="369"/>
      <c r="F201" s="369"/>
      <c r="G201" s="369"/>
      <c r="H201" s="369"/>
      <c r="I201" s="370"/>
      <c r="J201"/>
      <c r="K201" s="371"/>
      <c r="L201" s="371"/>
      <c r="M201" s="371"/>
      <c r="N201" s="371"/>
      <c r="O201" s="305"/>
      <c r="P201" s="305"/>
      <c r="Q201" s="305"/>
      <c r="R201" s="305"/>
      <c r="S201" s="305"/>
      <c r="T201" s="305"/>
      <c r="U201" s="305"/>
      <c r="V201" s="305"/>
      <c r="W201" s="305"/>
      <c r="X201" s="305"/>
      <c r="Y201" s="305"/>
      <c r="Z201" s="305"/>
      <c r="AA201" s="305"/>
      <c r="AB201" s="305"/>
      <c r="AC201" s="305"/>
      <c r="AD201" s="305"/>
      <c r="AE201" s="305"/>
      <c r="AF201" s="305"/>
      <c r="AG201" s="305"/>
      <c r="AH201" s="305"/>
      <c r="AI201" s="305"/>
      <c r="AJ201" s="305"/>
      <c r="AK201" s="305"/>
      <c r="AL201" s="305"/>
      <c r="AM201" s="305"/>
      <c r="AN201" s="305"/>
      <c r="AO201" s="305"/>
      <c r="AP201" s="305"/>
      <c r="AQ201" s="305"/>
      <c r="AR201" s="305"/>
      <c r="AS201" s="305"/>
      <c r="AT201" s="305"/>
      <c r="AU201" s="305"/>
      <c r="AV201" s="305"/>
      <c r="AW201" s="305"/>
      <c r="AX201" s="305"/>
      <c r="AY201" s="305"/>
      <c r="AZ201" s="305"/>
      <c r="BA201" s="305"/>
      <c r="BB201" s="305"/>
      <c r="BC201" s="305"/>
      <c r="BD201" s="305"/>
      <c r="BE201" s="305"/>
      <c r="BF201" s="305"/>
      <c r="BG201" s="305"/>
      <c r="BH201" s="305"/>
      <c r="BI201" s="305"/>
      <c r="BJ201" s="305"/>
      <c r="BK201" s="305"/>
      <c r="BL201" s="305"/>
      <c r="BM201" s="305"/>
      <c r="BN201" s="305"/>
      <c r="BO201" s="305"/>
      <c r="BP201" s="305"/>
      <c r="BQ201" s="305"/>
      <c r="BR201" s="305"/>
      <c r="BS201" s="305"/>
      <c r="BT201" s="305"/>
      <c r="BU201" s="305"/>
      <c r="BV201" s="305"/>
      <c r="BW201" s="305"/>
      <c r="BX201" s="305"/>
      <c r="BY201" s="305"/>
      <c r="BZ201" s="305"/>
      <c r="CA201" s="305"/>
      <c r="CB201" s="305"/>
      <c r="CC201" s="305"/>
      <c r="CD201" s="305"/>
      <c r="CE201" s="305"/>
      <c r="CF201" s="305"/>
      <c r="CG201" s="305"/>
      <c r="CH201" s="305"/>
      <c r="CI201" s="305"/>
      <c r="CJ201" s="305"/>
      <c r="CK201" s="305"/>
      <c r="CL201" s="305"/>
      <c r="CM201" s="305"/>
      <c r="CN201" s="305"/>
      <c r="CO201" s="305"/>
      <c r="CP201" s="305"/>
      <c r="CQ201" s="305"/>
      <c r="CR201" s="305"/>
      <c r="CS201" s="305"/>
      <c r="CT201" s="305"/>
      <c r="CU201" s="305"/>
      <c r="CV201" s="305"/>
      <c r="CW201" s="305"/>
      <c r="CX201" s="305"/>
      <c r="CY201" s="305"/>
      <c r="CZ201" s="305"/>
      <c r="DA201" s="305"/>
      <c r="DB201" s="305"/>
      <c r="DC201" s="305"/>
      <c r="DD201" s="305"/>
      <c r="DE201" s="305"/>
      <c r="DF201" s="305"/>
      <c r="DG201" s="305"/>
      <c r="DH201" s="305"/>
      <c r="DI201" s="305"/>
      <c r="DJ201" s="305"/>
      <c r="DK201" s="305"/>
      <c r="DL201" s="305"/>
      <c r="DM201" s="305"/>
      <c r="DN201" s="305"/>
      <c r="DO201" s="305"/>
      <c r="DP201" s="305"/>
      <c r="DQ201" s="305"/>
      <c r="DR201" s="305"/>
      <c r="DS201" s="305"/>
      <c r="DT201" s="305"/>
      <c r="DU201" s="305"/>
      <c r="DV201" s="305"/>
      <c r="DW201" s="305"/>
      <c r="DX201" s="305"/>
      <c r="DY201" s="305"/>
      <c r="DZ201" s="305"/>
      <c r="EA201" s="305"/>
      <c r="EB201" s="305"/>
      <c r="EC201" s="305"/>
      <c r="ED201" s="305"/>
      <c r="EE201" s="305"/>
      <c r="EF201" s="305"/>
      <c r="EG201" s="305"/>
      <c r="EH201" s="305"/>
      <c r="EI201" s="305"/>
      <c r="EJ201" s="305"/>
      <c r="EK201" s="305"/>
      <c r="EL201" s="305"/>
      <c r="EM201" s="305"/>
      <c r="EN201" s="305"/>
      <c r="EO201" s="305"/>
      <c r="EP201" s="305"/>
      <c r="EQ201" s="305"/>
      <c r="ER201" s="305"/>
      <c r="ES201" s="305"/>
      <c r="ET201" s="305"/>
      <c r="EU201" s="305"/>
      <c r="EV201" s="305"/>
      <c r="EW201" s="305"/>
      <c r="EX201" s="305"/>
      <c r="EY201" s="305"/>
      <c r="EZ201" s="305"/>
      <c r="FA201" s="305"/>
      <c r="FB201" s="305"/>
      <c r="FC201" s="305"/>
      <c r="FD201" s="305"/>
      <c r="FE201" s="305"/>
      <c r="FF201" s="305"/>
      <c r="FG201" s="305"/>
      <c r="FH201" s="305"/>
      <c r="FI201" s="305"/>
      <c r="FJ201" s="305"/>
      <c r="FK201" s="305"/>
      <c r="FL201" s="305"/>
      <c r="FM201" s="305"/>
      <c r="FN201" s="305"/>
      <c r="FO201" s="305"/>
      <c r="FP201" s="305"/>
      <c r="FQ201" s="305"/>
      <c r="FR201" s="305"/>
      <c r="FS201" s="305"/>
      <c r="FT201" s="305"/>
      <c r="FU201" s="305"/>
      <c r="FV201" s="305"/>
      <c r="FW201" s="305"/>
      <c r="FX201" s="305"/>
      <c r="FY201" s="305"/>
      <c r="FZ201" s="305"/>
      <c r="GA201" s="305"/>
      <c r="GB201" s="305"/>
      <c r="GC201" s="305"/>
      <c r="GD201" s="305"/>
      <c r="GE201" s="305"/>
      <c r="GF201" s="305"/>
      <c r="GG201" s="305"/>
      <c r="GH201" s="305"/>
      <c r="GI201" s="305"/>
      <c r="GJ201" s="305"/>
      <c r="GK201" s="305"/>
      <c r="GL201" s="305"/>
      <c r="GM201" s="305"/>
      <c r="GN201" s="305"/>
      <c r="GO201" s="305"/>
      <c r="GP201" s="305"/>
      <c r="GQ201" s="305"/>
      <c r="GR201" s="305"/>
    </row>
    <row r="202" spans="3:200" s="318" customFormat="1" ht="12.75" customHeight="1" x14ac:dyDescent="0.2">
      <c r="C202" s="367"/>
      <c r="D202" s="403"/>
      <c r="E202" s="369"/>
      <c r="F202" s="369"/>
      <c r="G202" s="369"/>
      <c r="H202" s="369"/>
      <c r="I202" s="370"/>
      <c r="J202"/>
      <c r="K202" s="371"/>
      <c r="L202" s="371"/>
      <c r="M202" s="371"/>
      <c r="N202" s="371"/>
      <c r="O202" s="305"/>
      <c r="P202" s="305"/>
      <c r="Q202" s="305"/>
      <c r="R202" s="305"/>
      <c r="S202" s="305"/>
      <c r="T202" s="305"/>
      <c r="U202" s="305"/>
      <c r="V202" s="305"/>
      <c r="W202" s="305"/>
      <c r="X202" s="305"/>
      <c r="Y202" s="305"/>
      <c r="Z202" s="305"/>
      <c r="AA202" s="305"/>
      <c r="AB202" s="305"/>
      <c r="AC202" s="305"/>
      <c r="AD202" s="305"/>
      <c r="AE202" s="305"/>
      <c r="AF202" s="305"/>
      <c r="AG202" s="305"/>
      <c r="AH202" s="305"/>
      <c r="AI202" s="305"/>
      <c r="AJ202" s="305"/>
      <c r="AK202" s="305"/>
      <c r="AL202" s="305"/>
      <c r="AM202" s="305"/>
      <c r="AN202" s="305"/>
      <c r="AO202" s="305"/>
      <c r="AP202" s="305"/>
      <c r="AQ202" s="305"/>
      <c r="AR202" s="305"/>
      <c r="AS202" s="305"/>
      <c r="AT202" s="305"/>
      <c r="AU202" s="305"/>
      <c r="AV202" s="305"/>
      <c r="AW202" s="305"/>
      <c r="AX202" s="305"/>
      <c r="AY202" s="305"/>
      <c r="AZ202" s="305"/>
      <c r="BA202" s="305"/>
      <c r="BB202" s="305"/>
      <c r="BC202" s="305"/>
      <c r="BD202" s="305"/>
      <c r="BE202" s="305"/>
      <c r="BF202" s="305"/>
      <c r="BG202" s="305"/>
      <c r="BH202" s="305"/>
      <c r="BI202" s="305"/>
      <c r="BJ202" s="305"/>
      <c r="BK202" s="305"/>
      <c r="BL202" s="305"/>
      <c r="BM202" s="305"/>
      <c r="BN202" s="305"/>
      <c r="BO202" s="305"/>
      <c r="BP202" s="305"/>
      <c r="BQ202" s="305"/>
      <c r="BR202" s="305"/>
      <c r="BS202" s="305"/>
      <c r="BT202" s="305"/>
      <c r="BU202" s="305"/>
      <c r="BV202" s="305"/>
      <c r="BW202" s="305"/>
      <c r="BX202" s="305"/>
      <c r="BY202" s="305"/>
      <c r="BZ202" s="305"/>
      <c r="CA202" s="305"/>
      <c r="CB202" s="305"/>
      <c r="CC202" s="305"/>
      <c r="CD202" s="305"/>
      <c r="CE202" s="305"/>
      <c r="CF202" s="305"/>
      <c r="CG202" s="305"/>
      <c r="CH202" s="305"/>
      <c r="CI202" s="305"/>
      <c r="CJ202" s="305"/>
      <c r="CK202" s="305"/>
      <c r="CL202" s="305"/>
      <c r="CM202" s="305"/>
      <c r="CN202" s="305"/>
      <c r="CO202" s="305"/>
      <c r="CP202" s="305"/>
      <c r="CQ202" s="305"/>
      <c r="CR202" s="305"/>
      <c r="CS202" s="305"/>
      <c r="CT202" s="305"/>
      <c r="CU202" s="305"/>
      <c r="CV202" s="305"/>
      <c r="CW202" s="305"/>
      <c r="CX202" s="305"/>
      <c r="CY202" s="305"/>
      <c r="CZ202" s="305"/>
      <c r="DA202" s="305"/>
      <c r="DB202" s="305"/>
      <c r="DC202" s="305"/>
      <c r="DD202" s="305"/>
      <c r="DE202" s="305"/>
      <c r="DF202" s="305"/>
      <c r="DG202" s="305"/>
      <c r="DH202" s="305"/>
      <c r="DI202" s="305"/>
      <c r="DJ202" s="305"/>
      <c r="DK202" s="305"/>
      <c r="DL202" s="305"/>
      <c r="DM202" s="305"/>
      <c r="DN202" s="305"/>
      <c r="DO202" s="305"/>
      <c r="DP202" s="305"/>
      <c r="DQ202" s="305"/>
      <c r="DR202" s="305"/>
      <c r="DS202" s="305"/>
      <c r="DT202" s="305"/>
      <c r="DU202" s="305"/>
      <c r="DV202" s="305"/>
      <c r="DW202" s="305"/>
      <c r="DX202" s="305"/>
      <c r="DY202" s="305"/>
      <c r="DZ202" s="305"/>
      <c r="EA202" s="305"/>
      <c r="EB202" s="305"/>
      <c r="EC202" s="305"/>
      <c r="ED202" s="305"/>
      <c r="EE202" s="305"/>
      <c r="EF202" s="305"/>
      <c r="EG202" s="305"/>
      <c r="EH202" s="305"/>
      <c r="EI202" s="305"/>
      <c r="EJ202" s="305"/>
      <c r="EK202" s="305"/>
      <c r="EL202" s="305"/>
      <c r="EM202" s="305"/>
      <c r="EN202" s="305"/>
      <c r="EO202" s="305"/>
      <c r="EP202" s="305"/>
      <c r="EQ202" s="305"/>
      <c r="ER202" s="305"/>
      <c r="ES202" s="305"/>
      <c r="ET202" s="305"/>
      <c r="EU202" s="305"/>
      <c r="EV202" s="305"/>
      <c r="EW202" s="305"/>
      <c r="EX202" s="305"/>
      <c r="EY202" s="305"/>
      <c r="EZ202" s="305"/>
      <c r="FA202" s="305"/>
      <c r="FB202" s="305"/>
      <c r="FC202" s="305"/>
      <c r="FD202" s="305"/>
      <c r="FE202" s="305"/>
      <c r="FF202" s="305"/>
      <c r="FG202" s="305"/>
      <c r="FH202" s="305"/>
      <c r="FI202" s="305"/>
      <c r="FJ202" s="305"/>
      <c r="FK202" s="305"/>
      <c r="FL202" s="305"/>
      <c r="FM202" s="305"/>
      <c r="FN202" s="305"/>
      <c r="FO202" s="305"/>
      <c r="FP202" s="305"/>
      <c r="FQ202" s="305"/>
      <c r="FR202" s="305"/>
      <c r="FS202" s="305"/>
      <c r="FT202" s="305"/>
      <c r="FU202" s="305"/>
      <c r="FV202" s="305"/>
      <c r="FW202" s="305"/>
      <c r="FX202" s="305"/>
      <c r="FY202" s="305"/>
      <c r="FZ202" s="305"/>
      <c r="GA202" s="305"/>
      <c r="GB202" s="305"/>
      <c r="GC202" s="305"/>
      <c r="GD202" s="305"/>
      <c r="GE202" s="305"/>
      <c r="GF202" s="305"/>
      <c r="GG202" s="305"/>
      <c r="GH202" s="305"/>
      <c r="GI202" s="305"/>
      <c r="GJ202" s="305"/>
      <c r="GK202" s="305"/>
      <c r="GL202" s="305"/>
      <c r="GM202" s="305"/>
      <c r="GN202" s="305"/>
      <c r="GO202" s="305"/>
      <c r="GP202" s="305"/>
      <c r="GQ202" s="305"/>
      <c r="GR202" s="305"/>
    </row>
    <row r="203" spans="3:200" s="318" customFormat="1" ht="12.75" customHeight="1" x14ac:dyDescent="0.2">
      <c r="C203" s="367"/>
      <c r="D203" s="403"/>
      <c r="E203" s="369"/>
      <c r="F203" s="369"/>
      <c r="G203" s="369"/>
      <c r="H203" s="369"/>
      <c r="I203" s="370"/>
      <c r="J203"/>
      <c r="K203" s="371"/>
      <c r="L203" s="371"/>
      <c r="M203" s="371"/>
      <c r="N203" s="371"/>
      <c r="O203" s="305"/>
      <c r="P203" s="305"/>
      <c r="Q203" s="305"/>
      <c r="R203" s="305"/>
      <c r="S203" s="305"/>
      <c r="T203" s="305"/>
      <c r="U203" s="305"/>
      <c r="V203" s="305"/>
      <c r="W203" s="305"/>
      <c r="X203" s="305"/>
      <c r="Y203" s="305"/>
      <c r="Z203" s="305"/>
      <c r="AA203" s="305"/>
      <c r="AB203" s="305"/>
      <c r="AC203" s="305"/>
      <c r="AD203" s="305"/>
      <c r="AE203" s="305"/>
      <c r="AF203" s="305"/>
      <c r="AG203" s="305"/>
      <c r="AH203" s="305"/>
      <c r="AI203" s="305"/>
      <c r="AJ203" s="305"/>
      <c r="AK203" s="305"/>
      <c r="AL203" s="305"/>
      <c r="AM203" s="305"/>
      <c r="AN203" s="305"/>
      <c r="AO203" s="305"/>
      <c r="AP203" s="305"/>
      <c r="AQ203" s="305"/>
      <c r="AR203" s="305"/>
      <c r="AS203" s="305"/>
      <c r="AT203" s="305"/>
      <c r="AU203" s="305"/>
      <c r="AV203" s="305"/>
      <c r="AW203" s="305"/>
      <c r="AX203" s="305"/>
      <c r="AY203" s="305"/>
      <c r="AZ203" s="305"/>
      <c r="BA203" s="305"/>
      <c r="BB203" s="305"/>
      <c r="BC203" s="305"/>
      <c r="BD203" s="305"/>
      <c r="BE203" s="305"/>
      <c r="BF203" s="305"/>
      <c r="BG203" s="305"/>
      <c r="BH203" s="305"/>
      <c r="BI203" s="305"/>
      <c r="BJ203" s="305"/>
      <c r="BK203" s="305"/>
      <c r="BL203" s="305"/>
      <c r="BM203" s="305"/>
      <c r="BN203" s="305"/>
      <c r="BO203" s="305"/>
      <c r="BP203" s="305"/>
      <c r="BQ203" s="305"/>
      <c r="BR203" s="305"/>
      <c r="BS203" s="305"/>
      <c r="BT203" s="305"/>
      <c r="BU203" s="305"/>
      <c r="BV203" s="305"/>
      <c r="BW203" s="305"/>
      <c r="BX203" s="305"/>
      <c r="BY203" s="305"/>
      <c r="BZ203" s="305"/>
      <c r="CA203" s="305"/>
      <c r="CB203" s="305"/>
      <c r="CC203" s="305"/>
      <c r="CD203" s="305"/>
      <c r="CE203" s="305"/>
      <c r="CF203" s="305"/>
      <c r="CG203" s="305"/>
      <c r="CH203" s="305"/>
      <c r="CI203" s="305"/>
      <c r="CJ203" s="305"/>
      <c r="CK203" s="305"/>
      <c r="CL203" s="305"/>
      <c r="CM203" s="305"/>
      <c r="CN203" s="305"/>
      <c r="CO203" s="305"/>
      <c r="CP203" s="305"/>
      <c r="CQ203" s="305"/>
      <c r="CR203" s="305"/>
      <c r="CS203" s="305"/>
      <c r="CT203" s="305"/>
      <c r="CU203" s="305"/>
      <c r="CV203" s="305"/>
      <c r="CW203" s="305"/>
      <c r="CX203" s="305"/>
      <c r="CY203" s="305"/>
      <c r="CZ203" s="305"/>
      <c r="DA203" s="305"/>
      <c r="DB203" s="305"/>
      <c r="DC203" s="305"/>
      <c r="DD203" s="305"/>
      <c r="DE203" s="305"/>
      <c r="DF203" s="305"/>
      <c r="DG203" s="305"/>
      <c r="DH203" s="305"/>
      <c r="DI203" s="305"/>
      <c r="DJ203" s="305"/>
      <c r="DK203" s="305"/>
      <c r="DL203" s="305"/>
      <c r="DM203" s="305"/>
      <c r="DN203" s="305"/>
      <c r="DO203" s="305"/>
      <c r="DP203" s="305"/>
      <c r="DQ203" s="305"/>
      <c r="DR203" s="305"/>
      <c r="DS203" s="305"/>
      <c r="DT203" s="305"/>
      <c r="DU203" s="305"/>
      <c r="DV203" s="305"/>
      <c r="DW203" s="305"/>
      <c r="DX203" s="305"/>
      <c r="DY203" s="305"/>
      <c r="DZ203" s="305"/>
      <c r="EA203" s="305"/>
      <c r="EB203" s="305"/>
      <c r="EC203" s="305"/>
      <c r="ED203" s="305"/>
      <c r="EE203" s="305"/>
      <c r="EF203" s="305"/>
      <c r="EG203" s="305"/>
      <c r="EH203" s="305"/>
      <c r="EI203" s="305"/>
      <c r="EJ203" s="305"/>
      <c r="EK203" s="305"/>
      <c r="EL203" s="305"/>
      <c r="EM203" s="305"/>
      <c r="EN203" s="305"/>
      <c r="EO203" s="305"/>
      <c r="EP203" s="305"/>
      <c r="EQ203" s="305"/>
      <c r="ER203" s="305"/>
      <c r="ES203" s="305"/>
      <c r="ET203" s="305"/>
      <c r="EU203" s="305"/>
      <c r="EV203" s="305"/>
      <c r="EW203" s="305"/>
      <c r="EX203" s="305"/>
      <c r="EY203" s="305"/>
      <c r="EZ203" s="305"/>
      <c r="FA203" s="305"/>
      <c r="FB203" s="305"/>
      <c r="FC203" s="305"/>
      <c r="FD203" s="305"/>
      <c r="FE203" s="305"/>
      <c r="FF203" s="305"/>
      <c r="FG203" s="305"/>
      <c r="FH203" s="305"/>
      <c r="FI203" s="305"/>
      <c r="FJ203" s="305"/>
      <c r="FK203" s="305"/>
      <c r="FL203" s="305"/>
      <c r="FM203" s="305"/>
      <c r="FN203" s="305"/>
      <c r="FO203" s="305"/>
      <c r="FP203" s="305"/>
      <c r="FQ203" s="305"/>
      <c r="FR203" s="305"/>
      <c r="FS203" s="305"/>
      <c r="FT203" s="305"/>
      <c r="FU203" s="305"/>
      <c r="FV203" s="305"/>
      <c r="FW203" s="305"/>
      <c r="FX203" s="305"/>
      <c r="FY203" s="305"/>
      <c r="FZ203" s="305"/>
      <c r="GA203" s="305"/>
      <c r="GB203" s="305"/>
      <c r="GC203" s="305"/>
      <c r="GD203" s="305"/>
      <c r="GE203" s="305"/>
      <c r="GF203" s="305"/>
      <c r="GG203" s="305"/>
      <c r="GH203" s="305"/>
      <c r="GI203" s="305"/>
      <c r="GJ203" s="305"/>
      <c r="GK203" s="305"/>
      <c r="GL203" s="305"/>
      <c r="GM203" s="305"/>
      <c r="GN203" s="305"/>
      <c r="GO203" s="305"/>
      <c r="GP203" s="305"/>
      <c r="GQ203" s="305"/>
      <c r="GR203" s="305"/>
    </row>
    <row r="204" spans="3:200" s="318" customFormat="1" ht="12.75" customHeight="1" x14ac:dyDescent="0.2">
      <c r="C204" s="367"/>
      <c r="D204" s="403"/>
      <c r="E204" s="369"/>
      <c r="F204" s="369"/>
      <c r="G204" s="369"/>
      <c r="H204" s="369"/>
      <c r="I204" s="370"/>
      <c r="J204"/>
      <c r="K204" s="371"/>
      <c r="L204" s="371"/>
      <c r="M204" s="371"/>
      <c r="N204" s="371"/>
      <c r="O204" s="305"/>
      <c r="P204" s="305"/>
      <c r="Q204" s="305"/>
      <c r="R204" s="305"/>
      <c r="S204" s="305"/>
      <c r="T204" s="305"/>
      <c r="U204" s="305"/>
      <c r="V204" s="305"/>
      <c r="W204" s="305"/>
      <c r="X204" s="305"/>
      <c r="Y204" s="305"/>
      <c r="Z204" s="305"/>
      <c r="AA204" s="305"/>
      <c r="AB204" s="305"/>
      <c r="AC204" s="305"/>
      <c r="AD204" s="305"/>
      <c r="AE204" s="305"/>
      <c r="AF204" s="305"/>
      <c r="AG204" s="305"/>
      <c r="AH204" s="305"/>
      <c r="AI204" s="305"/>
      <c r="AJ204" s="305"/>
      <c r="AK204" s="305"/>
      <c r="AL204" s="305"/>
      <c r="AM204" s="305"/>
      <c r="AN204" s="305"/>
      <c r="AO204" s="305"/>
      <c r="AP204" s="305"/>
      <c r="AQ204" s="305"/>
      <c r="AR204" s="305"/>
      <c r="AS204" s="305"/>
      <c r="AT204" s="305"/>
      <c r="AU204" s="305"/>
      <c r="AV204" s="305"/>
      <c r="AW204" s="305"/>
      <c r="AX204" s="305"/>
      <c r="AY204" s="305"/>
      <c r="AZ204" s="305"/>
      <c r="BA204" s="305"/>
      <c r="BB204" s="305"/>
      <c r="BC204" s="305"/>
      <c r="BD204" s="305"/>
      <c r="BE204" s="305"/>
      <c r="BF204" s="305"/>
      <c r="BG204" s="305"/>
      <c r="BH204" s="305"/>
      <c r="BI204" s="305"/>
      <c r="BJ204" s="305"/>
      <c r="BK204" s="305"/>
      <c r="BL204" s="305"/>
      <c r="BM204" s="305"/>
      <c r="BN204" s="305"/>
      <c r="BO204" s="305"/>
      <c r="BP204" s="305"/>
      <c r="BQ204" s="305"/>
      <c r="BR204" s="305"/>
      <c r="BS204" s="305"/>
      <c r="BT204" s="305"/>
      <c r="BU204" s="305"/>
      <c r="BV204" s="305"/>
      <c r="BW204" s="305"/>
      <c r="BX204" s="305"/>
      <c r="BY204" s="305"/>
      <c r="BZ204" s="305"/>
      <c r="CA204" s="305"/>
      <c r="CB204" s="305"/>
      <c r="CC204" s="305"/>
      <c r="CD204" s="305"/>
      <c r="CE204" s="305"/>
      <c r="CF204" s="305"/>
      <c r="CG204" s="305"/>
      <c r="CH204" s="305"/>
      <c r="CI204" s="305"/>
      <c r="CJ204" s="305"/>
      <c r="CK204" s="305"/>
      <c r="CL204" s="305"/>
      <c r="CM204" s="305"/>
      <c r="CN204" s="305"/>
      <c r="CO204" s="305"/>
      <c r="CP204" s="305"/>
      <c r="CQ204" s="305"/>
      <c r="CR204" s="305"/>
      <c r="CS204" s="305"/>
      <c r="CT204" s="305"/>
      <c r="CU204" s="305"/>
      <c r="CV204" s="305"/>
      <c r="CW204" s="305"/>
      <c r="CX204" s="305"/>
      <c r="CY204" s="305"/>
      <c r="CZ204" s="305"/>
      <c r="DA204" s="305"/>
      <c r="DB204" s="305"/>
      <c r="DC204" s="305"/>
      <c r="DD204" s="305"/>
      <c r="DE204" s="305"/>
      <c r="DF204" s="305"/>
      <c r="DG204" s="305"/>
      <c r="DH204" s="305"/>
      <c r="DI204" s="305"/>
      <c r="DJ204" s="305"/>
      <c r="DK204" s="305"/>
      <c r="DL204" s="305"/>
      <c r="DM204" s="305"/>
      <c r="DN204" s="305"/>
      <c r="DO204" s="305"/>
      <c r="DP204" s="305"/>
      <c r="DQ204" s="305"/>
      <c r="DR204" s="305"/>
      <c r="DS204" s="305"/>
      <c r="DT204" s="305"/>
      <c r="DU204" s="305"/>
      <c r="DV204" s="305"/>
      <c r="DW204" s="305"/>
      <c r="DX204" s="305"/>
      <c r="DY204" s="305"/>
      <c r="DZ204" s="305"/>
      <c r="EA204" s="305"/>
      <c r="EB204" s="305"/>
      <c r="EC204" s="305"/>
      <c r="ED204" s="305"/>
      <c r="EE204" s="305"/>
      <c r="EF204" s="305"/>
      <c r="EG204" s="305"/>
      <c r="EH204" s="305"/>
      <c r="EI204" s="305"/>
      <c r="EJ204" s="305"/>
      <c r="EK204" s="305"/>
      <c r="EL204" s="305"/>
      <c r="EM204" s="305"/>
      <c r="EN204" s="305"/>
      <c r="EO204" s="305"/>
      <c r="EP204" s="305"/>
      <c r="EQ204" s="305"/>
      <c r="ER204" s="305"/>
      <c r="ES204" s="305"/>
      <c r="ET204" s="305"/>
      <c r="EU204" s="305"/>
      <c r="EV204" s="305"/>
      <c r="EW204" s="305"/>
      <c r="EX204" s="305"/>
      <c r="EY204" s="305"/>
      <c r="EZ204" s="305"/>
      <c r="FA204" s="305"/>
      <c r="FB204" s="305"/>
      <c r="FC204" s="305"/>
      <c r="FD204" s="305"/>
      <c r="FE204" s="305"/>
      <c r="FF204" s="305"/>
      <c r="FG204" s="305"/>
      <c r="FH204" s="305"/>
      <c r="FI204" s="305"/>
      <c r="FJ204" s="305"/>
      <c r="FK204" s="305"/>
      <c r="FL204" s="305"/>
      <c r="FM204" s="305"/>
      <c r="FN204" s="305"/>
      <c r="FO204" s="305"/>
      <c r="FP204" s="305"/>
      <c r="FQ204" s="305"/>
      <c r="FR204" s="305"/>
      <c r="FS204" s="305"/>
      <c r="FT204" s="305"/>
      <c r="FU204" s="305"/>
      <c r="FV204" s="305"/>
      <c r="FW204" s="305"/>
      <c r="FX204" s="305"/>
      <c r="FY204" s="305"/>
      <c r="FZ204" s="305"/>
      <c r="GA204" s="305"/>
      <c r="GB204" s="305"/>
      <c r="GC204" s="305"/>
      <c r="GD204" s="305"/>
      <c r="GE204" s="305"/>
      <c r="GF204" s="305"/>
      <c r="GG204" s="305"/>
      <c r="GH204" s="305"/>
      <c r="GI204" s="305"/>
      <c r="GJ204" s="305"/>
      <c r="GK204" s="305"/>
      <c r="GL204" s="305"/>
      <c r="GM204" s="305"/>
      <c r="GN204" s="305"/>
      <c r="GO204" s="305"/>
      <c r="GP204" s="305"/>
      <c r="GQ204" s="305"/>
      <c r="GR204" s="305"/>
    </row>
    <row r="205" spans="3:200" s="318" customFormat="1" ht="12.75" customHeight="1" x14ac:dyDescent="0.2">
      <c r="C205" s="367"/>
      <c r="D205" s="403"/>
      <c r="E205" s="369"/>
      <c r="F205" s="369"/>
      <c r="G205" s="369"/>
      <c r="H205" s="369"/>
      <c r="I205" s="370"/>
      <c r="J205"/>
      <c r="K205" s="371"/>
      <c r="L205" s="371"/>
      <c r="M205" s="371"/>
      <c r="N205" s="371"/>
      <c r="O205" s="305"/>
      <c r="P205" s="305"/>
      <c r="Q205" s="305"/>
      <c r="R205" s="305"/>
      <c r="S205" s="305"/>
      <c r="T205" s="305"/>
      <c r="U205" s="305"/>
      <c r="V205" s="305"/>
      <c r="W205" s="305"/>
      <c r="X205" s="305"/>
      <c r="Y205" s="305"/>
      <c r="Z205" s="305"/>
      <c r="AA205" s="305"/>
      <c r="AB205" s="305"/>
      <c r="AC205" s="305"/>
      <c r="AD205" s="305"/>
      <c r="AE205" s="305"/>
      <c r="AF205" s="305"/>
      <c r="AG205" s="305"/>
      <c r="AH205" s="305"/>
      <c r="AI205" s="305"/>
      <c r="AJ205" s="305"/>
      <c r="AK205" s="305"/>
      <c r="AL205" s="305"/>
      <c r="AM205" s="305"/>
      <c r="AN205" s="305"/>
      <c r="AO205" s="305"/>
      <c r="AP205" s="305"/>
      <c r="AQ205" s="305"/>
      <c r="AR205" s="305"/>
      <c r="AS205" s="305"/>
      <c r="AT205" s="305"/>
      <c r="AU205" s="305"/>
      <c r="AV205" s="305"/>
      <c r="AW205" s="305"/>
      <c r="AX205" s="305"/>
      <c r="AY205" s="305"/>
      <c r="AZ205" s="305"/>
      <c r="BA205" s="305"/>
      <c r="BB205" s="305"/>
      <c r="BC205" s="305"/>
      <c r="BD205" s="305"/>
      <c r="BE205" s="305"/>
      <c r="BF205" s="305"/>
      <c r="BG205" s="305"/>
      <c r="BH205" s="305"/>
      <c r="BI205" s="305"/>
      <c r="BJ205" s="305"/>
      <c r="BK205" s="305"/>
      <c r="BL205" s="305"/>
      <c r="BM205" s="305"/>
      <c r="BN205" s="305"/>
      <c r="BO205" s="305"/>
      <c r="BP205" s="305"/>
      <c r="BQ205" s="305"/>
      <c r="BR205" s="305"/>
      <c r="BS205" s="305"/>
      <c r="BT205" s="305"/>
      <c r="BU205" s="305"/>
      <c r="BV205" s="305"/>
      <c r="BW205" s="305"/>
      <c r="BX205" s="305"/>
      <c r="BY205" s="305"/>
      <c r="BZ205" s="305"/>
      <c r="CA205" s="305"/>
      <c r="CB205" s="305"/>
      <c r="CC205" s="305"/>
      <c r="CD205" s="305"/>
      <c r="CE205" s="305"/>
      <c r="CF205" s="305"/>
      <c r="CG205" s="305"/>
      <c r="CH205" s="305"/>
      <c r="CI205" s="305"/>
      <c r="CJ205" s="305"/>
      <c r="CK205" s="305"/>
      <c r="CL205" s="305"/>
      <c r="CM205" s="305"/>
      <c r="CN205" s="305"/>
      <c r="CO205" s="305"/>
      <c r="CP205" s="305"/>
      <c r="CQ205" s="305"/>
      <c r="CR205" s="305"/>
      <c r="CS205" s="305"/>
      <c r="CT205" s="305"/>
      <c r="CU205" s="305"/>
      <c r="CV205" s="305"/>
      <c r="CW205" s="305"/>
      <c r="CX205" s="305"/>
      <c r="CY205" s="305"/>
      <c r="CZ205" s="305"/>
      <c r="DA205" s="305"/>
      <c r="DB205" s="305"/>
      <c r="DC205" s="305"/>
      <c r="DD205" s="305"/>
      <c r="DE205" s="305"/>
      <c r="DF205" s="305"/>
      <c r="DG205" s="305"/>
      <c r="DH205" s="305"/>
      <c r="DI205" s="305"/>
      <c r="DJ205" s="305"/>
      <c r="DK205" s="305"/>
      <c r="DL205" s="305"/>
      <c r="DM205" s="305"/>
      <c r="DN205" s="305"/>
      <c r="DO205" s="305"/>
      <c r="DP205" s="305"/>
      <c r="DQ205" s="305"/>
      <c r="DR205" s="305"/>
      <c r="DS205" s="305"/>
      <c r="DT205" s="305"/>
      <c r="DU205" s="305"/>
      <c r="DV205" s="305"/>
      <c r="DW205" s="305"/>
      <c r="DX205" s="305"/>
      <c r="DY205" s="305"/>
      <c r="DZ205" s="305"/>
      <c r="EA205" s="305"/>
      <c r="EB205" s="305"/>
      <c r="EC205" s="305"/>
      <c r="ED205" s="305"/>
      <c r="EE205" s="305"/>
      <c r="EF205" s="305"/>
      <c r="EG205" s="305"/>
      <c r="EH205" s="305"/>
      <c r="EI205" s="305"/>
      <c r="EJ205" s="305"/>
      <c r="EK205" s="305"/>
      <c r="EL205" s="305"/>
      <c r="EM205" s="305"/>
      <c r="EN205" s="305"/>
      <c r="EO205" s="305"/>
      <c r="EP205" s="305"/>
      <c r="EQ205" s="305"/>
      <c r="ER205" s="305"/>
      <c r="ES205" s="305"/>
      <c r="ET205" s="305"/>
      <c r="EU205" s="305"/>
      <c r="EV205" s="305"/>
      <c r="EW205" s="305"/>
      <c r="EX205" s="305"/>
      <c r="EY205" s="305"/>
      <c r="EZ205" s="305"/>
      <c r="FA205" s="305"/>
      <c r="FB205" s="305"/>
      <c r="FC205" s="305"/>
      <c r="FD205" s="305"/>
      <c r="FE205" s="305"/>
      <c r="FF205" s="305"/>
      <c r="FG205" s="305"/>
      <c r="FH205" s="305"/>
      <c r="FI205" s="305"/>
      <c r="FJ205" s="305"/>
      <c r="FK205" s="305"/>
      <c r="FL205" s="305"/>
      <c r="FM205" s="305"/>
      <c r="FN205" s="305"/>
      <c r="FO205" s="305"/>
      <c r="FP205" s="305"/>
      <c r="FQ205" s="305"/>
      <c r="FR205" s="305"/>
      <c r="FS205" s="305"/>
      <c r="FT205" s="305"/>
      <c r="FU205" s="305"/>
      <c r="FV205" s="305"/>
      <c r="FW205" s="305"/>
      <c r="FX205" s="305"/>
      <c r="FY205" s="305"/>
      <c r="FZ205" s="305"/>
      <c r="GA205" s="305"/>
      <c r="GB205" s="305"/>
      <c r="GC205" s="305"/>
      <c r="GD205" s="305"/>
      <c r="GE205" s="305"/>
      <c r="GF205" s="305"/>
      <c r="GG205" s="305"/>
      <c r="GH205" s="305"/>
      <c r="GI205" s="305"/>
      <c r="GJ205" s="305"/>
      <c r="GK205" s="305"/>
      <c r="GL205" s="305"/>
      <c r="GM205" s="305"/>
      <c r="GN205" s="305"/>
      <c r="GO205" s="305"/>
      <c r="GP205" s="305"/>
      <c r="GQ205" s="305"/>
      <c r="GR205" s="305"/>
    </row>
    <row r="206" spans="3:200" s="318" customFormat="1" ht="12.75" customHeight="1" x14ac:dyDescent="0.2">
      <c r="C206" s="367"/>
      <c r="D206" s="403"/>
      <c r="E206" s="369"/>
      <c r="F206" s="369"/>
      <c r="G206" s="369"/>
      <c r="H206" s="369"/>
      <c r="I206" s="370"/>
      <c r="J206"/>
      <c r="K206" s="371"/>
      <c r="L206" s="371"/>
      <c r="M206" s="371"/>
      <c r="N206" s="371"/>
      <c r="O206" s="305"/>
      <c r="P206" s="305"/>
      <c r="Q206" s="305"/>
      <c r="R206" s="305"/>
      <c r="S206" s="305"/>
      <c r="T206" s="305"/>
      <c r="U206" s="305"/>
      <c r="V206" s="305"/>
      <c r="W206" s="305"/>
      <c r="X206" s="305"/>
      <c r="Y206" s="305"/>
      <c r="Z206" s="305"/>
      <c r="AA206" s="305"/>
      <c r="AB206" s="305"/>
      <c r="AC206" s="305"/>
      <c r="AD206" s="305"/>
      <c r="AE206" s="305"/>
      <c r="AF206" s="305"/>
      <c r="AG206" s="305"/>
      <c r="AH206" s="305"/>
      <c r="AI206" s="305"/>
      <c r="AJ206" s="305"/>
      <c r="AK206" s="305"/>
      <c r="AL206" s="305"/>
      <c r="AM206" s="305"/>
      <c r="AN206" s="305"/>
      <c r="AO206" s="305"/>
      <c r="AP206" s="305"/>
      <c r="AQ206" s="305"/>
      <c r="AR206" s="305"/>
      <c r="AS206" s="305"/>
      <c r="AT206" s="305"/>
      <c r="AU206" s="305"/>
      <c r="AV206" s="305"/>
      <c r="AW206" s="305"/>
      <c r="AX206" s="305"/>
      <c r="AY206" s="305"/>
      <c r="AZ206" s="305"/>
      <c r="BA206" s="305"/>
      <c r="BB206" s="305"/>
      <c r="BC206" s="305"/>
      <c r="BD206" s="305"/>
      <c r="BE206" s="305"/>
      <c r="BF206" s="305"/>
      <c r="BG206" s="305"/>
      <c r="BH206" s="305"/>
      <c r="BI206" s="305"/>
      <c r="BJ206" s="305"/>
      <c r="BK206" s="305"/>
      <c r="BL206" s="305"/>
      <c r="BM206" s="305"/>
      <c r="BN206" s="305"/>
      <c r="BO206" s="305"/>
      <c r="BP206" s="305"/>
      <c r="BQ206" s="305"/>
      <c r="BR206" s="305"/>
      <c r="BS206" s="305"/>
      <c r="BT206" s="305"/>
      <c r="BU206" s="305"/>
      <c r="BV206" s="305"/>
      <c r="BW206" s="305"/>
      <c r="BX206" s="305"/>
      <c r="BY206" s="305"/>
      <c r="BZ206" s="305"/>
      <c r="CA206" s="305"/>
      <c r="CB206" s="305"/>
      <c r="CC206" s="305"/>
      <c r="CD206" s="305"/>
      <c r="CE206" s="305"/>
      <c r="CF206" s="305"/>
      <c r="CG206" s="305"/>
      <c r="CH206" s="305"/>
      <c r="CI206" s="305"/>
      <c r="CJ206" s="305"/>
      <c r="CK206" s="305"/>
      <c r="CL206" s="305"/>
      <c r="CM206" s="305"/>
      <c r="CN206" s="305"/>
      <c r="CO206" s="305"/>
      <c r="CP206" s="305"/>
      <c r="CQ206" s="305"/>
      <c r="CR206" s="305"/>
      <c r="CS206" s="305"/>
      <c r="CT206" s="305"/>
      <c r="CU206" s="305"/>
      <c r="CV206" s="305"/>
      <c r="CW206" s="305"/>
      <c r="CX206" s="305"/>
      <c r="CY206" s="305"/>
      <c r="CZ206" s="305"/>
      <c r="DA206" s="305"/>
      <c r="DB206" s="305"/>
      <c r="DC206" s="305"/>
      <c r="DD206" s="305"/>
      <c r="DE206" s="305"/>
      <c r="DF206" s="305"/>
      <c r="DG206" s="305"/>
      <c r="DH206" s="305"/>
      <c r="DI206" s="305"/>
      <c r="DJ206" s="305"/>
      <c r="DK206" s="305"/>
      <c r="DL206" s="305"/>
      <c r="DM206" s="305"/>
      <c r="DN206" s="305"/>
      <c r="DO206" s="305"/>
      <c r="DP206" s="305"/>
      <c r="DQ206" s="305"/>
      <c r="DR206" s="305"/>
      <c r="DS206" s="305"/>
      <c r="DT206" s="305"/>
      <c r="DU206" s="305"/>
      <c r="DV206" s="305"/>
      <c r="DW206" s="305"/>
      <c r="DX206" s="305"/>
      <c r="DY206" s="305"/>
      <c r="DZ206" s="305"/>
      <c r="EA206" s="305"/>
      <c r="EB206" s="305"/>
      <c r="EC206" s="305"/>
      <c r="ED206" s="305"/>
      <c r="EE206" s="305"/>
      <c r="EF206" s="305"/>
      <c r="EG206" s="305"/>
      <c r="EH206" s="305"/>
      <c r="EI206" s="305"/>
      <c r="EJ206" s="305"/>
      <c r="EK206" s="305"/>
      <c r="EL206" s="305"/>
      <c r="EM206" s="305"/>
      <c r="EN206" s="305"/>
      <c r="EO206" s="305"/>
      <c r="EP206" s="305"/>
      <c r="EQ206" s="305"/>
      <c r="ER206" s="305"/>
      <c r="ES206" s="305"/>
      <c r="ET206" s="305"/>
      <c r="EU206" s="305"/>
      <c r="EV206" s="305"/>
      <c r="EW206" s="305"/>
      <c r="EX206" s="305"/>
      <c r="EY206" s="305"/>
      <c r="EZ206" s="305"/>
      <c r="FA206" s="305"/>
      <c r="FB206" s="305"/>
      <c r="FC206" s="305"/>
      <c r="FD206" s="305"/>
      <c r="FE206" s="305"/>
      <c r="FF206" s="305"/>
      <c r="FG206" s="305"/>
      <c r="FH206" s="305"/>
      <c r="FI206" s="305"/>
      <c r="FJ206" s="305"/>
      <c r="FK206" s="305"/>
      <c r="FL206" s="305"/>
      <c r="FM206" s="305"/>
      <c r="FN206" s="305"/>
      <c r="FO206" s="305"/>
      <c r="FP206" s="305"/>
      <c r="FQ206" s="305"/>
      <c r="FR206" s="305"/>
      <c r="FS206" s="305"/>
      <c r="FT206" s="305"/>
      <c r="FU206" s="305"/>
      <c r="FV206" s="305"/>
      <c r="FW206" s="305"/>
      <c r="FX206" s="305"/>
      <c r="FY206" s="305"/>
      <c r="FZ206" s="305"/>
      <c r="GA206" s="305"/>
      <c r="GB206" s="305"/>
      <c r="GC206" s="305"/>
      <c r="GD206" s="305"/>
      <c r="GE206" s="305"/>
      <c r="GF206" s="305"/>
      <c r="GG206" s="305"/>
      <c r="GH206" s="305"/>
      <c r="GI206" s="305"/>
      <c r="GJ206" s="305"/>
      <c r="GK206" s="305"/>
      <c r="GL206" s="305"/>
      <c r="GM206" s="305"/>
      <c r="GN206" s="305"/>
      <c r="GO206" s="305"/>
      <c r="GP206" s="305"/>
      <c r="GQ206" s="305"/>
      <c r="GR206" s="305"/>
    </row>
    <row r="207" spans="3:200" s="318" customFormat="1" ht="12.75" customHeight="1" x14ac:dyDescent="0.2">
      <c r="C207" s="367"/>
      <c r="D207" s="403"/>
      <c r="E207" s="369"/>
      <c r="F207" s="369"/>
      <c r="G207" s="369"/>
      <c r="H207" s="369"/>
      <c r="I207" s="370"/>
      <c r="J207"/>
      <c r="K207" s="371"/>
      <c r="L207" s="371"/>
      <c r="M207" s="371"/>
      <c r="N207" s="371"/>
      <c r="O207" s="305"/>
      <c r="P207" s="305"/>
      <c r="Q207" s="305"/>
      <c r="R207" s="305"/>
      <c r="S207" s="305"/>
      <c r="T207" s="305"/>
      <c r="U207" s="305"/>
      <c r="V207" s="305"/>
      <c r="W207" s="305"/>
      <c r="X207" s="305"/>
      <c r="Y207" s="305"/>
      <c r="Z207" s="305"/>
      <c r="AA207" s="305"/>
      <c r="AB207" s="305"/>
      <c r="AC207" s="305"/>
      <c r="AD207" s="305"/>
      <c r="AE207" s="305"/>
      <c r="AF207" s="305"/>
      <c r="AG207" s="305"/>
      <c r="AH207" s="305"/>
      <c r="AI207" s="305"/>
      <c r="AJ207" s="305"/>
      <c r="AK207" s="305"/>
      <c r="AL207" s="305"/>
      <c r="AM207" s="305"/>
      <c r="AN207" s="305"/>
      <c r="AO207" s="305"/>
      <c r="AP207" s="305"/>
      <c r="AQ207" s="305"/>
      <c r="AR207" s="305"/>
      <c r="AS207" s="305"/>
      <c r="AT207" s="305"/>
      <c r="AU207" s="305"/>
      <c r="AV207" s="305"/>
      <c r="AW207" s="305"/>
      <c r="AX207" s="305"/>
      <c r="AY207" s="305"/>
      <c r="AZ207" s="305"/>
      <c r="BA207" s="305"/>
      <c r="BB207" s="305"/>
      <c r="BC207" s="305"/>
      <c r="BD207" s="305"/>
      <c r="BE207" s="305"/>
      <c r="BF207" s="305"/>
      <c r="BG207" s="305"/>
      <c r="BH207" s="305"/>
      <c r="BI207" s="305"/>
      <c r="BJ207" s="305"/>
      <c r="BK207" s="305"/>
      <c r="BL207" s="305"/>
      <c r="BM207" s="305"/>
      <c r="BN207" s="305"/>
      <c r="BO207" s="305"/>
      <c r="BP207" s="305"/>
      <c r="BQ207" s="305"/>
      <c r="BR207" s="305"/>
      <c r="BS207" s="305"/>
      <c r="BT207" s="305"/>
      <c r="BU207" s="305"/>
      <c r="BV207" s="305"/>
      <c r="BW207" s="305"/>
      <c r="BX207" s="305"/>
      <c r="BY207" s="305"/>
      <c r="BZ207" s="305"/>
      <c r="CA207" s="305"/>
      <c r="CB207" s="305"/>
      <c r="CC207" s="305"/>
      <c r="CD207" s="305"/>
      <c r="CE207" s="305"/>
      <c r="CF207" s="305"/>
      <c r="CG207" s="305"/>
      <c r="CH207" s="305"/>
      <c r="CI207" s="305"/>
      <c r="CJ207" s="305"/>
      <c r="CK207" s="305"/>
      <c r="CL207" s="305"/>
      <c r="CM207" s="305"/>
      <c r="CN207" s="305"/>
      <c r="CO207" s="305"/>
      <c r="CP207" s="305"/>
      <c r="CQ207" s="305"/>
      <c r="CR207" s="305"/>
      <c r="CS207" s="305"/>
      <c r="CT207" s="305"/>
      <c r="CU207" s="305"/>
      <c r="CV207" s="305"/>
      <c r="CW207" s="305"/>
      <c r="CX207" s="305"/>
      <c r="CY207" s="305"/>
      <c r="CZ207" s="305"/>
      <c r="DA207" s="305"/>
      <c r="DB207" s="305"/>
      <c r="DC207" s="305"/>
      <c r="DD207" s="305"/>
      <c r="DE207" s="305"/>
      <c r="DF207" s="305"/>
      <c r="DG207" s="305"/>
      <c r="DH207" s="305"/>
      <c r="DI207" s="305"/>
      <c r="DJ207" s="305"/>
      <c r="DK207" s="305"/>
      <c r="DL207" s="305"/>
      <c r="DM207" s="305"/>
      <c r="DN207" s="305"/>
      <c r="DO207" s="305"/>
      <c r="DP207" s="305"/>
      <c r="DQ207" s="305"/>
      <c r="DR207" s="305"/>
      <c r="DS207" s="305"/>
      <c r="DT207" s="305"/>
      <c r="DU207" s="305"/>
      <c r="DV207" s="305"/>
      <c r="DW207" s="305"/>
      <c r="DX207" s="305"/>
      <c r="DY207" s="305"/>
      <c r="DZ207" s="305"/>
      <c r="EA207" s="305"/>
      <c r="EB207" s="305"/>
      <c r="EC207" s="305"/>
      <c r="ED207" s="305"/>
      <c r="EE207" s="305"/>
      <c r="EF207" s="305"/>
      <c r="EG207" s="305"/>
      <c r="EH207" s="305"/>
      <c r="EI207" s="305"/>
      <c r="EJ207" s="305"/>
      <c r="EK207" s="305"/>
      <c r="EL207" s="305"/>
      <c r="EM207" s="305"/>
      <c r="EN207" s="305"/>
      <c r="EO207" s="305"/>
      <c r="EP207" s="305"/>
      <c r="EQ207" s="305"/>
      <c r="ER207" s="305"/>
      <c r="ES207" s="305"/>
      <c r="ET207" s="305"/>
      <c r="EU207" s="305"/>
      <c r="EV207" s="305"/>
      <c r="EW207" s="305"/>
      <c r="EX207" s="305"/>
      <c r="EY207" s="305"/>
      <c r="EZ207" s="305"/>
      <c r="FA207" s="305"/>
      <c r="FB207" s="305"/>
      <c r="FC207" s="305"/>
      <c r="FD207" s="305"/>
      <c r="FE207" s="305"/>
      <c r="FF207" s="305"/>
      <c r="FG207" s="305"/>
      <c r="FH207" s="305"/>
      <c r="FI207" s="305"/>
      <c r="FJ207" s="305"/>
      <c r="FK207" s="305"/>
      <c r="FL207" s="305"/>
      <c r="FM207" s="305"/>
      <c r="FN207" s="305"/>
      <c r="FO207" s="305"/>
      <c r="FP207" s="305"/>
      <c r="FQ207" s="305"/>
      <c r="FR207" s="305"/>
      <c r="FS207" s="305"/>
      <c r="FT207" s="305"/>
      <c r="FU207" s="305"/>
      <c r="FV207" s="305"/>
      <c r="FW207" s="305"/>
      <c r="FX207" s="305"/>
      <c r="FY207" s="305"/>
      <c r="FZ207" s="305"/>
      <c r="GA207" s="305"/>
      <c r="GB207" s="305"/>
      <c r="GC207" s="305"/>
      <c r="GD207" s="305"/>
      <c r="GE207" s="305"/>
      <c r="GF207" s="305"/>
      <c r="GG207" s="305"/>
      <c r="GH207" s="305"/>
      <c r="GI207" s="305"/>
      <c r="GJ207" s="305"/>
      <c r="GK207" s="305"/>
      <c r="GL207" s="305"/>
      <c r="GM207" s="305"/>
      <c r="GN207" s="305"/>
      <c r="GO207" s="305"/>
      <c r="GP207" s="305"/>
      <c r="GQ207" s="305"/>
      <c r="GR207" s="305"/>
    </row>
    <row r="208" spans="3:200" s="318" customFormat="1" ht="12.75" customHeight="1" x14ac:dyDescent="0.2">
      <c r="C208" s="367"/>
      <c r="D208" s="403"/>
      <c r="E208" s="369"/>
      <c r="F208" s="369"/>
      <c r="G208" s="369"/>
      <c r="H208" s="369"/>
      <c r="I208" s="370"/>
      <c r="J208"/>
      <c r="K208" s="371"/>
      <c r="L208" s="371"/>
      <c r="M208" s="371"/>
      <c r="N208" s="371"/>
      <c r="O208" s="305"/>
      <c r="P208" s="305"/>
      <c r="Q208" s="305"/>
      <c r="R208" s="305"/>
      <c r="S208" s="305"/>
      <c r="T208" s="305"/>
      <c r="U208" s="305"/>
      <c r="V208" s="305"/>
      <c r="W208" s="305"/>
      <c r="X208" s="305"/>
      <c r="Y208" s="305"/>
      <c r="Z208" s="305"/>
      <c r="AA208" s="305"/>
      <c r="AB208" s="305"/>
      <c r="AC208" s="305"/>
      <c r="AD208" s="305"/>
      <c r="AE208" s="305"/>
      <c r="AF208" s="305"/>
      <c r="AG208" s="305"/>
      <c r="AH208" s="305"/>
      <c r="AI208" s="305"/>
      <c r="AJ208" s="305"/>
      <c r="AK208" s="305"/>
      <c r="AL208" s="305"/>
      <c r="AM208" s="305"/>
      <c r="AN208" s="305"/>
      <c r="AO208" s="305"/>
      <c r="AP208" s="305"/>
      <c r="AQ208" s="305"/>
      <c r="AR208" s="305"/>
      <c r="AS208" s="305"/>
      <c r="AT208" s="305"/>
      <c r="AU208" s="305"/>
      <c r="AV208" s="305"/>
      <c r="AW208" s="305"/>
      <c r="AX208" s="305"/>
      <c r="AY208" s="305"/>
      <c r="AZ208" s="305"/>
      <c r="BA208" s="305"/>
      <c r="BB208" s="305"/>
      <c r="BC208" s="305"/>
      <c r="BD208" s="305"/>
      <c r="BE208" s="305"/>
      <c r="BF208" s="305"/>
      <c r="BG208" s="305"/>
      <c r="BH208" s="305"/>
      <c r="BI208" s="305"/>
      <c r="BJ208" s="305"/>
      <c r="BK208" s="305"/>
      <c r="BL208" s="305"/>
      <c r="BM208" s="305"/>
      <c r="BN208" s="305"/>
      <c r="BO208" s="305"/>
      <c r="BP208" s="305"/>
      <c r="BQ208" s="305"/>
      <c r="BR208" s="305"/>
      <c r="BS208" s="305"/>
      <c r="BT208" s="305"/>
      <c r="BU208" s="305"/>
      <c r="BV208" s="305"/>
      <c r="BW208" s="305"/>
      <c r="BX208" s="305"/>
      <c r="BY208" s="305"/>
      <c r="BZ208" s="305"/>
      <c r="CA208" s="305"/>
      <c r="CB208" s="305"/>
      <c r="CC208" s="305"/>
      <c r="CD208" s="305"/>
      <c r="CE208" s="305"/>
      <c r="CF208" s="305"/>
      <c r="CG208" s="305"/>
      <c r="CH208" s="305"/>
      <c r="CI208" s="305"/>
      <c r="CJ208" s="305"/>
      <c r="CK208" s="305"/>
      <c r="CL208" s="305"/>
      <c r="CM208" s="305"/>
      <c r="CN208" s="305"/>
      <c r="CO208" s="305"/>
      <c r="CP208" s="305"/>
      <c r="CQ208" s="305"/>
      <c r="CR208" s="305"/>
      <c r="CS208" s="305"/>
      <c r="CT208" s="305"/>
      <c r="CU208" s="305"/>
      <c r="CV208" s="305"/>
      <c r="CW208" s="305"/>
      <c r="CX208" s="305"/>
      <c r="CY208" s="305"/>
      <c r="CZ208" s="305"/>
      <c r="DA208" s="305"/>
      <c r="DB208" s="305"/>
      <c r="DC208" s="305"/>
      <c r="DD208" s="305"/>
      <c r="DE208" s="305"/>
      <c r="DF208" s="305"/>
      <c r="DG208" s="305"/>
      <c r="DH208" s="305"/>
      <c r="DI208" s="305"/>
      <c r="DJ208" s="305"/>
      <c r="DK208" s="305"/>
      <c r="DL208" s="305"/>
      <c r="DM208" s="305"/>
      <c r="DN208" s="305"/>
      <c r="DO208" s="305"/>
      <c r="DP208" s="305"/>
      <c r="DQ208" s="305"/>
      <c r="DR208" s="305"/>
      <c r="DS208" s="305"/>
      <c r="DT208" s="305"/>
      <c r="DU208" s="305"/>
      <c r="DV208" s="305"/>
      <c r="DW208" s="305"/>
      <c r="DX208" s="305"/>
      <c r="DY208" s="305"/>
      <c r="DZ208" s="305"/>
      <c r="EA208" s="305"/>
      <c r="EB208" s="305"/>
      <c r="EC208" s="305"/>
      <c r="ED208" s="305"/>
      <c r="EE208" s="305"/>
      <c r="EF208" s="305"/>
      <c r="EG208" s="305"/>
      <c r="EH208" s="305"/>
      <c r="EI208" s="305"/>
      <c r="EJ208" s="305"/>
      <c r="EK208" s="305"/>
      <c r="EL208" s="305"/>
      <c r="EM208" s="305"/>
      <c r="EN208" s="305"/>
      <c r="EO208" s="305"/>
      <c r="EP208" s="305"/>
      <c r="EQ208" s="305"/>
      <c r="ER208" s="305"/>
      <c r="ES208" s="305"/>
      <c r="ET208" s="305"/>
      <c r="EU208" s="305"/>
      <c r="EV208" s="305"/>
      <c r="EW208" s="305"/>
      <c r="EX208" s="305"/>
      <c r="EY208" s="305"/>
      <c r="EZ208" s="305"/>
      <c r="FA208" s="305"/>
      <c r="FB208" s="305"/>
      <c r="FC208" s="305"/>
      <c r="FD208" s="305"/>
      <c r="FE208" s="305"/>
      <c r="FF208" s="305"/>
      <c r="FG208" s="305"/>
      <c r="FH208" s="305"/>
      <c r="FI208" s="305"/>
      <c r="FJ208" s="305"/>
      <c r="FK208" s="305"/>
      <c r="FL208" s="305"/>
      <c r="FM208" s="305"/>
      <c r="FN208" s="305"/>
      <c r="FO208" s="305"/>
      <c r="FP208" s="305"/>
      <c r="FQ208" s="305"/>
      <c r="FR208" s="305"/>
      <c r="FS208" s="305"/>
      <c r="FT208" s="305"/>
      <c r="FU208" s="305"/>
      <c r="FV208" s="305"/>
      <c r="FW208" s="305"/>
      <c r="FX208" s="305"/>
      <c r="FY208" s="305"/>
      <c r="FZ208" s="305"/>
      <c r="GA208" s="305"/>
      <c r="GB208" s="305"/>
      <c r="GC208" s="305"/>
      <c r="GD208" s="305"/>
      <c r="GE208" s="305"/>
      <c r="GF208" s="305"/>
      <c r="GG208" s="305"/>
      <c r="GH208" s="305"/>
      <c r="GI208" s="305"/>
      <c r="GJ208" s="305"/>
      <c r="GK208" s="305"/>
      <c r="GL208" s="305"/>
      <c r="GM208" s="305"/>
      <c r="GN208" s="305"/>
      <c r="GO208" s="305"/>
      <c r="GP208" s="305"/>
      <c r="GQ208" s="305"/>
      <c r="GR208" s="305"/>
    </row>
    <row r="209" spans="3:200" s="318" customFormat="1" ht="12.75" customHeight="1" x14ac:dyDescent="0.2">
      <c r="C209" s="367"/>
      <c r="D209" s="403"/>
      <c r="E209" s="369"/>
      <c r="F209" s="369"/>
      <c r="G209" s="369"/>
      <c r="H209" s="369"/>
      <c r="I209" s="370"/>
      <c r="J209"/>
      <c r="K209" s="371"/>
      <c r="L209" s="371"/>
      <c r="M209" s="371"/>
      <c r="N209" s="371"/>
      <c r="O209" s="305"/>
      <c r="P209" s="305"/>
      <c r="Q209" s="305"/>
      <c r="R209" s="305"/>
      <c r="S209" s="305"/>
      <c r="T209" s="305"/>
      <c r="U209" s="305"/>
      <c r="V209" s="305"/>
      <c r="W209" s="305"/>
      <c r="X209" s="305"/>
      <c r="Y209" s="305"/>
      <c r="Z209" s="305"/>
      <c r="AA209" s="305"/>
      <c r="AB209" s="305"/>
      <c r="AC209" s="305"/>
      <c r="AD209" s="305"/>
      <c r="AE209" s="305"/>
      <c r="AF209" s="305"/>
      <c r="AG209" s="305"/>
      <c r="AH209" s="305"/>
      <c r="AI209" s="305"/>
      <c r="AJ209" s="305"/>
      <c r="AK209" s="305"/>
      <c r="AL209" s="305"/>
      <c r="AM209" s="305"/>
      <c r="AN209" s="305"/>
      <c r="AO209" s="305"/>
      <c r="AP209" s="305"/>
      <c r="AQ209" s="305"/>
      <c r="AR209" s="305"/>
      <c r="AS209" s="305"/>
      <c r="AT209" s="305"/>
      <c r="AU209" s="305"/>
      <c r="AV209" s="305"/>
      <c r="AW209" s="305"/>
      <c r="AX209" s="305"/>
      <c r="AY209" s="305"/>
      <c r="AZ209" s="305"/>
      <c r="BA209" s="305"/>
      <c r="BB209" s="305"/>
      <c r="BC209" s="305"/>
      <c r="BD209" s="305"/>
      <c r="BE209" s="305"/>
      <c r="BF209" s="305"/>
      <c r="BG209" s="305"/>
      <c r="BH209" s="305"/>
      <c r="BI209" s="305"/>
      <c r="BJ209" s="305"/>
      <c r="BK209" s="305"/>
      <c r="BL209" s="305"/>
      <c r="BM209" s="305"/>
      <c r="BN209" s="305"/>
      <c r="BO209" s="305"/>
      <c r="BP209" s="305"/>
      <c r="BQ209" s="305"/>
      <c r="BR209" s="305"/>
      <c r="BS209" s="305"/>
      <c r="BT209" s="305"/>
      <c r="BU209" s="305"/>
      <c r="BV209" s="305"/>
      <c r="BW209" s="305"/>
      <c r="BX209" s="305"/>
      <c r="BY209" s="305"/>
      <c r="BZ209" s="305"/>
      <c r="CA209" s="305"/>
      <c r="CB209" s="305"/>
      <c r="CC209" s="305"/>
      <c r="CD209" s="305"/>
      <c r="CE209" s="305"/>
      <c r="CF209" s="305"/>
      <c r="CG209" s="305"/>
      <c r="CH209" s="305"/>
      <c r="CI209" s="305"/>
      <c r="CJ209" s="305"/>
      <c r="CK209" s="305"/>
      <c r="CL209" s="305"/>
      <c r="CM209" s="305"/>
      <c r="CN209" s="305"/>
      <c r="CO209" s="305"/>
      <c r="CP209" s="305"/>
      <c r="CQ209" s="305"/>
      <c r="CR209" s="305"/>
      <c r="CS209" s="305"/>
      <c r="CT209" s="305"/>
      <c r="CU209" s="305"/>
      <c r="CV209" s="305"/>
      <c r="CW209" s="305"/>
      <c r="CX209" s="305"/>
      <c r="CY209" s="305"/>
      <c r="CZ209" s="305"/>
      <c r="DA209" s="305"/>
      <c r="DB209" s="305"/>
      <c r="DC209" s="305"/>
      <c r="DD209" s="305"/>
      <c r="DE209" s="305"/>
      <c r="DF209" s="305"/>
      <c r="DG209" s="305"/>
      <c r="DH209" s="305"/>
      <c r="DI209" s="305"/>
      <c r="DJ209" s="305"/>
      <c r="DK209" s="305"/>
      <c r="DL209" s="305"/>
      <c r="DM209" s="305"/>
      <c r="DN209" s="305"/>
      <c r="DO209" s="305"/>
      <c r="DP209" s="305"/>
      <c r="DQ209" s="305"/>
      <c r="DR209" s="305"/>
      <c r="DS209" s="305"/>
      <c r="DT209" s="305"/>
      <c r="DU209" s="305"/>
      <c r="DV209" s="305"/>
      <c r="DW209" s="305"/>
      <c r="DX209" s="305"/>
      <c r="DY209" s="305"/>
      <c r="DZ209" s="305"/>
      <c r="EA209" s="305"/>
      <c r="EB209" s="305"/>
      <c r="EC209" s="305"/>
      <c r="ED209" s="305"/>
      <c r="EE209" s="305"/>
      <c r="EF209" s="305"/>
      <c r="EG209" s="305"/>
      <c r="EH209" s="305"/>
      <c r="EI209" s="305"/>
      <c r="EJ209" s="305"/>
      <c r="EK209" s="305"/>
      <c r="EL209" s="305"/>
      <c r="EM209" s="305"/>
      <c r="EN209" s="305"/>
      <c r="EO209" s="305"/>
      <c r="EP209" s="305"/>
      <c r="EQ209" s="305"/>
      <c r="ER209" s="305"/>
      <c r="ES209" s="305"/>
      <c r="ET209" s="305"/>
      <c r="EU209" s="305"/>
      <c r="EV209" s="305"/>
      <c r="EW209" s="305"/>
      <c r="EX209" s="305"/>
      <c r="EY209" s="305"/>
      <c r="EZ209" s="305"/>
      <c r="FA209" s="305"/>
      <c r="FB209" s="305"/>
      <c r="FC209" s="305"/>
      <c r="FD209" s="305"/>
      <c r="FE209" s="305"/>
      <c r="FF209" s="305"/>
      <c r="FG209" s="305"/>
      <c r="FH209" s="305"/>
      <c r="FI209" s="305"/>
      <c r="FJ209" s="305"/>
      <c r="FK209" s="305"/>
      <c r="FL209" s="305"/>
      <c r="FM209" s="305"/>
      <c r="FN209" s="305"/>
      <c r="FO209" s="305"/>
      <c r="FP209" s="305"/>
      <c r="FQ209" s="305"/>
      <c r="FR209" s="305"/>
      <c r="FS209" s="305"/>
      <c r="FT209" s="305"/>
      <c r="FU209" s="305"/>
      <c r="FV209" s="305"/>
      <c r="FW209" s="305"/>
      <c r="FX209" s="305"/>
      <c r="FY209" s="305"/>
      <c r="FZ209" s="305"/>
      <c r="GA209" s="305"/>
      <c r="GB209" s="305"/>
      <c r="GC209" s="305"/>
      <c r="GD209" s="305"/>
      <c r="GE209" s="305"/>
      <c r="GF209" s="305"/>
      <c r="GG209" s="305"/>
      <c r="GH209" s="305"/>
      <c r="GI209" s="305"/>
      <c r="GJ209" s="305"/>
      <c r="GK209" s="305"/>
      <c r="GL209" s="305"/>
      <c r="GM209" s="305"/>
      <c r="GN209" s="305"/>
      <c r="GO209" s="305"/>
      <c r="GP209" s="305"/>
      <c r="GQ209" s="305"/>
      <c r="GR209" s="305"/>
    </row>
    <row r="210" spans="3:200" s="318" customFormat="1" ht="12.75" customHeight="1" x14ac:dyDescent="0.2">
      <c r="C210" s="367"/>
      <c r="D210" s="403"/>
      <c r="E210" s="369"/>
      <c r="F210" s="369"/>
      <c r="G210" s="369"/>
      <c r="H210" s="369"/>
      <c r="I210" s="370"/>
      <c r="J210"/>
      <c r="K210" s="371"/>
      <c r="L210" s="371"/>
      <c r="M210" s="371"/>
      <c r="N210" s="371"/>
      <c r="O210" s="305"/>
      <c r="P210" s="305"/>
      <c r="Q210" s="305"/>
      <c r="R210" s="305"/>
      <c r="S210" s="305"/>
      <c r="T210" s="305"/>
      <c r="U210" s="305"/>
      <c r="V210" s="305"/>
      <c r="W210" s="305"/>
      <c r="X210" s="305"/>
      <c r="Y210" s="305"/>
      <c r="Z210" s="305"/>
      <c r="AA210" s="305"/>
      <c r="AB210" s="305"/>
      <c r="AC210" s="305"/>
      <c r="AD210" s="305"/>
      <c r="AE210" s="305"/>
      <c r="AF210" s="305"/>
      <c r="AG210" s="305"/>
      <c r="AH210" s="305"/>
      <c r="AI210" s="305"/>
      <c r="AJ210" s="305"/>
      <c r="AK210" s="305"/>
      <c r="AL210" s="305"/>
      <c r="AM210" s="305"/>
      <c r="AN210" s="305"/>
      <c r="AO210" s="305"/>
      <c r="AP210" s="305"/>
      <c r="AQ210" s="305"/>
      <c r="AR210" s="305"/>
      <c r="AS210" s="305"/>
      <c r="AT210" s="305"/>
      <c r="AU210" s="305"/>
      <c r="AV210" s="305"/>
      <c r="AW210" s="305"/>
      <c r="AX210" s="305"/>
      <c r="AY210" s="305"/>
      <c r="AZ210" s="305"/>
      <c r="BA210" s="305"/>
      <c r="BB210" s="305"/>
      <c r="BC210" s="305"/>
      <c r="BD210" s="305"/>
      <c r="BE210" s="305"/>
      <c r="BF210" s="305"/>
      <c r="BG210" s="305"/>
      <c r="BH210" s="305"/>
      <c r="BI210" s="305"/>
      <c r="BJ210" s="305"/>
      <c r="BK210" s="305"/>
      <c r="BL210" s="305"/>
      <c r="BM210" s="305"/>
      <c r="BN210" s="305"/>
      <c r="BO210" s="305"/>
      <c r="BP210" s="305"/>
      <c r="BQ210" s="305"/>
      <c r="BR210" s="305"/>
      <c r="BS210" s="305"/>
      <c r="BT210" s="305"/>
      <c r="BU210" s="305"/>
      <c r="BV210" s="305"/>
      <c r="BW210" s="305"/>
      <c r="BX210" s="305"/>
      <c r="BY210" s="305"/>
      <c r="BZ210" s="305"/>
      <c r="CA210" s="305"/>
      <c r="CB210" s="305"/>
      <c r="CC210" s="305"/>
      <c r="CD210" s="305"/>
      <c r="CE210" s="305"/>
      <c r="CF210" s="305"/>
      <c r="CG210" s="305"/>
      <c r="CH210" s="305"/>
      <c r="CI210" s="305"/>
      <c r="CJ210" s="305"/>
      <c r="CK210" s="305"/>
      <c r="CL210" s="305"/>
      <c r="CM210" s="305"/>
      <c r="CN210" s="305"/>
      <c r="CO210" s="305"/>
      <c r="CP210" s="305"/>
      <c r="CQ210" s="305"/>
      <c r="CR210" s="305"/>
      <c r="CS210" s="305"/>
      <c r="CT210" s="305"/>
      <c r="CU210" s="305"/>
      <c r="CV210" s="305"/>
      <c r="CW210" s="305"/>
      <c r="CX210" s="305"/>
      <c r="CY210" s="305"/>
      <c r="CZ210" s="305"/>
      <c r="DA210" s="305"/>
      <c r="DB210" s="305"/>
      <c r="DC210" s="305"/>
      <c r="DD210" s="305"/>
      <c r="DE210" s="305"/>
      <c r="DF210" s="305"/>
      <c r="DG210" s="305"/>
      <c r="DH210" s="305"/>
      <c r="DI210" s="305"/>
      <c r="DJ210" s="305"/>
      <c r="DK210" s="305"/>
      <c r="DL210" s="305"/>
      <c r="DM210" s="305"/>
      <c r="DN210" s="305"/>
      <c r="DO210" s="305"/>
      <c r="DP210" s="305"/>
      <c r="DQ210" s="305"/>
      <c r="DR210" s="305"/>
      <c r="DS210" s="305"/>
      <c r="DT210" s="305"/>
      <c r="DU210" s="305"/>
      <c r="DV210" s="305"/>
      <c r="DW210" s="305"/>
      <c r="DX210" s="305"/>
      <c r="DY210" s="305"/>
      <c r="DZ210" s="305"/>
      <c r="EA210" s="305"/>
      <c r="EB210" s="305"/>
      <c r="EC210" s="305"/>
      <c r="ED210" s="305"/>
      <c r="EE210" s="305"/>
      <c r="EF210" s="305"/>
      <c r="EG210" s="305"/>
      <c r="EH210" s="305"/>
      <c r="EI210" s="305"/>
      <c r="EJ210" s="305"/>
      <c r="EK210" s="305"/>
      <c r="EL210" s="305"/>
      <c r="EM210" s="305"/>
      <c r="EN210" s="305"/>
      <c r="EO210" s="305"/>
      <c r="EP210" s="305"/>
      <c r="EQ210" s="305"/>
      <c r="ER210" s="305"/>
      <c r="ES210" s="305"/>
      <c r="ET210" s="305"/>
      <c r="EU210" s="305"/>
      <c r="EV210" s="305"/>
      <c r="EW210" s="305"/>
      <c r="EX210" s="305"/>
      <c r="EY210" s="305"/>
      <c r="EZ210" s="305"/>
      <c r="FA210" s="305"/>
      <c r="FB210" s="305"/>
      <c r="FC210" s="305"/>
      <c r="FD210" s="305"/>
      <c r="FE210" s="305"/>
      <c r="FF210" s="305"/>
      <c r="FG210" s="305"/>
      <c r="FH210" s="305"/>
      <c r="FI210" s="305"/>
      <c r="FJ210" s="305"/>
      <c r="FK210" s="305"/>
      <c r="FL210" s="305"/>
      <c r="FM210" s="305"/>
      <c r="FN210" s="305"/>
      <c r="FO210" s="305"/>
      <c r="FP210" s="305"/>
      <c r="FQ210" s="305"/>
      <c r="FR210" s="305"/>
      <c r="FS210" s="305"/>
      <c r="FT210" s="305"/>
      <c r="FU210" s="305"/>
      <c r="FV210" s="305"/>
      <c r="FW210" s="305"/>
      <c r="FX210" s="305"/>
      <c r="FY210" s="305"/>
      <c r="FZ210" s="305"/>
      <c r="GA210" s="305"/>
      <c r="GB210" s="305"/>
      <c r="GC210" s="305"/>
      <c r="GD210" s="305"/>
      <c r="GE210" s="305"/>
      <c r="GF210" s="305"/>
      <c r="GG210" s="305"/>
      <c r="GH210" s="305"/>
      <c r="GI210" s="305"/>
      <c r="GJ210" s="305"/>
      <c r="GK210" s="305"/>
      <c r="GL210" s="305"/>
      <c r="GM210" s="305"/>
      <c r="GN210" s="305"/>
      <c r="GO210" s="305"/>
      <c r="GP210" s="305"/>
      <c r="GQ210" s="305"/>
      <c r="GR210" s="305"/>
    </row>
    <row r="211" spans="3:200" s="318" customFormat="1" ht="12.75" customHeight="1" x14ac:dyDescent="0.2">
      <c r="C211" s="367"/>
      <c r="D211" s="403"/>
      <c r="E211" s="369"/>
      <c r="F211" s="369"/>
      <c r="G211" s="369"/>
      <c r="H211" s="369"/>
      <c r="I211" s="370"/>
      <c r="J211"/>
      <c r="K211" s="371"/>
      <c r="L211" s="371"/>
      <c r="M211" s="371"/>
      <c r="N211" s="371"/>
      <c r="O211" s="305"/>
      <c r="P211" s="305"/>
      <c r="Q211" s="305"/>
      <c r="R211" s="305"/>
      <c r="S211" s="305"/>
      <c r="T211" s="305"/>
      <c r="U211" s="305"/>
      <c r="V211" s="305"/>
      <c r="W211" s="305"/>
      <c r="X211" s="305"/>
      <c r="Y211" s="305"/>
      <c r="Z211" s="305"/>
      <c r="AA211" s="305"/>
      <c r="AB211" s="305"/>
      <c r="AC211" s="305"/>
      <c r="AD211" s="305"/>
      <c r="AE211" s="305"/>
      <c r="AF211" s="305"/>
      <c r="AG211" s="305"/>
      <c r="AH211" s="305"/>
      <c r="AI211" s="305"/>
      <c r="AJ211" s="305"/>
      <c r="AK211" s="305"/>
      <c r="AL211" s="305"/>
      <c r="AM211" s="305"/>
      <c r="AN211" s="305"/>
      <c r="AO211" s="305"/>
      <c r="AP211" s="305"/>
      <c r="AQ211" s="305"/>
      <c r="AR211" s="305"/>
      <c r="AS211" s="305"/>
      <c r="AT211" s="305"/>
      <c r="AU211" s="305"/>
      <c r="AV211" s="305"/>
      <c r="AW211" s="305"/>
      <c r="AX211" s="305"/>
      <c r="AY211" s="305"/>
      <c r="AZ211" s="305"/>
      <c r="BA211" s="305"/>
      <c r="BB211" s="305"/>
      <c r="BC211" s="305"/>
      <c r="BD211" s="305"/>
      <c r="BE211" s="305"/>
      <c r="BF211" s="305"/>
      <c r="BG211" s="305"/>
      <c r="BH211" s="305"/>
      <c r="BI211" s="305"/>
      <c r="BJ211" s="305"/>
      <c r="BK211" s="305"/>
      <c r="BL211" s="305"/>
      <c r="BM211" s="305"/>
      <c r="BN211" s="305"/>
      <c r="BO211" s="305"/>
      <c r="BP211" s="305"/>
      <c r="BQ211" s="305"/>
      <c r="BR211" s="305"/>
      <c r="BS211" s="305"/>
      <c r="BT211" s="305"/>
      <c r="BU211" s="305"/>
      <c r="BV211" s="305"/>
      <c r="BW211" s="305"/>
      <c r="BX211" s="305"/>
      <c r="BY211" s="305"/>
      <c r="BZ211" s="305"/>
      <c r="CA211" s="305"/>
      <c r="CB211" s="305"/>
      <c r="CC211" s="305"/>
      <c r="CD211" s="305"/>
      <c r="CE211" s="305"/>
      <c r="CF211" s="305"/>
      <c r="CG211" s="305"/>
      <c r="CH211" s="305"/>
      <c r="CI211" s="305"/>
      <c r="CJ211" s="305"/>
      <c r="CK211" s="305"/>
      <c r="CL211" s="305"/>
      <c r="CM211" s="305"/>
      <c r="CN211" s="305"/>
      <c r="CO211" s="305"/>
      <c r="CP211" s="305"/>
      <c r="CQ211" s="305"/>
      <c r="CR211" s="305"/>
      <c r="CS211" s="305"/>
      <c r="CT211" s="305"/>
      <c r="CU211" s="305"/>
      <c r="CV211" s="305"/>
      <c r="CW211" s="305"/>
      <c r="CX211" s="305"/>
      <c r="CY211" s="305"/>
      <c r="CZ211" s="305"/>
      <c r="DA211" s="305"/>
      <c r="DB211" s="305"/>
      <c r="DC211" s="305"/>
      <c r="DD211" s="305"/>
      <c r="DE211" s="305"/>
      <c r="DF211" s="305"/>
      <c r="DG211" s="305"/>
      <c r="DH211" s="305"/>
      <c r="DI211" s="305"/>
      <c r="DJ211" s="305"/>
      <c r="DK211" s="305"/>
      <c r="DL211" s="305"/>
      <c r="DM211" s="305"/>
      <c r="DN211" s="305"/>
      <c r="DO211" s="305"/>
      <c r="DP211" s="305"/>
      <c r="DQ211" s="305"/>
      <c r="DR211" s="305"/>
      <c r="DS211" s="305"/>
      <c r="DT211" s="305"/>
      <c r="DU211" s="305"/>
      <c r="DV211" s="305"/>
      <c r="DW211" s="305"/>
      <c r="DX211" s="305"/>
      <c r="DY211" s="305"/>
      <c r="DZ211" s="305"/>
      <c r="EA211" s="305"/>
      <c r="EB211" s="305"/>
      <c r="EC211" s="305"/>
      <c r="ED211" s="305"/>
      <c r="EE211" s="305"/>
      <c r="EF211" s="305"/>
      <c r="EG211" s="305"/>
      <c r="EH211" s="305"/>
      <c r="EI211" s="305"/>
      <c r="EJ211" s="305"/>
      <c r="EK211" s="305"/>
      <c r="EL211" s="305"/>
      <c r="EM211" s="305"/>
      <c r="EN211" s="305"/>
      <c r="EO211" s="305"/>
      <c r="EP211" s="305"/>
      <c r="EQ211" s="305"/>
      <c r="ER211" s="305"/>
      <c r="ES211" s="305"/>
      <c r="ET211" s="305"/>
      <c r="EU211" s="305"/>
      <c r="EV211" s="305"/>
      <c r="EW211" s="305"/>
      <c r="EX211" s="305"/>
      <c r="EY211" s="305"/>
      <c r="EZ211" s="305"/>
      <c r="FA211" s="305"/>
      <c r="FB211" s="305"/>
      <c r="FC211" s="305"/>
      <c r="FD211" s="305"/>
      <c r="FE211" s="305"/>
      <c r="FF211" s="305"/>
      <c r="FG211" s="305"/>
      <c r="FH211" s="305"/>
      <c r="FI211" s="305"/>
      <c r="FJ211" s="305"/>
      <c r="FK211" s="305"/>
      <c r="FL211" s="305"/>
      <c r="FM211" s="305"/>
      <c r="FN211" s="305"/>
      <c r="FO211" s="305"/>
      <c r="FP211" s="305"/>
      <c r="FQ211" s="305"/>
      <c r="FR211" s="305"/>
      <c r="FS211" s="305"/>
      <c r="FT211" s="305"/>
      <c r="FU211" s="305"/>
      <c r="FV211" s="305"/>
      <c r="FW211" s="305"/>
      <c r="FX211" s="305"/>
      <c r="FY211" s="305"/>
      <c r="FZ211" s="305"/>
      <c r="GA211" s="305"/>
      <c r="GB211" s="305"/>
      <c r="GC211" s="305"/>
      <c r="GD211" s="305"/>
      <c r="GE211" s="305"/>
      <c r="GF211" s="305"/>
      <c r="GG211" s="305"/>
      <c r="GH211" s="305"/>
      <c r="GI211" s="305"/>
      <c r="GJ211" s="305"/>
      <c r="GK211" s="305"/>
      <c r="GL211" s="305"/>
      <c r="GM211" s="305"/>
      <c r="GN211" s="305"/>
      <c r="GO211" s="305"/>
      <c r="GP211" s="305"/>
      <c r="GQ211" s="305"/>
      <c r="GR211" s="305"/>
    </row>
    <row r="212" spans="3:200" s="318" customFormat="1" ht="12.75" customHeight="1" x14ac:dyDescent="0.2">
      <c r="C212" s="367"/>
      <c r="D212" s="403"/>
      <c r="E212" s="369"/>
      <c r="F212" s="369"/>
      <c r="G212" s="369"/>
      <c r="H212" s="369"/>
      <c r="I212" s="370"/>
      <c r="J212"/>
      <c r="K212" s="371"/>
      <c r="L212" s="371"/>
      <c r="M212" s="371"/>
      <c r="N212" s="371"/>
      <c r="O212" s="305"/>
      <c r="P212" s="305"/>
      <c r="Q212" s="305"/>
      <c r="R212" s="305"/>
      <c r="S212" s="305"/>
      <c r="T212" s="305"/>
      <c r="U212" s="305"/>
      <c r="V212" s="305"/>
      <c r="W212" s="305"/>
      <c r="X212" s="305"/>
      <c r="Y212" s="305"/>
      <c r="Z212" s="305"/>
      <c r="AA212" s="305"/>
      <c r="AB212" s="305"/>
      <c r="AC212" s="305"/>
      <c r="AD212" s="305"/>
      <c r="AE212" s="305"/>
      <c r="AF212" s="305"/>
      <c r="AG212" s="305"/>
      <c r="AH212" s="305"/>
      <c r="AI212" s="305"/>
      <c r="AJ212" s="305"/>
      <c r="AK212" s="305"/>
      <c r="AL212" s="305"/>
      <c r="AM212" s="305"/>
      <c r="AN212" s="305"/>
      <c r="AO212" s="305"/>
      <c r="AP212" s="305"/>
      <c r="AQ212" s="305"/>
      <c r="AR212" s="305"/>
      <c r="AS212" s="305"/>
      <c r="AT212" s="305"/>
      <c r="AU212" s="305"/>
      <c r="AV212" s="305"/>
      <c r="AW212" s="305"/>
      <c r="AX212" s="305"/>
      <c r="AY212" s="305"/>
      <c r="AZ212" s="305"/>
      <c r="BA212" s="305"/>
      <c r="BB212" s="305"/>
      <c r="BC212" s="305"/>
      <c r="BD212" s="305"/>
      <c r="BE212" s="305"/>
      <c r="BF212" s="305"/>
      <c r="BG212" s="305"/>
      <c r="BH212" s="305"/>
      <c r="BI212" s="305"/>
      <c r="BJ212" s="305"/>
      <c r="BK212" s="305"/>
      <c r="BL212" s="305"/>
      <c r="BM212" s="305"/>
      <c r="BN212" s="305"/>
      <c r="BO212" s="305"/>
      <c r="BP212" s="305"/>
      <c r="BQ212" s="305"/>
      <c r="BR212" s="305"/>
      <c r="BS212" s="305"/>
      <c r="BT212" s="305"/>
      <c r="BU212" s="305"/>
      <c r="BV212" s="305"/>
      <c r="BW212" s="305"/>
      <c r="BX212" s="305"/>
      <c r="BY212" s="305"/>
      <c r="BZ212" s="305"/>
      <c r="CA212" s="305"/>
      <c r="CB212" s="305"/>
      <c r="CC212" s="305"/>
      <c r="CD212" s="305"/>
      <c r="CE212" s="305"/>
      <c r="CF212" s="305"/>
      <c r="CG212" s="305"/>
      <c r="CH212" s="305"/>
      <c r="CI212" s="305"/>
      <c r="CJ212" s="305"/>
      <c r="CK212" s="305"/>
      <c r="CL212" s="305"/>
      <c r="CM212" s="305"/>
      <c r="CN212" s="305"/>
      <c r="CO212" s="305"/>
      <c r="CP212" s="305"/>
      <c r="CQ212" s="305"/>
      <c r="CR212" s="305"/>
      <c r="CS212" s="305"/>
      <c r="CT212" s="305"/>
      <c r="CU212" s="305"/>
      <c r="CV212" s="305"/>
      <c r="CW212" s="305"/>
      <c r="CX212" s="305"/>
      <c r="CY212" s="305"/>
      <c r="CZ212" s="305"/>
      <c r="DA212" s="305"/>
      <c r="DB212" s="305"/>
      <c r="DC212" s="305"/>
      <c r="DD212" s="305"/>
      <c r="DE212" s="305"/>
      <c r="DF212" s="305"/>
      <c r="DG212" s="305"/>
      <c r="DH212" s="305"/>
      <c r="DI212" s="305"/>
      <c r="DJ212" s="305"/>
      <c r="DK212" s="305"/>
      <c r="DL212" s="305"/>
      <c r="DM212" s="305"/>
      <c r="DN212" s="305"/>
      <c r="DO212" s="305"/>
      <c r="DP212" s="305"/>
      <c r="DQ212" s="305"/>
      <c r="DR212" s="305"/>
      <c r="DS212" s="305"/>
      <c r="DT212" s="305"/>
      <c r="DU212" s="305"/>
      <c r="DV212" s="305"/>
      <c r="DW212" s="305"/>
      <c r="DX212" s="305"/>
      <c r="DY212" s="305"/>
      <c r="DZ212" s="305"/>
      <c r="EA212" s="305"/>
      <c r="EB212" s="305"/>
      <c r="EC212" s="305"/>
      <c r="ED212" s="305"/>
      <c r="EE212" s="305"/>
      <c r="EF212" s="305"/>
      <c r="EG212" s="305"/>
      <c r="EH212" s="305"/>
      <c r="EI212" s="305"/>
      <c r="EJ212" s="305"/>
      <c r="EK212" s="305"/>
      <c r="EL212" s="305"/>
      <c r="EM212" s="305"/>
      <c r="EN212" s="305"/>
      <c r="EO212" s="305"/>
      <c r="EP212" s="305"/>
      <c r="EQ212" s="305"/>
      <c r="ER212" s="305"/>
      <c r="ES212" s="305"/>
      <c r="ET212" s="305"/>
      <c r="EU212" s="305"/>
      <c r="EV212" s="305"/>
      <c r="EW212" s="305"/>
      <c r="EX212" s="305"/>
      <c r="EY212" s="305"/>
      <c r="EZ212" s="305"/>
      <c r="FA212" s="305"/>
      <c r="FB212" s="305"/>
      <c r="FC212" s="305"/>
      <c r="FD212" s="305"/>
      <c r="FE212" s="305"/>
      <c r="FF212" s="305"/>
      <c r="FG212" s="305"/>
      <c r="FH212" s="305"/>
      <c r="FI212" s="305"/>
      <c r="FJ212" s="305"/>
      <c r="FK212" s="305"/>
      <c r="FL212" s="305"/>
      <c r="FM212" s="305"/>
      <c r="FN212" s="305"/>
      <c r="FO212" s="305"/>
      <c r="FP212" s="305"/>
      <c r="FQ212" s="305"/>
      <c r="FR212" s="305"/>
      <c r="FS212" s="305"/>
      <c r="FT212" s="305"/>
      <c r="FU212" s="305"/>
      <c r="FV212" s="305"/>
      <c r="FW212" s="305"/>
      <c r="FX212" s="305"/>
      <c r="FY212" s="305"/>
      <c r="FZ212" s="305"/>
      <c r="GA212" s="305"/>
      <c r="GB212" s="305"/>
      <c r="GC212" s="305"/>
      <c r="GD212" s="305"/>
      <c r="GE212" s="305"/>
      <c r="GF212" s="305"/>
      <c r="GG212" s="305"/>
      <c r="GH212" s="305"/>
      <c r="GI212" s="305"/>
      <c r="GJ212" s="305"/>
      <c r="GK212" s="305"/>
      <c r="GL212" s="305"/>
      <c r="GM212" s="305"/>
      <c r="GN212" s="305"/>
      <c r="GO212" s="305"/>
      <c r="GP212" s="305"/>
      <c r="GQ212" s="305"/>
      <c r="GR212" s="305"/>
    </row>
    <row r="213" spans="3:200" s="318" customFormat="1" ht="12.75" customHeight="1" x14ac:dyDescent="0.2">
      <c r="C213" s="367"/>
      <c r="D213" s="403"/>
      <c r="E213" s="369"/>
      <c r="F213" s="369"/>
      <c r="G213" s="369"/>
      <c r="H213" s="369"/>
      <c r="I213" s="370"/>
      <c r="J213"/>
      <c r="K213" s="371"/>
      <c r="L213" s="371"/>
      <c r="M213" s="371"/>
      <c r="N213" s="371"/>
      <c r="O213" s="305"/>
      <c r="P213" s="305"/>
      <c r="Q213" s="305"/>
      <c r="R213" s="305"/>
      <c r="S213" s="305"/>
      <c r="T213" s="305"/>
      <c r="U213" s="305"/>
      <c r="V213" s="305"/>
      <c r="W213" s="305"/>
      <c r="X213" s="305"/>
      <c r="Y213" s="305"/>
      <c r="Z213" s="305"/>
      <c r="AA213" s="305"/>
      <c r="AB213" s="305"/>
      <c r="AC213" s="305"/>
      <c r="AD213" s="305"/>
      <c r="AE213" s="305"/>
      <c r="AF213" s="305"/>
      <c r="AG213" s="305"/>
      <c r="AH213" s="305"/>
      <c r="AI213" s="305"/>
      <c r="AJ213" s="305"/>
      <c r="AK213" s="305"/>
      <c r="AL213" s="305"/>
      <c r="AM213" s="305"/>
      <c r="AN213" s="305"/>
      <c r="AO213" s="305"/>
      <c r="AP213" s="305"/>
      <c r="AQ213" s="305"/>
      <c r="AR213" s="305"/>
      <c r="AS213" s="305"/>
      <c r="AT213" s="305"/>
      <c r="AU213" s="305"/>
      <c r="AV213" s="305"/>
      <c r="AW213" s="305"/>
      <c r="AX213" s="305"/>
      <c r="AY213" s="305"/>
      <c r="AZ213" s="305"/>
      <c r="BA213" s="305"/>
      <c r="BB213" s="305"/>
      <c r="BC213" s="305"/>
      <c r="BD213" s="305"/>
      <c r="BE213" s="305"/>
      <c r="BF213" s="305"/>
      <c r="BG213" s="305"/>
      <c r="BH213" s="305"/>
      <c r="BI213" s="305"/>
      <c r="BJ213" s="305"/>
      <c r="BK213" s="305"/>
      <c r="BL213" s="305"/>
      <c r="BM213" s="305"/>
      <c r="BN213" s="305"/>
      <c r="BO213" s="305"/>
      <c r="BP213" s="305"/>
      <c r="BQ213" s="305"/>
      <c r="BR213" s="305"/>
      <c r="BS213" s="305"/>
      <c r="BT213" s="305"/>
      <c r="BU213" s="305"/>
      <c r="BV213" s="305"/>
      <c r="BW213" s="305"/>
      <c r="BX213" s="305"/>
      <c r="BY213" s="305"/>
      <c r="BZ213" s="305"/>
      <c r="CA213" s="305"/>
      <c r="CB213" s="305"/>
      <c r="CC213" s="305"/>
      <c r="CD213" s="305"/>
      <c r="CE213" s="305"/>
      <c r="CF213" s="305"/>
      <c r="CG213" s="305"/>
      <c r="CH213" s="305"/>
      <c r="CI213" s="305"/>
      <c r="CJ213" s="305"/>
      <c r="CK213" s="305"/>
      <c r="CL213" s="305"/>
      <c r="CM213" s="305"/>
      <c r="CN213" s="305"/>
      <c r="CO213" s="305"/>
      <c r="CP213" s="305"/>
      <c r="CQ213" s="305"/>
      <c r="CR213" s="305"/>
      <c r="CS213" s="305"/>
      <c r="CT213" s="305"/>
      <c r="CU213" s="305"/>
      <c r="CV213" s="305"/>
      <c r="CW213" s="305"/>
      <c r="CX213" s="305"/>
      <c r="CY213" s="305"/>
      <c r="CZ213" s="305"/>
      <c r="DA213" s="305"/>
      <c r="DB213" s="305"/>
      <c r="DC213" s="305"/>
      <c r="DD213" s="305"/>
      <c r="DE213" s="305"/>
      <c r="DF213" s="305"/>
      <c r="DG213" s="305"/>
      <c r="DH213" s="305"/>
      <c r="DI213" s="305"/>
      <c r="DJ213" s="305"/>
      <c r="DK213" s="305"/>
      <c r="DL213" s="305"/>
      <c r="DM213" s="305"/>
      <c r="DN213" s="305"/>
      <c r="DO213" s="305"/>
      <c r="DP213" s="305"/>
      <c r="DQ213" s="305"/>
      <c r="DR213" s="305"/>
      <c r="DS213" s="305"/>
      <c r="DT213" s="305"/>
      <c r="DU213" s="305"/>
      <c r="DV213" s="305"/>
      <c r="DW213" s="305"/>
      <c r="DX213" s="305"/>
      <c r="DY213" s="305"/>
      <c r="DZ213" s="305"/>
      <c r="EA213" s="305"/>
      <c r="EB213" s="305"/>
      <c r="EC213" s="305"/>
      <c r="ED213" s="305"/>
      <c r="EE213" s="305"/>
      <c r="EF213" s="305"/>
      <c r="EG213" s="305"/>
      <c r="EH213" s="305"/>
      <c r="EI213" s="305"/>
      <c r="EJ213" s="305"/>
      <c r="EK213" s="305"/>
      <c r="EL213" s="305"/>
      <c r="EM213" s="305"/>
      <c r="EN213" s="305"/>
      <c r="EO213" s="305"/>
      <c r="EP213" s="305"/>
      <c r="EQ213" s="305"/>
      <c r="ER213" s="305"/>
      <c r="ES213" s="305"/>
      <c r="ET213" s="305"/>
      <c r="EU213" s="305"/>
      <c r="EV213" s="305"/>
      <c r="EW213" s="305"/>
      <c r="EX213" s="305"/>
      <c r="EY213" s="305"/>
      <c r="EZ213" s="305"/>
      <c r="FA213" s="305"/>
      <c r="FB213" s="305"/>
      <c r="FC213" s="305"/>
      <c r="FD213" s="305"/>
      <c r="FE213" s="305"/>
      <c r="FF213" s="305"/>
      <c r="FG213" s="305"/>
      <c r="FH213" s="305"/>
      <c r="FI213" s="305"/>
      <c r="FJ213" s="305"/>
      <c r="FK213" s="305"/>
      <c r="FL213" s="305"/>
      <c r="FM213" s="305"/>
      <c r="FN213" s="305"/>
      <c r="FO213" s="305"/>
      <c r="FP213" s="305"/>
      <c r="FQ213" s="305"/>
      <c r="FR213" s="305"/>
      <c r="FS213" s="305"/>
      <c r="FT213" s="305"/>
      <c r="FU213" s="305"/>
      <c r="FV213" s="305"/>
      <c r="FW213" s="305"/>
      <c r="FX213" s="305"/>
      <c r="FY213" s="305"/>
      <c r="FZ213" s="305"/>
      <c r="GA213" s="305"/>
      <c r="GB213" s="305"/>
      <c r="GC213" s="305"/>
      <c r="GD213" s="305"/>
      <c r="GE213" s="305"/>
      <c r="GF213" s="305"/>
      <c r="GG213" s="305"/>
      <c r="GH213" s="305"/>
      <c r="GI213" s="305"/>
      <c r="GJ213" s="305"/>
      <c r="GK213" s="305"/>
      <c r="GL213" s="305"/>
      <c r="GM213" s="305"/>
      <c r="GN213" s="305"/>
      <c r="GO213" s="305"/>
      <c r="GP213" s="305"/>
      <c r="GQ213" s="305"/>
      <c r="GR213" s="305"/>
    </row>
    <row r="214" spans="3:200" s="318" customFormat="1" ht="12.75" customHeight="1" x14ac:dyDescent="0.2">
      <c r="C214" s="367"/>
      <c r="D214" s="403"/>
      <c r="E214" s="369"/>
      <c r="F214" s="369"/>
      <c r="G214" s="369"/>
      <c r="H214" s="369"/>
      <c r="I214" s="370"/>
      <c r="J214"/>
      <c r="K214" s="371"/>
      <c r="L214" s="371"/>
      <c r="M214" s="371"/>
      <c r="N214" s="371"/>
      <c r="O214" s="305"/>
      <c r="P214" s="305"/>
      <c r="Q214" s="305"/>
      <c r="R214" s="305"/>
      <c r="S214" s="305"/>
      <c r="T214" s="305"/>
      <c r="U214" s="305"/>
      <c r="V214" s="305"/>
      <c r="W214" s="305"/>
      <c r="X214" s="305"/>
      <c r="Y214" s="305"/>
      <c r="Z214" s="305"/>
      <c r="AA214" s="305"/>
      <c r="AB214" s="305"/>
      <c r="AC214" s="305"/>
      <c r="AD214" s="305"/>
      <c r="AE214" s="305"/>
      <c r="AF214" s="305"/>
      <c r="AG214" s="305"/>
      <c r="AH214" s="305"/>
      <c r="AI214" s="305"/>
      <c r="AJ214" s="305"/>
      <c r="AK214" s="305"/>
      <c r="AL214" s="305"/>
      <c r="AM214" s="305"/>
      <c r="AN214" s="305"/>
      <c r="AO214" s="305"/>
      <c r="AP214" s="305"/>
      <c r="AQ214" s="305"/>
      <c r="AR214" s="305"/>
      <c r="AS214" s="305"/>
      <c r="AT214" s="305"/>
      <c r="AU214" s="305"/>
      <c r="AV214" s="305"/>
      <c r="AW214" s="305"/>
      <c r="AX214" s="305"/>
      <c r="AY214" s="305"/>
      <c r="AZ214" s="305"/>
      <c r="BA214" s="305"/>
      <c r="BB214" s="305"/>
      <c r="BC214" s="305"/>
      <c r="BD214" s="305"/>
      <c r="BE214" s="305"/>
      <c r="BF214" s="305"/>
      <c r="BG214" s="305"/>
      <c r="BH214" s="305"/>
      <c r="BI214" s="305"/>
      <c r="BJ214" s="305"/>
      <c r="BK214" s="305"/>
      <c r="BL214" s="305"/>
      <c r="BM214" s="305"/>
      <c r="BN214" s="305"/>
      <c r="BO214" s="305"/>
      <c r="BP214" s="305"/>
      <c r="BQ214" s="305"/>
      <c r="BR214" s="305"/>
      <c r="BS214" s="305"/>
      <c r="BT214" s="305"/>
      <c r="BU214" s="305"/>
      <c r="BV214" s="305"/>
      <c r="BW214" s="305"/>
      <c r="BX214" s="305"/>
      <c r="BY214" s="305"/>
      <c r="BZ214" s="305"/>
      <c r="CA214" s="305"/>
      <c r="CB214" s="305"/>
      <c r="CC214" s="305"/>
      <c r="CD214" s="305"/>
      <c r="CE214" s="305"/>
      <c r="CF214" s="305"/>
      <c r="CG214" s="305"/>
      <c r="CH214" s="305"/>
      <c r="CI214" s="305"/>
      <c r="CJ214" s="305"/>
      <c r="CK214" s="305"/>
      <c r="CL214" s="305"/>
      <c r="CM214" s="305"/>
      <c r="CN214" s="305"/>
      <c r="CO214" s="305"/>
      <c r="CP214" s="305"/>
      <c r="CQ214" s="305"/>
      <c r="CR214" s="305"/>
      <c r="CS214" s="305"/>
      <c r="CT214" s="305"/>
      <c r="CU214" s="305"/>
      <c r="CV214" s="305"/>
      <c r="CW214" s="305"/>
      <c r="CX214" s="305"/>
      <c r="CY214" s="305"/>
      <c r="CZ214" s="305"/>
      <c r="DA214" s="305"/>
      <c r="DB214" s="305"/>
      <c r="DC214" s="305"/>
      <c r="DD214" s="305"/>
      <c r="DE214" s="305"/>
      <c r="DF214" s="305"/>
      <c r="DG214" s="305"/>
      <c r="DH214" s="305"/>
      <c r="DI214" s="305"/>
      <c r="DJ214" s="305"/>
      <c r="DK214" s="305"/>
      <c r="DL214" s="305"/>
      <c r="DM214" s="305"/>
      <c r="DN214" s="305"/>
      <c r="DO214" s="305"/>
      <c r="DP214" s="305"/>
      <c r="DQ214" s="305"/>
      <c r="DR214" s="305"/>
      <c r="DS214" s="305"/>
      <c r="DT214" s="305"/>
      <c r="DU214" s="305"/>
      <c r="DV214" s="305"/>
      <c r="DW214" s="305"/>
      <c r="DX214" s="305"/>
      <c r="DY214" s="305"/>
      <c r="DZ214" s="305"/>
      <c r="EA214" s="305"/>
      <c r="EB214" s="305"/>
      <c r="EC214" s="305"/>
      <c r="ED214" s="305"/>
      <c r="EE214" s="305"/>
      <c r="EF214" s="305"/>
      <c r="EG214" s="305"/>
      <c r="EH214" s="305"/>
      <c r="EI214" s="305"/>
      <c r="EJ214" s="305"/>
      <c r="EK214" s="305"/>
      <c r="EL214" s="305"/>
      <c r="EM214" s="305"/>
      <c r="EN214" s="305"/>
      <c r="EO214" s="305"/>
      <c r="EP214" s="305"/>
      <c r="EQ214" s="305"/>
      <c r="ER214" s="305"/>
      <c r="ES214" s="305"/>
      <c r="ET214" s="305"/>
      <c r="EU214" s="305"/>
      <c r="EV214" s="305"/>
      <c r="EW214" s="305"/>
      <c r="EX214" s="305"/>
      <c r="EY214" s="305"/>
      <c r="EZ214" s="305"/>
      <c r="FA214" s="305"/>
      <c r="FB214" s="305"/>
      <c r="FC214" s="305"/>
      <c r="FD214" s="305"/>
      <c r="FE214" s="305"/>
      <c r="FF214" s="305"/>
      <c r="FG214" s="305"/>
      <c r="FH214" s="305"/>
      <c r="FI214" s="305"/>
      <c r="FJ214" s="305"/>
      <c r="FK214" s="305"/>
      <c r="FL214" s="305"/>
      <c r="FM214" s="305"/>
      <c r="FN214" s="305"/>
      <c r="FO214" s="305"/>
      <c r="FP214" s="305"/>
      <c r="FQ214" s="305"/>
      <c r="FR214" s="305"/>
      <c r="FS214" s="305"/>
      <c r="FT214" s="305"/>
      <c r="FU214" s="305"/>
      <c r="FV214" s="305"/>
      <c r="FW214" s="305"/>
      <c r="FX214" s="305"/>
      <c r="FY214" s="305"/>
      <c r="FZ214" s="305"/>
      <c r="GA214" s="305"/>
      <c r="GB214" s="305"/>
      <c r="GC214" s="305"/>
      <c r="GD214" s="305"/>
      <c r="GE214" s="305"/>
      <c r="GF214" s="305"/>
      <c r="GG214" s="305"/>
      <c r="GH214" s="305"/>
      <c r="GI214" s="305"/>
      <c r="GJ214" s="305"/>
      <c r="GK214" s="305"/>
      <c r="GL214" s="305"/>
      <c r="GM214" s="305"/>
      <c r="GN214" s="305"/>
      <c r="GO214" s="305"/>
      <c r="GP214" s="305"/>
      <c r="GQ214" s="305"/>
      <c r="GR214" s="305"/>
    </row>
    <row r="215" spans="3:200" s="318" customFormat="1" ht="12.75" customHeight="1" x14ac:dyDescent="0.2">
      <c r="C215" s="367"/>
      <c r="D215" s="403"/>
      <c r="E215" s="369"/>
      <c r="F215" s="369"/>
      <c r="G215" s="369"/>
      <c r="H215" s="369"/>
      <c r="I215" s="370"/>
      <c r="J215"/>
      <c r="K215" s="371"/>
      <c r="L215" s="371"/>
      <c r="M215" s="371"/>
      <c r="N215" s="371"/>
      <c r="O215" s="305"/>
      <c r="P215" s="305"/>
      <c r="Q215" s="305"/>
      <c r="R215" s="305"/>
      <c r="S215" s="305"/>
      <c r="T215" s="305"/>
      <c r="U215" s="305"/>
      <c r="V215" s="305"/>
      <c r="W215" s="305"/>
      <c r="X215" s="305"/>
      <c r="Y215" s="305"/>
      <c r="Z215" s="305"/>
      <c r="AA215" s="305"/>
      <c r="AB215" s="305"/>
      <c r="AC215" s="305"/>
      <c r="AD215" s="305"/>
      <c r="AE215" s="305"/>
      <c r="AF215" s="305"/>
      <c r="AG215" s="305"/>
      <c r="AH215" s="305"/>
      <c r="AI215" s="305"/>
      <c r="AJ215" s="305"/>
      <c r="AK215" s="305"/>
      <c r="AL215" s="305"/>
      <c r="AM215" s="305"/>
      <c r="AN215" s="305"/>
      <c r="AO215" s="305"/>
      <c r="AP215" s="305"/>
      <c r="AQ215" s="305"/>
      <c r="AR215" s="305"/>
      <c r="AS215" s="305"/>
      <c r="AT215" s="305"/>
      <c r="AU215" s="305"/>
      <c r="AV215" s="305"/>
      <c r="AW215" s="305"/>
      <c r="AX215" s="305"/>
      <c r="AY215" s="305"/>
      <c r="AZ215" s="305"/>
      <c r="BA215" s="305"/>
      <c r="BB215" s="305"/>
      <c r="BC215" s="305"/>
      <c r="BD215" s="305"/>
      <c r="BE215" s="305"/>
      <c r="BF215" s="305"/>
      <c r="BG215" s="305"/>
      <c r="BH215" s="305"/>
      <c r="BI215" s="305"/>
      <c r="BJ215" s="305"/>
      <c r="BK215" s="305"/>
      <c r="BL215" s="305"/>
      <c r="BM215" s="305"/>
      <c r="BN215" s="305"/>
      <c r="BO215" s="305"/>
      <c r="BP215" s="305"/>
      <c r="BQ215" s="305"/>
      <c r="BR215" s="305"/>
      <c r="BS215" s="305"/>
      <c r="BT215" s="305"/>
      <c r="BU215" s="305"/>
      <c r="BV215" s="305"/>
      <c r="BW215" s="305"/>
      <c r="BX215" s="305"/>
      <c r="BY215" s="305"/>
      <c r="BZ215" s="305"/>
      <c r="CA215" s="305"/>
      <c r="CB215" s="305"/>
      <c r="CC215" s="305"/>
      <c r="CD215" s="305"/>
      <c r="CE215" s="305"/>
      <c r="CF215" s="305"/>
      <c r="CG215" s="305"/>
      <c r="CH215" s="305"/>
      <c r="CI215" s="305"/>
      <c r="CJ215" s="305"/>
      <c r="CK215" s="305"/>
      <c r="CL215" s="305"/>
      <c r="CM215" s="305"/>
      <c r="CN215" s="305"/>
      <c r="CO215" s="305"/>
      <c r="CP215" s="305"/>
      <c r="CQ215" s="305"/>
      <c r="CR215" s="305"/>
      <c r="CS215" s="305"/>
      <c r="CT215" s="305"/>
      <c r="CU215" s="305"/>
      <c r="CV215" s="305"/>
      <c r="CW215" s="305"/>
      <c r="CX215" s="305"/>
      <c r="CY215" s="305"/>
      <c r="CZ215" s="305"/>
      <c r="DA215" s="305"/>
      <c r="DB215" s="305"/>
      <c r="DC215" s="305"/>
      <c r="DD215" s="305"/>
      <c r="DE215" s="305"/>
      <c r="DF215" s="305"/>
      <c r="DG215" s="305"/>
      <c r="DH215" s="305"/>
      <c r="DI215" s="305"/>
      <c r="DJ215" s="305"/>
      <c r="DK215" s="305"/>
      <c r="DL215" s="305"/>
      <c r="DM215" s="305"/>
      <c r="DN215" s="305"/>
      <c r="DO215" s="305"/>
      <c r="DP215" s="305"/>
      <c r="DQ215" s="305"/>
      <c r="DR215" s="305"/>
      <c r="DS215" s="305"/>
      <c r="DT215" s="305"/>
      <c r="DU215" s="305"/>
      <c r="DV215" s="305"/>
      <c r="DW215" s="305"/>
      <c r="DX215" s="305"/>
      <c r="DY215" s="305"/>
      <c r="DZ215" s="305"/>
      <c r="EA215" s="305"/>
      <c r="EB215" s="305"/>
      <c r="EC215" s="305"/>
      <c r="ED215" s="305"/>
      <c r="EE215" s="305"/>
      <c r="EF215" s="305"/>
      <c r="EG215" s="305"/>
      <c r="EH215" s="305"/>
      <c r="EI215" s="305"/>
      <c r="EJ215" s="305"/>
      <c r="EK215" s="305"/>
      <c r="EL215" s="305"/>
      <c r="EM215" s="305"/>
      <c r="EN215" s="305"/>
      <c r="EO215" s="305"/>
      <c r="EP215" s="305"/>
      <c r="EQ215" s="305"/>
      <c r="ER215" s="305"/>
      <c r="ES215" s="305"/>
      <c r="ET215" s="305"/>
      <c r="EU215" s="305"/>
      <c r="EV215" s="305"/>
      <c r="EW215" s="305"/>
      <c r="EX215" s="305"/>
      <c r="EY215" s="305"/>
      <c r="EZ215" s="305"/>
      <c r="FA215" s="305"/>
      <c r="FB215" s="305"/>
      <c r="FC215" s="305"/>
      <c r="FD215" s="305"/>
      <c r="FE215" s="305"/>
      <c r="FF215" s="305"/>
      <c r="FG215" s="305"/>
      <c r="FH215" s="305"/>
      <c r="FI215" s="305"/>
      <c r="FJ215" s="305"/>
      <c r="FK215" s="305"/>
      <c r="FL215" s="305"/>
      <c r="FM215" s="305"/>
      <c r="FN215" s="305"/>
      <c r="FO215" s="305"/>
      <c r="FP215" s="305"/>
      <c r="FQ215" s="305"/>
      <c r="FR215" s="305"/>
      <c r="FS215" s="305"/>
      <c r="FT215" s="305"/>
      <c r="FU215" s="305"/>
      <c r="FV215" s="305"/>
      <c r="FW215" s="305"/>
      <c r="FX215" s="305"/>
      <c r="FY215" s="305"/>
      <c r="FZ215" s="305"/>
      <c r="GA215" s="305"/>
      <c r="GB215" s="305"/>
      <c r="GC215" s="305"/>
      <c r="GD215" s="305"/>
      <c r="GE215" s="305"/>
      <c r="GF215" s="305"/>
      <c r="GG215" s="305"/>
      <c r="GH215" s="305"/>
      <c r="GI215" s="305"/>
      <c r="GJ215" s="305"/>
      <c r="GK215" s="305"/>
      <c r="GL215" s="305"/>
      <c r="GM215" s="305"/>
      <c r="GN215" s="305"/>
      <c r="GO215" s="305"/>
      <c r="GP215" s="305"/>
      <c r="GQ215" s="305"/>
      <c r="GR215" s="305"/>
    </row>
    <row r="216" spans="3:200" s="318" customFormat="1" ht="12.75" customHeight="1" x14ac:dyDescent="0.2">
      <c r="C216" s="367"/>
      <c r="D216" s="403"/>
      <c r="E216" s="369"/>
      <c r="F216" s="369"/>
      <c r="G216" s="369"/>
      <c r="H216" s="369"/>
      <c r="I216" s="370"/>
      <c r="J216"/>
      <c r="K216" s="371"/>
      <c r="L216" s="371"/>
      <c r="M216" s="371"/>
      <c r="N216" s="371"/>
      <c r="O216" s="305"/>
      <c r="P216" s="305"/>
      <c r="Q216" s="305"/>
      <c r="R216" s="305"/>
      <c r="S216" s="305"/>
      <c r="T216" s="305"/>
      <c r="U216" s="305"/>
      <c r="V216" s="305"/>
      <c r="W216" s="305"/>
      <c r="X216" s="305"/>
      <c r="Y216" s="305"/>
      <c r="Z216" s="305"/>
      <c r="AA216" s="305"/>
      <c r="AB216" s="305"/>
      <c r="AC216" s="305"/>
      <c r="AD216" s="305"/>
      <c r="AE216" s="305"/>
      <c r="AF216" s="305"/>
      <c r="AG216" s="305"/>
      <c r="AH216" s="305"/>
      <c r="AI216" s="305"/>
      <c r="AJ216" s="305"/>
      <c r="AK216" s="305"/>
      <c r="AL216" s="305"/>
      <c r="AM216" s="305"/>
      <c r="AN216" s="305"/>
      <c r="AO216" s="305"/>
      <c r="AP216" s="305"/>
      <c r="AQ216" s="305"/>
      <c r="AR216" s="305"/>
      <c r="AS216" s="305"/>
      <c r="AT216" s="305"/>
      <c r="AU216" s="305"/>
      <c r="AV216" s="305"/>
      <c r="AW216" s="305"/>
      <c r="AX216" s="305"/>
      <c r="AY216" s="305"/>
      <c r="AZ216" s="305"/>
      <c r="BA216" s="305"/>
      <c r="BB216" s="305"/>
      <c r="BC216" s="305"/>
      <c r="BD216" s="305"/>
      <c r="BE216" s="305"/>
      <c r="BF216" s="305"/>
      <c r="BG216" s="305"/>
      <c r="BH216" s="305"/>
      <c r="BI216" s="305"/>
      <c r="BJ216" s="305"/>
      <c r="BK216" s="305"/>
      <c r="BL216" s="305"/>
      <c r="BM216" s="305"/>
      <c r="BN216" s="305"/>
      <c r="BO216" s="305"/>
      <c r="BP216" s="305"/>
      <c r="BQ216" s="305"/>
      <c r="BR216" s="305"/>
      <c r="BS216" s="305"/>
      <c r="BT216" s="305"/>
      <c r="BU216" s="305"/>
      <c r="BV216" s="305"/>
      <c r="BW216" s="305"/>
      <c r="BX216" s="305"/>
      <c r="BY216" s="305"/>
      <c r="BZ216" s="305"/>
      <c r="CA216" s="305"/>
      <c r="CB216" s="305"/>
      <c r="CC216" s="305"/>
      <c r="CD216" s="305"/>
      <c r="CE216" s="305"/>
      <c r="CF216" s="305"/>
      <c r="CG216" s="305"/>
      <c r="CH216" s="305"/>
      <c r="CI216" s="305"/>
      <c r="CJ216" s="305"/>
      <c r="CK216" s="305"/>
      <c r="CL216" s="305"/>
      <c r="CM216" s="305"/>
      <c r="CN216" s="305"/>
      <c r="CO216" s="305"/>
      <c r="CP216" s="305"/>
      <c r="CQ216" s="305"/>
      <c r="CR216" s="305"/>
      <c r="CS216" s="305"/>
      <c r="CT216" s="305"/>
      <c r="CU216" s="305"/>
      <c r="CV216" s="305"/>
      <c r="CW216" s="305"/>
      <c r="CX216" s="305"/>
      <c r="CY216" s="305"/>
      <c r="CZ216" s="305"/>
      <c r="DA216" s="305"/>
      <c r="DB216" s="305"/>
      <c r="DC216" s="305"/>
      <c r="DD216" s="305"/>
      <c r="DE216" s="305"/>
      <c r="DF216" s="305"/>
      <c r="DG216" s="305"/>
      <c r="DH216" s="305"/>
      <c r="DI216" s="305"/>
      <c r="DJ216" s="305"/>
      <c r="DK216" s="305"/>
      <c r="DL216" s="305"/>
      <c r="DM216" s="305"/>
      <c r="DN216" s="305"/>
      <c r="DO216" s="305"/>
      <c r="DP216" s="305"/>
      <c r="DQ216" s="305"/>
      <c r="DR216" s="305"/>
      <c r="DS216" s="305"/>
      <c r="DT216" s="305"/>
      <c r="DU216" s="305"/>
      <c r="DV216" s="305"/>
      <c r="DW216" s="305"/>
      <c r="DX216" s="305"/>
      <c r="DY216" s="305"/>
      <c r="DZ216" s="305"/>
      <c r="EA216" s="305"/>
      <c r="EB216" s="305"/>
      <c r="EC216" s="305"/>
      <c r="ED216" s="305"/>
      <c r="EE216" s="305"/>
      <c r="EF216" s="305"/>
      <c r="EG216" s="305"/>
      <c r="EH216" s="305"/>
      <c r="EI216" s="305"/>
      <c r="EJ216" s="305"/>
      <c r="EK216" s="305"/>
      <c r="EL216" s="305"/>
      <c r="EM216" s="305"/>
      <c r="EN216" s="305"/>
      <c r="EO216" s="305"/>
      <c r="EP216" s="305"/>
      <c r="EQ216" s="305"/>
      <c r="ER216" s="305"/>
      <c r="ES216" s="305"/>
      <c r="ET216" s="305"/>
      <c r="EU216" s="305"/>
      <c r="EV216" s="305"/>
      <c r="EW216" s="305"/>
      <c r="EX216" s="305"/>
      <c r="EY216" s="305"/>
      <c r="EZ216" s="305"/>
      <c r="FA216" s="305"/>
      <c r="FB216" s="305"/>
      <c r="FC216" s="305"/>
      <c r="FD216" s="305"/>
      <c r="FE216" s="305"/>
      <c r="FF216" s="305"/>
      <c r="FG216" s="305"/>
      <c r="FH216" s="305"/>
      <c r="FI216" s="305"/>
      <c r="FJ216" s="305"/>
      <c r="FK216" s="305"/>
      <c r="FL216" s="305"/>
      <c r="FM216" s="305"/>
      <c r="FN216" s="305"/>
      <c r="FO216" s="305"/>
      <c r="FP216" s="305"/>
      <c r="FQ216" s="305"/>
      <c r="FR216" s="305"/>
      <c r="FS216" s="305"/>
      <c r="FT216" s="305"/>
      <c r="FU216" s="305"/>
      <c r="FV216" s="305"/>
      <c r="FW216" s="305"/>
      <c r="FX216" s="305"/>
      <c r="FY216" s="305"/>
      <c r="FZ216" s="305"/>
      <c r="GA216" s="305"/>
      <c r="GB216" s="305"/>
      <c r="GC216" s="305"/>
      <c r="GD216" s="305"/>
      <c r="GE216" s="305"/>
      <c r="GF216" s="305"/>
      <c r="GG216" s="305"/>
      <c r="GH216" s="305"/>
      <c r="GI216" s="305"/>
      <c r="GJ216" s="305"/>
      <c r="GK216" s="305"/>
      <c r="GL216" s="305"/>
      <c r="GM216" s="305"/>
      <c r="GN216" s="305"/>
      <c r="GO216" s="305"/>
      <c r="GP216" s="305"/>
      <c r="GQ216" s="305"/>
      <c r="GR216" s="305"/>
    </row>
    <row r="217" spans="3:200" s="318" customFormat="1" ht="12.75" customHeight="1" x14ac:dyDescent="0.2">
      <c r="C217" s="367"/>
      <c r="D217" s="403"/>
      <c r="E217" s="369"/>
      <c r="F217" s="369"/>
      <c r="G217" s="369"/>
      <c r="H217" s="369"/>
      <c r="I217" s="370"/>
      <c r="J217"/>
      <c r="K217" s="371"/>
      <c r="L217" s="371"/>
      <c r="M217" s="371"/>
      <c r="N217" s="371"/>
      <c r="O217" s="305"/>
      <c r="P217" s="305"/>
      <c r="Q217" s="305"/>
      <c r="R217" s="305"/>
      <c r="S217" s="305"/>
      <c r="T217" s="305"/>
      <c r="U217" s="305"/>
      <c r="V217" s="305"/>
      <c r="W217" s="305"/>
      <c r="X217" s="305"/>
      <c r="Y217" s="305"/>
      <c r="Z217" s="305"/>
      <c r="AA217" s="305"/>
      <c r="AB217" s="305"/>
      <c r="AC217" s="305"/>
      <c r="AD217" s="305"/>
      <c r="AE217" s="305"/>
      <c r="AF217" s="305"/>
      <c r="AG217" s="305"/>
      <c r="AH217" s="305"/>
      <c r="AI217" s="305"/>
      <c r="AJ217" s="305"/>
      <c r="AK217" s="305"/>
      <c r="AL217" s="305"/>
      <c r="AM217" s="305"/>
      <c r="AN217" s="305"/>
      <c r="AO217" s="305"/>
      <c r="AP217" s="305"/>
      <c r="AQ217" s="305"/>
      <c r="AR217" s="305"/>
      <c r="AS217" s="305"/>
      <c r="AT217" s="305"/>
      <c r="AU217" s="305"/>
      <c r="AV217" s="305"/>
      <c r="AW217" s="305"/>
      <c r="AX217" s="305"/>
      <c r="AY217" s="305"/>
      <c r="AZ217" s="305"/>
      <c r="BA217" s="305"/>
      <c r="BB217" s="305"/>
      <c r="BC217" s="305"/>
      <c r="BD217" s="305"/>
      <c r="BE217" s="305"/>
      <c r="BF217" s="305"/>
      <c r="BG217" s="305"/>
      <c r="BH217" s="305"/>
      <c r="BI217" s="305"/>
      <c r="BJ217" s="305"/>
      <c r="BK217" s="305"/>
      <c r="BL217" s="305"/>
      <c r="BM217" s="305"/>
      <c r="BN217" s="305"/>
      <c r="BO217" s="305"/>
      <c r="BP217" s="305"/>
      <c r="BQ217" s="305"/>
      <c r="BR217" s="305"/>
      <c r="BS217" s="305"/>
      <c r="BT217" s="305"/>
      <c r="BU217" s="305"/>
      <c r="BV217" s="305"/>
      <c r="BW217" s="305"/>
      <c r="BX217" s="305"/>
      <c r="BY217" s="305"/>
      <c r="BZ217" s="305"/>
      <c r="CA217" s="305"/>
      <c r="CB217" s="305"/>
      <c r="CC217" s="305"/>
      <c r="CD217" s="305"/>
      <c r="CE217" s="305"/>
      <c r="CF217" s="305"/>
      <c r="CG217" s="305"/>
      <c r="CH217" s="305"/>
      <c r="CI217" s="305"/>
      <c r="CJ217" s="305"/>
      <c r="CK217" s="305"/>
      <c r="CL217" s="305"/>
      <c r="CM217" s="305"/>
      <c r="CN217" s="305"/>
      <c r="CO217" s="305"/>
      <c r="CP217" s="305"/>
      <c r="CQ217" s="305"/>
      <c r="CR217" s="305"/>
      <c r="CS217" s="305"/>
      <c r="CT217" s="305"/>
      <c r="CU217" s="305"/>
      <c r="CV217" s="305"/>
      <c r="CW217" s="305"/>
      <c r="CX217" s="305"/>
      <c r="CY217" s="305"/>
      <c r="CZ217" s="305"/>
      <c r="DA217" s="305"/>
      <c r="DB217" s="305"/>
      <c r="DC217" s="305"/>
      <c r="DD217" s="305"/>
      <c r="DE217" s="305"/>
      <c r="DF217" s="305"/>
      <c r="DG217" s="305"/>
      <c r="DH217" s="305"/>
      <c r="DI217" s="305"/>
      <c r="DJ217" s="305"/>
      <c r="DK217" s="305"/>
      <c r="DL217" s="305"/>
      <c r="DM217" s="305"/>
      <c r="DN217" s="305"/>
      <c r="DO217" s="305"/>
      <c r="DP217" s="305"/>
      <c r="DQ217" s="305"/>
      <c r="DR217" s="305"/>
      <c r="DS217" s="305"/>
      <c r="DT217" s="305"/>
      <c r="DU217" s="305"/>
      <c r="DV217" s="305"/>
      <c r="DW217" s="305"/>
      <c r="DX217" s="305"/>
      <c r="DY217" s="305"/>
      <c r="DZ217" s="305"/>
      <c r="EA217" s="305"/>
      <c r="EB217" s="305"/>
      <c r="EC217" s="305"/>
      <c r="ED217" s="305"/>
      <c r="EE217" s="305"/>
      <c r="EF217" s="305"/>
      <c r="EG217" s="305"/>
      <c r="EH217" s="305"/>
      <c r="EI217" s="305"/>
      <c r="EJ217" s="305"/>
      <c r="EK217" s="305"/>
      <c r="EL217" s="305"/>
      <c r="EM217" s="305"/>
      <c r="EN217" s="305"/>
      <c r="EO217" s="305"/>
      <c r="EP217" s="305"/>
      <c r="EQ217" s="305"/>
      <c r="ER217" s="305"/>
      <c r="ES217" s="305"/>
      <c r="ET217" s="305"/>
      <c r="EU217" s="305"/>
      <c r="EV217" s="305"/>
      <c r="EW217" s="305"/>
      <c r="EX217" s="305"/>
      <c r="EY217" s="305"/>
      <c r="EZ217" s="305"/>
      <c r="FA217" s="305"/>
      <c r="FB217" s="305"/>
      <c r="FC217" s="305"/>
      <c r="FD217" s="305"/>
      <c r="FE217" s="305"/>
      <c r="FF217" s="305"/>
      <c r="FG217" s="305"/>
      <c r="FH217" s="305"/>
      <c r="FI217" s="305"/>
      <c r="FJ217" s="305"/>
      <c r="FK217" s="305"/>
      <c r="FL217" s="305"/>
      <c r="FM217" s="305"/>
      <c r="FN217" s="305"/>
      <c r="FO217" s="305"/>
      <c r="FP217" s="305"/>
      <c r="FQ217" s="305"/>
      <c r="FR217" s="305"/>
      <c r="FS217" s="305"/>
      <c r="FT217" s="305"/>
      <c r="FU217" s="305"/>
      <c r="FV217" s="305"/>
      <c r="FW217" s="305"/>
      <c r="FX217" s="305"/>
      <c r="FY217" s="305"/>
      <c r="FZ217" s="305"/>
      <c r="GA217" s="305"/>
      <c r="GB217" s="305"/>
      <c r="GC217" s="305"/>
      <c r="GD217" s="305"/>
      <c r="GE217" s="305"/>
      <c r="GF217" s="305"/>
      <c r="GG217" s="305"/>
      <c r="GH217" s="305"/>
      <c r="GI217" s="305"/>
      <c r="GJ217" s="305"/>
      <c r="GK217" s="305"/>
      <c r="GL217" s="305"/>
      <c r="GM217" s="305"/>
      <c r="GN217" s="305"/>
      <c r="GO217" s="305"/>
      <c r="GP217" s="305"/>
      <c r="GQ217" s="305"/>
      <c r="GR217" s="305"/>
    </row>
    <row r="218" spans="3:200" s="318" customFormat="1" ht="12.75" customHeight="1" x14ac:dyDescent="0.2">
      <c r="C218" s="367"/>
      <c r="D218" s="403"/>
      <c r="E218" s="369"/>
      <c r="F218" s="369"/>
      <c r="G218" s="369"/>
      <c r="H218" s="369"/>
      <c r="I218" s="370"/>
      <c r="J218"/>
      <c r="K218" s="371"/>
      <c r="L218" s="371"/>
      <c r="M218" s="371"/>
      <c r="N218" s="371"/>
      <c r="O218" s="305"/>
      <c r="P218" s="305"/>
      <c r="Q218" s="305"/>
      <c r="R218" s="305"/>
      <c r="S218" s="305"/>
      <c r="T218" s="305"/>
      <c r="U218" s="305"/>
      <c r="V218" s="305"/>
      <c r="W218" s="305"/>
      <c r="X218" s="305"/>
      <c r="Y218" s="305"/>
      <c r="Z218" s="305"/>
      <c r="AA218" s="305"/>
      <c r="AB218" s="305"/>
      <c r="AC218" s="305"/>
      <c r="AD218" s="305"/>
      <c r="AE218" s="305"/>
      <c r="AF218" s="305"/>
      <c r="AG218" s="305"/>
      <c r="AH218" s="305"/>
      <c r="AI218" s="305"/>
      <c r="AJ218" s="305"/>
      <c r="AK218" s="305"/>
      <c r="AL218" s="305"/>
      <c r="AM218" s="305"/>
      <c r="AN218" s="305"/>
      <c r="AO218" s="305"/>
      <c r="AP218" s="305"/>
      <c r="AQ218" s="305"/>
      <c r="AR218" s="305"/>
      <c r="AS218" s="305"/>
      <c r="AT218" s="305"/>
      <c r="AU218" s="305"/>
      <c r="AV218" s="305"/>
      <c r="AW218" s="305"/>
      <c r="AX218" s="305"/>
      <c r="AY218" s="305"/>
      <c r="AZ218" s="305"/>
      <c r="BA218" s="305"/>
      <c r="BB218" s="305"/>
      <c r="BC218" s="305"/>
      <c r="BD218" s="305"/>
      <c r="BE218" s="305"/>
      <c r="BF218" s="305"/>
      <c r="BG218" s="305"/>
      <c r="BH218" s="305"/>
      <c r="BI218" s="305"/>
      <c r="BJ218" s="305"/>
      <c r="BK218" s="305"/>
      <c r="BL218" s="305"/>
      <c r="BM218" s="305"/>
      <c r="BN218" s="305"/>
      <c r="BO218" s="305"/>
      <c r="BP218" s="305"/>
      <c r="BQ218" s="305"/>
      <c r="BR218" s="305"/>
      <c r="BS218" s="305"/>
      <c r="BT218" s="305"/>
      <c r="BU218" s="305"/>
      <c r="BV218" s="305"/>
      <c r="BW218" s="305"/>
      <c r="BX218" s="305"/>
      <c r="BY218" s="305"/>
      <c r="BZ218" s="305"/>
      <c r="CA218" s="305"/>
      <c r="CB218" s="305"/>
      <c r="CC218" s="305"/>
      <c r="CD218" s="305"/>
      <c r="CE218" s="305"/>
      <c r="CF218" s="305"/>
      <c r="CG218" s="305"/>
      <c r="CH218" s="305"/>
      <c r="CI218" s="305"/>
      <c r="CJ218" s="305"/>
      <c r="CK218" s="305"/>
      <c r="CL218" s="305"/>
      <c r="CM218" s="305"/>
      <c r="CN218" s="305"/>
      <c r="CO218" s="305"/>
      <c r="CP218" s="305"/>
      <c r="CQ218" s="305"/>
      <c r="CR218" s="305"/>
      <c r="CS218" s="305"/>
      <c r="CT218" s="305"/>
      <c r="CU218" s="305"/>
      <c r="CV218" s="305"/>
      <c r="CW218" s="305"/>
      <c r="CX218" s="305"/>
      <c r="CY218" s="305"/>
      <c r="CZ218" s="305"/>
      <c r="DA218" s="305"/>
      <c r="DB218" s="305"/>
      <c r="DC218" s="305"/>
      <c r="DD218" s="305"/>
      <c r="DE218" s="305"/>
      <c r="DF218" s="305"/>
      <c r="DG218" s="305"/>
      <c r="DH218" s="305"/>
      <c r="DI218" s="305"/>
      <c r="DJ218" s="305"/>
      <c r="DK218" s="305"/>
      <c r="DL218" s="305"/>
      <c r="DM218" s="305"/>
      <c r="DN218" s="305"/>
      <c r="DO218" s="305"/>
      <c r="DP218" s="305"/>
      <c r="DQ218" s="305"/>
      <c r="DR218" s="305"/>
      <c r="DS218" s="305"/>
      <c r="DT218" s="305"/>
      <c r="DU218" s="305"/>
      <c r="DV218" s="305"/>
      <c r="DW218" s="305"/>
      <c r="DX218" s="305"/>
      <c r="DY218" s="305"/>
      <c r="DZ218" s="305"/>
      <c r="EA218" s="305"/>
      <c r="EB218" s="305"/>
      <c r="EC218" s="305"/>
      <c r="ED218" s="305"/>
      <c r="EE218" s="305"/>
      <c r="EF218" s="305"/>
      <c r="EG218" s="305"/>
      <c r="EH218" s="305"/>
      <c r="EI218" s="305"/>
      <c r="EJ218" s="305"/>
      <c r="EK218" s="305"/>
      <c r="EL218" s="305"/>
      <c r="EM218" s="305"/>
      <c r="EN218" s="305"/>
      <c r="EO218" s="305"/>
      <c r="EP218" s="305"/>
      <c r="EQ218" s="305"/>
      <c r="ER218" s="305"/>
      <c r="ES218" s="305"/>
      <c r="ET218" s="305"/>
      <c r="EU218" s="305"/>
      <c r="EV218" s="305"/>
      <c r="EW218" s="305"/>
      <c r="EX218" s="305"/>
      <c r="EY218" s="305"/>
      <c r="EZ218" s="305"/>
      <c r="FA218" s="305"/>
      <c r="FB218" s="305"/>
      <c r="FC218" s="305"/>
      <c r="FD218" s="305"/>
      <c r="FE218" s="305"/>
      <c r="FF218" s="305"/>
      <c r="FG218" s="305"/>
      <c r="FH218" s="305"/>
      <c r="FI218" s="305"/>
      <c r="FJ218" s="305"/>
      <c r="FK218" s="305"/>
      <c r="FL218" s="305"/>
      <c r="FM218" s="305"/>
      <c r="FN218" s="305"/>
      <c r="FO218" s="305"/>
      <c r="FP218" s="305"/>
      <c r="FQ218" s="305"/>
      <c r="FR218" s="305"/>
      <c r="FS218" s="305"/>
      <c r="FT218" s="305"/>
      <c r="FU218" s="305"/>
      <c r="FV218" s="305"/>
      <c r="FW218" s="305"/>
      <c r="FX218" s="305"/>
      <c r="FY218" s="305"/>
      <c r="FZ218" s="305"/>
      <c r="GA218" s="305"/>
      <c r="GB218" s="305"/>
      <c r="GC218" s="305"/>
      <c r="GD218" s="305"/>
      <c r="GE218" s="305"/>
      <c r="GF218" s="305"/>
      <c r="GG218" s="305"/>
      <c r="GH218" s="305"/>
      <c r="GI218" s="305"/>
      <c r="GJ218" s="305"/>
      <c r="GK218" s="305"/>
      <c r="GL218" s="305"/>
      <c r="GM218" s="305"/>
      <c r="GN218" s="305"/>
      <c r="GO218" s="305"/>
      <c r="GP218" s="305"/>
      <c r="GQ218" s="305"/>
      <c r="GR218" s="305"/>
    </row>
    <row r="219" spans="3:200" s="318" customFormat="1" ht="12.75" customHeight="1" x14ac:dyDescent="0.2">
      <c r="C219" s="367"/>
      <c r="D219" s="403"/>
      <c r="E219" s="369"/>
      <c r="F219" s="369"/>
      <c r="G219" s="369"/>
      <c r="H219" s="369"/>
      <c r="I219" s="370"/>
      <c r="J219"/>
      <c r="K219" s="371"/>
      <c r="L219" s="371"/>
      <c r="M219" s="371"/>
      <c r="N219" s="371"/>
      <c r="O219" s="305"/>
      <c r="P219" s="305"/>
      <c r="Q219" s="305"/>
      <c r="R219" s="305"/>
      <c r="S219" s="305"/>
      <c r="T219" s="305"/>
      <c r="U219" s="305"/>
      <c r="V219" s="305"/>
      <c r="W219" s="305"/>
      <c r="X219" s="305"/>
      <c r="Y219" s="305"/>
      <c r="Z219" s="305"/>
      <c r="AA219" s="305"/>
      <c r="AB219" s="305"/>
      <c r="AC219" s="305"/>
      <c r="AD219" s="305"/>
      <c r="AE219" s="305"/>
      <c r="AF219" s="305"/>
      <c r="AG219" s="305"/>
      <c r="AH219" s="305"/>
      <c r="AI219" s="305"/>
      <c r="AJ219" s="305"/>
      <c r="AK219" s="305"/>
      <c r="AL219" s="305"/>
      <c r="AM219" s="305"/>
      <c r="AN219" s="305"/>
      <c r="AO219" s="305"/>
      <c r="AP219" s="305"/>
      <c r="AQ219" s="305"/>
      <c r="AR219" s="305"/>
      <c r="AS219" s="305"/>
      <c r="AT219" s="305"/>
      <c r="AU219" s="305"/>
      <c r="AV219" s="305"/>
      <c r="AW219" s="305"/>
      <c r="AX219" s="305"/>
      <c r="AY219" s="305"/>
      <c r="AZ219" s="305"/>
      <c r="BA219" s="305"/>
      <c r="BB219" s="305"/>
      <c r="BC219" s="305"/>
      <c r="BD219" s="305"/>
      <c r="BE219" s="305"/>
      <c r="BF219" s="305"/>
      <c r="BG219" s="305"/>
      <c r="BH219" s="305"/>
      <c r="BI219" s="305"/>
      <c r="BJ219" s="305"/>
      <c r="BK219" s="305"/>
      <c r="BL219" s="305"/>
      <c r="BM219" s="305"/>
      <c r="BN219" s="305"/>
      <c r="BO219" s="305"/>
      <c r="BP219" s="305"/>
      <c r="BQ219" s="305"/>
      <c r="BR219" s="305"/>
      <c r="BS219" s="305"/>
      <c r="BT219" s="305"/>
      <c r="BU219" s="305"/>
      <c r="BV219" s="305"/>
      <c r="BW219" s="305"/>
      <c r="BX219" s="305"/>
      <c r="BY219" s="305"/>
      <c r="BZ219" s="305"/>
      <c r="CA219" s="305"/>
      <c r="CB219" s="305"/>
      <c r="CC219" s="305"/>
      <c r="CD219" s="305"/>
      <c r="CE219" s="305"/>
      <c r="CF219" s="305"/>
      <c r="CG219" s="305"/>
      <c r="CH219" s="305"/>
      <c r="CI219" s="305"/>
      <c r="CJ219" s="305"/>
      <c r="CK219" s="305"/>
      <c r="CL219" s="305"/>
      <c r="CM219" s="305"/>
      <c r="CN219" s="305"/>
      <c r="CO219" s="305"/>
      <c r="CP219" s="305"/>
      <c r="CQ219" s="305"/>
      <c r="CR219" s="305"/>
      <c r="CS219" s="305"/>
      <c r="CT219" s="305"/>
      <c r="CU219" s="305"/>
      <c r="CV219" s="305"/>
      <c r="CW219" s="305"/>
      <c r="CX219" s="305"/>
      <c r="CY219" s="305"/>
      <c r="CZ219" s="305"/>
      <c r="DA219" s="305"/>
      <c r="DB219" s="305"/>
      <c r="DC219" s="305"/>
      <c r="DD219" s="305"/>
      <c r="DE219" s="305"/>
      <c r="DF219" s="305"/>
      <c r="DG219" s="305"/>
      <c r="DH219" s="305"/>
      <c r="DI219" s="305"/>
      <c r="DJ219" s="305"/>
      <c r="DK219" s="305"/>
      <c r="DL219" s="305"/>
      <c r="DM219" s="305"/>
      <c r="DN219" s="305"/>
      <c r="DO219" s="305"/>
      <c r="DP219" s="305"/>
      <c r="DQ219" s="305"/>
      <c r="DR219" s="305"/>
      <c r="DS219" s="305"/>
      <c r="DT219" s="305"/>
      <c r="DU219" s="305"/>
      <c r="DV219" s="305"/>
      <c r="DW219" s="305"/>
      <c r="DX219" s="305"/>
      <c r="DY219" s="305"/>
      <c r="DZ219" s="305"/>
      <c r="EA219" s="305"/>
      <c r="EB219" s="305"/>
      <c r="EC219" s="305"/>
      <c r="ED219" s="305"/>
      <c r="EE219" s="305"/>
      <c r="EF219" s="305"/>
      <c r="EG219" s="305"/>
      <c r="EH219" s="305"/>
      <c r="EI219" s="305"/>
      <c r="EJ219" s="305"/>
      <c r="EK219" s="305"/>
      <c r="EL219" s="305"/>
      <c r="EM219" s="305"/>
      <c r="EN219" s="305"/>
      <c r="EO219" s="305"/>
      <c r="EP219" s="305"/>
      <c r="EQ219" s="305"/>
      <c r="ER219" s="305"/>
      <c r="ES219" s="305"/>
      <c r="ET219" s="305"/>
      <c r="EU219" s="305"/>
      <c r="EV219" s="305"/>
      <c r="EW219" s="305"/>
      <c r="EX219" s="305"/>
      <c r="EY219" s="305"/>
      <c r="EZ219" s="305"/>
      <c r="FA219" s="305"/>
      <c r="FB219" s="305"/>
      <c r="FC219" s="305"/>
      <c r="FD219" s="305"/>
      <c r="FE219" s="305"/>
      <c r="FF219" s="305"/>
      <c r="FG219" s="305"/>
      <c r="FH219" s="305"/>
      <c r="FI219" s="305"/>
      <c r="FJ219" s="305"/>
      <c r="FK219" s="305"/>
      <c r="FL219" s="305"/>
      <c r="FM219" s="305"/>
      <c r="FN219" s="305"/>
      <c r="FO219" s="305"/>
      <c r="FP219" s="305"/>
      <c r="FQ219" s="305"/>
      <c r="FR219" s="305"/>
      <c r="FS219" s="305"/>
      <c r="FT219" s="305"/>
      <c r="FU219" s="305"/>
      <c r="FV219" s="305"/>
      <c r="FW219" s="305"/>
      <c r="FX219" s="305"/>
      <c r="FY219" s="305"/>
      <c r="FZ219" s="305"/>
      <c r="GA219" s="305"/>
      <c r="GB219" s="305"/>
      <c r="GC219" s="305"/>
      <c r="GD219" s="305"/>
      <c r="GE219" s="305"/>
      <c r="GF219" s="305"/>
      <c r="GG219" s="305"/>
      <c r="GH219" s="305"/>
      <c r="GI219" s="305"/>
      <c r="GJ219" s="305"/>
      <c r="GK219" s="305"/>
      <c r="GL219" s="305"/>
      <c r="GM219" s="305"/>
      <c r="GN219" s="305"/>
      <c r="GO219" s="305"/>
      <c r="GP219" s="305"/>
      <c r="GQ219" s="305"/>
      <c r="GR219" s="305"/>
    </row>
    <row r="220" spans="3:200" s="318" customFormat="1" ht="12.75" customHeight="1" x14ac:dyDescent="0.2">
      <c r="C220" s="367"/>
      <c r="D220" s="403"/>
      <c r="E220" s="369"/>
      <c r="F220" s="369"/>
      <c r="G220" s="369"/>
      <c r="H220" s="369"/>
      <c r="I220" s="370"/>
      <c r="J220"/>
      <c r="K220" s="371"/>
      <c r="L220" s="371"/>
      <c r="M220" s="371"/>
      <c r="N220" s="371"/>
      <c r="O220" s="305"/>
      <c r="P220" s="305"/>
      <c r="Q220" s="305"/>
      <c r="R220" s="305"/>
      <c r="S220" s="305"/>
      <c r="T220" s="305"/>
      <c r="U220" s="305"/>
      <c r="V220" s="305"/>
      <c r="W220" s="305"/>
      <c r="X220" s="305"/>
      <c r="Y220" s="305"/>
      <c r="Z220" s="305"/>
      <c r="AA220" s="305"/>
      <c r="AB220" s="305"/>
      <c r="AC220" s="305"/>
      <c r="AD220" s="305"/>
      <c r="AE220" s="305"/>
      <c r="AF220" s="305"/>
      <c r="AG220" s="305"/>
      <c r="AH220" s="305"/>
      <c r="AI220" s="305"/>
      <c r="AJ220" s="305"/>
      <c r="AK220" s="305"/>
      <c r="AL220" s="305"/>
      <c r="AM220" s="305"/>
      <c r="AN220" s="305"/>
      <c r="AO220" s="305"/>
      <c r="AP220" s="305"/>
      <c r="AQ220" s="305"/>
      <c r="AR220" s="305"/>
      <c r="AS220" s="305"/>
      <c r="AT220" s="305"/>
      <c r="AU220" s="305"/>
      <c r="AV220" s="305"/>
      <c r="AW220" s="305"/>
      <c r="AX220" s="305"/>
      <c r="AY220" s="305"/>
      <c r="AZ220" s="305"/>
      <c r="BA220" s="305"/>
      <c r="BB220" s="305"/>
      <c r="BC220" s="305"/>
      <c r="BD220" s="305"/>
      <c r="BE220" s="305"/>
      <c r="BF220" s="305"/>
      <c r="BG220" s="305"/>
      <c r="BH220" s="305"/>
      <c r="BI220" s="305"/>
      <c r="BJ220" s="305"/>
      <c r="BK220" s="305"/>
      <c r="BL220" s="305"/>
      <c r="BM220" s="305"/>
      <c r="BN220" s="305"/>
      <c r="BO220" s="305"/>
      <c r="BP220" s="305"/>
      <c r="BQ220" s="305"/>
      <c r="BR220" s="305"/>
      <c r="BS220" s="305"/>
      <c r="BT220" s="305"/>
      <c r="BU220" s="305"/>
      <c r="BV220" s="305"/>
      <c r="BW220" s="305"/>
      <c r="BX220" s="305"/>
      <c r="BY220" s="305"/>
      <c r="BZ220" s="305"/>
      <c r="CA220" s="305"/>
      <c r="CB220" s="305"/>
      <c r="CC220" s="305"/>
      <c r="CD220" s="305"/>
      <c r="CE220" s="305"/>
      <c r="CF220" s="305"/>
      <c r="CG220" s="305"/>
      <c r="CH220" s="305"/>
      <c r="CI220" s="305"/>
      <c r="CJ220" s="305"/>
      <c r="CK220" s="305"/>
      <c r="CL220" s="305"/>
      <c r="CM220" s="305"/>
      <c r="CN220" s="305"/>
      <c r="CO220" s="305"/>
      <c r="CP220" s="305"/>
      <c r="CQ220" s="305"/>
      <c r="CR220" s="305"/>
      <c r="CS220" s="305"/>
      <c r="CT220" s="305"/>
      <c r="CU220" s="305"/>
      <c r="CV220" s="305"/>
      <c r="CW220" s="305"/>
      <c r="CX220" s="305"/>
      <c r="CY220" s="305"/>
      <c r="CZ220" s="305"/>
      <c r="DA220" s="305"/>
      <c r="DB220" s="305"/>
      <c r="DC220" s="305"/>
      <c r="DD220" s="305"/>
      <c r="DE220" s="305"/>
      <c r="DF220" s="305"/>
      <c r="DG220" s="305"/>
      <c r="DH220" s="305"/>
      <c r="DI220" s="305"/>
      <c r="DJ220" s="305"/>
      <c r="DK220" s="305"/>
      <c r="DL220" s="305"/>
      <c r="DM220" s="305"/>
      <c r="DN220" s="305"/>
      <c r="DO220" s="305"/>
      <c r="DP220" s="305"/>
      <c r="DQ220" s="305"/>
      <c r="DR220" s="305"/>
      <c r="DS220" s="305"/>
      <c r="DT220" s="305"/>
      <c r="DU220" s="305"/>
      <c r="DV220" s="305"/>
      <c r="DW220" s="305"/>
      <c r="DX220" s="305"/>
      <c r="DY220" s="305"/>
      <c r="DZ220" s="305"/>
      <c r="EA220" s="305"/>
      <c r="EB220" s="305"/>
      <c r="EC220" s="305"/>
      <c r="ED220" s="305"/>
      <c r="EE220" s="305"/>
      <c r="EF220" s="305"/>
      <c r="EG220" s="305"/>
      <c r="EH220" s="305"/>
      <c r="EI220" s="305"/>
      <c r="EJ220" s="305"/>
      <c r="EK220" s="305"/>
      <c r="EL220" s="305"/>
      <c r="EM220" s="305"/>
      <c r="EN220" s="305"/>
      <c r="EO220" s="305"/>
      <c r="EP220" s="305"/>
      <c r="EQ220" s="305"/>
      <c r="ER220" s="305"/>
      <c r="ES220" s="305"/>
      <c r="ET220" s="305"/>
      <c r="EU220" s="305"/>
      <c r="EV220" s="305"/>
      <c r="EW220" s="305"/>
      <c r="EX220" s="305"/>
      <c r="EY220" s="305"/>
      <c r="EZ220" s="305"/>
      <c r="FA220" s="305"/>
      <c r="FB220" s="305"/>
      <c r="FC220" s="305"/>
      <c r="FD220" s="305"/>
      <c r="FE220" s="305"/>
      <c r="FF220" s="305"/>
      <c r="FG220" s="305"/>
      <c r="FH220" s="305"/>
      <c r="FI220" s="305"/>
      <c r="FJ220" s="305"/>
      <c r="FK220" s="305"/>
      <c r="FL220" s="305"/>
      <c r="FM220" s="305"/>
      <c r="FN220" s="305"/>
      <c r="FO220" s="305"/>
      <c r="FP220" s="305"/>
      <c r="FQ220" s="305"/>
      <c r="FR220" s="305"/>
      <c r="FS220" s="305"/>
      <c r="FT220" s="305"/>
      <c r="FU220" s="305"/>
      <c r="FV220" s="305"/>
      <c r="FW220" s="305"/>
      <c r="FX220" s="305"/>
      <c r="FY220" s="305"/>
      <c r="FZ220" s="305"/>
      <c r="GA220" s="305"/>
      <c r="GB220" s="305"/>
      <c r="GC220" s="305"/>
      <c r="GD220" s="305"/>
      <c r="GE220" s="305"/>
      <c r="GF220" s="305"/>
      <c r="GG220" s="305"/>
      <c r="GH220" s="305"/>
      <c r="GI220" s="305"/>
      <c r="GJ220" s="305"/>
      <c r="GK220" s="305"/>
      <c r="GL220" s="305"/>
      <c r="GM220" s="305"/>
      <c r="GN220" s="305"/>
      <c r="GO220" s="305"/>
      <c r="GP220" s="305"/>
      <c r="GQ220" s="305"/>
      <c r="GR220" s="305"/>
    </row>
    <row r="221" spans="3:200" s="318" customFormat="1" ht="12.75" customHeight="1" x14ac:dyDescent="0.2">
      <c r="C221" s="367"/>
      <c r="D221" s="403"/>
      <c r="E221" s="369"/>
      <c r="F221" s="369"/>
      <c r="G221" s="369"/>
      <c r="H221" s="369"/>
      <c r="I221" s="370"/>
      <c r="J221"/>
      <c r="K221" s="371"/>
      <c r="L221" s="371"/>
      <c r="M221" s="371"/>
      <c r="N221" s="371"/>
      <c r="O221" s="305"/>
      <c r="P221" s="305"/>
      <c r="Q221" s="305"/>
      <c r="R221" s="305"/>
      <c r="S221" s="305"/>
      <c r="T221" s="305"/>
      <c r="U221" s="305"/>
      <c r="V221" s="305"/>
      <c r="W221" s="305"/>
      <c r="X221" s="305"/>
      <c r="Y221" s="305"/>
      <c r="Z221" s="305"/>
      <c r="AA221" s="305"/>
      <c r="AB221" s="305"/>
      <c r="AC221" s="305"/>
      <c r="AD221" s="305"/>
      <c r="AE221" s="305"/>
      <c r="AF221" s="305"/>
      <c r="AG221" s="305"/>
      <c r="AH221" s="305"/>
      <c r="AI221" s="305"/>
      <c r="AJ221" s="305"/>
      <c r="AK221" s="305"/>
      <c r="AL221" s="305"/>
      <c r="AM221" s="305"/>
      <c r="AN221" s="305"/>
      <c r="AO221" s="305"/>
      <c r="AP221" s="305"/>
      <c r="AQ221" s="305"/>
      <c r="AR221" s="305"/>
      <c r="AS221" s="305"/>
      <c r="AT221" s="305"/>
      <c r="AU221" s="305"/>
      <c r="AV221" s="305"/>
      <c r="AW221" s="305"/>
      <c r="AX221" s="305"/>
      <c r="AY221" s="305"/>
      <c r="AZ221" s="305"/>
      <c r="BA221" s="305"/>
      <c r="BB221" s="305"/>
      <c r="BC221" s="305"/>
      <c r="BD221" s="305"/>
      <c r="BE221" s="305"/>
      <c r="BF221" s="305"/>
      <c r="BG221" s="305"/>
      <c r="BH221" s="305"/>
      <c r="BI221" s="305"/>
      <c r="BJ221" s="305"/>
      <c r="BK221" s="305"/>
      <c r="BL221" s="305"/>
      <c r="BM221" s="305"/>
      <c r="BN221" s="305"/>
      <c r="BO221" s="305"/>
      <c r="BP221" s="305"/>
      <c r="BQ221" s="305"/>
      <c r="BR221" s="305"/>
      <c r="BS221" s="305"/>
      <c r="BT221" s="305"/>
      <c r="BU221" s="305"/>
      <c r="BV221" s="305"/>
      <c r="BW221" s="305"/>
      <c r="BX221" s="305"/>
      <c r="BY221" s="305"/>
      <c r="BZ221" s="305"/>
      <c r="CA221" s="305"/>
      <c r="CB221" s="305"/>
      <c r="CC221" s="305"/>
      <c r="CD221" s="305"/>
      <c r="CE221" s="305"/>
      <c r="CF221" s="305"/>
      <c r="CG221" s="305"/>
      <c r="CH221" s="305"/>
      <c r="CI221" s="305"/>
      <c r="CJ221" s="305"/>
      <c r="CK221" s="305"/>
      <c r="CL221" s="305"/>
      <c r="CM221" s="305"/>
      <c r="CN221" s="305"/>
      <c r="CO221" s="305"/>
      <c r="CP221" s="305"/>
      <c r="CQ221" s="305"/>
      <c r="CR221" s="305"/>
      <c r="CS221" s="305"/>
      <c r="CT221" s="305"/>
      <c r="CU221" s="305"/>
      <c r="CV221" s="305"/>
      <c r="CW221" s="305"/>
      <c r="CX221" s="305"/>
      <c r="CY221" s="305"/>
      <c r="CZ221" s="305"/>
      <c r="DA221" s="305"/>
      <c r="DB221" s="305"/>
      <c r="DC221" s="305"/>
      <c r="DD221" s="305"/>
      <c r="DE221" s="305"/>
      <c r="DF221" s="305"/>
      <c r="DG221" s="305"/>
      <c r="DH221" s="305"/>
      <c r="DI221" s="305"/>
      <c r="DJ221" s="305"/>
      <c r="DK221" s="305"/>
      <c r="DL221" s="305"/>
      <c r="DM221" s="305"/>
      <c r="DN221" s="305"/>
      <c r="DO221" s="305"/>
      <c r="DP221" s="305"/>
      <c r="DQ221" s="305"/>
      <c r="DR221" s="305"/>
      <c r="DS221" s="305"/>
      <c r="DT221" s="305"/>
      <c r="DU221" s="305"/>
      <c r="DV221" s="305"/>
      <c r="DW221" s="305"/>
      <c r="DX221" s="305"/>
      <c r="DY221" s="305"/>
      <c r="DZ221" s="305"/>
      <c r="EA221" s="305"/>
      <c r="EB221" s="305"/>
      <c r="EC221" s="305"/>
      <c r="ED221" s="305"/>
      <c r="EE221" s="305"/>
      <c r="EF221" s="305"/>
      <c r="EG221" s="305"/>
      <c r="EH221" s="305"/>
      <c r="EI221" s="305"/>
      <c r="EJ221" s="305"/>
      <c r="EK221" s="305"/>
      <c r="EL221" s="305"/>
      <c r="EM221" s="305"/>
      <c r="EN221" s="305"/>
      <c r="EO221" s="305"/>
      <c r="EP221" s="305"/>
      <c r="EQ221" s="305"/>
      <c r="ER221" s="305"/>
      <c r="ES221" s="305"/>
      <c r="ET221" s="305"/>
      <c r="EU221" s="305"/>
      <c r="EV221" s="305"/>
      <c r="EW221" s="305"/>
      <c r="EX221" s="305"/>
      <c r="EY221" s="305"/>
      <c r="EZ221" s="305"/>
      <c r="FA221" s="305"/>
      <c r="FB221" s="305"/>
      <c r="FC221" s="305"/>
      <c r="FD221" s="305"/>
      <c r="FE221" s="305"/>
      <c r="FF221" s="305"/>
      <c r="FG221" s="305"/>
      <c r="FH221" s="305"/>
      <c r="FI221" s="305"/>
      <c r="FJ221" s="305"/>
      <c r="FK221" s="305"/>
      <c r="FL221" s="305"/>
      <c r="FM221" s="305"/>
      <c r="FN221" s="305"/>
      <c r="FO221" s="305"/>
      <c r="FP221" s="305"/>
      <c r="FQ221" s="305"/>
      <c r="FR221" s="305"/>
      <c r="FS221" s="305"/>
      <c r="FT221" s="305"/>
      <c r="FU221" s="305"/>
      <c r="FV221" s="305"/>
      <c r="FW221" s="305"/>
      <c r="FX221" s="305"/>
      <c r="FY221" s="305"/>
      <c r="FZ221" s="305"/>
      <c r="GA221" s="305"/>
      <c r="GB221" s="305"/>
      <c r="GC221" s="305"/>
      <c r="GD221" s="305"/>
      <c r="GE221" s="305"/>
      <c r="GF221" s="305"/>
      <c r="GG221" s="305"/>
      <c r="GH221" s="305"/>
      <c r="GI221" s="305"/>
      <c r="GJ221" s="305"/>
      <c r="GK221" s="305"/>
      <c r="GL221" s="305"/>
      <c r="GM221" s="305"/>
      <c r="GN221" s="305"/>
      <c r="GO221" s="305"/>
      <c r="GP221" s="305"/>
      <c r="GQ221" s="305"/>
      <c r="GR221" s="305"/>
    </row>
    <row r="222" spans="3:200" s="318" customFormat="1" ht="12.75" customHeight="1" x14ac:dyDescent="0.2">
      <c r="C222" s="367"/>
      <c r="D222" s="403"/>
      <c r="E222" s="369"/>
      <c r="F222" s="369"/>
      <c r="G222" s="369"/>
      <c r="H222" s="369"/>
      <c r="I222" s="370"/>
      <c r="J222"/>
      <c r="K222" s="371"/>
      <c r="L222" s="371"/>
      <c r="M222" s="371"/>
      <c r="N222" s="371"/>
      <c r="O222" s="305"/>
      <c r="P222" s="305"/>
      <c r="Q222" s="305"/>
      <c r="R222" s="305"/>
      <c r="S222" s="305"/>
      <c r="T222" s="305"/>
      <c r="U222" s="305"/>
      <c r="V222" s="305"/>
      <c r="W222" s="305"/>
      <c r="X222" s="305"/>
      <c r="Y222" s="305"/>
      <c r="Z222" s="305"/>
      <c r="AA222" s="305"/>
      <c r="AB222" s="305"/>
      <c r="AC222" s="305"/>
      <c r="AD222" s="305"/>
      <c r="AE222" s="305"/>
      <c r="AF222" s="305"/>
      <c r="AG222" s="305"/>
      <c r="AH222" s="305"/>
      <c r="AI222" s="305"/>
      <c r="AJ222" s="305"/>
      <c r="AK222" s="305"/>
      <c r="AL222" s="305"/>
      <c r="AM222" s="305"/>
      <c r="AN222" s="305"/>
      <c r="AO222" s="305"/>
      <c r="AP222" s="305"/>
      <c r="AQ222" s="305"/>
      <c r="AR222" s="305"/>
      <c r="AS222" s="305"/>
      <c r="AT222" s="305"/>
      <c r="AU222" s="305"/>
      <c r="AV222" s="305"/>
      <c r="AW222" s="305"/>
      <c r="AX222" s="305"/>
      <c r="AY222" s="305"/>
      <c r="AZ222" s="305"/>
      <c r="BA222" s="305"/>
      <c r="BB222" s="305"/>
      <c r="BC222" s="305"/>
      <c r="BD222" s="305"/>
      <c r="BE222" s="305"/>
      <c r="BF222" s="305"/>
      <c r="BG222" s="305"/>
      <c r="BH222" s="305"/>
      <c r="BI222" s="305"/>
      <c r="BJ222" s="305"/>
      <c r="BK222" s="305"/>
      <c r="BL222" s="305"/>
      <c r="BM222" s="305"/>
      <c r="BN222" s="305"/>
      <c r="BO222" s="305"/>
      <c r="BP222" s="305"/>
      <c r="BQ222" s="305"/>
      <c r="BR222" s="305"/>
      <c r="BS222" s="305"/>
      <c r="BT222" s="305"/>
      <c r="BU222" s="305"/>
      <c r="BV222" s="305"/>
      <c r="BW222" s="305"/>
      <c r="BX222" s="305"/>
      <c r="BY222" s="305"/>
      <c r="BZ222" s="305"/>
      <c r="CA222" s="305"/>
      <c r="CB222" s="305"/>
      <c r="CC222" s="305"/>
      <c r="CD222" s="305"/>
      <c r="CE222" s="305"/>
      <c r="CF222" s="305"/>
      <c r="CG222" s="305"/>
      <c r="CH222" s="305"/>
      <c r="CI222" s="305"/>
      <c r="CJ222" s="305"/>
      <c r="CK222" s="305"/>
      <c r="CL222" s="305"/>
      <c r="CM222" s="305"/>
      <c r="CN222" s="305"/>
      <c r="CO222" s="305"/>
      <c r="CP222" s="305"/>
      <c r="CQ222" s="305"/>
      <c r="CR222" s="305"/>
      <c r="CS222" s="305"/>
      <c r="CT222" s="305"/>
      <c r="CU222" s="305"/>
      <c r="CV222" s="305"/>
      <c r="CW222" s="305"/>
      <c r="CX222" s="305"/>
      <c r="CY222" s="305"/>
      <c r="CZ222" s="305"/>
      <c r="DA222" s="305"/>
      <c r="DB222" s="305"/>
      <c r="DC222" s="305"/>
      <c r="DD222" s="305"/>
      <c r="DE222" s="305"/>
      <c r="DF222" s="305"/>
      <c r="DG222" s="305"/>
      <c r="DH222" s="305"/>
      <c r="DI222" s="305"/>
      <c r="DJ222" s="305"/>
      <c r="DK222" s="305"/>
      <c r="DL222" s="305"/>
      <c r="DM222" s="305"/>
      <c r="DN222" s="305"/>
      <c r="DO222" s="305"/>
      <c r="DP222" s="305"/>
      <c r="DQ222" s="305"/>
      <c r="DR222" s="305"/>
      <c r="DS222" s="305"/>
      <c r="DT222" s="305"/>
      <c r="DU222" s="305"/>
      <c r="DV222" s="305"/>
      <c r="DW222" s="305"/>
      <c r="DX222" s="305"/>
      <c r="DY222" s="305"/>
      <c r="DZ222" s="305"/>
      <c r="EA222" s="305"/>
      <c r="EB222" s="305"/>
      <c r="EC222" s="305"/>
      <c r="ED222" s="305"/>
      <c r="EE222" s="305"/>
      <c r="EF222" s="305"/>
      <c r="EG222" s="305"/>
      <c r="EH222" s="305"/>
      <c r="EI222" s="305"/>
      <c r="EJ222" s="305"/>
      <c r="EK222" s="305"/>
      <c r="EL222" s="305"/>
      <c r="EM222" s="305"/>
      <c r="EN222" s="305"/>
      <c r="EO222" s="305"/>
      <c r="EP222" s="305"/>
      <c r="EQ222" s="305"/>
      <c r="ER222" s="305"/>
      <c r="ES222" s="305"/>
      <c r="ET222" s="305"/>
      <c r="EU222" s="305"/>
      <c r="EV222" s="305"/>
      <c r="EW222" s="305"/>
      <c r="EX222" s="305"/>
      <c r="EY222" s="305"/>
      <c r="EZ222" s="305"/>
      <c r="FA222" s="305"/>
      <c r="FB222" s="305"/>
      <c r="FC222" s="305"/>
      <c r="FD222" s="305"/>
      <c r="FE222" s="305"/>
      <c r="FF222" s="305"/>
      <c r="FG222" s="305"/>
      <c r="FH222" s="305"/>
      <c r="FI222" s="305"/>
      <c r="FJ222" s="305"/>
      <c r="FK222" s="305"/>
      <c r="FL222" s="305"/>
      <c r="FM222" s="305"/>
      <c r="FN222" s="305"/>
      <c r="FO222" s="305"/>
      <c r="FP222" s="305"/>
      <c r="FQ222" s="305"/>
      <c r="FR222" s="305"/>
      <c r="FS222" s="305"/>
      <c r="FT222" s="305"/>
      <c r="FU222" s="305"/>
      <c r="FV222" s="305"/>
      <c r="FW222" s="305"/>
      <c r="FX222" s="305"/>
      <c r="FY222" s="305"/>
      <c r="FZ222" s="305"/>
      <c r="GA222" s="305"/>
      <c r="GB222" s="305"/>
      <c r="GC222" s="305"/>
      <c r="GD222" s="305"/>
      <c r="GE222" s="305"/>
      <c r="GF222" s="305"/>
      <c r="GG222" s="305"/>
      <c r="GH222" s="305"/>
      <c r="GI222" s="305"/>
      <c r="GJ222" s="305"/>
      <c r="GK222" s="305"/>
      <c r="GL222" s="305"/>
      <c r="GM222" s="305"/>
      <c r="GN222" s="305"/>
      <c r="GO222" s="305"/>
      <c r="GP222" s="305"/>
      <c r="GQ222" s="305"/>
      <c r="GR222" s="305"/>
    </row>
    <row r="223" spans="3:200" s="318" customFormat="1" ht="12.75" customHeight="1" x14ac:dyDescent="0.2">
      <c r="C223" s="367"/>
      <c r="D223" s="403"/>
      <c r="E223" s="369"/>
      <c r="F223" s="369"/>
      <c r="G223" s="369"/>
      <c r="H223" s="369"/>
      <c r="I223" s="370"/>
      <c r="J223"/>
      <c r="K223" s="371"/>
      <c r="L223" s="371"/>
      <c r="M223" s="371"/>
      <c r="N223" s="371"/>
      <c r="O223" s="305"/>
      <c r="P223" s="305"/>
      <c r="Q223" s="305"/>
      <c r="R223" s="305"/>
      <c r="S223" s="305"/>
      <c r="T223" s="305"/>
      <c r="U223" s="305"/>
      <c r="V223" s="305"/>
      <c r="W223" s="305"/>
      <c r="X223" s="305"/>
      <c r="Y223" s="305"/>
      <c r="Z223" s="305"/>
      <c r="AA223" s="305"/>
      <c r="AB223" s="305"/>
      <c r="AC223" s="305"/>
      <c r="AD223" s="305"/>
      <c r="AE223" s="305"/>
      <c r="AF223" s="305"/>
      <c r="AG223" s="305"/>
      <c r="AH223" s="305"/>
      <c r="AI223" s="305"/>
      <c r="AJ223" s="305"/>
      <c r="AK223" s="305"/>
      <c r="AL223" s="305"/>
      <c r="AM223" s="305"/>
      <c r="AN223" s="305"/>
      <c r="AO223" s="305"/>
      <c r="AP223" s="305"/>
      <c r="AQ223" s="305"/>
      <c r="AR223" s="305"/>
      <c r="AS223" s="305"/>
      <c r="AT223" s="305"/>
      <c r="AU223" s="305"/>
      <c r="AV223" s="305"/>
      <c r="AW223" s="305"/>
      <c r="AX223" s="305"/>
      <c r="AY223" s="305"/>
      <c r="AZ223" s="305"/>
      <c r="BA223" s="305"/>
      <c r="BB223" s="305"/>
      <c r="BC223" s="305"/>
      <c r="BD223" s="305"/>
      <c r="BE223" s="305"/>
      <c r="BF223" s="305"/>
      <c r="BG223" s="305"/>
      <c r="BH223" s="305"/>
      <c r="BI223" s="305"/>
      <c r="BJ223" s="305"/>
      <c r="BK223" s="305"/>
      <c r="BL223" s="305"/>
      <c r="BM223" s="305"/>
      <c r="BN223" s="305"/>
      <c r="BO223" s="305"/>
      <c r="BP223" s="305"/>
      <c r="BQ223" s="305"/>
      <c r="BR223" s="305"/>
      <c r="BS223" s="305"/>
      <c r="BT223" s="305"/>
      <c r="BU223" s="305"/>
      <c r="BV223" s="305"/>
      <c r="BW223" s="305"/>
      <c r="BX223" s="305"/>
      <c r="BY223" s="305"/>
      <c r="BZ223" s="305"/>
      <c r="CA223" s="305"/>
      <c r="CB223" s="305"/>
      <c r="CC223" s="305"/>
      <c r="CD223" s="305"/>
      <c r="CE223" s="305"/>
      <c r="CF223" s="305"/>
      <c r="CG223" s="305"/>
      <c r="CH223" s="305"/>
      <c r="CI223" s="305"/>
      <c r="CJ223" s="305"/>
      <c r="CK223" s="305"/>
      <c r="CL223" s="305"/>
      <c r="CM223" s="305"/>
      <c r="CN223" s="305"/>
      <c r="CO223" s="305"/>
      <c r="CP223" s="305"/>
      <c r="CQ223" s="305"/>
      <c r="CR223" s="305"/>
      <c r="CS223" s="305"/>
      <c r="CT223" s="305"/>
      <c r="CU223" s="305"/>
      <c r="CV223" s="305"/>
      <c r="CW223" s="305"/>
      <c r="CX223" s="305"/>
      <c r="CY223" s="305"/>
      <c r="CZ223" s="305"/>
      <c r="DA223" s="305"/>
      <c r="DB223" s="305"/>
      <c r="DC223" s="305"/>
      <c r="DD223" s="305"/>
      <c r="DE223" s="305"/>
      <c r="DF223" s="305"/>
      <c r="DG223" s="305"/>
      <c r="DH223" s="305"/>
      <c r="DI223" s="305"/>
      <c r="DJ223" s="305"/>
      <c r="DK223" s="305"/>
      <c r="DL223" s="305"/>
      <c r="DM223" s="305"/>
      <c r="DN223" s="305"/>
      <c r="DO223" s="305"/>
      <c r="DP223" s="305"/>
      <c r="DQ223" s="305"/>
      <c r="DR223" s="305"/>
      <c r="DS223" s="305"/>
      <c r="DT223" s="305"/>
      <c r="DU223" s="305"/>
      <c r="DV223" s="305"/>
      <c r="DW223" s="305"/>
      <c r="DX223" s="305"/>
      <c r="DY223" s="305"/>
      <c r="DZ223" s="305"/>
      <c r="EA223" s="305"/>
      <c r="EB223" s="305"/>
      <c r="EC223" s="305"/>
      <c r="ED223" s="305"/>
      <c r="EE223" s="305"/>
      <c r="EF223" s="305"/>
      <c r="EG223" s="305"/>
      <c r="EH223" s="305"/>
      <c r="EI223" s="305"/>
      <c r="EJ223" s="305"/>
      <c r="EK223" s="305"/>
      <c r="EL223" s="305"/>
      <c r="EM223" s="305"/>
      <c r="EN223" s="305"/>
      <c r="EO223" s="305"/>
      <c r="EP223" s="305"/>
      <c r="EQ223" s="305"/>
      <c r="ER223" s="305"/>
      <c r="ES223" s="305"/>
      <c r="ET223" s="305"/>
      <c r="EU223" s="305"/>
      <c r="EV223" s="305"/>
      <c r="EW223" s="305"/>
      <c r="EX223" s="305"/>
      <c r="EY223" s="305"/>
      <c r="EZ223" s="305"/>
      <c r="FA223" s="305"/>
      <c r="FB223" s="305"/>
      <c r="FC223" s="305"/>
      <c r="FD223" s="305"/>
      <c r="FE223" s="305"/>
      <c r="FF223" s="305"/>
      <c r="FG223" s="305"/>
      <c r="FH223" s="305"/>
      <c r="FI223" s="305"/>
      <c r="FJ223" s="305"/>
      <c r="FK223" s="305"/>
      <c r="FL223" s="305"/>
      <c r="FM223" s="305"/>
      <c r="FN223" s="305"/>
      <c r="FO223" s="305"/>
      <c r="FP223" s="305"/>
      <c r="FQ223" s="305"/>
      <c r="FR223" s="305"/>
      <c r="FS223" s="305"/>
      <c r="FT223" s="305"/>
      <c r="FU223" s="305"/>
      <c r="FV223" s="305"/>
      <c r="FW223" s="305"/>
      <c r="FX223" s="305"/>
      <c r="FY223" s="305"/>
      <c r="FZ223" s="305"/>
      <c r="GA223" s="305"/>
      <c r="GB223" s="305"/>
      <c r="GC223" s="305"/>
      <c r="GD223" s="305"/>
      <c r="GE223" s="305"/>
      <c r="GF223" s="305"/>
      <c r="GG223" s="305"/>
      <c r="GH223" s="305"/>
      <c r="GI223" s="305"/>
      <c r="GJ223" s="305"/>
      <c r="GK223" s="305"/>
      <c r="GL223" s="305"/>
      <c r="GM223" s="305"/>
      <c r="GN223" s="305"/>
      <c r="GO223" s="305"/>
      <c r="GP223" s="305"/>
      <c r="GQ223" s="305"/>
      <c r="GR223" s="305"/>
    </row>
    <row r="224" spans="3:200" s="318" customFormat="1" ht="12.75" customHeight="1" x14ac:dyDescent="0.2">
      <c r="C224" s="367"/>
      <c r="D224" s="403"/>
      <c r="E224" s="369"/>
      <c r="F224" s="369"/>
      <c r="G224" s="369"/>
      <c r="H224" s="369"/>
      <c r="I224" s="370"/>
      <c r="J224"/>
      <c r="K224" s="371"/>
      <c r="L224" s="371"/>
      <c r="M224" s="371"/>
      <c r="N224" s="371"/>
      <c r="O224" s="305"/>
      <c r="P224" s="305"/>
      <c r="Q224" s="305"/>
      <c r="R224" s="305"/>
      <c r="S224" s="305"/>
      <c r="T224" s="305"/>
      <c r="U224" s="305"/>
      <c r="V224" s="305"/>
      <c r="W224" s="305"/>
      <c r="X224" s="305"/>
      <c r="Y224" s="305"/>
      <c r="Z224" s="305"/>
      <c r="AA224" s="305"/>
      <c r="AB224" s="305"/>
      <c r="AC224" s="305"/>
      <c r="AD224" s="305"/>
      <c r="AE224" s="305"/>
      <c r="AF224" s="305"/>
      <c r="AG224" s="305"/>
      <c r="AH224" s="305"/>
      <c r="AI224" s="305"/>
      <c r="AJ224" s="305"/>
      <c r="AK224" s="305"/>
      <c r="AL224" s="305"/>
      <c r="AM224" s="305"/>
      <c r="AN224" s="305"/>
      <c r="AO224" s="305"/>
      <c r="AP224" s="305"/>
      <c r="AQ224" s="305"/>
      <c r="AR224" s="305"/>
      <c r="AS224" s="305"/>
      <c r="AT224" s="305"/>
      <c r="AU224" s="305"/>
      <c r="AV224" s="305"/>
      <c r="AW224" s="305"/>
      <c r="AX224" s="305"/>
      <c r="AY224" s="305"/>
      <c r="AZ224" s="305"/>
      <c r="BA224" s="305"/>
      <c r="BB224" s="305"/>
      <c r="BC224" s="305"/>
      <c r="BD224" s="305"/>
      <c r="BE224" s="305"/>
      <c r="BF224" s="305"/>
      <c r="BG224" s="305"/>
      <c r="BH224" s="305"/>
      <c r="BI224" s="305"/>
      <c r="BJ224" s="305"/>
      <c r="BK224" s="305"/>
      <c r="BL224" s="305"/>
      <c r="BM224" s="305"/>
      <c r="BN224" s="305"/>
      <c r="BO224" s="305"/>
      <c r="BP224" s="305"/>
      <c r="BQ224" s="305"/>
      <c r="BR224" s="305"/>
      <c r="BS224" s="305"/>
      <c r="BT224" s="305"/>
      <c r="BU224" s="305"/>
      <c r="BV224" s="305"/>
      <c r="BW224" s="305"/>
      <c r="BX224" s="305"/>
      <c r="BY224" s="305"/>
      <c r="BZ224" s="305"/>
      <c r="CA224" s="305"/>
      <c r="CB224" s="305"/>
      <c r="CC224" s="305"/>
      <c r="CD224" s="305"/>
      <c r="CE224" s="305"/>
      <c r="CF224" s="305"/>
      <c r="CG224" s="305"/>
      <c r="CH224" s="305"/>
      <c r="CI224" s="305"/>
      <c r="CJ224" s="305"/>
      <c r="CK224" s="305"/>
      <c r="CL224" s="305"/>
      <c r="CM224" s="305"/>
      <c r="CN224" s="305"/>
      <c r="CO224" s="305"/>
      <c r="CP224" s="305"/>
      <c r="CQ224" s="305"/>
      <c r="CR224" s="305"/>
      <c r="CS224" s="305"/>
      <c r="CT224" s="305"/>
      <c r="CU224" s="305"/>
      <c r="CV224" s="305"/>
      <c r="CW224" s="305"/>
      <c r="CX224" s="305"/>
      <c r="CY224" s="305"/>
      <c r="CZ224" s="305"/>
      <c r="DA224" s="305"/>
      <c r="DB224" s="305"/>
      <c r="DC224" s="305"/>
      <c r="DD224" s="305"/>
      <c r="DE224" s="305"/>
      <c r="DF224" s="305"/>
      <c r="DG224" s="305"/>
      <c r="DH224" s="305"/>
      <c r="DI224" s="305"/>
      <c r="DJ224" s="305"/>
      <c r="DK224" s="305"/>
      <c r="DL224" s="305"/>
      <c r="DM224" s="305"/>
      <c r="DN224" s="305"/>
      <c r="DO224" s="305"/>
      <c r="DP224" s="305"/>
      <c r="DQ224" s="305"/>
      <c r="DR224" s="305"/>
      <c r="DS224" s="305"/>
      <c r="DT224" s="305"/>
      <c r="DU224" s="305"/>
      <c r="DV224" s="305"/>
      <c r="DW224" s="305"/>
      <c r="DX224" s="305"/>
      <c r="DY224" s="305"/>
      <c r="DZ224" s="305"/>
      <c r="EA224" s="305"/>
      <c r="EB224" s="305"/>
      <c r="EC224" s="305"/>
      <c r="ED224" s="305"/>
      <c r="EE224" s="305"/>
      <c r="EF224" s="305"/>
      <c r="EG224" s="305"/>
      <c r="EH224" s="305"/>
      <c r="EI224" s="305"/>
      <c r="EJ224" s="305"/>
      <c r="EK224" s="305"/>
      <c r="EL224" s="305"/>
      <c r="EM224" s="305"/>
      <c r="EN224" s="305"/>
      <c r="EO224" s="305"/>
      <c r="EP224" s="305"/>
      <c r="EQ224" s="305"/>
      <c r="ER224" s="305"/>
      <c r="ES224" s="305"/>
      <c r="ET224" s="305"/>
      <c r="EU224" s="305"/>
      <c r="EV224" s="305"/>
      <c r="EW224" s="305"/>
      <c r="EX224" s="305"/>
      <c r="EY224" s="305"/>
      <c r="EZ224" s="305"/>
      <c r="FA224" s="305"/>
      <c r="FB224" s="305"/>
      <c r="FC224" s="305"/>
      <c r="FD224" s="305"/>
      <c r="FE224" s="305"/>
      <c r="FF224" s="305"/>
      <c r="FG224" s="305"/>
      <c r="FH224" s="305"/>
      <c r="FI224" s="305"/>
      <c r="FJ224" s="305"/>
      <c r="FK224" s="305"/>
      <c r="FL224" s="305"/>
      <c r="FM224" s="305"/>
      <c r="FN224" s="305"/>
      <c r="FO224" s="305"/>
      <c r="FP224" s="305"/>
      <c r="FQ224" s="305"/>
      <c r="FR224" s="305"/>
      <c r="FS224" s="305"/>
      <c r="FT224" s="305"/>
      <c r="FU224" s="305"/>
      <c r="FV224" s="305"/>
      <c r="FW224" s="305"/>
      <c r="FX224" s="305"/>
      <c r="FY224" s="305"/>
      <c r="FZ224" s="305"/>
      <c r="GA224" s="305"/>
      <c r="GB224" s="305"/>
      <c r="GC224" s="305"/>
      <c r="GD224" s="305"/>
      <c r="GE224" s="305"/>
      <c r="GF224" s="305"/>
      <c r="GG224" s="305"/>
      <c r="GH224" s="305"/>
      <c r="GI224" s="305"/>
      <c r="GJ224" s="305"/>
      <c r="GK224" s="305"/>
      <c r="GL224" s="305"/>
      <c r="GM224" s="305"/>
      <c r="GN224" s="305"/>
      <c r="GO224" s="305"/>
      <c r="GP224" s="305"/>
      <c r="GQ224" s="305"/>
      <c r="GR224" s="305"/>
    </row>
    <row r="225" spans="3:200" s="318" customFormat="1" ht="12.75" customHeight="1" x14ac:dyDescent="0.2">
      <c r="C225" s="367"/>
      <c r="D225" s="403"/>
      <c r="E225" s="369"/>
      <c r="F225" s="369"/>
      <c r="G225" s="369"/>
      <c r="H225" s="369"/>
      <c r="I225" s="370"/>
      <c r="J225"/>
      <c r="K225" s="371"/>
      <c r="L225" s="371"/>
      <c r="M225" s="371"/>
      <c r="N225" s="371"/>
      <c r="O225" s="305"/>
      <c r="P225" s="305"/>
      <c r="Q225" s="305"/>
      <c r="R225" s="305"/>
      <c r="S225" s="305"/>
      <c r="T225" s="305"/>
      <c r="U225" s="305"/>
      <c r="V225" s="305"/>
      <c r="W225" s="305"/>
      <c r="X225" s="305"/>
      <c r="Y225" s="305"/>
      <c r="Z225" s="305"/>
      <c r="AA225" s="305"/>
      <c r="AB225" s="305"/>
      <c r="AC225" s="305"/>
      <c r="AD225" s="305"/>
      <c r="AE225" s="305"/>
      <c r="AF225" s="305"/>
      <c r="AG225" s="305"/>
      <c r="AH225" s="305"/>
      <c r="AI225" s="305"/>
      <c r="AJ225" s="305"/>
      <c r="AK225" s="305"/>
      <c r="AL225" s="305"/>
      <c r="AM225" s="305"/>
      <c r="AN225" s="305"/>
      <c r="AO225" s="305"/>
      <c r="AP225" s="305"/>
      <c r="AQ225" s="305"/>
      <c r="AR225" s="305"/>
      <c r="AS225" s="305"/>
      <c r="AT225" s="305"/>
      <c r="AU225" s="305"/>
      <c r="AV225" s="305"/>
      <c r="AW225" s="305"/>
      <c r="AX225" s="305"/>
      <c r="AY225" s="305"/>
      <c r="AZ225" s="305"/>
      <c r="BA225" s="305"/>
      <c r="BB225" s="305"/>
      <c r="BC225" s="305"/>
      <c r="BD225" s="305"/>
      <c r="BE225" s="305"/>
      <c r="BF225" s="305"/>
      <c r="BG225" s="305"/>
      <c r="BH225" s="305"/>
      <c r="BI225" s="305"/>
      <c r="BJ225" s="305"/>
      <c r="BK225" s="305"/>
      <c r="BL225" s="305"/>
      <c r="BM225" s="305"/>
      <c r="BN225" s="305"/>
      <c r="BO225" s="305"/>
      <c r="BP225" s="305"/>
      <c r="BQ225" s="305"/>
      <c r="BR225" s="305"/>
      <c r="BS225" s="305"/>
      <c r="BT225" s="305"/>
      <c r="BU225" s="305"/>
      <c r="BV225" s="305"/>
      <c r="BW225" s="305"/>
      <c r="BX225" s="305"/>
      <c r="BY225" s="305"/>
      <c r="BZ225" s="305"/>
      <c r="CA225" s="305"/>
      <c r="CB225" s="305"/>
      <c r="CC225" s="305"/>
      <c r="CD225" s="305"/>
      <c r="CE225" s="305"/>
      <c r="CF225" s="305"/>
      <c r="CG225" s="305"/>
      <c r="CH225" s="305"/>
      <c r="CI225" s="305"/>
      <c r="CJ225" s="305"/>
      <c r="CK225" s="305"/>
      <c r="CL225" s="305"/>
      <c r="CM225" s="305"/>
      <c r="CN225" s="305"/>
      <c r="CO225" s="305"/>
      <c r="CP225" s="305"/>
      <c r="CQ225" s="305"/>
      <c r="CR225" s="305"/>
      <c r="CS225" s="305"/>
      <c r="CT225" s="305"/>
      <c r="CU225" s="305"/>
      <c r="CV225" s="305"/>
      <c r="CW225" s="305"/>
      <c r="CX225" s="305"/>
      <c r="CY225" s="305"/>
      <c r="CZ225" s="305"/>
      <c r="DA225" s="305"/>
      <c r="DB225" s="305"/>
      <c r="DC225" s="305"/>
      <c r="DD225" s="305"/>
      <c r="DE225" s="305"/>
      <c r="DF225" s="305"/>
      <c r="DG225" s="305"/>
      <c r="DH225" s="305"/>
      <c r="DI225" s="305"/>
      <c r="DJ225" s="305"/>
      <c r="DK225" s="305"/>
      <c r="DL225" s="305"/>
      <c r="DM225" s="305"/>
      <c r="DN225" s="305"/>
      <c r="DO225" s="305"/>
      <c r="DP225" s="305"/>
      <c r="DQ225" s="305"/>
      <c r="DR225" s="305"/>
      <c r="DS225" s="305"/>
      <c r="DT225" s="305"/>
      <c r="DU225" s="305"/>
      <c r="DV225" s="305"/>
      <c r="DW225" s="305"/>
      <c r="DX225" s="305"/>
      <c r="DY225" s="305"/>
      <c r="DZ225" s="305"/>
      <c r="EA225" s="305"/>
      <c r="EB225" s="305"/>
      <c r="EC225" s="305"/>
      <c r="ED225" s="305"/>
      <c r="EE225" s="305"/>
      <c r="EF225" s="305"/>
      <c r="EG225" s="305"/>
      <c r="EH225" s="305"/>
      <c r="EI225" s="305"/>
      <c r="EJ225" s="305"/>
      <c r="EK225" s="305"/>
      <c r="EL225" s="305"/>
      <c r="EM225" s="305"/>
      <c r="EN225" s="305"/>
      <c r="EO225" s="305"/>
      <c r="EP225" s="305"/>
      <c r="EQ225" s="305"/>
      <c r="ER225" s="305"/>
      <c r="ES225" s="305"/>
      <c r="ET225" s="305"/>
      <c r="EU225" s="305"/>
      <c r="EV225" s="305"/>
      <c r="EW225" s="305"/>
      <c r="EX225" s="305"/>
      <c r="EY225" s="305"/>
      <c r="EZ225" s="305"/>
      <c r="FA225" s="305"/>
      <c r="FB225" s="305"/>
      <c r="FC225" s="305"/>
      <c r="FD225" s="305"/>
      <c r="FE225" s="305"/>
      <c r="FF225" s="305"/>
      <c r="FG225" s="305"/>
      <c r="FH225" s="305"/>
      <c r="FI225" s="305"/>
      <c r="FJ225" s="305"/>
      <c r="FK225" s="305"/>
      <c r="FL225" s="305"/>
      <c r="FM225" s="305"/>
      <c r="FN225" s="305"/>
      <c r="FO225" s="305"/>
      <c r="FP225" s="305"/>
      <c r="FQ225" s="305"/>
      <c r="FR225" s="305"/>
      <c r="FS225" s="305"/>
      <c r="FT225" s="305"/>
      <c r="FU225" s="305"/>
      <c r="FV225" s="305"/>
      <c r="FW225" s="305"/>
      <c r="FX225" s="305"/>
      <c r="FY225" s="305"/>
      <c r="FZ225" s="305"/>
      <c r="GA225" s="305"/>
      <c r="GB225" s="305"/>
      <c r="GC225" s="305"/>
      <c r="GD225" s="305"/>
      <c r="GE225" s="305"/>
      <c r="GF225" s="305"/>
      <c r="GG225" s="305"/>
      <c r="GH225" s="305"/>
      <c r="GI225" s="305"/>
      <c r="GJ225" s="305"/>
      <c r="GK225" s="305"/>
      <c r="GL225" s="305"/>
      <c r="GM225" s="305"/>
      <c r="GN225" s="305"/>
      <c r="GO225" s="305"/>
      <c r="GP225" s="305"/>
      <c r="GQ225" s="305"/>
      <c r="GR225" s="305"/>
    </row>
    <row r="226" spans="3:200" s="318" customFormat="1" ht="12.75" customHeight="1" x14ac:dyDescent="0.2">
      <c r="C226" s="367"/>
      <c r="D226" s="403"/>
      <c r="E226" s="369"/>
      <c r="F226" s="369"/>
      <c r="G226" s="369"/>
      <c r="H226" s="369"/>
      <c r="I226" s="370"/>
      <c r="J226"/>
      <c r="K226" s="371"/>
      <c r="L226" s="371"/>
      <c r="M226" s="371"/>
      <c r="N226" s="371"/>
      <c r="O226" s="305"/>
      <c r="P226" s="305"/>
      <c r="Q226" s="305"/>
      <c r="R226" s="305"/>
      <c r="S226" s="305"/>
      <c r="T226" s="305"/>
      <c r="U226" s="305"/>
      <c r="V226" s="305"/>
      <c r="W226" s="305"/>
      <c r="X226" s="305"/>
      <c r="Y226" s="305"/>
      <c r="Z226" s="305"/>
      <c r="AA226" s="305"/>
      <c r="AB226" s="305"/>
      <c r="AC226" s="305"/>
      <c r="AD226" s="305"/>
      <c r="AE226" s="305"/>
      <c r="AF226" s="305"/>
      <c r="AG226" s="305"/>
      <c r="AH226" s="305"/>
      <c r="AI226" s="305"/>
      <c r="AJ226" s="305"/>
      <c r="AK226" s="305"/>
      <c r="AL226" s="305"/>
      <c r="AM226" s="305"/>
      <c r="AN226" s="305"/>
      <c r="AO226" s="305"/>
      <c r="AP226" s="305"/>
      <c r="AQ226" s="305"/>
      <c r="AR226" s="305"/>
      <c r="AS226" s="305"/>
      <c r="AT226" s="305"/>
      <c r="AU226" s="305"/>
      <c r="AV226" s="305"/>
      <c r="AW226" s="305"/>
      <c r="AX226" s="305"/>
      <c r="AY226" s="305"/>
      <c r="AZ226" s="305"/>
      <c r="BA226" s="305"/>
      <c r="BB226" s="305"/>
      <c r="BC226" s="305"/>
      <c r="BD226" s="305"/>
      <c r="BE226" s="305"/>
      <c r="BF226" s="305"/>
      <c r="BG226" s="305"/>
      <c r="BH226" s="305"/>
      <c r="BI226" s="305"/>
      <c r="BJ226" s="305"/>
      <c r="BK226" s="305"/>
      <c r="BL226" s="305"/>
      <c r="BM226" s="305"/>
      <c r="BN226" s="305"/>
      <c r="BO226" s="305"/>
      <c r="BP226" s="305"/>
      <c r="BQ226" s="305"/>
      <c r="BR226" s="305"/>
      <c r="BS226" s="305"/>
      <c r="BT226" s="305"/>
      <c r="BU226" s="305"/>
      <c r="BV226" s="305"/>
      <c r="BW226" s="305"/>
      <c r="BX226" s="305"/>
      <c r="BY226" s="305"/>
      <c r="BZ226" s="305"/>
      <c r="CA226" s="305"/>
      <c r="CB226" s="305"/>
      <c r="CC226" s="305"/>
      <c r="CD226" s="305"/>
      <c r="CE226" s="305"/>
      <c r="CF226" s="305"/>
      <c r="CG226" s="305"/>
      <c r="CH226" s="305"/>
      <c r="CI226" s="305"/>
      <c r="CJ226" s="305"/>
      <c r="CK226" s="305"/>
      <c r="CL226" s="305"/>
      <c r="CM226" s="305"/>
      <c r="CN226" s="305"/>
      <c r="CO226" s="305"/>
      <c r="CP226" s="305"/>
      <c r="CQ226" s="305"/>
      <c r="CR226" s="305"/>
      <c r="CS226" s="305"/>
      <c r="CT226" s="305"/>
      <c r="CU226" s="305"/>
      <c r="CV226" s="305"/>
      <c r="CW226" s="305"/>
      <c r="CX226" s="305"/>
      <c r="CY226" s="305"/>
      <c r="CZ226" s="305"/>
      <c r="DA226" s="305"/>
      <c r="DB226" s="305"/>
      <c r="DC226" s="305"/>
      <c r="DD226" s="305"/>
      <c r="DE226" s="305"/>
      <c r="DF226" s="305"/>
      <c r="DG226" s="305"/>
      <c r="DH226" s="305"/>
      <c r="DI226" s="305"/>
      <c r="DJ226" s="305"/>
      <c r="DK226" s="305"/>
      <c r="DL226" s="305"/>
      <c r="DM226" s="305"/>
      <c r="DN226" s="305"/>
      <c r="DO226" s="305"/>
      <c r="DP226" s="305"/>
      <c r="DQ226" s="305"/>
      <c r="DR226" s="305"/>
      <c r="DS226" s="305"/>
      <c r="DT226" s="305"/>
      <c r="DU226" s="305"/>
      <c r="DV226" s="305"/>
      <c r="DW226" s="305"/>
      <c r="DX226" s="305"/>
      <c r="DY226" s="305"/>
      <c r="DZ226" s="305"/>
      <c r="EA226" s="305"/>
      <c r="EB226" s="305"/>
      <c r="EC226" s="305"/>
      <c r="ED226" s="305"/>
      <c r="EE226" s="305"/>
      <c r="EF226" s="305"/>
      <c r="EG226" s="305"/>
      <c r="EH226" s="305"/>
      <c r="EI226" s="305"/>
      <c r="EJ226" s="305"/>
      <c r="EK226" s="305"/>
      <c r="EL226" s="305"/>
      <c r="EM226" s="305"/>
      <c r="EN226" s="305"/>
      <c r="EO226" s="305"/>
      <c r="EP226" s="305"/>
      <c r="EQ226" s="305"/>
      <c r="ER226" s="305"/>
      <c r="ES226" s="305"/>
      <c r="ET226" s="305"/>
      <c r="EU226" s="305"/>
      <c r="EV226" s="305"/>
      <c r="EW226" s="305"/>
      <c r="EX226" s="305"/>
      <c r="EY226" s="305"/>
      <c r="EZ226" s="305"/>
      <c r="FA226" s="305"/>
      <c r="FB226" s="305"/>
      <c r="FC226" s="305"/>
      <c r="FD226" s="305"/>
      <c r="FE226" s="305"/>
      <c r="FF226" s="305"/>
      <c r="FG226" s="305"/>
      <c r="FH226" s="305"/>
      <c r="FI226" s="305"/>
      <c r="FJ226" s="305"/>
      <c r="FK226" s="305"/>
      <c r="FL226" s="305"/>
      <c r="FM226" s="305"/>
      <c r="FN226" s="305"/>
      <c r="FO226" s="305"/>
      <c r="FP226" s="305"/>
      <c r="FQ226" s="305"/>
      <c r="FR226" s="305"/>
      <c r="FS226" s="305"/>
      <c r="FT226" s="305"/>
      <c r="FU226" s="305"/>
      <c r="FV226" s="305"/>
      <c r="FW226" s="305"/>
      <c r="FX226" s="305"/>
      <c r="FY226" s="305"/>
      <c r="FZ226" s="305"/>
      <c r="GA226" s="305"/>
      <c r="GB226" s="305"/>
      <c r="GC226" s="305"/>
      <c r="GD226" s="305"/>
      <c r="GE226" s="305"/>
      <c r="GF226" s="305"/>
      <c r="GG226" s="305"/>
      <c r="GH226" s="305"/>
      <c r="GI226" s="305"/>
      <c r="GJ226" s="305"/>
      <c r="GK226" s="305"/>
      <c r="GL226" s="305"/>
      <c r="GM226" s="305"/>
      <c r="GN226" s="305"/>
      <c r="GO226" s="305"/>
      <c r="GP226" s="305"/>
      <c r="GQ226" s="305"/>
      <c r="GR226" s="305"/>
    </row>
    <row r="227" spans="3:200" s="318" customFormat="1" ht="12.75" customHeight="1" x14ac:dyDescent="0.2">
      <c r="C227" s="367"/>
      <c r="D227" s="403"/>
      <c r="E227" s="369"/>
      <c r="F227" s="369"/>
      <c r="G227" s="369"/>
      <c r="H227" s="369"/>
      <c r="I227" s="370"/>
      <c r="J227"/>
      <c r="K227" s="371"/>
      <c r="L227" s="371"/>
      <c r="M227" s="371"/>
      <c r="N227" s="371"/>
      <c r="O227" s="305"/>
      <c r="P227" s="305"/>
      <c r="Q227" s="305"/>
      <c r="R227" s="305"/>
      <c r="S227" s="305"/>
      <c r="T227" s="305"/>
      <c r="U227" s="305"/>
      <c r="V227" s="305"/>
      <c r="W227" s="305"/>
      <c r="X227" s="305"/>
      <c r="Y227" s="305"/>
      <c r="Z227" s="305"/>
      <c r="AA227" s="305"/>
      <c r="AB227" s="305"/>
      <c r="AC227" s="305"/>
      <c r="AD227" s="305"/>
      <c r="AE227" s="305"/>
      <c r="AF227" s="305"/>
      <c r="AG227" s="305"/>
      <c r="AH227" s="305"/>
      <c r="AI227" s="305"/>
      <c r="AJ227" s="305"/>
      <c r="AK227" s="305"/>
      <c r="AL227" s="305"/>
      <c r="AM227" s="305"/>
      <c r="AN227" s="305"/>
      <c r="AO227" s="305"/>
      <c r="AP227" s="305"/>
      <c r="AQ227" s="305"/>
      <c r="AR227" s="305"/>
      <c r="AS227" s="305"/>
      <c r="AT227" s="305"/>
      <c r="AU227" s="305"/>
      <c r="AV227" s="305"/>
      <c r="AW227" s="305"/>
      <c r="AX227" s="305"/>
      <c r="AY227" s="305"/>
      <c r="AZ227" s="305"/>
      <c r="BA227" s="305"/>
      <c r="BB227" s="305"/>
      <c r="BC227" s="305"/>
      <c r="BD227" s="305"/>
      <c r="BE227" s="305"/>
      <c r="BF227" s="305"/>
      <c r="BG227" s="305"/>
      <c r="BH227" s="305"/>
      <c r="BI227" s="305"/>
      <c r="BJ227" s="305"/>
      <c r="BK227" s="305"/>
      <c r="BL227" s="305"/>
      <c r="BM227" s="305"/>
      <c r="BN227" s="305"/>
      <c r="BO227" s="305"/>
      <c r="BP227" s="305"/>
      <c r="BQ227" s="305"/>
      <c r="BR227" s="305"/>
      <c r="BS227" s="305"/>
      <c r="BT227" s="305"/>
      <c r="BU227" s="305"/>
      <c r="BV227" s="305"/>
      <c r="BW227" s="305"/>
      <c r="BX227" s="305"/>
      <c r="BY227" s="305"/>
      <c r="BZ227" s="305"/>
      <c r="CA227" s="305"/>
      <c r="CB227" s="305"/>
      <c r="CC227" s="305"/>
      <c r="CD227" s="305"/>
      <c r="CE227" s="305"/>
      <c r="CF227" s="305"/>
      <c r="CG227" s="305"/>
      <c r="CH227" s="305"/>
      <c r="CI227" s="305"/>
      <c r="CJ227" s="305"/>
      <c r="CK227" s="305"/>
      <c r="CL227" s="305"/>
      <c r="CM227" s="305"/>
      <c r="CN227" s="305"/>
      <c r="CO227" s="305"/>
      <c r="CP227" s="305"/>
      <c r="CQ227" s="305"/>
      <c r="CR227" s="305"/>
      <c r="CS227" s="305"/>
      <c r="CT227" s="305"/>
      <c r="CU227" s="305"/>
      <c r="CV227" s="305"/>
      <c r="CW227" s="305"/>
      <c r="CX227" s="305"/>
      <c r="CY227" s="305"/>
      <c r="CZ227" s="305"/>
      <c r="DA227" s="305"/>
      <c r="DB227" s="305"/>
      <c r="DC227" s="305"/>
      <c r="DD227" s="305"/>
      <c r="DE227" s="305"/>
      <c r="DF227" s="305"/>
      <c r="DG227" s="305"/>
      <c r="DH227" s="305"/>
      <c r="DI227" s="305"/>
      <c r="DJ227" s="305"/>
      <c r="DK227" s="305"/>
      <c r="DL227" s="305"/>
      <c r="DM227" s="305"/>
      <c r="DN227" s="305"/>
      <c r="DO227" s="305"/>
      <c r="DP227" s="305"/>
      <c r="DQ227" s="305"/>
      <c r="DR227" s="305"/>
      <c r="DS227" s="305"/>
      <c r="DT227" s="305"/>
      <c r="DU227" s="305"/>
      <c r="DV227" s="305"/>
      <c r="DW227" s="305"/>
      <c r="DX227" s="305"/>
      <c r="DY227" s="305"/>
      <c r="DZ227" s="305"/>
      <c r="EA227" s="305"/>
      <c r="EB227" s="305"/>
      <c r="EC227" s="305"/>
      <c r="ED227" s="305"/>
      <c r="EE227" s="305"/>
      <c r="EF227" s="305"/>
      <c r="EG227" s="305"/>
      <c r="EH227" s="305"/>
      <c r="EI227" s="305"/>
      <c r="EJ227" s="305"/>
      <c r="EK227" s="305"/>
      <c r="EL227" s="305"/>
      <c r="EM227" s="305"/>
      <c r="EN227" s="305"/>
      <c r="EO227" s="305"/>
      <c r="EP227" s="305"/>
      <c r="EQ227" s="305"/>
      <c r="ER227" s="305"/>
      <c r="ES227" s="305"/>
      <c r="ET227" s="305"/>
      <c r="EU227" s="305"/>
      <c r="EV227" s="305"/>
      <c r="EW227" s="305"/>
      <c r="EX227" s="305"/>
      <c r="EY227" s="305"/>
      <c r="EZ227" s="305"/>
      <c r="FA227" s="305"/>
      <c r="FB227" s="305"/>
      <c r="FC227" s="305"/>
      <c r="FD227" s="305"/>
      <c r="FE227" s="305"/>
      <c r="FF227" s="305"/>
      <c r="FG227" s="305"/>
      <c r="FH227" s="305"/>
      <c r="FI227" s="305"/>
      <c r="FJ227" s="305"/>
      <c r="FK227" s="305"/>
      <c r="FL227" s="305"/>
      <c r="FM227" s="305"/>
      <c r="FN227" s="305"/>
      <c r="FO227" s="305"/>
      <c r="FP227" s="305"/>
      <c r="FQ227" s="305"/>
      <c r="FR227" s="305"/>
      <c r="FS227" s="305"/>
      <c r="FT227" s="305"/>
      <c r="FU227" s="305"/>
      <c r="FV227" s="305"/>
      <c r="FW227" s="305"/>
      <c r="FX227" s="305"/>
      <c r="FY227" s="305"/>
      <c r="FZ227" s="305"/>
      <c r="GA227" s="305"/>
      <c r="GB227" s="305"/>
      <c r="GC227" s="305"/>
      <c r="GD227" s="305"/>
      <c r="GE227" s="305"/>
      <c r="GF227" s="305"/>
      <c r="GG227" s="305"/>
      <c r="GH227" s="305"/>
      <c r="GI227" s="305"/>
      <c r="GJ227" s="305"/>
      <c r="GK227" s="305"/>
      <c r="GL227" s="305"/>
      <c r="GM227" s="305"/>
      <c r="GN227" s="305"/>
      <c r="GO227" s="305"/>
      <c r="GP227" s="305"/>
      <c r="GQ227" s="305"/>
      <c r="GR227" s="305"/>
    </row>
    <row r="228" spans="3:200" s="318" customFormat="1" ht="12.75" customHeight="1" x14ac:dyDescent="0.2">
      <c r="C228" s="367"/>
      <c r="D228" s="403"/>
      <c r="E228" s="369"/>
      <c r="F228" s="369"/>
      <c r="G228" s="369"/>
      <c r="H228" s="369"/>
      <c r="I228" s="370"/>
      <c r="J228"/>
      <c r="K228" s="371"/>
      <c r="L228" s="371"/>
      <c r="M228" s="371"/>
      <c r="N228" s="371"/>
      <c r="O228" s="305"/>
      <c r="P228" s="305"/>
      <c r="Q228" s="305"/>
      <c r="R228" s="305"/>
      <c r="S228" s="305"/>
      <c r="T228" s="305"/>
      <c r="U228" s="305"/>
      <c r="V228" s="305"/>
      <c r="W228" s="305"/>
      <c r="X228" s="305"/>
      <c r="Y228" s="305"/>
      <c r="Z228" s="305"/>
      <c r="AA228" s="305"/>
      <c r="AB228" s="305"/>
      <c r="AC228" s="305"/>
      <c r="AD228" s="305"/>
      <c r="AE228" s="305"/>
      <c r="AF228" s="305"/>
      <c r="AG228" s="305"/>
      <c r="AH228" s="305"/>
      <c r="AI228" s="305"/>
      <c r="AJ228" s="305"/>
      <c r="AK228" s="305"/>
      <c r="AL228" s="305"/>
      <c r="AM228" s="305"/>
      <c r="AN228" s="305"/>
      <c r="AO228" s="305"/>
      <c r="AP228" s="305"/>
      <c r="AQ228" s="305"/>
      <c r="AR228" s="305"/>
      <c r="AS228" s="305"/>
      <c r="AT228" s="305"/>
      <c r="AU228" s="305"/>
      <c r="AV228" s="305"/>
      <c r="AW228" s="305"/>
      <c r="AX228" s="305"/>
      <c r="AY228" s="305"/>
      <c r="AZ228" s="305"/>
      <c r="BA228" s="305"/>
      <c r="BB228" s="305"/>
      <c r="BC228" s="305"/>
      <c r="BD228" s="305"/>
      <c r="BE228" s="305"/>
      <c r="BF228" s="305"/>
      <c r="BG228" s="305"/>
      <c r="BH228" s="305"/>
      <c r="BI228" s="305"/>
      <c r="BJ228" s="305"/>
      <c r="BK228" s="305"/>
      <c r="BL228" s="305"/>
      <c r="BM228" s="305"/>
      <c r="BN228" s="305"/>
      <c r="BO228" s="305"/>
      <c r="BP228" s="305"/>
      <c r="BQ228" s="305"/>
      <c r="BR228" s="305"/>
      <c r="BS228" s="305"/>
      <c r="BT228" s="305"/>
      <c r="BU228" s="305"/>
      <c r="BV228" s="305"/>
      <c r="BW228" s="305"/>
      <c r="BX228" s="305"/>
      <c r="BY228" s="305"/>
      <c r="BZ228" s="305"/>
      <c r="CA228" s="305"/>
      <c r="CB228" s="305"/>
      <c r="CC228" s="305"/>
      <c r="CD228" s="305"/>
      <c r="CE228" s="305"/>
      <c r="CF228" s="305"/>
      <c r="CG228" s="305"/>
      <c r="CH228" s="305"/>
      <c r="CI228" s="305"/>
      <c r="CJ228" s="305"/>
      <c r="CK228" s="305"/>
      <c r="CL228" s="305"/>
      <c r="CM228" s="305"/>
      <c r="CN228" s="305"/>
      <c r="CO228" s="305"/>
      <c r="CP228" s="305"/>
      <c r="CQ228" s="305"/>
      <c r="CR228" s="305"/>
      <c r="CS228" s="305"/>
      <c r="CT228" s="305"/>
      <c r="CU228" s="305"/>
      <c r="CV228" s="305"/>
      <c r="CW228" s="305"/>
      <c r="CX228" s="305"/>
      <c r="CY228" s="305"/>
      <c r="CZ228" s="305"/>
      <c r="DA228" s="305"/>
      <c r="DB228" s="305"/>
      <c r="DC228" s="305"/>
      <c r="DD228" s="305"/>
      <c r="DE228" s="305"/>
      <c r="DF228" s="305"/>
      <c r="DG228" s="305"/>
      <c r="DH228" s="305"/>
      <c r="DI228" s="305"/>
      <c r="DJ228" s="305"/>
      <c r="DK228" s="305"/>
      <c r="DL228" s="305"/>
      <c r="DM228" s="305"/>
      <c r="DN228" s="305"/>
      <c r="DO228" s="305"/>
      <c r="DP228" s="305"/>
      <c r="DQ228" s="305"/>
      <c r="DR228" s="305"/>
      <c r="DS228" s="305"/>
      <c r="DT228" s="305"/>
      <c r="DU228" s="305"/>
      <c r="DV228" s="305"/>
      <c r="DW228" s="305"/>
      <c r="DX228" s="305"/>
      <c r="DY228" s="305"/>
      <c r="DZ228" s="305"/>
      <c r="EA228" s="305"/>
      <c r="EB228" s="305"/>
      <c r="EC228" s="305"/>
      <c r="ED228" s="305"/>
      <c r="EE228" s="305"/>
      <c r="EF228" s="305"/>
      <c r="EG228" s="305"/>
      <c r="EH228" s="305"/>
      <c r="EI228" s="305"/>
      <c r="EJ228" s="305"/>
      <c r="EK228" s="305"/>
      <c r="EL228" s="305"/>
      <c r="EM228" s="305"/>
      <c r="EN228" s="305"/>
      <c r="EO228" s="305"/>
      <c r="EP228" s="305"/>
      <c r="EQ228" s="305"/>
      <c r="ER228" s="305"/>
      <c r="ES228" s="305"/>
      <c r="ET228" s="305"/>
      <c r="EU228" s="305"/>
      <c r="EV228" s="305"/>
      <c r="EW228" s="305"/>
      <c r="EX228" s="305"/>
      <c r="EY228" s="305"/>
      <c r="EZ228" s="305"/>
      <c r="FA228" s="305"/>
      <c r="FB228" s="305"/>
      <c r="FC228" s="305"/>
      <c r="FD228" s="305"/>
      <c r="FE228" s="305"/>
      <c r="FF228" s="305"/>
      <c r="FG228" s="305"/>
      <c r="FH228" s="305"/>
      <c r="FI228" s="305"/>
      <c r="FJ228" s="305"/>
      <c r="FK228" s="305"/>
      <c r="FL228" s="305"/>
      <c r="FM228" s="305"/>
      <c r="FN228" s="305"/>
      <c r="FO228" s="305"/>
      <c r="FP228" s="305"/>
      <c r="FQ228" s="305"/>
      <c r="FR228" s="305"/>
      <c r="FS228" s="305"/>
      <c r="FT228" s="305"/>
      <c r="FU228" s="305"/>
      <c r="FV228" s="305"/>
      <c r="FW228" s="305"/>
      <c r="FX228" s="305"/>
      <c r="FY228" s="305"/>
      <c r="FZ228" s="305"/>
      <c r="GA228" s="305"/>
      <c r="GB228" s="305"/>
      <c r="GC228" s="305"/>
      <c r="GD228" s="305"/>
      <c r="GE228" s="305"/>
      <c r="GF228" s="305"/>
      <c r="GG228" s="305"/>
      <c r="GH228" s="305"/>
      <c r="GI228" s="305"/>
      <c r="GJ228" s="305"/>
      <c r="GK228" s="305"/>
      <c r="GL228" s="305"/>
      <c r="GM228" s="305"/>
      <c r="GN228" s="305"/>
      <c r="GO228" s="305"/>
      <c r="GP228" s="305"/>
      <c r="GQ228" s="305"/>
      <c r="GR228" s="305"/>
    </row>
    <row r="229" spans="3:200" s="318" customFormat="1" ht="12.75" customHeight="1" x14ac:dyDescent="0.2">
      <c r="C229" s="367"/>
      <c r="D229" s="403"/>
      <c r="E229" s="369"/>
      <c r="F229" s="369"/>
      <c r="G229" s="369"/>
      <c r="H229" s="369"/>
      <c r="I229" s="370"/>
      <c r="J229"/>
      <c r="K229" s="371"/>
      <c r="L229" s="371"/>
      <c r="M229" s="371"/>
      <c r="N229" s="371"/>
      <c r="O229" s="305"/>
      <c r="P229" s="305"/>
      <c r="Q229" s="305"/>
      <c r="R229" s="305"/>
      <c r="S229" s="305"/>
      <c r="T229" s="305"/>
      <c r="U229" s="305"/>
      <c r="V229" s="305"/>
      <c r="W229" s="305"/>
      <c r="X229" s="305"/>
      <c r="Y229" s="305"/>
      <c r="Z229" s="305"/>
      <c r="AA229" s="305"/>
      <c r="AB229" s="305"/>
      <c r="AC229" s="305"/>
      <c r="AD229" s="305"/>
      <c r="AE229" s="305"/>
      <c r="AF229" s="305"/>
      <c r="AG229" s="305"/>
      <c r="AH229" s="305"/>
      <c r="AI229" s="305"/>
      <c r="AJ229" s="305"/>
      <c r="AK229" s="305"/>
      <c r="AL229" s="305"/>
      <c r="AM229" s="305"/>
      <c r="AN229" s="305"/>
      <c r="AO229" s="305"/>
      <c r="AP229" s="305"/>
      <c r="AQ229" s="305"/>
      <c r="AR229" s="305"/>
      <c r="AS229" s="305"/>
      <c r="AT229" s="305"/>
      <c r="AU229" s="305"/>
      <c r="AV229" s="305"/>
      <c r="AW229" s="305"/>
      <c r="AX229" s="305"/>
      <c r="AY229" s="305"/>
      <c r="AZ229" s="305"/>
      <c r="BA229" s="305"/>
      <c r="BB229" s="305"/>
      <c r="BC229" s="305"/>
      <c r="BD229" s="305"/>
      <c r="BE229" s="305"/>
      <c r="BF229" s="305"/>
      <c r="BG229" s="305"/>
      <c r="BH229" s="305"/>
      <c r="BI229" s="305"/>
      <c r="BJ229" s="305"/>
      <c r="BK229" s="305"/>
      <c r="BL229" s="305"/>
      <c r="BM229" s="305"/>
      <c r="BN229" s="305"/>
      <c r="BO229" s="305"/>
      <c r="BP229" s="305"/>
      <c r="BQ229" s="305"/>
      <c r="BR229" s="305"/>
      <c r="BS229" s="305"/>
      <c r="BT229" s="305"/>
      <c r="BU229" s="305"/>
      <c r="BV229" s="305"/>
      <c r="BW229" s="305"/>
      <c r="BX229" s="305"/>
      <c r="BY229" s="305"/>
      <c r="BZ229" s="305"/>
      <c r="CA229" s="305"/>
      <c r="CB229" s="305"/>
      <c r="CC229" s="305"/>
      <c r="CD229" s="305"/>
      <c r="CE229" s="305"/>
      <c r="CF229" s="305"/>
      <c r="CG229" s="305"/>
      <c r="CH229" s="305"/>
      <c r="CI229" s="305"/>
      <c r="CJ229" s="305"/>
      <c r="CK229" s="305"/>
      <c r="CL229" s="305"/>
      <c r="CM229" s="305"/>
      <c r="CN229" s="305"/>
      <c r="CO229" s="305"/>
      <c r="CP229" s="305"/>
      <c r="CQ229" s="305"/>
      <c r="CR229" s="305"/>
      <c r="CS229" s="305"/>
      <c r="CT229" s="305"/>
      <c r="CU229" s="305"/>
      <c r="CV229" s="305"/>
      <c r="CW229" s="305"/>
      <c r="CX229" s="305"/>
      <c r="CY229" s="305"/>
      <c r="CZ229" s="305"/>
      <c r="DA229" s="305"/>
      <c r="DB229" s="305"/>
      <c r="DC229" s="305"/>
      <c r="DD229" s="305"/>
      <c r="DE229" s="305"/>
      <c r="DF229" s="305"/>
      <c r="DG229" s="305"/>
      <c r="DH229" s="305"/>
      <c r="DI229" s="305"/>
      <c r="DJ229" s="305"/>
      <c r="DK229" s="305"/>
      <c r="DL229" s="305"/>
      <c r="DM229" s="305"/>
      <c r="DN229" s="305"/>
      <c r="DO229" s="305"/>
      <c r="DP229" s="305"/>
      <c r="DQ229" s="305"/>
      <c r="DR229" s="305"/>
      <c r="DS229" s="305"/>
      <c r="DT229" s="305"/>
      <c r="DU229" s="305"/>
      <c r="DV229" s="305"/>
      <c r="DW229" s="305"/>
      <c r="DX229" s="305"/>
      <c r="DY229" s="305"/>
      <c r="DZ229" s="305"/>
      <c r="EA229" s="305"/>
      <c r="EB229" s="305"/>
      <c r="EC229" s="305"/>
      <c r="ED229" s="305"/>
      <c r="EE229" s="305"/>
      <c r="EF229" s="305"/>
      <c r="EG229" s="305"/>
      <c r="EH229" s="305"/>
      <c r="EI229" s="305"/>
      <c r="EJ229" s="305"/>
      <c r="EK229" s="305"/>
      <c r="EL229" s="305"/>
      <c r="EM229" s="305"/>
      <c r="EN229" s="305"/>
      <c r="EO229" s="305"/>
      <c r="EP229" s="305"/>
      <c r="EQ229" s="305"/>
      <c r="ER229" s="305"/>
      <c r="ES229" s="305"/>
      <c r="ET229" s="305"/>
      <c r="EU229" s="305"/>
      <c r="EV229" s="305"/>
      <c r="EW229" s="305"/>
      <c r="EX229" s="305"/>
      <c r="EY229" s="305"/>
      <c r="EZ229" s="305"/>
      <c r="FA229" s="305"/>
      <c r="FB229" s="305"/>
      <c r="FC229" s="305"/>
      <c r="FD229" s="305"/>
      <c r="FE229" s="305"/>
      <c r="FF229" s="305"/>
      <c r="FG229" s="305"/>
      <c r="FH229" s="305"/>
      <c r="FI229" s="305"/>
      <c r="FJ229" s="305"/>
      <c r="FK229" s="305"/>
      <c r="FL229" s="305"/>
      <c r="FM229" s="305"/>
      <c r="FN229" s="305"/>
      <c r="FO229" s="305"/>
      <c r="FP229" s="305"/>
      <c r="FQ229" s="305"/>
      <c r="FR229" s="305"/>
      <c r="FS229" s="305"/>
      <c r="FT229" s="305"/>
      <c r="FU229" s="305"/>
      <c r="FV229" s="305"/>
      <c r="FW229" s="305"/>
      <c r="FX229" s="305"/>
      <c r="FY229" s="305"/>
      <c r="FZ229" s="305"/>
      <c r="GA229" s="305"/>
      <c r="GB229" s="305"/>
      <c r="GC229" s="305"/>
      <c r="GD229" s="305"/>
      <c r="GE229" s="305"/>
      <c r="GF229" s="305"/>
      <c r="GG229" s="305"/>
      <c r="GH229" s="305"/>
      <c r="GI229" s="305"/>
      <c r="GJ229" s="305"/>
      <c r="GK229" s="305"/>
      <c r="GL229" s="305"/>
      <c r="GM229" s="305"/>
      <c r="GN229" s="305"/>
      <c r="GO229" s="305"/>
      <c r="GP229" s="305"/>
      <c r="GQ229" s="305"/>
      <c r="GR229" s="305"/>
    </row>
    <row r="230" spans="3:200" s="318" customFormat="1" ht="12.75" customHeight="1" x14ac:dyDescent="0.2">
      <c r="C230" s="367"/>
      <c r="D230" s="403"/>
      <c r="E230" s="369"/>
      <c r="F230" s="369"/>
      <c r="G230" s="369"/>
      <c r="H230" s="369"/>
      <c r="I230" s="370"/>
      <c r="J230"/>
      <c r="K230" s="371"/>
      <c r="L230" s="371"/>
      <c r="M230" s="371"/>
      <c r="N230" s="371"/>
      <c r="O230" s="305"/>
      <c r="P230" s="305"/>
      <c r="Q230" s="305"/>
      <c r="R230" s="305"/>
      <c r="S230" s="305"/>
      <c r="T230" s="305"/>
      <c r="U230" s="305"/>
      <c r="V230" s="305"/>
      <c r="W230" s="305"/>
      <c r="X230" s="305"/>
      <c r="Y230" s="305"/>
      <c r="Z230" s="305"/>
      <c r="AA230" s="305"/>
      <c r="AB230" s="305"/>
      <c r="AC230" s="305"/>
      <c r="AD230" s="305"/>
      <c r="AE230" s="305"/>
      <c r="AF230" s="305"/>
      <c r="AG230" s="305"/>
      <c r="AH230" s="305"/>
      <c r="AI230" s="305"/>
      <c r="AJ230" s="305"/>
      <c r="AK230" s="305"/>
      <c r="AL230" s="305"/>
      <c r="AM230" s="305"/>
      <c r="AN230" s="305"/>
      <c r="AO230" s="305"/>
      <c r="AP230" s="305"/>
      <c r="AQ230" s="305"/>
      <c r="AR230" s="305"/>
      <c r="AS230" s="305"/>
      <c r="AT230" s="305"/>
      <c r="AU230" s="305"/>
      <c r="AV230" s="305"/>
      <c r="AW230" s="305"/>
      <c r="AX230" s="305"/>
      <c r="AY230" s="305"/>
      <c r="AZ230" s="305"/>
      <c r="BA230" s="305"/>
      <c r="BB230" s="305"/>
      <c r="BC230" s="305"/>
      <c r="BD230" s="305"/>
      <c r="BE230" s="305"/>
      <c r="BF230" s="305"/>
      <c r="BG230" s="305"/>
      <c r="BH230" s="305"/>
      <c r="BI230" s="305"/>
      <c r="BJ230" s="305"/>
      <c r="BK230" s="305"/>
      <c r="BL230" s="305"/>
      <c r="BM230" s="305"/>
      <c r="BN230" s="305"/>
      <c r="BO230" s="305"/>
      <c r="BP230" s="305"/>
      <c r="BQ230" s="305"/>
      <c r="BR230" s="305"/>
      <c r="BS230" s="305"/>
      <c r="BT230" s="305"/>
      <c r="BU230" s="305"/>
      <c r="BV230" s="305"/>
      <c r="BW230" s="305"/>
      <c r="BX230" s="305"/>
      <c r="BY230" s="305"/>
      <c r="BZ230" s="305"/>
      <c r="CA230" s="305"/>
      <c r="CB230" s="305"/>
      <c r="CC230" s="305"/>
      <c r="CD230" s="305"/>
      <c r="CE230" s="305"/>
      <c r="CF230" s="305"/>
      <c r="CG230" s="305"/>
      <c r="CH230" s="305"/>
      <c r="CI230" s="305"/>
      <c r="CJ230" s="305"/>
      <c r="CK230" s="305"/>
      <c r="CL230" s="305"/>
      <c r="CM230" s="305"/>
      <c r="CN230" s="305"/>
      <c r="CO230" s="305"/>
      <c r="CP230" s="305"/>
      <c r="CQ230" s="305"/>
      <c r="CR230" s="305"/>
      <c r="CS230" s="305"/>
      <c r="CT230" s="305"/>
      <c r="CU230" s="305"/>
      <c r="CV230" s="305"/>
      <c r="CW230" s="305"/>
      <c r="CX230" s="305"/>
      <c r="CY230" s="305"/>
      <c r="CZ230" s="305"/>
      <c r="DA230" s="305"/>
      <c r="DB230" s="305"/>
      <c r="DC230" s="305"/>
      <c r="DD230" s="305"/>
      <c r="DE230" s="305"/>
      <c r="DF230" s="305"/>
      <c r="DG230" s="305"/>
      <c r="DH230" s="305"/>
      <c r="DI230" s="305"/>
      <c r="DJ230" s="305"/>
      <c r="DK230" s="305"/>
      <c r="DL230" s="305"/>
      <c r="DM230" s="305"/>
      <c r="DN230" s="305"/>
      <c r="DO230" s="305"/>
      <c r="DP230" s="305"/>
      <c r="DQ230" s="305"/>
      <c r="DR230" s="305"/>
      <c r="DS230" s="305"/>
      <c r="DT230" s="305"/>
      <c r="DU230" s="305"/>
      <c r="DV230" s="305"/>
      <c r="DW230" s="305"/>
      <c r="DX230" s="305"/>
      <c r="DY230" s="305"/>
      <c r="DZ230" s="305"/>
      <c r="EA230" s="305"/>
      <c r="EB230" s="305"/>
      <c r="EC230" s="305"/>
      <c r="ED230" s="305"/>
      <c r="EE230" s="305"/>
      <c r="EF230" s="305"/>
      <c r="EG230" s="305"/>
      <c r="EH230" s="305"/>
      <c r="EI230" s="305"/>
      <c r="EJ230" s="305"/>
      <c r="EK230" s="305"/>
      <c r="EL230" s="305"/>
      <c r="EM230" s="305"/>
      <c r="EN230" s="305"/>
      <c r="EO230" s="305"/>
      <c r="EP230" s="305"/>
      <c r="EQ230" s="305"/>
      <c r="ER230" s="305"/>
      <c r="ES230" s="305"/>
      <c r="ET230" s="305"/>
      <c r="EU230" s="305"/>
      <c r="EV230" s="305"/>
      <c r="EW230" s="305"/>
      <c r="EX230" s="305"/>
      <c r="EY230" s="305"/>
      <c r="EZ230" s="305"/>
      <c r="FA230" s="305"/>
      <c r="FB230" s="305"/>
      <c r="FC230" s="305"/>
      <c r="FD230" s="305"/>
      <c r="FE230" s="305"/>
      <c r="FF230" s="305"/>
      <c r="FG230" s="305"/>
      <c r="FH230" s="305"/>
      <c r="FI230" s="305"/>
      <c r="FJ230" s="305"/>
      <c r="FK230" s="305"/>
      <c r="FL230" s="305"/>
      <c r="FM230" s="305"/>
      <c r="FN230" s="305"/>
      <c r="FO230" s="305"/>
      <c r="FP230" s="305"/>
      <c r="FQ230" s="305"/>
      <c r="FR230" s="305"/>
      <c r="FS230" s="305"/>
      <c r="FT230" s="305"/>
      <c r="FU230" s="305"/>
      <c r="FV230" s="305"/>
      <c r="FW230" s="305"/>
      <c r="FX230" s="305"/>
      <c r="FY230" s="305"/>
      <c r="FZ230" s="305"/>
      <c r="GA230" s="305"/>
      <c r="GB230" s="305"/>
      <c r="GC230" s="305"/>
      <c r="GD230" s="305"/>
      <c r="GE230" s="305"/>
      <c r="GF230" s="305"/>
      <c r="GG230" s="305"/>
      <c r="GH230" s="305"/>
      <c r="GI230" s="305"/>
      <c r="GJ230" s="305"/>
      <c r="GK230" s="305"/>
      <c r="GL230" s="305"/>
      <c r="GM230" s="305"/>
      <c r="GN230" s="305"/>
      <c r="GO230" s="305"/>
      <c r="GP230" s="305"/>
      <c r="GQ230" s="305"/>
      <c r="GR230" s="305"/>
    </row>
    <row r="231" spans="3:200" s="318" customFormat="1" ht="12.75" customHeight="1" x14ac:dyDescent="0.2">
      <c r="C231" s="367"/>
      <c r="D231" s="403"/>
      <c r="E231" s="369"/>
      <c r="F231" s="369"/>
      <c r="G231" s="369"/>
      <c r="H231" s="369"/>
      <c r="I231" s="370"/>
      <c r="J231"/>
      <c r="K231" s="371"/>
      <c r="L231" s="371"/>
      <c r="M231" s="371"/>
      <c r="N231" s="371"/>
      <c r="O231" s="305"/>
      <c r="P231" s="305"/>
      <c r="Q231" s="305"/>
      <c r="R231" s="305"/>
      <c r="S231" s="305"/>
      <c r="T231" s="305"/>
      <c r="U231" s="305"/>
      <c r="V231" s="305"/>
      <c r="W231" s="305"/>
      <c r="X231" s="305"/>
      <c r="Y231" s="305"/>
      <c r="Z231" s="305"/>
      <c r="AA231" s="305"/>
      <c r="AB231" s="305"/>
      <c r="AC231" s="305"/>
      <c r="AD231" s="305"/>
      <c r="AE231" s="305"/>
      <c r="AF231" s="305"/>
      <c r="AG231" s="305"/>
      <c r="AH231" s="305"/>
      <c r="AI231" s="305"/>
      <c r="AJ231" s="305"/>
      <c r="AK231" s="305"/>
      <c r="AL231" s="305"/>
      <c r="AM231" s="305"/>
      <c r="AN231" s="305"/>
      <c r="AO231" s="305"/>
      <c r="AP231" s="305"/>
      <c r="AQ231" s="305"/>
      <c r="AR231" s="305"/>
      <c r="AS231" s="305"/>
      <c r="AT231" s="305"/>
      <c r="AU231" s="305"/>
      <c r="AV231" s="305"/>
      <c r="AW231" s="305"/>
      <c r="AX231" s="305"/>
      <c r="AY231" s="305"/>
      <c r="AZ231" s="305"/>
      <c r="BA231" s="305"/>
      <c r="BB231" s="305"/>
      <c r="BC231" s="305"/>
      <c r="BD231" s="305"/>
      <c r="BE231" s="305"/>
      <c r="BF231" s="305"/>
      <c r="BG231" s="305"/>
      <c r="BH231" s="305"/>
      <c r="BI231" s="305"/>
      <c r="BJ231" s="305"/>
      <c r="BK231" s="305"/>
      <c r="BL231" s="305"/>
      <c r="BM231" s="305"/>
      <c r="BN231" s="305"/>
      <c r="BO231" s="305"/>
      <c r="BP231" s="305"/>
      <c r="BQ231" s="305"/>
      <c r="BR231" s="305"/>
      <c r="BS231" s="305"/>
      <c r="BT231" s="305"/>
      <c r="BU231" s="305"/>
      <c r="BV231" s="305"/>
      <c r="BW231" s="305"/>
      <c r="BX231" s="305"/>
      <c r="BY231" s="305"/>
      <c r="BZ231" s="305"/>
      <c r="CA231" s="305"/>
      <c r="CB231" s="305"/>
      <c r="CC231" s="305"/>
      <c r="CD231" s="305"/>
      <c r="CE231" s="305"/>
      <c r="CF231" s="305"/>
      <c r="CG231" s="305"/>
      <c r="CH231" s="305"/>
      <c r="CI231" s="305"/>
      <c r="CJ231" s="305"/>
      <c r="CK231" s="305"/>
      <c r="CL231" s="305"/>
      <c r="CM231" s="305"/>
      <c r="CN231" s="305"/>
      <c r="CO231" s="305"/>
      <c r="CP231" s="305"/>
      <c r="CQ231" s="305"/>
      <c r="CR231" s="305"/>
      <c r="CS231" s="305"/>
      <c r="CT231" s="305"/>
      <c r="CU231" s="305"/>
      <c r="CV231" s="305"/>
      <c r="CW231" s="305"/>
      <c r="CX231" s="305"/>
      <c r="CY231" s="305"/>
      <c r="CZ231" s="305"/>
      <c r="DA231" s="305"/>
      <c r="DB231" s="305"/>
      <c r="DC231" s="305"/>
      <c r="DD231" s="305"/>
      <c r="DE231" s="305"/>
      <c r="DF231" s="305"/>
      <c r="DG231" s="305"/>
      <c r="DH231" s="305"/>
      <c r="DI231" s="305"/>
      <c r="DJ231" s="305"/>
      <c r="DK231" s="305"/>
      <c r="DL231" s="305"/>
      <c r="DM231" s="305"/>
      <c r="DN231" s="305"/>
      <c r="DO231" s="305"/>
      <c r="DP231" s="305"/>
      <c r="DQ231" s="305"/>
      <c r="DR231" s="305"/>
      <c r="DS231" s="305"/>
      <c r="DT231" s="305"/>
      <c r="DU231" s="305"/>
      <c r="DV231" s="305"/>
      <c r="DW231" s="305"/>
      <c r="DX231" s="305"/>
      <c r="DY231" s="305"/>
      <c r="DZ231" s="305"/>
      <c r="EA231" s="305"/>
      <c r="EB231" s="305"/>
      <c r="EC231" s="305"/>
      <c r="ED231" s="305"/>
      <c r="EE231" s="305"/>
      <c r="EF231" s="305"/>
      <c r="EG231" s="305"/>
      <c r="EH231" s="305"/>
      <c r="EI231" s="305"/>
      <c r="EJ231" s="305"/>
      <c r="EK231" s="305"/>
      <c r="EL231" s="305"/>
      <c r="EM231" s="305"/>
      <c r="EN231" s="305"/>
      <c r="EO231" s="305"/>
      <c r="EP231" s="305"/>
      <c r="EQ231" s="305"/>
      <c r="ER231" s="305"/>
      <c r="ES231" s="305"/>
      <c r="ET231" s="305"/>
      <c r="EU231" s="305"/>
      <c r="EV231" s="305"/>
      <c r="EW231" s="305"/>
      <c r="EX231" s="305"/>
      <c r="EY231" s="305"/>
      <c r="EZ231" s="305"/>
      <c r="FA231" s="305"/>
      <c r="FB231" s="305"/>
      <c r="FC231" s="305"/>
      <c r="FD231" s="305"/>
      <c r="FE231" s="305"/>
      <c r="FF231" s="305"/>
      <c r="FG231" s="305"/>
      <c r="FH231" s="305"/>
      <c r="FI231" s="305"/>
      <c r="FJ231" s="305"/>
      <c r="FK231" s="305"/>
      <c r="FL231" s="305"/>
      <c r="FM231" s="305"/>
      <c r="FN231" s="305"/>
      <c r="FO231" s="305"/>
      <c r="FP231" s="305"/>
      <c r="FQ231" s="305"/>
      <c r="FR231" s="305"/>
      <c r="FS231" s="305"/>
      <c r="FT231" s="305"/>
      <c r="FU231" s="305"/>
      <c r="FV231" s="305"/>
      <c r="FW231" s="305"/>
      <c r="FX231" s="305"/>
      <c r="FY231" s="305"/>
      <c r="FZ231" s="305"/>
      <c r="GA231" s="305"/>
      <c r="GB231" s="305"/>
      <c r="GC231" s="305"/>
      <c r="GD231" s="305"/>
      <c r="GE231" s="305"/>
      <c r="GF231" s="305"/>
      <c r="GG231" s="305"/>
      <c r="GH231" s="305"/>
      <c r="GI231" s="305"/>
      <c r="GJ231" s="305"/>
      <c r="GK231" s="305"/>
      <c r="GL231" s="305"/>
      <c r="GM231" s="305"/>
      <c r="GN231" s="305"/>
      <c r="GO231" s="305"/>
      <c r="GP231" s="305"/>
      <c r="GQ231" s="305"/>
      <c r="GR231" s="305"/>
    </row>
    <row r="232" spans="3:200" s="318" customFormat="1" ht="12.75" customHeight="1" x14ac:dyDescent="0.2">
      <c r="C232" s="367"/>
      <c r="D232" s="403"/>
      <c r="E232" s="369"/>
      <c r="F232" s="369"/>
      <c r="G232" s="369"/>
      <c r="H232" s="369"/>
      <c r="I232" s="370"/>
      <c r="J232"/>
      <c r="K232" s="371"/>
      <c r="L232" s="371"/>
      <c r="M232" s="371"/>
      <c r="N232" s="371"/>
      <c r="O232" s="305"/>
      <c r="P232" s="305"/>
      <c r="Q232" s="305"/>
      <c r="R232" s="305"/>
      <c r="S232" s="305"/>
      <c r="T232" s="305"/>
      <c r="U232" s="305"/>
      <c r="V232" s="305"/>
      <c r="W232" s="305"/>
      <c r="X232" s="305"/>
      <c r="Y232" s="305"/>
      <c r="Z232" s="305"/>
      <c r="AA232" s="305"/>
      <c r="AB232" s="305"/>
      <c r="AC232" s="305"/>
      <c r="AD232" s="305"/>
      <c r="AE232" s="305"/>
      <c r="AF232" s="305"/>
      <c r="AG232" s="305"/>
      <c r="AH232" s="305"/>
      <c r="AI232" s="305"/>
      <c r="AJ232" s="305"/>
      <c r="AK232" s="305"/>
      <c r="AL232" s="305"/>
      <c r="AM232" s="305"/>
      <c r="AN232" s="305"/>
      <c r="AO232" s="305"/>
      <c r="AP232" s="305"/>
      <c r="AQ232" s="305"/>
      <c r="AR232" s="305"/>
      <c r="AS232" s="305"/>
      <c r="AT232" s="305"/>
      <c r="AU232" s="305"/>
      <c r="AV232" s="305"/>
      <c r="AW232" s="305"/>
      <c r="AX232" s="305"/>
      <c r="AY232" s="305"/>
      <c r="AZ232" s="305"/>
      <c r="BA232" s="305"/>
      <c r="BB232" s="305"/>
      <c r="BC232" s="305"/>
      <c r="BD232" s="305"/>
      <c r="BE232" s="305"/>
      <c r="BF232" s="305"/>
      <c r="BG232" s="305"/>
      <c r="BH232" s="305"/>
      <c r="BI232" s="305"/>
      <c r="BJ232" s="305"/>
      <c r="BK232" s="305"/>
      <c r="BL232" s="305"/>
      <c r="BM232" s="305"/>
      <c r="BN232" s="305"/>
      <c r="BO232" s="305"/>
      <c r="BP232" s="305"/>
      <c r="BQ232" s="305"/>
      <c r="BR232" s="305"/>
      <c r="BS232" s="305"/>
      <c r="BT232" s="305"/>
      <c r="BU232" s="305"/>
      <c r="BV232" s="305"/>
      <c r="BW232" s="305"/>
      <c r="BX232" s="305"/>
      <c r="BY232" s="305"/>
      <c r="BZ232" s="305"/>
      <c r="CA232" s="305"/>
      <c r="CB232" s="305"/>
      <c r="CC232" s="305"/>
      <c r="CD232" s="305"/>
      <c r="CE232" s="305"/>
      <c r="CF232" s="305"/>
      <c r="CG232" s="305"/>
      <c r="CH232" s="305"/>
      <c r="CI232" s="305"/>
      <c r="CJ232" s="305"/>
      <c r="CK232" s="305"/>
      <c r="CL232" s="305"/>
      <c r="CM232" s="305"/>
      <c r="CN232" s="305"/>
      <c r="CO232" s="305"/>
      <c r="CP232" s="305"/>
      <c r="CQ232" s="305"/>
      <c r="CR232" s="305"/>
      <c r="CS232" s="305"/>
      <c r="CT232" s="305"/>
      <c r="CU232" s="305"/>
      <c r="CV232" s="305"/>
      <c r="CW232" s="305"/>
      <c r="CX232" s="305"/>
      <c r="CY232" s="305"/>
      <c r="CZ232" s="305"/>
      <c r="DA232" s="305"/>
      <c r="DB232" s="305"/>
      <c r="DC232" s="305"/>
      <c r="DD232" s="305"/>
      <c r="DE232" s="305"/>
      <c r="DF232" s="305"/>
      <c r="DG232" s="305"/>
      <c r="DH232" s="305"/>
      <c r="DI232" s="305"/>
      <c r="DJ232" s="305"/>
      <c r="DK232" s="305"/>
      <c r="DL232" s="305"/>
      <c r="DM232" s="305"/>
      <c r="DN232" s="305"/>
      <c r="DO232" s="305"/>
      <c r="DP232" s="305"/>
      <c r="DQ232" s="305"/>
      <c r="DR232" s="305"/>
      <c r="DS232" s="305"/>
      <c r="DT232" s="305"/>
      <c r="DU232" s="305"/>
      <c r="DV232" s="305"/>
      <c r="DW232" s="305"/>
      <c r="DX232" s="305"/>
      <c r="DY232" s="305"/>
      <c r="DZ232" s="305"/>
      <c r="EA232" s="305"/>
      <c r="EB232" s="305"/>
      <c r="EC232" s="305"/>
      <c r="ED232" s="305"/>
      <c r="EE232" s="305"/>
      <c r="EF232" s="305"/>
      <c r="EG232" s="305"/>
      <c r="EH232" s="305"/>
      <c r="EI232" s="305"/>
      <c r="EJ232" s="305"/>
      <c r="EK232" s="305"/>
      <c r="EL232" s="305"/>
      <c r="EM232" s="305"/>
      <c r="EN232" s="305"/>
      <c r="EO232" s="305"/>
      <c r="EP232" s="305"/>
      <c r="EQ232" s="305"/>
      <c r="ER232" s="305"/>
      <c r="ES232" s="305"/>
      <c r="ET232" s="305"/>
      <c r="EU232" s="305"/>
      <c r="EV232" s="305"/>
      <c r="EW232" s="305"/>
      <c r="EX232" s="305"/>
      <c r="EY232" s="305"/>
      <c r="EZ232" s="305"/>
      <c r="FA232" s="305"/>
      <c r="FB232" s="305"/>
      <c r="FC232" s="305"/>
      <c r="FD232" s="305"/>
      <c r="FE232" s="305"/>
      <c r="FF232" s="305"/>
      <c r="FG232" s="305"/>
      <c r="FH232" s="305"/>
      <c r="FI232" s="305"/>
      <c r="FJ232" s="305"/>
      <c r="FK232" s="305"/>
      <c r="FL232" s="305"/>
      <c r="FM232" s="305"/>
      <c r="FN232" s="305"/>
      <c r="FO232" s="305"/>
      <c r="FP232" s="305"/>
      <c r="FQ232" s="305"/>
      <c r="FR232" s="305"/>
      <c r="FS232" s="305"/>
      <c r="FT232" s="305"/>
      <c r="FU232" s="305"/>
      <c r="FV232" s="305"/>
      <c r="FW232" s="305"/>
      <c r="FX232" s="305"/>
      <c r="FY232" s="305"/>
      <c r="FZ232" s="305"/>
      <c r="GA232" s="305"/>
      <c r="GB232" s="305"/>
      <c r="GC232" s="305"/>
      <c r="GD232" s="305"/>
      <c r="GE232" s="305"/>
      <c r="GF232" s="305"/>
      <c r="GG232" s="305"/>
      <c r="GH232" s="305"/>
      <c r="GI232" s="305"/>
      <c r="GJ232" s="305"/>
      <c r="GK232" s="305"/>
      <c r="GL232" s="305"/>
      <c r="GM232" s="305"/>
      <c r="GN232" s="305"/>
      <c r="GO232" s="305"/>
      <c r="GP232" s="305"/>
      <c r="GQ232" s="305"/>
      <c r="GR232" s="305"/>
    </row>
    <row r="233" spans="3:200" s="318" customFormat="1" ht="12.75" customHeight="1" x14ac:dyDescent="0.2">
      <c r="C233" s="367"/>
      <c r="D233" s="403"/>
      <c r="E233" s="369"/>
      <c r="F233" s="369"/>
      <c r="G233" s="369"/>
      <c r="H233" s="369"/>
      <c r="I233" s="370"/>
      <c r="J233"/>
      <c r="K233" s="371"/>
      <c r="L233" s="371"/>
      <c r="M233" s="371"/>
      <c r="N233" s="371"/>
      <c r="O233" s="305"/>
      <c r="P233" s="305"/>
      <c r="Q233" s="305"/>
      <c r="R233" s="305"/>
      <c r="S233" s="305"/>
      <c r="T233" s="305"/>
      <c r="U233" s="305"/>
      <c r="V233" s="305"/>
      <c r="W233" s="305"/>
      <c r="X233" s="305"/>
      <c r="Y233" s="305"/>
      <c r="Z233" s="305"/>
      <c r="AA233" s="305"/>
      <c r="AB233" s="305"/>
      <c r="AC233" s="305"/>
      <c r="AD233" s="305"/>
      <c r="AE233" s="305"/>
      <c r="AF233" s="305"/>
      <c r="AG233" s="305"/>
      <c r="AH233" s="305"/>
      <c r="AI233" s="305"/>
      <c r="AJ233" s="305"/>
      <c r="AK233" s="305"/>
      <c r="AL233" s="305"/>
      <c r="AM233" s="305"/>
      <c r="AN233" s="305"/>
      <c r="AO233" s="305"/>
      <c r="AP233" s="305"/>
      <c r="AQ233" s="305"/>
      <c r="AR233" s="305"/>
      <c r="AS233" s="305"/>
      <c r="AT233" s="305"/>
      <c r="AU233" s="305"/>
      <c r="AV233" s="305"/>
      <c r="AW233" s="305"/>
      <c r="AX233" s="305"/>
      <c r="AY233" s="305"/>
      <c r="AZ233" s="305"/>
      <c r="BA233" s="305"/>
      <c r="BB233" s="305"/>
      <c r="BC233" s="305"/>
      <c r="BD233" s="305"/>
      <c r="BE233" s="305"/>
      <c r="BF233" s="305"/>
      <c r="BG233" s="305"/>
      <c r="BH233" s="305"/>
      <c r="BI233" s="305"/>
      <c r="BJ233" s="305"/>
      <c r="BK233" s="305"/>
      <c r="BL233" s="305"/>
      <c r="BM233" s="305"/>
      <c r="BN233" s="305"/>
      <c r="BO233" s="305"/>
      <c r="BP233" s="305"/>
      <c r="BQ233" s="305"/>
      <c r="BR233" s="305"/>
      <c r="BS233" s="305"/>
      <c r="BT233" s="305"/>
      <c r="BU233" s="305"/>
      <c r="BV233" s="305"/>
      <c r="BW233" s="305"/>
      <c r="BX233" s="305"/>
      <c r="BY233" s="305"/>
      <c r="BZ233" s="305"/>
      <c r="CA233" s="305"/>
      <c r="CB233" s="305"/>
      <c r="CC233" s="305"/>
      <c r="CD233" s="305"/>
      <c r="CE233" s="305"/>
      <c r="CF233" s="305"/>
      <c r="CG233" s="305"/>
      <c r="CH233" s="305"/>
      <c r="CI233" s="305"/>
      <c r="CJ233" s="305"/>
      <c r="CK233" s="305"/>
      <c r="CL233" s="305"/>
      <c r="CM233" s="305"/>
      <c r="CN233" s="305"/>
      <c r="CO233" s="305"/>
      <c r="CP233" s="305"/>
      <c r="CQ233" s="305"/>
      <c r="CR233" s="305"/>
      <c r="CS233" s="305"/>
      <c r="CT233" s="305"/>
      <c r="CU233" s="305"/>
      <c r="CV233" s="305"/>
      <c r="CW233" s="305"/>
      <c r="CX233" s="305"/>
      <c r="CY233" s="305"/>
      <c r="CZ233" s="305"/>
      <c r="DA233" s="305"/>
      <c r="DB233" s="305"/>
      <c r="DC233" s="305"/>
      <c r="DD233" s="305"/>
      <c r="DE233" s="305"/>
      <c r="DF233" s="305"/>
      <c r="DG233" s="305"/>
      <c r="DH233" s="305"/>
      <c r="DI233" s="305"/>
      <c r="DJ233" s="305"/>
      <c r="DK233" s="305"/>
      <c r="DL233" s="305"/>
      <c r="DM233" s="305"/>
      <c r="DN233" s="305"/>
      <c r="DO233" s="305"/>
      <c r="DP233" s="305"/>
      <c r="DQ233" s="305"/>
      <c r="DR233" s="305"/>
      <c r="DS233" s="305"/>
      <c r="DT233" s="305"/>
      <c r="DU233" s="305"/>
      <c r="DV233" s="305"/>
      <c r="DW233" s="305"/>
      <c r="DX233" s="305"/>
      <c r="DY233" s="305"/>
      <c r="DZ233" s="305"/>
      <c r="EA233" s="305"/>
      <c r="EB233" s="305"/>
      <c r="EC233" s="305"/>
      <c r="ED233" s="305"/>
      <c r="EE233" s="305"/>
      <c r="EF233" s="305"/>
      <c r="EG233" s="305"/>
      <c r="EH233" s="305"/>
      <c r="EI233" s="305"/>
      <c r="EJ233" s="305"/>
      <c r="EK233" s="305"/>
      <c r="EL233" s="305"/>
      <c r="EM233" s="305"/>
      <c r="EN233" s="305"/>
      <c r="EO233" s="305"/>
      <c r="EP233" s="305"/>
      <c r="EQ233" s="305"/>
      <c r="ER233" s="305"/>
      <c r="ES233" s="305"/>
      <c r="ET233" s="305"/>
      <c r="EU233" s="305"/>
      <c r="EV233" s="305"/>
      <c r="EW233" s="305"/>
      <c r="EX233" s="305"/>
      <c r="EY233" s="305"/>
      <c r="EZ233" s="305"/>
      <c r="FA233" s="305"/>
      <c r="FB233" s="305"/>
      <c r="FC233" s="305"/>
      <c r="FD233" s="305"/>
      <c r="FE233" s="305"/>
      <c r="FF233" s="305"/>
      <c r="FG233" s="305"/>
      <c r="FH233" s="305"/>
      <c r="FI233" s="305"/>
      <c r="FJ233" s="305"/>
      <c r="FK233" s="305"/>
      <c r="FL233" s="305"/>
      <c r="FM233" s="305"/>
      <c r="FN233" s="305"/>
      <c r="FO233" s="305"/>
      <c r="FP233" s="305"/>
      <c r="FQ233" s="305"/>
      <c r="FR233" s="305"/>
      <c r="FS233" s="305"/>
      <c r="FT233" s="305"/>
      <c r="FU233" s="305"/>
      <c r="FV233" s="305"/>
      <c r="FW233" s="305"/>
      <c r="FX233" s="305"/>
      <c r="FY233" s="305"/>
      <c r="FZ233" s="305"/>
      <c r="GA233" s="305"/>
      <c r="GB233" s="305"/>
      <c r="GC233" s="305"/>
      <c r="GD233" s="305"/>
      <c r="GE233" s="305"/>
      <c r="GF233" s="305"/>
      <c r="GG233" s="305"/>
      <c r="GH233" s="305"/>
      <c r="GI233" s="305"/>
      <c r="GJ233" s="305"/>
      <c r="GK233" s="305"/>
      <c r="GL233" s="305"/>
      <c r="GM233" s="305"/>
      <c r="GN233" s="305"/>
      <c r="GO233" s="305"/>
      <c r="GP233" s="305"/>
      <c r="GQ233" s="305"/>
      <c r="GR233" s="305"/>
    </row>
    <row r="234" spans="3:200" s="318" customFormat="1" ht="12.75" customHeight="1" x14ac:dyDescent="0.2">
      <c r="C234" s="367"/>
      <c r="D234" s="403"/>
      <c r="E234" s="369"/>
      <c r="F234" s="369"/>
      <c r="G234" s="369"/>
      <c r="H234" s="369"/>
      <c r="I234" s="370"/>
      <c r="J234"/>
      <c r="K234" s="371"/>
      <c r="L234" s="371"/>
      <c r="M234" s="371"/>
      <c r="N234" s="371"/>
      <c r="O234" s="305"/>
      <c r="P234" s="305"/>
      <c r="Q234" s="305"/>
      <c r="R234" s="305"/>
      <c r="S234" s="305"/>
      <c r="T234" s="305"/>
      <c r="U234" s="305"/>
      <c r="V234" s="305"/>
      <c r="W234" s="305"/>
      <c r="X234" s="305"/>
      <c r="Y234" s="305"/>
      <c r="Z234" s="305"/>
      <c r="AA234" s="305"/>
      <c r="AB234" s="305"/>
      <c r="AC234" s="305"/>
      <c r="AD234" s="305"/>
      <c r="AE234" s="305"/>
      <c r="AF234" s="305"/>
      <c r="AG234" s="305"/>
      <c r="AH234" s="305"/>
      <c r="AI234" s="305"/>
      <c r="AJ234" s="305"/>
      <c r="AK234" s="305"/>
      <c r="AL234" s="305"/>
      <c r="AM234" s="305"/>
      <c r="AN234" s="305"/>
      <c r="AO234" s="305"/>
      <c r="AP234" s="305"/>
      <c r="AQ234" s="305"/>
      <c r="AR234" s="305"/>
      <c r="AS234" s="305"/>
      <c r="AT234" s="305"/>
      <c r="AU234" s="305"/>
      <c r="AV234" s="305"/>
      <c r="AW234" s="305"/>
      <c r="AX234" s="305"/>
      <c r="AY234" s="305"/>
      <c r="AZ234" s="305"/>
      <c r="BA234" s="305"/>
      <c r="BB234" s="305"/>
      <c r="BC234" s="305"/>
      <c r="BD234" s="305"/>
      <c r="BE234" s="305"/>
      <c r="BF234" s="305"/>
      <c r="BG234" s="305"/>
      <c r="BH234" s="305"/>
      <c r="BI234" s="305"/>
      <c r="BJ234" s="305"/>
      <c r="BK234" s="305"/>
      <c r="BL234" s="305"/>
      <c r="BM234" s="305"/>
      <c r="BN234" s="305"/>
      <c r="BO234" s="305"/>
      <c r="BP234" s="305"/>
      <c r="BQ234" s="305"/>
      <c r="BR234" s="305"/>
      <c r="BS234" s="305"/>
      <c r="BT234" s="305"/>
      <c r="BU234" s="305"/>
      <c r="BV234" s="305"/>
      <c r="BW234" s="305"/>
      <c r="BX234" s="305"/>
      <c r="BY234" s="305"/>
      <c r="BZ234" s="305"/>
      <c r="CA234" s="305"/>
      <c r="CB234" s="305"/>
      <c r="CC234" s="305"/>
      <c r="CD234" s="305"/>
      <c r="CE234" s="305"/>
      <c r="CF234" s="305"/>
      <c r="CG234" s="305"/>
      <c r="CH234" s="305"/>
      <c r="CI234" s="305"/>
      <c r="CJ234" s="305"/>
      <c r="CK234" s="305"/>
      <c r="CL234" s="305"/>
      <c r="CM234" s="305"/>
      <c r="CN234" s="305"/>
      <c r="CO234" s="305"/>
      <c r="CP234" s="305"/>
      <c r="CQ234" s="305"/>
      <c r="CR234" s="305"/>
      <c r="CS234" s="305"/>
      <c r="CT234" s="305"/>
      <c r="CU234" s="305"/>
      <c r="CV234" s="305"/>
      <c r="CW234" s="305"/>
      <c r="CX234" s="305"/>
      <c r="CY234" s="305"/>
      <c r="CZ234" s="305"/>
      <c r="DA234" s="305"/>
      <c r="DB234" s="305"/>
      <c r="DC234" s="305"/>
      <c r="DD234" s="305"/>
      <c r="DE234" s="305"/>
      <c r="DF234" s="305"/>
      <c r="DG234" s="305"/>
      <c r="DH234" s="305"/>
      <c r="DI234" s="305"/>
      <c r="DJ234" s="305"/>
      <c r="DK234" s="305"/>
      <c r="DL234" s="305"/>
      <c r="DM234" s="305"/>
      <c r="DN234" s="305"/>
      <c r="DO234" s="305"/>
      <c r="DP234" s="305"/>
      <c r="DQ234" s="305"/>
      <c r="DR234" s="305"/>
      <c r="DS234" s="305"/>
      <c r="DT234" s="305"/>
      <c r="DU234" s="305"/>
      <c r="DV234" s="305"/>
      <c r="DW234" s="305"/>
      <c r="DX234" s="305"/>
      <c r="DY234" s="305"/>
      <c r="DZ234" s="305"/>
      <c r="EA234" s="305"/>
      <c r="EB234" s="305"/>
      <c r="EC234" s="305"/>
      <c r="ED234" s="305"/>
      <c r="EE234" s="305"/>
      <c r="EF234" s="305"/>
      <c r="EG234" s="305"/>
      <c r="EH234" s="305"/>
      <c r="EI234" s="305"/>
      <c r="EJ234" s="305"/>
      <c r="EK234" s="305"/>
      <c r="EL234" s="305"/>
      <c r="EM234" s="305"/>
      <c r="EN234" s="305"/>
      <c r="EO234" s="305"/>
      <c r="EP234" s="305"/>
      <c r="EQ234" s="305"/>
      <c r="ER234" s="305"/>
      <c r="ES234" s="305"/>
      <c r="ET234" s="305"/>
      <c r="EU234" s="305"/>
      <c r="EV234" s="305"/>
      <c r="EW234" s="305"/>
      <c r="EX234" s="305"/>
      <c r="EY234" s="305"/>
      <c r="EZ234" s="305"/>
      <c r="FA234" s="305"/>
      <c r="FB234" s="305"/>
      <c r="FC234" s="305"/>
      <c r="FD234" s="305"/>
      <c r="FE234" s="305"/>
      <c r="FF234" s="305"/>
      <c r="FG234" s="305"/>
      <c r="FH234" s="305"/>
      <c r="FI234" s="305"/>
      <c r="FJ234" s="305"/>
      <c r="FK234" s="305"/>
      <c r="FL234" s="305"/>
      <c r="FM234" s="305"/>
      <c r="FN234" s="305"/>
      <c r="FO234" s="305"/>
      <c r="FP234" s="305"/>
      <c r="FQ234" s="305"/>
      <c r="FR234" s="305"/>
      <c r="FS234" s="305"/>
      <c r="FT234" s="305"/>
      <c r="FU234" s="305"/>
      <c r="FV234" s="305"/>
      <c r="FW234" s="305"/>
      <c r="FX234" s="305"/>
      <c r="FY234" s="305"/>
      <c r="FZ234" s="305"/>
      <c r="GA234" s="305"/>
      <c r="GB234" s="305"/>
      <c r="GC234" s="305"/>
      <c r="GD234" s="305"/>
      <c r="GE234" s="305"/>
      <c r="GF234" s="305"/>
      <c r="GG234" s="305"/>
      <c r="GH234" s="305"/>
      <c r="GI234" s="305"/>
      <c r="GJ234" s="305"/>
      <c r="GK234" s="305"/>
      <c r="GL234" s="305"/>
      <c r="GM234" s="305"/>
      <c r="GN234" s="305"/>
      <c r="GO234" s="305"/>
      <c r="GP234" s="305"/>
      <c r="GQ234" s="305"/>
      <c r="GR234" s="305"/>
    </row>
    <row r="235" spans="3:200" s="318" customFormat="1" ht="12.75" customHeight="1" x14ac:dyDescent="0.2">
      <c r="C235" s="367"/>
      <c r="D235" s="403"/>
      <c r="E235" s="369"/>
      <c r="F235" s="369"/>
      <c r="G235" s="369"/>
      <c r="H235" s="369"/>
      <c r="I235" s="370"/>
      <c r="J235"/>
      <c r="K235" s="371"/>
      <c r="L235" s="371"/>
      <c r="M235" s="371"/>
      <c r="N235" s="371"/>
      <c r="O235" s="305"/>
      <c r="P235" s="305"/>
      <c r="Q235" s="305"/>
      <c r="R235" s="305"/>
      <c r="S235" s="305"/>
      <c r="T235" s="305"/>
      <c r="U235" s="305"/>
      <c r="V235" s="305"/>
      <c r="W235" s="305"/>
      <c r="X235" s="305"/>
      <c r="Y235" s="305"/>
      <c r="Z235" s="305"/>
      <c r="AA235" s="305"/>
      <c r="AB235" s="305"/>
      <c r="AC235" s="305"/>
      <c r="AD235" s="305"/>
      <c r="AE235" s="305"/>
      <c r="AF235" s="305"/>
      <c r="AG235" s="305"/>
      <c r="AH235" s="305"/>
      <c r="AI235" s="305"/>
      <c r="AJ235" s="305"/>
      <c r="AK235" s="305"/>
      <c r="AL235" s="305"/>
      <c r="AM235" s="305"/>
      <c r="AN235" s="305"/>
      <c r="AO235" s="305"/>
      <c r="AP235" s="305"/>
      <c r="AQ235" s="305"/>
      <c r="AR235" s="305"/>
      <c r="AS235" s="305"/>
      <c r="AT235" s="305"/>
      <c r="AU235" s="305"/>
      <c r="AV235" s="305"/>
      <c r="AW235" s="305"/>
      <c r="AX235" s="305"/>
      <c r="AY235" s="305"/>
      <c r="AZ235" s="305"/>
      <c r="BA235" s="305"/>
      <c r="BB235" s="305"/>
      <c r="BC235" s="305"/>
      <c r="BD235" s="305"/>
      <c r="BE235" s="305"/>
      <c r="BF235" s="305"/>
      <c r="BG235" s="305"/>
      <c r="BH235" s="305"/>
      <c r="BI235" s="305"/>
      <c r="BJ235" s="305"/>
      <c r="BK235" s="305"/>
      <c r="BL235" s="305"/>
      <c r="BM235" s="305"/>
      <c r="BN235" s="305"/>
      <c r="BO235" s="305"/>
      <c r="BP235" s="305"/>
      <c r="BQ235" s="305"/>
      <c r="BR235" s="305"/>
      <c r="BS235" s="305"/>
      <c r="BT235" s="305"/>
      <c r="BU235" s="305"/>
      <c r="BV235" s="305"/>
      <c r="BW235" s="305"/>
      <c r="BX235" s="305"/>
      <c r="BY235" s="305"/>
      <c r="BZ235" s="305"/>
      <c r="CA235" s="305"/>
      <c r="CB235" s="305"/>
      <c r="CC235" s="305"/>
      <c r="CD235" s="305"/>
      <c r="CE235" s="305"/>
      <c r="CF235" s="305"/>
      <c r="CG235" s="305"/>
      <c r="CH235" s="305"/>
      <c r="CI235" s="305"/>
      <c r="CJ235" s="305"/>
      <c r="CK235" s="305"/>
      <c r="CL235" s="305"/>
      <c r="CM235" s="305"/>
      <c r="CN235" s="305"/>
      <c r="CO235" s="305"/>
      <c r="CP235" s="305"/>
      <c r="CQ235" s="305"/>
      <c r="CR235" s="305"/>
      <c r="CS235" s="305"/>
      <c r="CT235" s="305"/>
      <c r="CU235" s="305"/>
      <c r="CV235" s="305"/>
      <c r="CW235" s="305"/>
      <c r="CX235" s="305"/>
      <c r="CY235" s="305"/>
      <c r="CZ235" s="305"/>
      <c r="DA235" s="305"/>
      <c r="DB235" s="305"/>
      <c r="DC235" s="305"/>
      <c r="DD235" s="305"/>
      <c r="DE235" s="305"/>
      <c r="DF235" s="305"/>
      <c r="DG235" s="305"/>
      <c r="DH235" s="305"/>
      <c r="DI235" s="305"/>
      <c r="DJ235" s="305"/>
      <c r="DK235" s="305"/>
      <c r="DL235" s="305"/>
      <c r="DM235" s="305"/>
      <c r="DN235" s="305"/>
      <c r="DO235" s="305"/>
      <c r="DP235" s="305"/>
      <c r="DQ235" s="305"/>
      <c r="DR235" s="305"/>
      <c r="DS235" s="305"/>
      <c r="DT235" s="305"/>
      <c r="DU235" s="305"/>
      <c r="DV235" s="305"/>
      <c r="DW235" s="305"/>
      <c r="DX235" s="305"/>
      <c r="DY235" s="305"/>
      <c r="DZ235" s="305"/>
      <c r="EA235" s="305"/>
      <c r="EB235" s="305"/>
      <c r="EC235" s="305"/>
      <c r="ED235" s="305"/>
      <c r="EE235" s="305"/>
      <c r="EF235" s="305"/>
      <c r="EG235" s="305"/>
      <c r="EH235" s="305"/>
      <c r="EI235" s="305"/>
      <c r="EJ235" s="305"/>
      <c r="EK235" s="305"/>
      <c r="EL235" s="305"/>
      <c r="EM235" s="305"/>
      <c r="EN235" s="305"/>
      <c r="EO235" s="305"/>
      <c r="EP235" s="305"/>
      <c r="EQ235" s="305"/>
      <c r="ER235" s="305"/>
      <c r="ES235" s="305"/>
      <c r="ET235" s="305"/>
      <c r="EU235" s="305"/>
      <c r="EV235" s="305"/>
      <c r="EW235" s="305"/>
      <c r="EX235" s="305"/>
      <c r="EY235" s="305"/>
      <c r="EZ235" s="305"/>
      <c r="FA235" s="305"/>
      <c r="FB235" s="305"/>
      <c r="FC235" s="305"/>
      <c r="FD235" s="305"/>
      <c r="FE235" s="305"/>
      <c r="FF235" s="305"/>
      <c r="FG235" s="305"/>
      <c r="FH235" s="305"/>
      <c r="FI235" s="305"/>
      <c r="FJ235" s="305"/>
      <c r="FK235" s="305"/>
      <c r="FL235" s="305"/>
      <c r="FM235" s="305"/>
      <c r="FN235" s="305"/>
      <c r="FO235" s="305"/>
      <c r="FP235" s="305"/>
      <c r="FQ235" s="305"/>
      <c r="FR235" s="305"/>
      <c r="FS235" s="305"/>
      <c r="FT235" s="305"/>
      <c r="FU235" s="305"/>
      <c r="FV235" s="305"/>
      <c r="FW235" s="305"/>
      <c r="FX235" s="305"/>
      <c r="FY235" s="305"/>
      <c r="FZ235" s="305"/>
      <c r="GA235" s="305"/>
      <c r="GB235" s="305"/>
      <c r="GC235" s="305"/>
      <c r="GD235" s="305"/>
      <c r="GE235" s="305"/>
      <c r="GF235" s="305"/>
      <c r="GG235" s="305"/>
      <c r="GH235" s="305"/>
      <c r="GI235" s="305"/>
      <c r="GJ235" s="305"/>
      <c r="GK235" s="305"/>
      <c r="GL235" s="305"/>
      <c r="GM235" s="305"/>
      <c r="GN235" s="305"/>
      <c r="GO235" s="305"/>
      <c r="GP235" s="305"/>
      <c r="GQ235" s="305"/>
      <c r="GR235" s="305"/>
    </row>
    <row r="236" spans="3:200" s="318" customFormat="1" ht="12.75" customHeight="1" x14ac:dyDescent="0.2">
      <c r="C236" s="367"/>
      <c r="D236" s="403"/>
      <c r="E236" s="369"/>
      <c r="F236" s="369"/>
      <c r="G236" s="369"/>
      <c r="H236" s="369"/>
      <c r="I236" s="370"/>
      <c r="J236"/>
      <c r="K236" s="371"/>
      <c r="L236" s="371"/>
      <c r="M236" s="371"/>
      <c r="N236" s="371"/>
      <c r="O236" s="305"/>
      <c r="P236" s="305"/>
      <c r="Q236" s="305"/>
      <c r="R236" s="305"/>
      <c r="S236" s="305"/>
      <c r="T236" s="305"/>
      <c r="U236" s="305"/>
      <c r="V236" s="305"/>
      <c r="W236" s="305"/>
      <c r="X236" s="305"/>
      <c r="Y236" s="305"/>
      <c r="Z236" s="305"/>
      <c r="AA236" s="305"/>
      <c r="AB236" s="305"/>
      <c r="AC236" s="305"/>
      <c r="AD236" s="305"/>
      <c r="AE236" s="305"/>
      <c r="AF236" s="305"/>
      <c r="AG236" s="305"/>
      <c r="AH236" s="305"/>
      <c r="AI236" s="305"/>
      <c r="AJ236" s="305"/>
      <c r="AK236" s="305"/>
      <c r="AL236" s="305"/>
      <c r="AM236" s="305"/>
      <c r="AN236" s="305"/>
      <c r="AO236" s="305"/>
      <c r="AP236" s="305"/>
      <c r="AQ236" s="305"/>
      <c r="AR236" s="305"/>
      <c r="AS236" s="305"/>
      <c r="AT236" s="305"/>
      <c r="AU236" s="305"/>
      <c r="AV236" s="305"/>
      <c r="AW236" s="305"/>
      <c r="AX236" s="305"/>
      <c r="AY236" s="305"/>
      <c r="AZ236" s="305"/>
      <c r="BA236" s="305"/>
      <c r="BB236" s="305"/>
      <c r="BC236" s="305"/>
      <c r="BD236" s="305"/>
      <c r="BE236" s="305"/>
      <c r="BF236" s="305"/>
      <c r="BG236" s="305"/>
      <c r="BH236" s="305"/>
      <c r="BI236" s="305"/>
      <c r="BJ236" s="305"/>
      <c r="BK236" s="305"/>
      <c r="BL236" s="305"/>
      <c r="BM236" s="305"/>
      <c r="BN236" s="305"/>
      <c r="BO236" s="305"/>
      <c r="BP236" s="305"/>
      <c r="BQ236" s="305"/>
      <c r="BR236" s="305"/>
      <c r="BS236" s="305"/>
      <c r="BT236" s="305"/>
      <c r="BU236" s="305"/>
      <c r="BV236" s="305"/>
      <c r="BW236" s="305"/>
      <c r="BX236" s="305"/>
      <c r="BY236" s="305"/>
      <c r="BZ236" s="305"/>
      <c r="CA236" s="305"/>
      <c r="CB236" s="305"/>
      <c r="CC236" s="305"/>
      <c r="CD236" s="305"/>
      <c r="CE236" s="305"/>
      <c r="CF236" s="305"/>
      <c r="CG236" s="305"/>
      <c r="CH236" s="305"/>
      <c r="CI236" s="305"/>
      <c r="CJ236" s="305"/>
      <c r="CK236" s="305"/>
      <c r="CL236" s="305"/>
      <c r="CM236" s="305"/>
      <c r="CN236" s="305"/>
      <c r="CO236" s="305"/>
      <c r="CP236" s="305"/>
      <c r="CQ236" s="305"/>
      <c r="CR236" s="305"/>
      <c r="CS236" s="305"/>
      <c r="CT236" s="305"/>
      <c r="CU236" s="305"/>
      <c r="CV236" s="305"/>
      <c r="CW236" s="305"/>
      <c r="CX236" s="305"/>
      <c r="CY236" s="305"/>
      <c r="CZ236" s="305"/>
      <c r="DA236" s="305"/>
      <c r="DB236" s="305"/>
      <c r="DC236" s="305"/>
      <c r="DD236" s="305"/>
      <c r="DE236" s="305"/>
      <c r="DF236" s="305"/>
      <c r="DG236" s="305"/>
      <c r="DH236" s="305"/>
      <c r="DI236" s="305"/>
      <c r="DJ236" s="305"/>
      <c r="DK236" s="305"/>
      <c r="DL236" s="305"/>
      <c r="DM236" s="305"/>
      <c r="DN236" s="305"/>
      <c r="DO236" s="305"/>
      <c r="DP236" s="305"/>
      <c r="DQ236" s="305"/>
      <c r="DR236" s="305"/>
      <c r="DS236" s="305"/>
      <c r="DT236" s="305"/>
      <c r="DU236" s="305"/>
      <c r="DV236" s="305"/>
      <c r="DW236" s="305"/>
      <c r="DX236" s="305"/>
      <c r="DY236" s="305"/>
      <c r="DZ236" s="305"/>
      <c r="EA236" s="305"/>
      <c r="EB236" s="305"/>
      <c r="EC236" s="305"/>
      <c r="ED236" s="305"/>
      <c r="EE236" s="305"/>
      <c r="EF236" s="305"/>
      <c r="EG236" s="305"/>
      <c r="EH236" s="305"/>
      <c r="EI236" s="305"/>
      <c r="EJ236" s="305"/>
      <c r="EK236" s="305"/>
      <c r="EL236" s="305"/>
      <c r="EM236" s="305"/>
      <c r="EN236" s="305"/>
      <c r="EO236" s="305"/>
      <c r="EP236" s="305"/>
      <c r="EQ236" s="305"/>
      <c r="ER236" s="305"/>
      <c r="ES236" s="305"/>
      <c r="ET236" s="305"/>
      <c r="EU236" s="305"/>
      <c r="EV236" s="305"/>
      <c r="EW236" s="305"/>
      <c r="EX236" s="305"/>
      <c r="EY236" s="305"/>
      <c r="EZ236" s="305"/>
      <c r="FA236" s="305"/>
      <c r="FB236" s="305"/>
      <c r="FC236" s="305"/>
      <c r="FD236" s="305"/>
      <c r="FE236" s="305"/>
      <c r="FF236" s="305"/>
      <c r="FG236" s="305"/>
      <c r="FH236" s="305"/>
      <c r="FI236" s="305"/>
      <c r="FJ236" s="305"/>
      <c r="FK236" s="305"/>
      <c r="FL236" s="305"/>
      <c r="FM236" s="305"/>
      <c r="FN236" s="305"/>
      <c r="FO236" s="305"/>
      <c r="FP236" s="305"/>
      <c r="FQ236" s="305"/>
      <c r="FR236" s="305"/>
      <c r="FS236" s="305"/>
      <c r="FT236" s="305"/>
      <c r="FU236" s="305"/>
      <c r="FV236" s="305"/>
      <c r="FW236" s="305"/>
      <c r="FX236" s="305"/>
      <c r="FY236" s="305"/>
      <c r="FZ236" s="305"/>
      <c r="GA236" s="305"/>
      <c r="GB236" s="305"/>
      <c r="GC236" s="305"/>
      <c r="GD236" s="305"/>
      <c r="GE236" s="305"/>
      <c r="GF236" s="305"/>
      <c r="GG236" s="305"/>
      <c r="GH236" s="305"/>
      <c r="GI236" s="305"/>
      <c r="GJ236" s="305"/>
      <c r="GK236" s="305"/>
      <c r="GL236" s="305"/>
      <c r="GM236" s="305"/>
      <c r="GN236" s="305"/>
      <c r="GO236" s="305"/>
      <c r="GP236" s="305"/>
      <c r="GQ236" s="305"/>
      <c r="GR236" s="305"/>
    </row>
    <row r="237" spans="3:200" s="318" customFormat="1" ht="12.75" customHeight="1" x14ac:dyDescent="0.2">
      <c r="C237" s="367"/>
      <c r="D237" s="403"/>
      <c r="E237" s="369"/>
      <c r="F237" s="369"/>
      <c r="G237" s="369"/>
      <c r="H237" s="369"/>
      <c r="I237" s="370"/>
      <c r="J237"/>
      <c r="K237" s="371"/>
      <c r="L237" s="371"/>
      <c r="M237" s="371"/>
      <c r="N237" s="371"/>
      <c r="O237" s="305"/>
      <c r="P237" s="305"/>
      <c r="Q237" s="305"/>
      <c r="R237" s="305"/>
      <c r="S237" s="305"/>
      <c r="T237" s="305"/>
      <c r="U237" s="305"/>
      <c r="V237" s="305"/>
      <c r="W237" s="305"/>
      <c r="X237" s="305"/>
      <c r="Y237" s="305"/>
      <c r="Z237" s="305"/>
      <c r="AA237" s="305"/>
      <c r="AB237" s="305"/>
      <c r="AC237" s="305"/>
      <c r="AD237" s="305"/>
      <c r="AE237" s="305"/>
      <c r="AF237" s="305"/>
      <c r="AG237" s="305"/>
      <c r="AH237" s="305"/>
      <c r="AI237" s="305"/>
      <c r="AJ237" s="305"/>
      <c r="AK237" s="305"/>
      <c r="AL237" s="305"/>
      <c r="AM237" s="305"/>
      <c r="AN237" s="305"/>
      <c r="AO237" s="305"/>
      <c r="AP237" s="305"/>
      <c r="AQ237" s="305"/>
      <c r="AR237" s="305"/>
      <c r="AS237" s="305"/>
      <c r="AT237" s="305"/>
      <c r="AU237" s="305"/>
      <c r="AV237" s="305"/>
      <c r="AW237" s="305"/>
      <c r="AX237" s="305"/>
      <c r="AY237" s="305"/>
      <c r="AZ237" s="305"/>
      <c r="BA237" s="305"/>
      <c r="BB237" s="305"/>
      <c r="BC237" s="305"/>
      <c r="BD237" s="305"/>
      <c r="BE237" s="305"/>
      <c r="BF237" s="305"/>
      <c r="BG237" s="305"/>
      <c r="BH237" s="305"/>
      <c r="BI237" s="305"/>
      <c r="BJ237" s="305"/>
      <c r="BK237" s="305"/>
      <c r="BL237" s="305"/>
      <c r="BM237" s="305"/>
      <c r="BN237" s="305"/>
      <c r="BO237" s="305"/>
      <c r="BP237" s="305"/>
      <c r="BQ237" s="305"/>
      <c r="BR237" s="305"/>
      <c r="BS237" s="305"/>
      <c r="BT237" s="305"/>
      <c r="BU237" s="305"/>
      <c r="BV237" s="305"/>
      <c r="BW237" s="305"/>
      <c r="BX237" s="305"/>
      <c r="BY237" s="305"/>
      <c r="BZ237" s="305"/>
      <c r="CA237" s="305"/>
      <c r="CB237" s="305"/>
      <c r="CC237" s="305"/>
      <c r="CD237" s="305"/>
      <c r="CE237" s="305"/>
      <c r="CF237" s="305"/>
      <c r="CG237" s="305"/>
      <c r="CH237" s="305"/>
      <c r="CI237" s="305"/>
      <c r="CJ237" s="305"/>
      <c r="CK237" s="305"/>
      <c r="CL237" s="305"/>
      <c r="CM237" s="305"/>
      <c r="CN237" s="305"/>
      <c r="CO237" s="305"/>
      <c r="CP237" s="305"/>
      <c r="CQ237" s="305"/>
      <c r="CR237" s="305"/>
      <c r="CS237" s="305"/>
      <c r="CT237" s="305"/>
      <c r="CU237" s="305"/>
      <c r="CV237" s="305"/>
      <c r="CW237" s="305"/>
      <c r="CX237" s="305"/>
      <c r="CY237" s="305"/>
      <c r="CZ237" s="305"/>
      <c r="DA237" s="305"/>
      <c r="DB237" s="305"/>
      <c r="DC237" s="305"/>
      <c r="DD237" s="305"/>
      <c r="DE237" s="305"/>
      <c r="DF237" s="305"/>
      <c r="DG237" s="305"/>
      <c r="DH237" s="305"/>
      <c r="DI237" s="305"/>
      <c r="DJ237" s="305"/>
      <c r="DK237" s="305"/>
      <c r="DL237" s="305"/>
      <c r="DM237" s="305"/>
      <c r="DN237" s="305"/>
      <c r="DO237" s="305"/>
      <c r="DP237" s="305"/>
      <c r="DQ237" s="305"/>
      <c r="DR237" s="305"/>
      <c r="DS237" s="305"/>
      <c r="DT237" s="305"/>
      <c r="DU237" s="305"/>
      <c r="DV237" s="305"/>
      <c r="DW237" s="305"/>
      <c r="DX237" s="305"/>
      <c r="DY237" s="305"/>
      <c r="DZ237" s="305"/>
      <c r="EA237" s="305"/>
      <c r="EB237" s="305"/>
      <c r="EC237" s="305"/>
      <c r="ED237" s="305"/>
      <c r="EE237" s="305"/>
      <c r="EF237" s="305"/>
      <c r="EG237" s="305"/>
      <c r="EH237" s="305"/>
      <c r="EI237" s="305"/>
      <c r="EJ237" s="305"/>
      <c r="EK237" s="305"/>
      <c r="EL237" s="305"/>
      <c r="EM237" s="305"/>
      <c r="EN237" s="305"/>
      <c r="EO237" s="305"/>
      <c r="EP237" s="305"/>
      <c r="EQ237" s="305"/>
      <c r="ER237" s="305"/>
      <c r="ES237" s="305"/>
      <c r="ET237" s="305"/>
      <c r="EU237" s="305"/>
      <c r="EV237" s="305"/>
      <c r="EW237" s="305"/>
      <c r="EX237" s="305"/>
      <c r="EY237" s="305"/>
      <c r="EZ237" s="305"/>
      <c r="FA237" s="305"/>
      <c r="FB237" s="305"/>
      <c r="FC237" s="305"/>
      <c r="FD237" s="305"/>
      <c r="FE237" s="305"/>
      <c r="FF237" s="305"/>
      <c r="FG237" s="305"/>
      <c r="FH237" s="305"/>
      <c r="FI237" s="305"/>
      <c r="FJ237" s="305"/>
      <c r="FK237" s="305"/>
      <c r="FL237" s="305"/>
      <c r="FM237" s="305"/>
      <c r="FN237" s="305"/>
      <c r="FO237" s="305"/>
      <c r="FP237" s="305"/>
      <c r="FQ237" s="305"/>
      <c r="FR237" s="305"/>
      <c r="FS237" s="305"/>
      <c r="FT237" s="305"/>
      <c r="FU237" s="305"/>
      <c r="FV237" s="305"/>
      <c r="FW237" s="305"/>
      <c r="FX237" s="305"/>
      <c r="FY237" s="305"/>
      <c r="FZ237" s="305"/>
      <c r="GA237" s="305"/>
      <c r="GB237" s="305"/>
      <c r="GC237" s="305"/>
      <c r="GD237" s="305"/>
      <c r="GE237" s="305"/>
      <c r="GF237" s="305"/>
      <c r="GG237" s="305"/>
      <c r="GH237" s="305"/>
      <c r="GI237" s="305"/>
      <c r="GJ237" s="305"/>
      <c r="GK237" s="305"/>
      <c r="GL237" s="305"/>
      <c r="GM237" s="305"/>
      <c r="GN237" s="305"/>
      <c r="GO237" s="305"/>
      <c r="GP237" s="305"/>
      <c r="GQ237" s="305"/>
      <c r="GR237" s="305"/>
    </row>
    <row r="238" spans="3:200" s="318" customFormat="1" ht="12.75" customHeight="1" x14ac:dyDescent="0.2">
      <c r="C238" s="367"/>
      <c r="D238" s="403"/>
      <c r="E238" s="369"/>
      <c r="F238" s="369"/>
      <c r="G238" s="369"/>
      <c r="H238" s="369"/>
      <c r="I238" s="370"/>
      <c r="J238"/>
      <c r="K238" s="371"/>
      <c r="L238" s="371"/>
      <c r="M238" s="371"/>
      <c r="N238" s="371"/>
      <c r="O238" s="305"/>
      <c r="P238" s="305"/>
      <c r="Q238" s="305"/>
      <c r="R238" s="305"/>
      <c r="S238" s="305"/>
      <c r="T238" s="305"/>
      <c r="U238" s="305"/>
      <c r="V238" s="305"/>
      <c r="W238" s="305"/>
      <c r="X238" s="305"/>
      <c r="Y238" s="305"/>
      <c r="Z238" s="305"/>
      <c r="AA238" s="305"/>
      <c r="AB238" s="305"/>
      <c r="AC238" s="305"/>
      <c r="AD238" s="305"/>
      <c r="AE238" s="305"/>
      <c r="AF238" s="305"/>
      <c r="AG238" s="305"/>
      <c r="AH238" s="305"/>
      <c r="AI238" s="305"/>
      <c r="AJ238" s="305"/>
      <c r="AK238" s="305"/>
      <c r="AL238" s="305"/>
      <c r="AM238" s="305"/>
      <c r="AN238" s="305"/>
      <c r="AO238" s="305"/>
      <c r="AP238" s="305"/>
      <c r="AQ238" s="305"/>
      <c r="AR238" s="305"/>
      <c r="AS238" s="305"/>
      <c r="AT238" s="305"/>
      <c r="AU238" s="305"/>
      <c r="AV238" s="305"/>
      <c r="AW238" s="305"/>
      <c r="AX238" s="305"/>
      <c r="AY238" s="305"/>
      <c r="AZ238" s="305"/>
      <c r="BA238" s="305"/>
      <c r="BB238" s="305"/>
      <c r="BC238" s="305"/>
      <c r="BD238" s="305"/>
      <c r="BE238" s="305"/>
      <c r="BF238" s="305"/>
      <c r="BG238" s="305"/>
      <c r="BH238" s="305"/>
      <c r="BI238" s="305"/>
      <c r="BJ238" s="305"/>
      <c r="BK238" s="305"/>
      <c r="BL238" s="305"/>
      <c r="BM238" s="305"/>
      <c r="BN238" s="305"/>
      <c r="BO238" s="305"/>
      <c r="BP238" s="305"/>
      <c r="BQ238" s="305"/>
      <c r="BR238" s="305"/>
      <c r="BS238" s="305"/>
      <c r="BT238" s="305"/>
      <c r="BU238" s="305"/>
      <c r="BV238" s="305"/>
      <c r="BW238" s="305"/>
      <c r="BX238" s="305"/>
      <c r="BY238" s="305"/>
      <c r="BZ238" s="305"/>
      <c r="CA238" s="305"/>
      <c r="CB238" s="305"/>
      <c r="CC238" s="305"/>
      <c r="CD238" s="305"/>
      <c r="CE238" s="305"/>
      <c r="CF238" s="305"/>
      <c r="CG238" s="305"/>
      <c r="CH238" s="305"/>
      <c r="CI238" s="305"/>
      <c r="CJ238" s="305"/>
      <c r="CK238" s="305"/>
      <c r="CL238" s="305"/>
      <c r="CM238" s="305"/>
      <c r="CN238" s="305"/>
      <c r="CO238" s="305"/>
      <c r="CP238" s="305"/>
      <c r="CQ238" s="305"/>
      <c r="CR238" s="305"/>
      <c r="CS238" s="305"/>
      <c r="CT238" s="305"/>
      <c r="CU238" s="305"/>
      <c r="CV238" s="305"/>
      <c r="CW238" s="305"/>
      <c r="CX238" s="305"/>
      <c r="CY238" s="305"/>
      <c r="CZ238" s="305"/>
      <c r="DA238" s="305"/>
      <c r="DB238" s="305"/>
      <c r="DC238" s="305"/>
      <c r="DD238" s="305"/>
      <c r="DE238" s="305"/>
      <c r="DF238" s="305"/>
      <c r="DG238" s="305"/>
      <c r="DH238" s="305"/>
      <c r="DI238" s="305"/>
      <c r="DJ238" s="305"/>
      <c r="DK238" s="305"/>
      <c r="DL238" s="305"/>
      <c r="DM238" s="305"/>
      <c r="DN238" s="305"/>
      <c r="DO238" s="305"/>
      <c r="DP238" s="305"/>
      <c r="DQ238" s="305"/>
      <c r="DR238" s="305"/>
      <c r="DS238" s="305"/>
      <c r="DT238" s="305"/>
      <c r="DU238" s="305"/>
      <c r="DV238" s="305"/>
      <c r="DW238" s="305"/>
      <c r="DX238" s="305"/>
      <c r="DY238" s="305"/>
      <c r="DZ238" s="305"/>
      <c r="EA238" s="305"/>
      <c r="EB238" s="305"/>
      <c r="EC238" s="305"/>
      <c r="ED238" s="305"/>
      <c r="EE238" s="305"/>
      <c r="EF238" s="305"/>
      <c r="EG238" s="305"/>
      <c r="EH238" s="305"/>
      <c r="EI238" s="305"/>
      <c r="EJ238" s="305"/>
      <c r="EK238" s="305"/>
      <c r="EL238" s="305"/>
      <c r="EM238" s="305"/>
      <c r="EN238" s="305"/>
      <c r="EO238" s="305"/>
      <c r="EP238" s="305"/>
      <c r="EQ238" s="305"/>
      <c r="ER238" s="305"/>
      <c r="ES238" s="305"/>
      <c r="ET238" s="305"/>
      <c r="EU238" s="305"/>
      <c r="EV238" s="305"/>
      <c r="EW238" s="305"/>
      <c r="EX238" s="305"/>
      <c r="EY238" s="305"/>
      <c r="EZ238" s="305"/>
      <c r="FA238" s="305"/>
      <c r="FB238" s="305"/>
      <c r="FC238" s="305"/>
      <c r="FD238" s="305"/>
      <c r="FE238" s="305"/>
      <c r="FF238" s="305"/>
      <c r="FG238" s="305"/>
      <c r="FH238" s="305"/>
      <c r="FI238" s="305"/>
      <c r="FJ238" s="305"/>
      <c r="FK238" s="305"/>
      <c r="FL238" s="305"/>
      <c r="FM238" s="305"/>
      <c r="FN238" s="305"/>
      <c r="FO238" s="305"/>
      <c r="FP238" s="305"/>
      <c r="FQ238" s="305"/>
      <c r="FR238" s="305"/>
      <c r="FS238" s="305"/>
      <c r="FT238" s="305"/>
      <c r="FU238" s="305"/>
      <c r="FV238" s="305"/>
      <c r="FW238" s="305"/>
      <c r="FX238" s="305"/>
      <c r="FY238" s="305"/>
      <c r="FZ238" s="305"/>
      <c r="GA238" s="305"/>
      <c r="GB238" s="305"/>
      <c r="GC238" s="305"/>
      <c r="GD238" s="305"/>
      <c r="GE238" s="305"/>
      <c r="GF238" s="305"/>
      <c r="GG238" s="305"/>
      <c r="GH238" s="305"/>
      <c r="GI238" s="305"/>
      <c r="GJ238" s="305"/>
      <c r="GK238" s="305"/>
      <c r="GL238" s="305"/>
      <c r="GM238" s="305"/>
      <c r="GN238" s="305"/>
      <c r="GO238" s="305"/>
      <c r="GP238" s="305"/>
      <c r="GQ238" s="305"/>
      <c r="GR238" s="305"/>
    </row>
    <row r="239" spans="3:200" s="318" customFormat="1" ht="12.75" customHeight="1" x14ac:dyDescent="0.2">
      <c r="C239" s="367"/>
      <c r="D239" s="403"/>
      <c r="E239" s="369"/>
      <c r="F239" s="369"/>
      <c r="G239" s="369"/>
      <c r="H239" s="369"/>
      <c r="I239" s="370"/>
      <c r="J239"/>
      <c r="K239" s="371"/>
      <c r="L239" s="371"/>
      <c r="M239" s="371"/>
      <c r="N239" s="371"/>
      <c r="O239" s="305"/>
      <c r="P239" s="305"/>
      <c r="Q239" s="305"/>
      <c r="R239" s="305"/>
      <c r="S239" s="305"/>
      <c r="T239" s="305"/>
      <c r="U239" s="305"/>
      <c r="V239" s="305"/>
      <c r="W239" s="305"/>
      <c r="X239" s="305"/>
      <c r="Y239" s="305"/>
      <c r="Z239" s="305"/>
      <c r="AA239" s="305"/>
      <c r="AB239" s="305"/>
      <c r="AC239" s="305"/>
      <c r="AD239" s="305"/>
      <c r="AE239" s="305"/>
      <c r="AF239" s="305"/>
      <c r="AG239" s="305"/>
      <c r="AH239" s="305"/>
      <c r="AI239" s="305"/>
      <c r="AJ239" s="305"/>
      <c r="AK239" s="305"/>
      <c r="AL239" s="305"/>
      <c r="AM239" s="305"/>
      <c r="AN239" s="305"/>
      <c r="AO239" s="305"/>
      <c r="AP239" s="305"/>
      <c r="AQ239" s="305"/>
      <c r="AR239" s="305"/>
      <c r="AS239" s="305"/>
      <c r="AT239" s="305"/>
      <c r="AU239" s="305"/>
      <c r="AV239" s="305"/>
      <c r="AW239" s="305"/>
      <c r="AX239" s="305"/>
      <c r="AY239" s="305"/>
      <c r="AZ239" s="305"/>
      <c r="BA239" s="305"/>
      <c r="BB239" s="305"/>
      <c r="BC239" s="305"/>
      <c r="BD239" s="305"/>
      <c r="BE239" s="305"/>
      <c r="BF239" s="305"/>
      <c r="BG239" s="305"/>
      <c r="BH239" s="305"/>
      <c r="BI239" s="305"/>
      <c r="BJ239" s="305"/>
      <c r="BK239" s="305"/>
      <c r="BL239" s="305"/>
      <c r="BM239" s="305"/>
      <c r="BN239" s="305"/>
      <c r="BO239" s="305"/>
      <c r="BP239" s="305"/>
      <c r="BQ239" s="305"/>
      <c r="BR239" s="305"/>
      <c r="BS239" s="305"/>
      <c r="BT239" s="305"/>
      <c r="BU239" s="305"/>
      <c r="BV239" s="305"/>
      <c r="BW239" s="305"/>
      <c r="BX239" s="305"/>
      <c r="BY239" s="305"/>
      <c r="BZ239" s="305"/>
      <c r="CA239" s="305"/>
      <c r="CB239" s="305"/>
      <c r="CC239" s="305"/>
      <c r="CD239" s="305"/>
      <c r="CE239" s="305"/>
      <c r="CF239" s="305"/>
      <c r="CG239" s="305"/>
      <c r="CH239" s="305"/>
      <c r="CI239" s="305"/>
      <c r="CJ239" s="305"/>
      <c r="CK239" s="305"/>
      <c r="CL239" s="305"/>
      <c r="CM239" s="305"/>
      <c r="CN239" s="305"/>
      <c r="CO239" s="305"/>
      <c r="CP239" s="305"/>
      <c r="CQ239" s="305"/>
      <c r="CR239" s="305"/>
      <c r="CS239" s="305"/>
      <c r="CT239" s="305"/>
      <c r="CU239" s="305"/>
      <c r="CV239" s="305"/>
      <c r="CW239" s="305"/>
      <c r="CX239" s="305"/>
      <c r="CY239" s="305"/>
      <c r="CZ239" s="305"/>
      <c r="DA239" s="305"/>
      <c r="DB239" s="305"/>
      <c r="DC239" s="305"/>
      <c r="DD239" s="305"/>
      <c r="DE239" s="305"/>
      <c r="DF239" s="305"/>
      <c r="DG239" s="305"/>
      <c r="DH239" s="305"/>
      <c r="DI239" s="305"/>
      <c r="DJ239" s="305"/>
      <c r="DK239" s="305"/>
      <c r="DL239" s="305"/>
      <c r="DM239" s="305"/>
      <c r="DN239" s="305"/>
      <c r="DO239" s="305"/>
      <c r="DP239" s="305"/>
      <c r="DQ239" s="305"/>
      <c r="DR239" s="305"/>
      <c r="DS239" s="305"/>
      <c r="DT239" s="305"/>
      <c r="DU239" s="305"/>
      <c r="DV239" s="305"/>
      <c r="DW239" s="305"/>
      <c r="DX239" s="305"/>
      <c r="DY239" s="305"/>
      <c r="DZ239" s="305"/>
      <c r="EA239" s="305"/>
      <c r="EB239" s="305"/>
      <c r="EC239" s="305"/>
      <c r="ED239" s="305"/>
      <c r="EE239" s="305"/>
      <c r="EF239" s="305"/>
      <c r="EG239" s="305"/>
      <c r="EH239" s="305"/>
      <c r="EI239" s="305"/>
      <c r="EJ239" s="305"/>
      <c r="EK239" s="305"/>
      <c r="EL239" s="305"/>
      <c r="EM239" s="305"/>
      <c r="EN239" s="305"/>
      <c r="EO239" s="305"/>
      <c r="EP239" s="305"/>
      <c r="EQ239" s="305"/>
      <c r="ER239" s="305"/>
      <c r="ES239" s="305"/>
      <c r="ET239" s="305"/>
      <c r="EU239" s="305"/>
      <c r="EV239" s="305"/>
      <c r="EW239" s="305"/>
      <c r="EX239" s="305"/>
      <c r="EY239" s="305"/>
      <c r="EZ239" s="305"/>
      <c r="FA239" s="305"/>
      <c r="FB239" s="305"/>
      <c r="FC239" s="305"/>
      <c r="FD239" s="305"/>
      <c r="FE239" s="305"/>
      <c r="FF239" s="305"/>
      <c r="FG239" s="305"/>
      <c r="FH239" s="305"/>
      <c r="FI239" s="305"/>
      <c r="FJ239" s="305"/>
      <c r="FK239" s="305"/>
      <c r="FL239" s="305"/>
      <c r="FM239" s="305"/>
      <c r="FN239" s="305"/>
      <c r="FO239" s="305"/>
      <c r="FP239" s="305"/>
      <c r="FQ239" s="305"/>
      <c r="FR239" s="305"/>
      <c r="FS239" s="305"/>
      <c r="FT239" s="305"/>
      <c r="FU239" s="305"/>
      <c r="FV239" s="305"/>
      <c r="FW239" s="305"/>
      <c r="FX239" s="305"/>
      <c r="FY239" s="305"/>
      <c r="FZ239" s="305"/>
      <c r="GA239" s="305"/>
      <c r="GB239" s="305"/>
      <c r="GC239" s="305"/>
      <c r="GD239" s="305"/>
      <c r="GE239" s="305"/>
      <c r="GF239" s="305"/>
      <c r="GG239" s="305"/>
      <c r="GH239" s="305"/>
      <c r="GI239" s="305"/>
      <c r="GJ239" s="305"/>
      <c r="GK239" s="305"/>
      <c r="GL239" s="305"/>
      <c r="GM239" s="305"/>
      <c r="GN239" s="305"/>
      <c r="GO239" s="305"/>
      <c r="GP239" s="305"/>
      <c r="GQ239" s="305"/>
      <c r="GR239" s="305"/>
    </row>
    <row r="240" spans="3:200" s="318" customFormat="1" ht="12.75" customHeight="1" x14ac:dyDescent="0.2">
      <c r="C240" s="367"/>
      <c r="D240" s="403"/>
      <c r="E240" s="369"/>
      <c r="F240" s="369"/>
      <c r="G240" s="369"/>
      <c r="H240" s="369"/>
      <c r="I240" s="370"/>
      <c r="J240"/>
      <c r="K240" s="371"/>
      <c r="L240" s="371"/>
      <c r="M240" s="371"/>
      <c r="N240" s="371"/>
      <c r="O240" s="305"/>
      <c r="P240" s="305"/>
      <c r="Q240" s="305"/>
      <c r="R240" s="305"/>
      <c r="S240" s="305"/>
      <c r="T240" s="305"/>
      <c r="U240" s="305"/>
      <c r="V240" s="305"/>
      <c r="W240" s="305"/>
      <c r="X240" s="305"/>
      <c r="Y240" s="305"/>
      <c r="Z240" s="305"/>
      <c r="AA240" s="305"/>
      <c r="AB240" s="305"/>
      <c r="AC240" s="305"/>
      <c r="AD240" s="305"/>
      <c r="AE240" s="305"/>
      <c r="AF240" s="305"/>
      <c r="AG240" s="305"/>
      <c r="AH240" s="305"/>
      <c r="AI240" s="305"/>
      <c r="AJ240" s="305"/>
      <c r="AK240" s="305"/>
      <c r="AL240" s="305"/>
      <c r="AM240" s="305"/>
      <c r="AN240" s="305"/>
      <c r="AO240" s="305"/>
      <c r="AP240" s="305"/>
      <c r="AQ240" s="305"/>
      <c r="AR240" s="305"/>
      <c r="AS240" s="305"/>
      <c r="AT240" s="305"/>
      <c r="AU240" s="305"/>
      <c r="AV240" s="305"/>
      <c r="AW240" s="305"/>
      <c r="AX240" s="305"/>
      <c r="AY240" s="305"/>
      <c r="AZ240" s="305"/>
      <c r="BA240" s="305"/>
      <c r="BB240" s="305"/>
      <c r="BC240" s="305"/>
      <c r="BD240" s="305"/>
      <c r="BE240" s="305"/>
      <c r="BF240" s="305"/>
      <c r="BG240" s="305"/>
      <c r="BH240" s="305"/>
      <c r="BI240" s="305"/>
      <c r="BJ240" s="305"/>
      <c r="BK240" s="305"/>
      <c r="BL240" s="305"/>
      <c r="BM240" s="305"/>
      <c r="BN240" s="305"/>
      <c r="BO240" s="305"/>
      <c r="BP240" s="305"/>
      <c r="BQ240" s="305"/>
      <c r="BR240" s="305"/>
      <c r="BS240" s="305"/>
      <c r="BT240" s="305"/>
      <c r="BU240" s="305"/>
      <c r="BV240" s="305"/>
      <c r="BW240" s="305"/>
      <c r="BX240" s="305"/>
      <c r="BY240" s="305"/>
      <c r="BZ240" s="305"/>
      <c r="CA240" s="305"/>
      <c r="CB240" s="305"/>
      <c r="CC240" s="305"/>
      <c r="CD240" s="305"/>
      <c r="CE240" s="305"/>
      <c r="CF240" s="305"/>
      <c r="CG240" s="305"/>
      <c r="CH240" s="305"/>
      <c r="CI240" s="305"/>
      <c r="CJ240" s="305"/>
      <c r="CK240" s="305"/>
      <c r="CL240" s="305"/>
      <c r="CM240" s="305"/>
      <c r="CN240" s="305"/>
      <c r="CO240" s="305"/>
      <c r="CP240" s="305"/>
      <c r="CQ240" s="305"/>
      <c r="CR240" s="305"/>
      <c r="CS240" s="305"/>
      <c r="CT240" s="305"/>
      <c r="CU240" s="305"/>
      <c r="CV240" s="305"/>
      <c r="CW240" s="305"/>
      <c r="CX240" s="305"/>
      <c r="CY240" s="305"/>
      <c r="CZ240" s="305"/>
      <c r="DA240" s="305"/>
      <c r="DB240" s="305"/>
      <c r="DC240" s="305"/>
      <c r="DD240" s="305"/>
      <c r="DE240" s="305"/>
      <c r="DF240" s="305"/>
      <c r="DG240" s="305"/>
      <c r="DH240" s="305"/>
      <c r="DI240" s="305"/>
      <c r="DJ240" s="305"/>
      <c r="DK240" s="305"/>
      <c r="DL240" s="305"/>
      <c r="DM240" s="305"/>
      <c r="DN240" s="305"/>
      <c r="DO240" s="305"/>
      <c r="DP240" s="305"/>
      <c r="DQ240" s="305"/>
      <c r="DR240" s="305"/>
      <c r="DS240" s="305"/>
      <c r="DT240" s="305"/>
      <c r="DU240" s="305"/>
      <c r="DV240" s="305"/>
      <c r="DW240" s="305"/>
      <c r="DX240" s="305"/>
      <c r="DY240" s="305"/>
      <c r="DZ240" s="305"/>
      <c r="EA240" s="305"/>
      <c r="EB240" s="305"/>
      <c r="EC240" s="305"/>
      <c r="ED240" s="305"/>
      <c r="EE240" s="305"/>
      <c r="EF240" s="305"/>
      <c r="EG240" s="305"/>
      <c r="EH240" s="305"/>
      <c r="EI240" s="305"/>
      <c r="EJ240" s="305"/>
      <c r="EK240" s="305"/>
      <c r="EL240" s="305"/>
      <c r="EM240" s="305"/>
      <c r="EN240" s="305"/>
      <c r="EO240" s="305"/>
      <c r="EP240" s="305"/>
      <c r="EQ240" s="305"/>
      <c r="ER240" s="305"/>
      <c r="ES240" s="305"/>
      <c r="ET240" s="305"/>
      <c r="EU240" s="305"/>
      <c r="EV240" s="305"/>
      <c r="EW240" s="305"/>
      <c r="EX240" s="305"/>
      <c r="EY240" s="305"/>
      <c r="EZ240" s="305"/>
      <c r="FA240" s="305"/>
      <c r="FB240" s="305"/>
      <c r="FC240" s="305"/>
      <c r="FD240" s="305"/>
      <c r="FE240" s="305"/>
      <c r="FF240" s="305"/>
      <c r="FG240" s="305"/>
      <c r="FH240" s="305"/>
      <c r="FI240" s="305"/>
      <c r="FJ240" s="305"/>
      <c r="FK240" s="305"/>
      <c r="FL240" s="305"/>
      <c r="FM240" s="305"/>
      <c r="FN240" s="305"/>
      <c r="FO240" s="305"/>
      <c r="FP240" s="305"/>
      <c r="FQ240" s="305"/>
      <c r="FR240" s="305"/>
      <c r="FS240" s="305"/>
      <c r="FT240" s="305"/>
      <c r="FU240" s="305"/>
      <c r="FV240" s="305"/>
      <c r="FW240" s="305"/>
      <c r="FX240" s="305"/>
      <c r="FY240" s="305"/>
      <c r="FZ240" s="305"/>
      <c r="GA240" s="305"/>
      <c r="GB240" s="305"/>
      <c r="GC240" s="305"/>
      <c r="GD240" s="305"/>
      <c r="GE240" s="305"/>
      <c r="GF240" s="305"/>
      <c r="GG240" s="305"/>
      <c r="GH240" s="305"/>
      <c r="GI240" s="305"/>
      <c r="GJ240" s="305"/>
      <c r="GK240" s="305"/>
      <c r="GL240" s="305"/>
      <c r="GM240" s="305"/>
      <c r="GN240" s="305"/>
      <c r="GO240" s="305"/>
      <c r="GP240" s="305"/>
      <c r="GQ240" s="305"/>
      <c r="GR240" s="305"/>
    </row>
    <row r="241" spans="3:200" s="318" customFormat="1" ht="12.75" customHeight="1" x14ac:dyDescent="0.2">
      <c r="C241" s="367"/>
      <c r="D241" s="403"/>
      <c r="E241" s="369"/>
      <c r="F241" s="369"/>
      <c r="G241" s="369"/>
      <c r="H241" s="369"/>
      <c r="I241" s="370"/>
      <c r="J241"/>
      <c r="K241" s="371"/>
      <c r="L241" s="371"/>
      <c r="M241" s="371"/>
      <c r="N241" s="371"/>
      <c r="O241" s="305"/>
      <c r="P241" s="305"/>
      <c r="Q241" s="305"/>
      <c r="R241" s="305"/>
      <c r="S241" s="305"/>
      <c r="T241" s="305"/>
      <c r="U241" s="305"/>
      <c r="V241" s="305"/>
      <c r="W241" s="305"/>
      <c r="X241" s="305"/>
      <c r="Y241" s="305"/>
      <c r="Z241" s="305"/>
      <c r="AA241" s="305"/>
      <c r="AB241" s="305"/>
      <c r="AC241" s="305"/>
      <c r="AD241" s="305"/>
      <c r="AE241" s="305"/>
      <c r="AF241" s="305"/>
      <c r="AG241" s="305"/>
      <c r="AH241" s="305"/>
      <c r="AI241" s="305"/>
      <c r="AJ241" s="305"/>
      <c r="AK241" s="305"/>
      <c r="AL241" s="305"/>
      <c r="AM241" s="305"/>
      <c r="AN241" s="305"/>
      <c r="AO241" s="305"/>
      <c r="AP241" s="305"/>
      <c r="AQ241" s="305"/>
      <c r="AR241" s="305"/>
      <c r="AS241" s="305"/>
      <c r="AT241" s="305"/>
      <c r="AU241" s="305"/>
      <c r="AV241" s="305"/>
      <c r="AW241" s="305"/>
      <c r="AX241" s="305"/>
      <c r="AY241" s="305"/>
      <c r="AZ241" s="305"/>
      <c r="BA241" s="305"/>
      <c r="BB241" s="305"/>
      <c r="BC241" s="305"/>
      <c r="BD241" s="305"/>
      <c r="BE241" s="305"/>
      <c r="BF241" s="305"/>
      <c r="BG241" s="305"/>
      <c r="BH241" s="305"/>
      <c r="BI241" s="305"/>
      <c r="BJ241" s="305"/>
      <c r="BK241" s="305"/>
      <c r="BL241" s="305"/>
      <c r="BM241" s="305"/>
      <c r="BN241" s="305"/>
      <c r="BO241" s="305"/>
      <c r="BP241" s="305"/>
      <c r="BQ241" s="305"/>
      <c r="BR241" s="305"/>
      <c r="BS241" s="305"/>
      <c r="BT241" s="305"/>
      <c r="BU241" s="305"/>
      <c r="BV241" s="305"/>
      <c r="BW241" s="305"/>
      <c r="BX241" s="305"/>
      <c r="BY241" s="305"/>
      <c r="BZ241" s="305"/>
      <c r="CA241" s="305"/>
      <c r="CB241" s="305"/>
      <c r="CC241" s="305"/>
      <c r="CD241" s="305"/>
      <c r="CE241" s="305"/>
      <c r="CF241" s="305"/>
      <c r="CG241" s="305"/>
      <c r="CH241" s="305"/>
      <c r="CI241" s="305"/>
      <c r="CJ241" s="305"/>
      <c r="CK241" s="305"/>
      <c r="CL241" s="305"/>
      <c r="CM241" s="305"/>
      <c r="CN241" s="305"/>
      <c r="CO241" s="305"/>
      <c r="CP241" s="305"/>
      <c r="CQ241" s="305"/>
      <c r="CR241" s="305"/>
      <c r="CS241" s="305"/>
      <c r="CT241" s="305"/>
      <c r="CU241" s="305"/>
      <c r="CV241" s="305"/>
      <c r="CW241" s="305"/>
      <c r="CX241" s="305"/>
      <c r="CY241" s="305"/>
      <c r="CZ241" s="305"/>
      <c r="DA241" s="305"/>
      <c r="DB241" s="305"/>
      <c r="DC241" s="305"/>
      <c r="DD241" s="305"/>
      <c r="DE241" s="305"/>
      <c r="DF241" s="305"/>
      <c r="DG241" s="305"/>
      <c r="DH241" s="305"/>
      <c r="DI241" s="305"/>
      <c r="DJ241" s="305"/>
      <c r="DK241" s="305"/>
      <c r="DL241" s="305"/>
      <c r="DM241" s="305"/>
      <c r="DN241" s="305"/>
      <c r="DO241" s="305"/>
      <c r="DP241" s="305"/>
      <c r="DQ241" s="305"/>
      <c r="DR241" s="305"/>
      <c r="DS241" s="305"/>
      <c r="DT241" s="305"/>
      <c r="DU241" s="305"/>
      <c r="DV241" s="305"/>
      <c r="DW241" s="305"/>
      <c r="DX241" s="305"/>
      <c r="DY241" s="305"/>
      <c r="DZ241" s="305"/>
      <c r="EA241" s="305"/>
      <c r="EB241" s="305"/>
      <c r="EC241" s="305"/>
      <c r="ED241" s="305"/>
      <c r="EE241" s="305"/>
      <c r="EF241" s="305"/>
      <c r="EG241" s="305"/>
      <c r="EH241" s="305"/>
      <c r="EI241" s="305"/>
      <c r="EJ241" s="305"/>
      <c r="EK241" s="305"/>
      <c r="EL241" s="305"/>
      <c r="EM241" s="305"/>
      <c r="EN241" s="305"/>
      <c r="EO241" s="305"/>
      <c r="EP241" s="305"/>
      <c r="EQ241" s="305"/>
      <c r="ER241" s="305"/>
      <c r="ES241" s="305"/>
      <c r="ET241" s="305"/>
      <c r="EU241" s="305"/>
      <c r="EV241" s="305"/>
      <c r="EW241" s="305"/>
      <c r="EX241" s="305"/>
      <c r="EY241" s="305"/>
      <c r="EZ241" s="305"/>
      <c r="FA241" s="305"/>
      <c r="FB241" s="305"/>
      <c r="FC241" s="305"/>
      <c r="FD241" s="305"/>
      <c r="FE241" s="305"/>
      <c r="FF241" s="305"/>
      <c r="FG241" s="305"/>
      <c r="FH241" s="305"/>
      <c r="FI241" s="305"/>
      <c r="FJ241" s="305"/>
      <c r="FK241" s="305"/>
      <c r="FL241" s="305"/>
      <c r="FM241" s="305"/>
      <c r="FN241" s="305"/>
      <c r="FO241" s="305"/>
      <c r="FP241" s="305"/>
      <c r="FQ241" s="305"/>
      <c r="FR241" s="305"/>
      <c r="FS241" s="305"/>
      <c r="FT241" s="305"/>
      <c r="FU241" s="305"/>
      <c r="FV241" s="305"/>
      <c r="FW241" s="305"/>
      <c r="FX241" s="305"/>
      <c r="FY241" s="305"/>
      <c r="FZ241" s="305"/>
      <c r="GA241" s="305"/>
      <c r="GB241" s="305"/>
      <c r="GC241" s="305"/>
      <c r="GD241" s="305"/>
      <c r="GE241" s="305"/>
      <c r="GF241" s="305"/>
      <c r="GG241" s="305"/>
      <c r="GH241" s="305"/>
      <c r="GI241" s="305"/>
      <c r="GJ241" s="305"/>
      <c r="GK241" s="305"/>
      <c r="GL241" s="305"/>
      <c r="GM241" s="305"/>
      <c r="GN241" s="305"/>
      <c r="GO241" s="305"/>
      <c r="GP241" s="305"/>
      <c r="GQ241" s="305"/>
      <c r="GR241" s="305"/>
    </row>
    <row r="242" spans="3:200" s="318" customFormat="1" ht="12.75" customHeight="1" x14ac:dyDescent="0.2">
      <c r="C242" s="367"/>
      <c r="D242" s="403"/>
      <c r="E242" s="369"/>
      <c r="F242" s="369"/>
      <c r="G242" s="369"/>
      <c r="H242" s="369"/>
      <c r="I242" s="370"/>
      <c r="J242"/>
      <c r="K242" s="371"/>
      <c r="L242" s="371"/>
      <c r="M242" s="371"/>
      <c r="N242" s="371"/>
      <c r="O242" s="305"/>
      <c r="P242" s="305"/>
      <c r="Q242" s="305"/>
      <c r="R242" s="305"/>
      <c r="S242" s="305"/>
      <c r="T242" s="305"/>
      <c r="U242" s="305"/>
      <c r="V242" s="305"/>
      <c r="W242" s="305"/>
      <c r="X242" s="305"/>
      <c r="Y242" s="305"/>
      <c r="Z242" s="305"/>
      <c r="AA242" s="305"/>
      <c r="AB242" s="305"/>
      <c r="AC242" s="305"/>
      <c r="AD242" s="305"/>
      <c r="AE242" s="305"/>
      <c r="AF242" s="305"/>
      <c r="AG242" s="305"/>
      <c r="AH242" s="305"/>
      <c r="AI242" s="305"/>
      <c r="AJ242" s="305"/>
      <c r="AK242" s="305"/>
      <c r="AL242" s="305"/>
      <c r="AM242" s="305"/>
      <c r="AN242" s="305"/>
      <c r="AO242" s="305"/>
      <c r="AP242" s="305"/>
      <c r="AQ242" s="305"/>
      <c r="AR242" s="305"/>
      <c r="AS242" s="305"/>
      <c r="AT242" s="305"/>
      <c r="AU242" s="305"/>
      <c r="AV242" s="305"/>
      <c r="AW242" s="305"/>
      <c r="AX242" s="305"/>
      <c r="AY242" s="305"/>
      <c r="AZ242" s="305"/>
      <c r="BA242" s="305"/>
      <c r="BB242" s="305"/>
      <c r="BC242" s="305"/>
      <c r="BD242" s="305"/>
      <c r="BE242" s="305"/>
      <c r="BF242" s="305"/>
      <c r="BG242" s="305"/>
      <c r="BH242" s="305"/>
      <c r="BI242" s="305"/>
      <c r="BJ242" s="305"/>
      <c r="BK242" s="305"/>
      <c r="BL242" s="305"/>
      <c r="BM242" s="305"/>
      <c r="BN242" s="305"/>
      <c r="BO242" s="305"/>
      <c r="BP242" s="305"/>
      <c r="BQ242" s="305"/>
      <c r="BR242" s="305"/>
      <c r="BS242" s="305"/>
      <c r="BT242" s="305"/>
      <c r="BU242" s="305"/>
      <c r="BV242" s="305"/>
      <c r="BW242" s="305"/>
      <c r="BX242" s="305"/>
      <c r="BY242" s="305"/>
      <c r="BZ242" s="305"/>
      <c r="CA242" s="305"/>
      <c r="CB242" s="305"/>
      <c r="CC242" s="305"/>
      <c r="CD242" s="305"/>
      <c r="CE242" s="305"/>
      <c r="CF242" s="305"/>
      <c r="CG242" s="305"/>
      <c r="CH242" s="305"/>
      <c r="CI242" s="305"/>
      <c r="CJ242" s="305"/>
      <c r="CK242" s="305"/>
      <c r="CL242" s="305"/>
      <c r="CM242" s="305"/>
      <c r="CN242" s="305"/>
      <c r="CO242" s="305"/>
      <c r="CP242" s="305"/>
      <c r="CQ242" s="305"/>
      <c r="CR242" s="305"/>
      <c r="CS242" s="305"/>
      <c r="CT242" s="305"/>
      <c r="CU242" s="305"/>
      <c r="CV242" s="305"/>
      <c r="CW242" s="305"/>
      <c r="CX242" s="305"/>
      <c r="CY242" s="305"/>
      <c r="CZ242" s="305"/>
      <c r="DA242" s="305"/>
      <c r="DB242" s="305"/>
      <c r="DC242" s="305"/>
      <c r="DD242" s="305"/>
      <c r="DE242" s="305"/>
      <c r="DF242" s="305"/>
      <c r="DG242" s="305"/>
      <c r="DH242" s="305"/>
      <c r="DI242" s="305"/>
      <c r="DJ242" s="305"/>
      <c r="DK242" s="305"/>
      <c r="DL242" s="305"/>
      <c r="DM242" s="305"/>
      <c r="DN242" s="305"/>
      <c r="DO242" s="305"/>
      <c r="DP242" s="305"/>
      <c r="DQ242" s="305"/>
      <c r="DR242" s="305"/>
      <c r="DS242" s="305"/>
      <c r="DT242" s="305"/>
      <c r="DU242" s="305"/>
      <c r="DV242" s="305"/>
      <c r="DW242" s="305"/>
      <c r="DX242" s="305"/>
      <c r="DY242" s="305"/>
      <c r="DZ242" s="305"/>
      <c r="EA242" s="305"/>
      <c r="EB242" s="305"/>
      <c r="EC242" s="305"/>
      <c r="ED242" s="305"/>
      <c r="EE242" s="305"/>
      <c r="EF242" s="305"/>
      <c r="EG242" s="305"/>
      <c r="EH242" s="305"/>
      <c r="EI242" s="305"/>
      <c r="EJ242" s="305"/>
      <c r="EK242" s="305"/>
      <c r="EL242" s="305"/>
      <c r="EM242" s="305"/>
      <c r="EN242" s="305"/>
      <c r="EO242" s="305"/>
      <c r="EP242" s="305"/>
      <c r="EQ242" s="305"/>
      <c r="ER242" s="305"/>
      <c r="ES242" s="305"/>
      <c r="ET242" s="305"/>
      <c r="EU242" s="305"/>
      <c r="EV242" s="305"/>
      <c r="EW242" s="305"/>
      <c r="EX242" s="305"/>
      <c r="EY242" s="305"/>
      <c r="EZ242" s="305"/>
      <c r="FA242" s="305"/>
      <c r="FB242" s="305"/>
      <c r="FC242" s="305"/>
      <c r="FD242" s="305"/>
      <c r="FE242" s="305"/>
      <c r="FF242" s="305"/>
      <c r="FG242" s="305"/>
      <c r="FH242" s="305"/>
      <c r="FI242" s="305"/>
      <c r="FJ242" s="305"/>
      <c r="FK242" s="305"/>
      <c r="FL242" s="305"/>
      <c r="FM242" s="305"/>
      <c r="FN242" s="305"/>
      <c r="FO242" s="305"/>
      <c r="FP242" s="305"/>
      <c r="FQ242" s="305"/>
      <c r="FR242" s="305"/>
      <c r="FS242" s="305"/>
      <c r="FT242" s="305"/>
      <c r="FU242" s="305"/>
      <c r="FV242" s="305"/>
      <c r="FW242" s="305"/>
      <c r="FX242" s="305"/>
      <c r="FY242" s="305"/>
      <c r="FZ242" s="305"/>
      <c r="GA242" s="305"/>
      <c r="GB242" s="305"/>
      <c r="GC242" s="305"/>
      <c r="GD242" s="305"/>
      <c r="GE242" s="305"/>
      <c r="GF242" s="305"/>
      <c r="GG242" s="305"/>
      <c r="GH242" s="305"/>
      <c r="GI242" s="305"/>
      <c r="GJ242" s="305"/>
      <c r="GK242" s="305"/>
      <c r="GL242" s="305"/>
      <c r="GM242" s="305"/>
      <c r="GN242" s="305"/>
      <c r="GO242" s="305"/>
      <c r="GP242" s="305"/>
      <c r="GQ242" s="305"/>
      <c r="GR242" s="305"/>
    </row>
    <row r="243" spans="3:200" s="318" customFormat="1" ht="12.75" customHeight="1" x14ac:dyDescent="0.2">
      <c r="C243" s="367"/>
      <c r="D243" s="403"/>
      <c r="E243" s="369"/>
      <c r="F243" s="369"/>
      <c r="G243" s="369"/>
      <c r="H243" s="369"/>
      <c r="I243" s="370"/>
      <c r="J243"/>
      <c r="K243" s="371"/>
      <c r="L243" s="371"/>
      <c r="M243" s="371"/>
      <c r="N243" s="371"/>
      <c r="O243" s="305"/>
      <c r="P243" s="305"/>
      <c r="Q243" s="305"/>
      <c r="R243" s="305"/>
      <c r="S243" s="305"/>
      <c r="T243" s="305"/>
      <c r="U243" s="305"/>
      <c r="V243" s="305"/>
      <c r="W243" s="305"/>
      <c r="X243" s="305"/>
      <c r="Y243" s="305"/>
      <c r="Z243" s="305"/>
      <c r="AA243" s="305"/>
      <c r="AB243" s="305"/>
      <c r="AC243" s="305"/>
      <c r="AD243" s="305"/>
      <c r="AE243" s="305"/>
      <c r="AF243" s="305"/>
      <c r="AG243" s="305"/>
      <c r="AH243" s="305"/>
      <c r="AI243" s="305"/>
      <c r="AJ243" s="305"/>
      <c r="AK243" s="305"/>
      <c r="AL243" s="305"/>
      <c r="AM243" s="305"/>
      <c r="AN243" s="305"/>
      <c r="AO243" s="305"/>
      <c r="AP243" s="305"/>
      <c r="AQ243" s="305"/>
      <c r="AR243" s="305"/>
      <c r="AS243" s="305"/>
      <c r="AT243" s="305"/>
      <c r="AU243" s="305"/>
      <c r="AV243" s="305"/>
      <c r="AW243" s="305"/>
      <c r="AX243" s="305"/>
      <c r="AY243" s="305"/>
      <c r="AZ243" s="305"/>
      <c r="BA243" s="305"/>
      <c r="BB243" s="305"/>
      <c r="BC243" s="305"/>
      <c r="BD243" s="305"/>
      <c r="BE243" s="305"/>
      <c r="BF243" s="305"/>
      <c r="BG243" s="305"/>
      <c r="BH243" s="305"/>
      <c r="BI243" s="305"/>
      <c r="BJ243" s="305"/>
      <c r="BK243" s="305"/>
      <c r="BL243" s="305"/>
      <c r="BM243" s="305"/>
      <c r="BN243" s="305"/>
      <c r="BO243" s="305"/>
      <c r="BP243" s="305"/>
      <c r="BQ243" s="305"/>
      <c r="BR243" s="305"/>
      <c r="BS243" s="305"/>
      <c r="BT243" s="305"/>
      <c r="BU243" s="305"/>
      <c r="BV243" s="305"/>
      <c r="BW243" s="305"/>
      <c r="BX243" s="305"/>
      <c r="BY243" s="305"/>
      <c r="BZ243" s="305"/>
      <c r="CA243" s="305"/>
      <c r="CB243" s="305"/>
      <c r="CC243" s="305"/>
      <c r="CD243" s="305"/>
      <c r="CE243" s="305"/>
      <c r="CF243" s="305"/>
      <c r="CG243" s="305"/>
      <c r="CH243" s="305"/>
      <c r="CI243" s="305"/>
      <c r="CJ243" s="305"/>
      <c r="CK243" s="305"/>
      <c r="CL243" s="305"/>
      <c r="CM243" s="305"/>
      <c r="CN243" s="305"/>
      <c r="CO243" s="305"/>
      <c r="CP243" s="305"/>
      <c r="CQ243" s="305"/>
      <c r="CR243" s="305"/>
      <c r="CS243" s="305"/>
      <c r="CT243" s="305"/>
      <c r="CU243" s="305"/>
      <c r="CV243" s="305"/>
      <c r="CW243" s="305"/>
      <c r="CX243" s="305"/>
      <c r="CY243" s="305"/>
      <c r="CZ243" s="305"/>
      <c r="DA243" s="305"/>
      <c r="DB243" s="305"/>
      <c r="DC243" s="305"/>
      <c r="DD243" s="305"/>
      <c r="DE243" s="305"/>
      <c r="DF243" s="305"/>
      <c r="DG243" s="305"/>
      <c r="DH243" s="305"/>
      <c r="DI243" s="305"/>
      <c r="DJ243" s="305"/>
      <c r="DK243" s="305"/>
      <c r="DL243" s="305"/>
      <c r="DM243" s="305"/>
      <c r="DN243" s="305"/>
      <c r="DO243" s="305"/>
      <c r="DP243" s="305"/>
      <c r="DQ243" s="305"/>
      <c r="DR243" s="305"/>
      <c r="DS243" s="305"/>
      <c r="DT243" s="305"/>
      <c r="DU243" s="305"/>
      <c r="DV243" s="305"/>
      <c r="DW243" s="305"/>
      <c r="DX243" s="305"/>
      <c r="DY243" s="305"/>
      <c r="DZ243" s="305"/>
      <c r="EA243" s="305"/>
      <c r="EB243" s="305"/>
      <c r="EC243" s="305"/>
      <c r="ED243" s="305"/>
      <c r="EE243" s="305"/>
      <c r="EF243" s="305"/>
      <c r="EG243" s="305"/>
      <c r="EH243" s="305"/>
      <c r="EI243" s="305"/>
      <c r="EJ243" s="305"/>
      <c r="EK243" s="305"/>
      <c r="EL243" s="305"/>
      <c r="EM243" s="305"/>
      <c r="EN243" s="305"/>
      <c r="EO243" s="305"/>
      <c r="EP243" s="305"/>
      <c r="EQ243" s="305"/>
      <c r="ER243" s="305"/>
      <c r="ES243" s="305"/>
      <c r="ET243" s="305"/>
      <c r="EU243" s="305"/>
      <c r="EV243" s="305"/>
      <c r="EW243" s="305"/>
      <c r="EX243" s="305"/>
      <c r="EY243" s="305"/>
      <c r="EZ243" s="305"/>
      <c r="FA243" s="305"/>
      <c r="FB243" s="305"/>
      <c r="FC243" s="305"/>
      <c r="FD243" s="305"/>
      <c r="FE243" s="305"/>
      <c r="FF243" s="305"/>
      <c r="FG243" s="305"/>
      <c r="FH243" s="305"/>
      <c r="FI243" s="305"/>
      <c r="FJ243" s="305"/>
      <c r="FK243" s="305"/>
      <c r="FL243" s="305"/>
      <c r="FM243" s="305"/>
      <c r="FN243" s="305"/>
      <c r="FO243" s="305"/>
      <c r="FP243" s="305"/>
      <c r="FQ243" s="305"/>
      <c r="FR243" s="305"/>
      <c r="FS243" s="305"/>
      <c r="FT243" s="305"/>
      <c r="FU243" s="305"/>
      <c r="FV243" s="305"/>
      <c r="FW243" s="305"/>
      <c r="FX243" s="305"/>
      <c r="FY243" s="305"/>
      <c r="FZ243" s="305"/>
      <c r="GA243" s="305"/>
      <c r="GB243" s="305"/>
      <c r="GC243" s="305"/>
      <c r="GD243" s="305"/>
      <c r="GE243" s="305"/>
      <c r="GF243" s="305"/>
      <c r="GG243" s="305"/>
      <c r="GH243" s="305"/>
      <c r="GI243" s="305"/>
      <c r="GJ243" s="305"/>
      <c r="GK243" s="305"/>
      <c r="GL243" s="305"/>
      <c r="GM243" s="305"/>
      <c r="GN243" s="305"/>
      <c r="GO243" s="305"/>
      <c r="GP243" s="305"/>
      <c r="GQ243" s="305"/>
      <c r="GR243" s="305"/>
    </row>
    <row r="244" spans="3:200" s="318" customFormat="1" ht="12.75" customHeight="1" x14ac:dyDescent="0.2">
      <c r="C244" s="367"/>
      <c r="D244" s="403"/>
      <c r="E244" s="369"/>
      <c r="F244" s="369"/>
      <c r="G244" s="369"/>
      <c r="H244" s="369"/>
      <c r="I244" s="370"/>
      <c r="J244"/>
      <c r="K244" s="371"/>
      <c r="L244" s="371"/>
      <c r="M244" s="371"/>
      <c r="N244" s="371"/>
      <c r="O244" s="305"/>
      <c r="P244" s="305"/>
      <c r="Q244" s="305"/>
      <c r="R244" s="305"/>
      <c r="S244" s="305"/>
      <c r="T244" s="305"/>
      <c r="U244" s="305"/>
      <c r="V244" s="305"/>
      <c r="W244" s="305"/>
      <c r="X244" s="305"/>
      <c r="Y244" s="305"/>
      <c r="Z244" s="305"/>
      <c r="AA244" s="305"/>
      <c r="AB244" s="305"/>
      <c r="AC244" s="305"/>
      <c r="AD244" s="305"/>
      <c r="AE244" s="305"/>
      <c r="AF244" s="305"/>
      <c r="AG244" s="305"/>
      <c r="AH244" s="305"/>
      <c r="AI244" s="305"/>
      <c r="AJ244" s="305"/>
      <c r="AK244" s="305"/>
      <c r="AL244" s="305"/>
      <c r="AM244" s="305"/>
      <c r="AN244" s="305"/>
      <c r="AO244" s="305"/>
      <c r="AP244" s="305"/>
      <c r="AQ244" s="305"/>
      <c r="AR244" s="305"/>
      <c r="AS244" s="305"/>
      <c r="AT244" s="305"/>
      <c r="AU244" s="305"/>
      <c r="AV244" s="305"/>
      <c r="AW244" s="305"/>
      <c r="AX244" s="305"/>
      <c r="AY244" s="305"/>
      <c r="AZ244" s="305"/>
      <c r="BA244" s="305"/>
      <c r="BB244" s="305"/>
      <c r="BC244" s="305"/>
      <c r="BD244" s="305"/>
      <c r="BE244" s="305"/>
      <c r="BF244" s="305"/>
      <c r="BG244" s="305"/>
      <c r="BH244" s="305"/>
      <c r="BI244" s="305"/>
      <c r="BJ244" s="305"/>
      <c r="BK244" s="305"/>
      <c r="BL244" s="305"/>
      <c r="BM244" s="305"/>
      <c r="BN244" s="305"/>
      <c r="BO244" s="305"/>
      <c r="BP244" s="305"/>
      <c r="BQ244" s="305"/>
      <c r="BR244" s="305"/>
      <c r="BS244" s="305"/>
      <c r="BT244" s="305"/>
      <c r="BU244" s="305"/>
      <c r="BV244" s="305"/>
      <c r="BW244" s="305"/>
      <c r="BX244" s="305"/>
      <c r="BY244" s="305"/>
      <c r="BZ244" s="305"/>
      <c r="CA244" s="305"/>
      <c r="CB244" s="305"/>
      <c r="CC244" s="305"/>
      <c r="CD244" s="305"/>
      <c r="CE244" s="305"/>
      <c r="CF244" s="305"/>
      <c r="CG244" s="305"/>
      <c r="CH244" s="305"/>
      <c r="CI244" s="305"/>
      <c r="CJ244" s="305"/>
      <c r="CK244" s="305"/>
      <c r="CL244" s="305"/>
      <c r="CM244" s="305"/>
      <c r="CN244" s="305"/>
      <c r="CO244" s="305"/>
      <c r="CP244" s="305"/>
      <c r="CQ244" s="305"/>
      <c r="CR244" s="305"/>
      <c r="CS244" s="305"/>
      <c r="CT244" s="305"/>
      <c r="CU244" s="305"/>
      <c r="CV244" s="305"/>
      <c r="CW244" s="305"/>
      <c r="CX244" s="305"/>
      <c r="CY244" s="305"/>
      <c r="CZ244" s="305"/>
      <c r="DA244" s="305"/>
      <c r="DB244" s="305"/>
      <c r="DC244" s="305"/>
      <c r="DD244" s="305"/>
      <c r="DE244" s="305"/>
      <c r="DF244" s="305"/>
      <c r="DG244" s="305"/>
      <c r="DH244" s="305"/>
      <c r="DI244" s="305"/>
      <c r="DJ244" s="305"/>
      <c r="DK244" s="305"/>
      <c r="DL244" s="305"/>
      <c r="DM244" s="305"/>
      <c r="DN244" s="305"/>
      <c r="DO244" s="305"/>
      <c r="DP244" s="305"/>
      <c r="DQ244" s="305"/>
      <c r="DR244" s="305"/>
      <c r="DS244" s="305"/>
      <c r="DT244" s="305"/>
      <c r="DU244" s="305"/>
      <c r="DV244" s="305"/>
      <c r="DW244" s="305"/>
      <c r="DX244" s="305"/>
      <c r="DY244" s="305"/>
      <c r="DZ244" s="305"/>
      <c r="EA244" s="305"/>
      <c r="EB244" s="305"/>
      <c r="EC244" s="305"/>
      <c r="ED244" s="305"/>
      <c r="EE244" s="305"/>
      <c r="EF244" s="305"/>
      <c r="EG244" s="305"/>
      <c r="EH244" s="305"/>
      <c r="EI244" s="305"/>
      <c r="EJ244" s="305"/>
      <c r="EK244" s="305"/>
      <c r="EL244" s="305"/>
      <c r="EM244" s="305"/>
      <c r="EN244" s="305"/>
      <c r="EO244" s="305"/>
      <c r="EP244" s="305"/>
      <c r="EQ244" s="305"/>
      <c r="ER244" s="305"/>
      <c r="ES244" s="305"/>
      <c r="ET244" s="305"/>
      <c r="EU244" s="305"/>
      <c r="EV244" s="305"/>
      <c r="EW244" s="305"/>
      <c r="EX244" s="305"/>
      <c r="EY244" s="305"/>
      <c r="EZ244" s="305"/>
      <c r="FA244" s="305"/>
      <c r="FB244" s="305"/>
      <c r="FC244" s="305"/>
      <c r="FD244" s="305"/>
      <c r="FE244" s="305"/>
      <c r="FF244" s="305"/>
      <c r="FG244" s="305"/>
      <c r="FH244" s="305"/>
      <c r="FI244" s="305"/>
      <c r="FJ244" s="305"/>
      <c r="FK244" s="305"/>
      <c r="FL244" s="305"/>
      <c r="FM244" s="305"/>
      <c r="FN244" s="305"/>
      <c r="FO244" s="305"/>
      <c r="FP244" s="305"/>
      <c r="FQ244" s="305"/>
      <c r="FR244" s="305"/>
      <c r="FS244" s="305"/>
      <c r="FT244" s="305"/>
      <c r="FU244" s="305"/>
      <c r="FV244" s="305"/>
      <c r="FW244" s="305"/>
      <c r="FX244" s="305"/>
      <c r="FY244" s="305"/>
      <c r="FZ244" s="305"/>
      <c r="GA244" s="305"/>
      <c r="GB244" s="305"/>
      <c r="GC244" s="305"/>
      <c r="GD244" s="305"/>
      <c r="GE244" s="305"/>
      <c r="GF244" s="305"/>
      <c r="GG244" s="305"/>
      <c r="GH244" s="305"/>
      <c r="GI244" s="305"/>
      <c r="GJ244" s="305"/>
      <c r="GK244" s="305"/>
      <c r="GL244" s="305"/>
      <c r="GM244" s="305"/>
      <c r="GN244" s="305"/>
      <c r="GO244" s="305"/>
      <c r="GP244" s="305"/>
      <c r="GQ244" s="305"/>
      <c r="GR244" s="305"/>
    </row>
    <row r="245" spans="3:200" s="318" customFormat="1" ht="12.75" customHeight="1" x14ac:dyDescent="0.2">
      <c r="C245" s="367"/>
      <c r="D245" s="403"/>
      <c r="E245" s="369"/>
      <c r="F245" s="369"/>
      <c r="G245" s="369"/>
      <c r="H245" s="369"/>
      <c r="I245" s="370"/>
      <c r="J245"/>
      <c r="K245" s="371"/>
      <c r="L245" s="371"/>
      <c r="M245" s="371"/>
      <c r="N245" s="371"/>
      <c r="O245" s="305"/>
      <c r="P245" s="305"/>
      <c r="Q245" s="305"/>
      <c r="R245" s="305"/>
      <c r="S245" s="305"/>
      <c r="T245" s="305"/>
      <c r="U245" s="305"/>
      <c r="V245" s="305"/>
      <c r="W245" s="305"/>
      <c r="X245" s="305"/>
      <c r="Y245" s="305"/>
      <c r="Z245" s="305"/>
      <c r="AA245" s="305"/>
      <c r="AB245" s="305"/>
      <c r="AC245" s="305"/>
      <c r="AD245" s="305"/>
      <c r="AE245" s="305"/>
      <c r="AF245" s="305"/>
      <c r="AG245" s="305"/>
      <c r="AH245" s="305"/>
      <c r="AI245" s="305"/>
      <c r="AJ245" s="305"/>
      <c r="AK245" s="305"/>
      <c r="AL245" s="305"/>
      <c r="AM245" s="305"/>
      <c r="AN245" s="305"/>
      <c r="AO245" s="305"/>
      <c r="AP245" s="305"/>
      <c r="AQ245" s="305"/>
      <c r="AR245" s="305"/>
      <c r="AS245" s="305"/>
      <c r="AT245" s="305"/>
      <c r="AU245" s="305"/>
      <c r="AV245" s="305"/>
      <c r="AW245" s="305"/>
      <c r="AX245" s="305"/>
      <c r="AY245" s="305"/>
      <c r="AZ245" s="305"/>
      <c r="BA245" s="305"/>
      <c r="BB245" s="305"/>
      <c r="BC245" s="305"/>
      <c r="BD245" s="305"/>
      <c r="BE245" s="305"/>
      <c r="BF245" s="305"/>
      <c r="BG245" s="305"/>
      <c r="BH245" s="305"/>
      <c r="BI245" s="305"/>
      <c r="BJ245" s="305"/>
      <c r="BK245" s="305"/>
      <c r="BL245" s="305"/>
      <c r="BM245" s="305"/>
      <c r="BN245" s="305"/>
      <c r="BO245" s="305"/>
      <c r="BP245" s="305"/>
      <c r="BQ245" s="305"/>
      <c r="BR245" s="305"/>
      <c r="BS245" s="305"/>
      <c r="BT245" s="305"/>
      <c r="BU245" s="305"/>
      <c r="BV245" s="305"/>
      <c r="BW245" s="305"/>
      <c r="BX245" s="305"/>
      <c r="BY245" s="305"/>
      <c r="BZ245" s="305"/>
      <c r="CA245" s="305"/>
      <c r="CB245" s="305"/>
      <c r="CC245" s="305"/>
      <c r="CD245" s="305"/>
      <c r="CE245" s="305"/>
      <c r="CF245" s="305"/>
      <c r="CG245" s="305"/>
      <c r="CH245" s="305"/>
      <c r="CI245" s="305"/>
      <c r="CJ245" s="305"/>
      <c r="CK245" s="305"/>
      <c r="CL245" s="305"/>
      <c r="CM245" s="305"/>
      <c r="CN245" s="305"/>
      <c r="CO245" s="305"/>
      <c r="CP245" s="305"/>
      <c r="CQ245" s="305"/>
      <c r="CR245" s="305"/>
      <c r="CS245" s="305"/>
      <c r="CT245" s="305"/>
      <c r="CU245" s="305"/>
      <c r="CV245" s="305"/>
      <c r="CW245" s="305"/>
      <c r="CX245" s="305"/>
      <c r="CY245" s="305"/>
      <c r="CZ245" s="305"/>
      <c r="DA245" s="305"/>
      <c r="DB245" s="305"/>
      <c r="DC245" s="305"/>
      <c r="DD245" s="305"/>
      <c r="DE245" s="305"/>
      <c r="DF245" s="305"/>
      <c r="DG245" s="305"/>
      <c r="DH245" s="305"/>
      <c r="DI245" s="305"/>
      <c r="DJ245" s="305"/>
      <c r="DK245" s="305"/>
      <c r="DL245" s="305"/>
      <c r="DM245" s="305"/>
      <c r="DN245" s="305"/>
      <c r="DO245" s="305"/>
      <c r="DP245" s="305"/>
      <c r="DQ245" s="305"/>
      <c r="DR245" s="305"/>
      <c r="DS245" s="305"/>
      <c r="DT245" s="305"/>
      <c r="DU245" s="305"/>
      <c r="DV245" s="305"/>
      <c r="DW245" s="305"/>
      <c r="DX245" s="305"/>
      <c r="DY245" s="305"/>
      <c r="DZ245" s="305"/>
      <c r="EA245" s="305"/>
      <c r="EB245" s="305"/>
      <c r="EC245" s="305"/>
      <c r="ED245" s="305"/>
      <c r="EE245" s="305"/>
      <c r="EF245" s="305"/>
      <c r="EG245" s="305"/>
      <c r="EH245" s="305"/>
      <c r="EI245" s="305"/>
      <c r="EJ245" s="305"/>
      <c r="EK245" s="305"/>
      <c r="EL245" s="305"/>
      <c r="EM245" s="305"/>
      <c r="EN245" s="305"/>
      <c r="EO245" s="305"/>
      <c r="EP245" s="305"/>
      <c r="EQ245" s="305"/>
      <c r="ER245" s="305"/>
      <c r="ES245" s="305"/>
      <c r="ET245" s="305"/>
      <c r="EU245" s="305"/>
      <c r="EV245" s="305"/>
      <c r="EW245" s="305"/>
      <c r="EX245" s="305"/>
      <c r="EY245" s="305"/>
      <c r="EZ245" s="305"/>
      <c r="FA245" s="305"/>
      <c r="FB245" s="305"/>
      <c r="FC245" s="305"/>
      <c r="FD245" s="305"/>
      <c r="FE245" s="305"/>
      <c r="FF245" s="305"/>
      <c r="FG245" s="305"/>
      <c r="FH245" s="305"/>
      <c r="FI245" s="305"/>
      <c r="FJ245" s="305"/>
      <c r="FK245" s="305"/>
      <c r="FL245" s="305"/>
      <c r="FM245" s="305"/>
      <c r="FN245" s="305"/>
      <c r="FO245" s="305"/>
      <c r="FP245" s="305"/>
      <c r="FQ245" s="305"/>
      <c r="FR245" s="305"/>
      <c r="FS245" s="305"/>
      <c r="FT245" s="305"/>
      <c r="FU245" s="305"/>
      <c r="FV245" s="305"/>
      <c r="FW245" s="305"/>
      <c r="FX245" s="305"/>
      <c r="FY245" s="305"/>
      <c r="FZ245" s="305"/>
      <c r="GA245" s="305"/>
      <c r="GB245" s="305"/>
      <c r="GC245" s="305"/>
      <c r="GD245" s="305"/>
      <c r="GE245" s="305"/>
      <c r="GF245" s="305"/>
      <c r="GG245" s="305"/>
      <c r="GH245" s="305"/>
      <c r="GI245" s="305"/>
      <c r="GJ245" s="305"/>
      <c r="GK245" s="305"/>
      <c r="GL245" s="305"/>
      <c r="GM245" s="305"/>
      <c r="GN245" s="305"/>
      <c r="GO245" s="305"/>
      <c r="GP245" s="305"/>
      <c r="GQ245" s="305"/>
      <c r="GR245" s="305"/>
    </row>
    <row r="246" spans="3:200" s="318" customFormat="1" ht="12.75" customHeight="1" x14ac:dyDescent="0.2">
      <c r="C246" s="367"/>
      <c r="D246" s="403"/>
      <c r="E246" s="369"/>
      <c r="F246" s="369"/>
      <c r="G246" s="369"/>
      <c r="H246" s="369"/>
      <c r="I246" s="370"/>
      <c r="J246"/>
      <c r="K246" s="371"/>
      <c r="L246" s="371"/>
      <c r="M246" s="371"/>
      <c r="N246" s="371"/>
      <c r="O246" s="305"/>
      <c r="P246" s="305"/>
      <c r="Q246" s="305"/>
      <c r="R246" s="305"/>
      <c r="S246" s="305"/>
      <c r="T246" s="305"/>
      <c r="U246" s="305"/>
      <c r="V246" s="305"/>
      <c r="W246" s="305"/>
      <c r="X246" s="305"/>
      <c r="Y246" s="305"/>
      <c r="Z246" s="305"/>
      <c r="AA246" s="305"/>
      <c r="AB246" s="305"/>
      <c r="AC246" s="305"/>
      <c r="AD246" s="305"/>
      <c r="AE246" s="305"/>
      <c r="AF246" s="305"/>
      <c r="AG246" s="305"/>
      <c r="AH246" s="305"/>
      <c r="AI246" s="305"/>
      <c r="AJ246" s="305"/>
      <c r="AK246" s="305"/>
      <c r="AL246" s="305"/>
      <c r="AM246" s="305"/>
      <c r="AN246" s="305"/>
      <c r="AO246" s="305"/>
      <c r="AP246" s="305"/>
      <c r="AQ246" s="305"/>
      <c r="AR246" s="305"/>
      <c r="AS246" s="305"/>
      <c r="AT246" s="305"/>
      <c r="AU246" s="305"/>
      <c r="AV246" s="305"/>
      <c r="AW246" s="305"/>
      <c r="AX246" s="305"/>
      <c r="AY246" s="305"/>
      <c r="AZ246" s="305"/>
      <c r="BA246" s="305"/>
      <c r="BB246" s="305"/>
      <c r="BC246" s="305"/>
      <c r="BD246" s="305"/>
      <c r="BE246" s="305"/>
      <c r="BF246" s="305"/>
      <c r="BG246" s="305"/>
      <c r="BH246" s="305"/>
      <c r="BI246" s="305"/>
      <c r="BJ246" s="305"/>
      <c r="BK246" s="305"/>
      <c r="BL246" s="305"/>
      <c r="BM246" s="305"/>
      <c r="BN246" s="305"/>
      <c r="BO246" s="305"/>
      <c r="BP246" s="305"/>
      <c r="BQ246" s="305"/>
      <c r="BR246" s="305"/>
      <c r="BS246" s="305"/>
      <c r="BT246" s="305"/>
      <c r="BU246" s="305"/>
      <c r="BV246" s="305"/>
      <c r="BW246" s="305"/>
      <c r="BX246" s="305"/>
      <c r="BY246" s="305"/>
      <c r="BZ246" s="305"/>
      <c r="CA246" s="305"/>
      <c r="CB246" s="305"/>
      <c r="CC246" s="305"/>
      <c r="CD246" s="305"/>
      <c r="CE246" s="305"/>
      <c r="CF246" s="305"/>
      <c r="CG246" s="305"/>
      <c r="CH246" s="305"/>
      <c r="CI246" s="305"/>
      <c r="CJ246" s="305"/>
      <c r="CK246" s="305"/>
      <c r="CL246" s="305"/>
      <c r="CM246" s="305"/>
      <c r="CN246" s="305"/>
      <c r="CO246" s="305"/>
      <c r="CP246" s="305"/>
      <c r="CQ246" s="305"/>
      <c r="CR246" s="305"/>
      <c r="CS246" s="305"/>
      <c r="CT246" s="305"/>
      <c r="CU246" s="305"/>
      <c r="CV246" s="305"/>
      <c r="CW246" s="305"/>
      <c r="CX246" s="305"/>
      <c r="CY246" s="305"/>
      <c r="CZ246" s="305"/>
      <c r="DA246" s="305"/>
      <c r="DB246" s="305"/>
      <c r="DC246" s="305"/>
      <c r="DD246" s="305"/>
      <c r="DE246" s="305"/>
      <c r="DF246" s="305"/>
      <c r="DG246" s="305"/>
      <c r="DH246" s="305"/>
      <c r="DI246" s="305"/>
      <c r="DJ246" s="305"/>
      <c r="DK246" s="305"/>
      <c r="DL246" s="305"/>
      <c r="DM246" s="305"/>
      <c r="DN246" s="305"/>
      <c r="DO246" s="305"/>
      <c r="DP246" s="305"/>
      <c r="DQ246" s="305"/>
      <c r="DR246" s="305"/>
      <c r="DS246" s="305"/>
      <c r="DT246" s="305"/>
      <c r="DU246" s="305"/>
      <c r="DV246" s="305"/>
      <c r="DW246" s="305"/>
      <c r="DX246" s="305"/>
      <c r="DY246" s="305"/>
      <c r="DZ246" s="305"/>
      <c r="EA246" s="305"/>
      <c r="EB246" s="305"/>
      <c r="EC246" s="305"/>
      <c r="ED246" s="305"/>
      <c r="EE246" s="305"/>
      <c r="EF246" s="305"/>
      <c r="EG246" s="305"/>
      <c r="EH246" s="305"/>
      <c r="EI246" s="305"/>
      <c r="EJ246" s="305"/>
      <c r="EK246" s="305"/>
      <c r="EL246" s="305"/>
      <c r="EM246" s="305"/>
      <c r="EN246" s="305"/>
      <c r="EO246" s="305"/>
      <c r="EP246" s="305"/>
      <c r="EQ246" s="305"/>
      <c r="ER246" s="305"/>
      <c r="ES246" s="305"/>
      <c r="ET246" s="305"/>
      <c r="EU246" s="305"/>
      <c r="EV246" s="305"/>
      <c r="EW246" s="305"/>
      <c r="EX246" s="305"/>
      <c r="EY246" s="305"/>
      <c r="EZ246" s="305"/>
      <c r="FA246" s="305"/>
      <c r="FB246" s="305"/>
      <c r="FC246" s="305"/>
      <c r="FD246" s="305"/>
      <c r="FE246" s="305"/>
      <c r="FF246" s="305"/>
      <c r="FG246" s="305"/>
      <c r="FH246" s="305"/>
      <c r="FI246" s="305"/>
      <c r="FJ246" s="305"/>
      <c r="FK246" s="305"/>
      <c r="FL246" s="305"/>
      <c r="FM246" s="305"/>
      <c r="FN246" s="305"/>
      <c r="FO246" s="305"/>
      <c r="FP246" s="305"/>
      <c r="FQ246" s="305"/>
      <c r="FR246" s="305"/>
      <c r="FS246" s="305"/>
      <c r="FT246" s="305"/>
      <c r="FU246" s="305"/>
      <c r="FV246" s="305"/>
      <c r="FW246" s="305"/>
      <c r="FX246" s="305"/>
      <c r="FY246" s="305"/>
      <c r="FZ246" s="305"/>
      <c r="GA246" s="305"/>
      <c r="GB246" s="305"/>
      <c r="GC246" s="305"/>
      <c r="GD246" s="305"/>
      <c r="GE246" s="305"/>
      <c r="GF246" s="305"/>
      <c r="GG246" s="305"/>
      <c r="GH246" s="305"/>
      <c r="GI246" s="305"/>
      <c r="GJ246" s="305"/>
      <c r="GK246" s="305"/>
      <c r="GL246" s="305"/>
      <c r="GM246" s="305"/>
      <c r="GN246" s="305"/>
      <c r="GO246" s="305"/>
      <c r="GP246" s="305"/>
      <c r="GQ246" s="305"/>
      <c r="GR246" s="305"/>
    </row>
    <row r="247" spans="3:200" s="318" customFormat="1" ht="12.75" customHeight="1" x14ac:dyDescent="0.2">
      <c r="C247" s="367"/>
      <c r="D247" s="403"/>
      <c r="E247" s="369"/>
      <c r="F247" s="369"/>
      <c r="G247" s="369"/>
      <c r="H247" s="369"/>
      <c r="I247" s="370"/>
      <c r="J247"/>
      <c r="K247" s="371"/>
      <c r="L247" s="371"/>
      <c r="M247" s="371"/>
      <c r="N247" s="371"/>
      <c r="O247" s="305"/>
      <c r="P247" s="305"/>
      <c r="Q247" s="305"/>
      <c r="R247" s="305"/>
      <c r="S247" s="305"/>
      <c r="T247" s="305"/>
      <c r="U247" s="305"/>
      <c r="V247" s="305"/>
      <c r="W247" s="305"/>
      <c r="X247" s="305"/>
      <c r="Y247" s="305"/>
      <c r="Z247" s="305"/>
      <c r="AA247" s="305"/>
      <c r="AB247" s="305"/>
      <c r="AC247" s="305"/>
      <c r="AD247" s="305"/>
      <c r="AE247" s="305"/>
      <c r="AF247" s="305"/>
      <c r="AG247" s="305"/>
      <c r="AH247" s="305"/>
      <c r="AI247" s="305"/>
      <c r="AJ247" s="305"/>
      <c r="AK247" s="305"/>
      <c r="AL247" s="305"/>
      <c r="AM247" s="305"/>
      <c r="AN247" s="305"/>
      <c r="AO247" s="305"/>
      <c r="AP247" s="305"/>
      <c r="AQ247" s="305"/>
      <c r="AR247" s="305"/>
      <c r="AS247" s="305"/>
      <c r="AT247" s="305"/>
      <c r="AU247" s="305"/>
      <c r="AV247" s="305"/>
      <c r="AW247" s="305"/>
      <c r="AX247" s="305"/>
      <c r="AY247" s="305"/>
      <c r="AZ247" s="305"/>
      <c r="BA247" s="305"/>
      <c r="BB247" s="305"/>
      <c r="BC247" s="305"/>
      <c r="BD247" s="305"/>
      <c r="BE247" s="305"/>
      <c r="BF247" s="305"/>
      <c r="BG247" s="305"/>
      <c r="BH247" s="305"/>
      <c r="BI247" s="305"/>
      <c r="BJ247" s="305"/>
      <c r="BK247" s="305"/>
      <c r="BL247" s="305"/>
      <c r="BM247" s="305"/>
      <c r="BN247" s="305"/>
      <c r="BO247" s="305"/>
      <c r="BP247" s="305"/>
      <c r="BQ247" s="305"/>
      <c r="BR247" s="305"/>
      <c r="BS247" s="305"/>
      <c r="BT247" s="305"/>
      <c r="BU247" s="305"/>
      <c r="BV247" s="305"/>
      <c r="BW247" s="305"/>
      <c r="BX247" s="305"/>
      <c r="BY247" s="305"/>
      <c r="BZ247" s="305"/>
      <c r="CA247" s="305"/>
      <c r="CB247" s="305"/>
      <c r="CC247" s="305"/>
      <c r="CD247" s="305"/>
      <c r="CE247" s="305"/>
      <c r="CF247" s="305"/>
      <c r="CG247" s="305"/>
      <c r="CH247" s="305"/>
      <c r="CI247" s="305"/>
      <c r="CJ247" s="305"/>
      <c r="CK247" s="305"/>
      <c r="CL247" s="305"/>
      <c r="CM247" s="305"/>
      <c r="CN247" s="305"/>
      <c r="CO247" s="305"/>
      <c r="CP247" s="305"/>
      <c r="CQ247" s="305"/>
      <c r="CR247" s="305"/>
      <c r="CS247" s="305"/>
      <c r="CT247" s="305"/>
      <c r="CU247" s="305"/>
      <c r="CV247" s="305"/>
      <c r="CW247" s="305"/>
      <c r="CX247" s="305"/>
      <c r="CY247" s="305"/>
      <c r="CZ247" s="305"/>
      <c r="DA247" s="305"/>
      <c r="DB247" s="305"/>
      <c r="DC247" s="305"/>
      <c r="DD247" s="305"/>
      <c r="DE247" s="305"/>
      <c r="DF247" s="305"/>
      <c r="DG247" s="305"/>
      <c r="DH247" s="305"/>
      <c r="DI247" s="305"/>
      <c r="DJ247" s="305"/>
      <c r="DK247" s="305"/>
      <c r="DL247" s="305"/>
      <c r="DM247" s="305"/>
      <c r="DN247" s="305"/>
      <c r="DO247" s="305"/>
      <c r="DP247" s="305"/>
      <c r="DQ247" s="305"/>
      <c r="DR247" s="305"/>
      <c r="DS247" s="305"/>
      <c r="DT247" s="305"/>
      <c r="DU247" s="305"/>
      <c r="DV247" s="305"/>
      <c r="DW247" s="305"/>
      <c r="DX247" s="305"/>
      <c r="DY247" s="305"/>
      <c r="DZ247" s="305"/>
      <c r="EA247" s="305"/>
      <c r="EB247" s="305"/>
      <c r="EC247" s="305"/>
      <c r="ED247" s="305"/>
      <c r="EE247" s="305"/>
      <c r="EF247" s="305"/>
      <c r="EG247" s="305"/>
      <c r="EH247" s="305"/>
      <c r="EI247" s="305"/>
      <c r="EJ247" s="305"/>
      <c r="EK247" s="305"/>
      <c r="EL247" s="305"/>
      <c r="EM247" s="305"/>
      <c r="EN247" s="305"/>
      <c r="EO247" s="305"/>
      <c r="EP247" s="305"/>
      <c r="EQ247" s="305"/>
      <c r="ER247" s="305"/>
      <c r="ES247" s="305"/>
      <c r="ET247" s="305"/>
      <c r="EU247" s="305"/>
      <c r="EV247" s="305"/>
      <c r="EW247" s="305"/>
      <c r="EX247" s="305"/>
      <c r="EY247" s="305"/>
      <c r="EZ247" s="305"/>
      <c r="FA247" s="305"/>
      <c r="FB247" s="305"/>
      <c r="FC247" s="305"/>
      <c r="FD247" s="305"/>
      <c r="FE247" s="305"/>
      <c r="FF247" s="305"/>
      <c r="FG247" s="305"/>
      <c r="FH247" s="305"/>
      <c r="FI247" s="305"/>
      <c r="FJ247" s="305"/>
      <c r="FK247" s="305"/>
      <c r="FL247" s="305"/>
      <c r="FM247" s="305"/>
      <c r="FN247" s="305"/>
      <c r="FO247" s="305"/>
      <c r="FP247" s="305"/>
      <c r="FQ247" s="305"/>
      <c r="FR247" s="305"/>
      <c r="FS247" s="305"/>
      <c r="FT247" s="305"/>
      <c r="FU247" s="305"/>
      <c r="FV247" s="305"/>
      <c r="FW247" s="305"/>
      <c r="FX247" s="305"/>
      <c r="FY247" s="305"/>
      <c r="FZ247" s="305"/>
      <c r="GA247" s="305"/>
      <c r="GB247" s="305"/>
      <c r="GC247" s="305"/>
      <c r="GD247" s="305"/>
      <c r="GE247" s="305"/>
      <c r="GF247" s="305"/>
      <c r="GG247" s="305"/>
      <c r="GH247" s="305"/>
      <c r="GI247" s="305"/>
      <c r="GJ247" s="305"/>
      <c r="GK247" s="305"/>
      <c r="GL247" s="305"/>
      <c r="GM247" s="305"/>
      <c r="GN247" s="305"/>
      <c r="GO247" s="305"/>
      <c r="GP247" s="305"/>
      <c r="GQ247" s="305"/>
      <c r="GR247" s="305"/>
    </row>
    <row r="248" spans="3:200" s="318" customFormat="1" ht="12.75" customHeight="1" x14ac:dyDescent="0.2">
      <c r="C248" s="367"/>
      <c r="D248" s="403"/>
      <c r="E248" s="369"/>
      <c r="F248" s="369"/>
      <c r="G248" s="369"/>
      <c r="H248" s="369"/>
      <c r="I248" s="370"/>
      <c r="J248"/>
      <c r="K248" s="371"/>
      <c r="L248" s="371"/>
      <c r="M248" s="371"/>
      <c r="N248" s="371"/>
      <c r="O248" s="305"/>
      <c r="P248" s="305"/>
      <c r="Q248" s="305"/>
      <c r="R248" s="305"/>
      <c r="S248" s="305"/>
      <c r="T248" s="305"/>
      <c r="U248" s="305"/>
      <c r="V248" s="305"/>
      <c r="W248" s="305"/>
      <c r="X248" s="305"/>
      <c r="Y248" s="305"/>
      <c r="Z248" s="305"/>
      <c r="AA248" s="305"/>
      <c r="AB248" s="305"/>
      <c r="AC248" s="305"/>
      <c r="AD248" s="305"/>
      <c r="AE248" s="305"/>
      <c r="AF248" s="305"/>
      <c r="AG248" s="305"/>
      <c r="AH248" s="305"/>
      <c r="AI248" s="305"/>
      <c r="AJ248" s="305"/>
      <c r="AK248" s="305"/>
      <c r="AL248" s="305"/>
      <c r="AM248" s="305"/>
      <c r="AN248" s="305"/>
      <c r="AO248" s="305"/>
      <c r="AP248" s="305"/>
      <c r="AQ248" s="305"/>
      <c r="AR248" s="305"/>
      <c r="AS248" s="305"/>
      <c r="AT248" s="305"/>
      <c r="AU248" s="305"/>
      <c r="AV248" s="305"/>
      <c r="AW248" s="305"/>
      <c r="AX248" s="305"/>
      <c r="AY248" s="305"/>
      <c r="AZ248" s="305"/>
      <c r="BA248" s="305"/>
      <c r="BB248" s="305"/>
      <c r="BC248" s="305"/>
      <c r="BD248" s="305"/>
      <c r="BE248" s="305"/>
      <c r="BF248" s="305"/>
      <c r="BG248" s="305"/>
      <c r="BH248" s="305"/>
      <c r="BI248" s="305"/>
      <c r="BJ248" s="305"/>
      <c r="BK248" s="305"/>
      <c r="BL248" s="305"/>
      <c r="BM248" s="305"/>
      <c r="BN248" s="305"/>
      <c r="BO248" s="305"/>
      <c r="BP248" s="305"/>
      <c r="BQ248" s="305"/>
      <c r="BR248" s="305"/>
      <c r="BS248" s="305"/>
      <c r="BT248" s="305"/>
      <c r="BU248" s="305"/>
      <c r="BV248" s="305"/>
      <c r="BW248" s="305"/>
      <c r="BX248" s="305"/>
      <c r="BY248" s="305"/>
      <c r="BZ248" s="305"/>
      <c r="CA248" s="305"/>
      <c r="CB248" s="305"/>
      <c r="CC248" s="305"/>
      <c r="CD248" s="305"/>
      <c r="CE248" s="305"/>
      <c r="CF248" s="305"/>
      <c r="CG248" s="305"/>
      <c r="CH248" s="305"/>
      <c r="CI248" s="305"/>
      <c r="CJ248" s="305"/>
      <c r="CK248" s="305"/>
      <c r="CL248" s="305"/>
      <c r="CM248" s="305"/>
      <c r="CN248" s="305"/>
      <c r="CO248" s="305"/>
      <c r="CP248" s="305"/>
      <c r="CQ248" s="305"/>
      <c r="CR248" s="305"/>
      <c r="CS248" s="305"/>
      <c r="CT248" s="305"/>
      <c r="CU248" s="305"/>
      <c r="CV248" s="305"/>
      <c r="CW248" s="305"/>
      <c r="CX248" s="305"/>
      <c r="CY248" s="305"/>
      <c r="CZ248" s="305"/>
      <c r="DA248" s="305"/>
      <c r="DB248" s="305"/>
      <c r="DC248" s="305"/>
      <c r="DD248" s="305"/>
      <c r="DE248" s="305"/>
      <c r="DF248" s="305"/>
      <c r="DG248" s="305"/>
      <c r="DH248" s="305"/>
      <c r="DI248" s="305"/>
      <c r="DJ248" s="305"/>
      <c r="DK248" s="305"/>
      <c r="DL248" s="305"/>
      <c r="DM248" s="305"/>
      <c r="DN248" s="305"/>
      <c r="DO248" s="305"/>
      <c r="DP248" s="305"/>
      <c r="DQ248" s="305"/>
      <c r="DR248" s="305"/>
      <c r="DS248" s="305"/>
      <c r="DT248" s="305"/>
      <c r="DU248" s="305"/>
      <c r="DV248" s="305"/>
      <c r="DW248" s="305"/>
      <c r="DX248" s="305"/>
      <c r="DY248" s="305"/>
      <c r="DZ248" s="305"/>
      <c r="EA248" s="305"/>
      <c r="EB248" s="305"/>
      <c r="EC248" s="305"/>
      <c r="ED248" s="305"/>
      <c r="EE248" s="305"/>
      <c r="EF248" s="305"/>
      <c r="EG248" s="305"/>
      <c r="EH248" s="305"/>
      <c r="EI248" s="305"/>
      <c r="EJ248" s="305"/>
      <c r="EK248" s="305"/>
      <c r="EL248" s="305"/>
      <c r="EM248" s="305"/>
      <c r="EN248" s="305"/>
      <c r="EO248" s="305"/>
      <c r="EP248" s="305"/>
      <c r="EQ248" s="305"/>
      <c r="ER248" s="305"/>
      <c r="ES248" s="305"/>
      <c r="ET248" s="305"/>
      <c r="EU248" s="305"/>
      <c r="EV248" s="305"/>
      <c r="EW248" s="305"/>
      <c r="EX248" s="305"/>
      <c r="EY248" s="305"/>
      <c r="EZ248" s="305"/>
      <c r="FA248" s="305"/>
      <c r="FB248" s="305"/>
      <c r="FC248" s="305"/>
      <c r="FD248" s="305"/>
      <c r="FE248" s="305"/>
      <c r="FF248" s="305"/>
      <c r="FG248" s="305"/>
      <c r="FH248" s="305"/>
      <c r="FI248" s="305"/>
      <c r="FJ248" s="305"/>
      <c r="FK248" s="305"/>
      <c r="FL248" s="305"/>
      <c r="FM248" s="305"/>
      <c r="FN248" s="305"/>
      <c r="FO248" s="305"/>
      <c r="FP248" s="305"/>
      <c r="FQ248" s="305"/>
      <c r="FR248" s="305"/>
      <c r="FS248" s="305"/>
      <c r="FT248" s="305"/>
      <c r="FU248" s="305"/>
      <c r="FV248" s="305"/>
      <c r="FW248" s="305"/>
      <c r="FX248" s="305"/>
      <c r="FY248" s="305"/>
      <c r="FZ248" s="305"/>
      <c r="GA248" s="305"/>
      <c r="GB248" s="305"/>
      <c r="GC248" s="305"/>
      <c r="GD248" s="305"/>
      <c r="GE248" s="305"/>
      <c r="GF248" s="305"/>
      <c r="GG248" s="305"/>
      <c r="GH248" s="305"/>
      <c r="GI248" s="305"/>
      <c r="GJ248" s="305"/>
      <c r="GK248" s="305"/>
      <c r="GL248" s="305"/>
      <c r="GM248" s="305"/>
      <c r="GN248" s="305"/>
      <c r="GO248" s="305"/>
      <c r="GP248" s="305"/>
      <c r="GQ248" s="305"/>
      <c r="GR248" s="305"/>
    </row>
    <row r="249" spans="3:200" s="318" customFormat="1" ht="12.75" customHeight="1" x14ac:dyDescent="0.2">
      <c r="C249" s="367"/>
      <c r="D249" s="403"/>
      <c r="E249" s="369"/>
      <c r="F249" s="369"/>
      <c r="G249" s="369"/>
      <c r="H249" s="369"/>
      <c r="I249" s="370"/>
      <c r="J249"/>
      <c r="K249" s="371"/>
      <c r="L249" s="371"/>
      <c r="M249" s="371"/>
      <c r="N249" s="371"/>
      <c r="O249" s="305"/>
      <c r="P249" s="305"/>
      <c r="Q249" s="305"/>
      <c r="R249" s="305"/>
      <c r="S249" s="305"/>
      <c r="T249" s="305"/>
      <c r="U249" s="305"/>
      <c r="V249" s="305"/>
      <c r="W249" s="305"/>
      <c r="X249" s="305"/>
      <c r="Y249" s="305"/>
      <c r="Z249" s="305"/>
      <c r="AA249" s="305"/>
      <c r="AB249" s="305"/>
      <c r="AC249" s="305"/>
      <c r="AD249" s="305"/>
      <c r="AE249" s="305"/>
      <c r="AF249" s="305"/>
      <c r="AG249" s="305"/>
      <c r="AH249" s="305"/>
      <c r="AI249" s="305"/>
      <c r="AJ249" s="305"/>
      <c r="AK249" s="305"/>
      <c r="AL249" s="305"/>
      <c r="AM249" s="305"/>
      <c r="AN249" s="305"/>
      <c r="AO249" s="305"/>
      <c r="AP249" s="305"/>
      <c r="AQ249" s="305"/>
      <c r="AR249" s="305"/>
      <c r="AS249" s="305"/>
      <c r="AT249" s="305"/>
      <c r="AU249" s="305"/>
      <c r="AV249" s="305"/>
      <c r="AW249" s="305"/>
      <c r="AX249" s="305"/>
      <c r="AY249" s="305"/>
      <c r="AZ249" s="305"/>
      <c r="BA249" s="305"/>
      <c r="BB249" s="305"/>
      <c r="BC249" s="305"/>
      <c r="BD249" s="305"/>
      <c r="BE249" s="305"/>
      <c r="BF249" s="305"/>
      <c r="BG249" s="305"/>
      <c r="BH249" s="305"/>
      <c r="BI249" s="305"/>
      <c r="BJ249" s="305"/>
      <c r="BK249" s="305"/>
      <c r="BL249" s="305"/>
      <c r="BM249" s="305"/>
      <c r="BN249" s="305"/>
      <c r="BO249" s="305"/>
      <c r="BP249" s="305"/>
      <c r="BQ249" s="305"/>
      <c r="BR249" s="305"/>
      <c r="BS249" s="305"/>
      <c r="BT249" s="305"/>
      <c r="BU249" s="305"/>
      <c r="BV249" s="305"/>
      <c r="BW249" s="305"/>
      <c r="BX249" s="305"/>
      <c r="BY249" s="305"/>
      <c r="BZ249" s="305"/>
      <c r="CA249" s="305"/>
      <c r="CB249" s="305"/>
      <c r="CC249" s="305"/>
      <c r="CD249" s="305"/>
      <c r="CE249" s="305"/>
      <c r="CF249" s="305"/>
      <c r="CG249" s="305"/>
      <c r="CH249" s="305"/>
      <c r="CI249" s="305"/>
      <c r="CJ249" s="305"/>
      <c r="CK249" s="305"/>
      <c r="CL249" s="305"/>
      <c r="CM249" s="305"/>
      <c r="CN249" s="305"/>
      <c r="CO249" s="305"/>
      <c r="CP249" s="305"/>
      <c r="CQ249" s="305"/>
      <c r="CR249" s="305"/>
      <c r="CS249" s="305"/>
      <c r="CT249" s="305"/>
      <c r="CU249" s="305"/>
      <c r="CV249" s="305"/>
      <c r="CW249" s="305"/>
      <c r="CX249" s="305"/>
      <c r="CY249" s="305"/>
      <c r="CZ249" s="305"/>
      <c r="DA249" s="305"/>
      <c r="DB249" s="305"/>
      <c r="DC249" s="305"/>
      <c r="DD249" s="305"/>
      <c r="DE249" s="305"/>
      <c r="DF249" s="305"/>
      <c r="DG249" s="305"/>
      <c r="DH249" s="305"/>
      <c r="DI249" s="305"/>
      <c r="DJ249" s="305"/>
      <c r="DK249" s="305"/>
      <c r="DL249" s="305"/>
      <c r="DM249" s="305"/>
      <c r="DN249" s="305"/>
      <c r="DO249" s="305"/>
      <c r="DP249" s="305"/>
      <c r="DQ249" s="305"/>
      <c r="DR249" s="305"/>
      <c r="DS249" s="305"/>
      <c r="DT249" s="305"/>
      <c r="DU249" s="305"/>
      <c r="DV249" s="305"/>
      <c r="DW249" s="305"/>
      <c r="DX249" s="305"/>
      <c r="DY249" s="305"/>
      <c r="DZ249" s="305"/>
      <c r="EA249" s="305"/>
      <c r="EB249" s="305"/>
      <c r="EC249" s="305"/>
      <c r="ED249" s="305"/>
      <c r="EE249" s="305"/>
      <c r="EF249" s="305"/>
      <c r="EG249" s="305"/>
      <c r="EH249" s="305"/>
      <c r="EI249" s="305"/>
      <c r="EJ249" s="305"/>
      <c r="EK249" s="305"/>
      <c r="EL249" s="305"/>
      <c r="EM249" s="305"/>
      <c r="EN249" s="305"/>
      <c r="EO249" s="305"/>
      <c r="EP249" s="305"/>
      <c r="EQ249" s="305"/>
      <c r="ER249" s="305"/>
      <c r="ES249" s="305"/>
      <c r="ET249" s="305"/>
      <c r="EU249" s="305"/>
      <c r="EV249" s="305"/>
      <c r="EW249" s="305"/>
      <c r="EX249" s="305"/>
      <c r="EY249" s="305"/>
      <c r="EZ249" s="305"/>
      <c r="FA249" s="305"/>
      <c r="FB249" s="305"/>
      <c r="FC249" s="305"/>
      <c r="FD249" s="305"/>
      <c r="FE249" s="305"/>
      <c r="FF249" s="305"/>
      <c r="FG249" s="305"/>
      <c r="FH249" s="305"/>
      <c r="FI249" s="305"/>
      <c r="FJ249" s="305"/>
      <c r="FK249" s="305"/>
      <c r="FL249" s="305"/>
      <c r="FM249" s="305"/>
      <c r="FN249" s="305"/>
      <c r="FO249" s="305"/>
      <c r="FP249" s="305"/>
      <c r="FQ249" s="305"/>
      <c r="FR249" s="305"/>
      <c r="FS249" s="305"/>
      <c r="FT249" s="305"/>
      <c r="FU249" s="305"/>
      <c r="FV249" s="305"/>
      <c r="FW249" s="305"/>
      <c r="FX249" s="305"/>
      <c r="FY249" s="305"/>
      <c r="FZ249" s="305"/>
      <c r="GA249" s="305"/>
      <c r="GB249" s="305"/>
      <c r="GC249" s="305"/>
      <c r="GD249" s="305"/>
      <c r="GE249" s="305"/>
      <c r="GF249" s="305"/>
      <c r="GG249" s="305"/>
      <c r="GH249" s="305"/>
      <c r="GI249" s="305"/>
      <c r="GJ249" s="305"/>
      <c r="GK249" s="305"/>
      <c r="GL249" s="305"/>
      <c r="GM249" s="305"/>
      <c r="GN249" s="305"/>
      <c r="GO249" s="305"/>
      <c r="GP249" s="305"/>
      <c r="GQ249" s="305"/>
      <c r="GR249" s="305"/>
    </row>
    <row r="250" spans="3:200" s="318" customFormat="1" ht="12.75" customHeight="1" x14ac:dyDescent="0.2">
      <c r="C250" s="367"/>
      <c r="D250" s="403"/>
      <c r="E250" s="369"/>
      <c r="F250" s="369"/>
      <c r="G250" s="369"/>
      <c r="H250" s="369"/>
      <c r="I250" s="370"/>
      <c r="J250"/>
      <c r="K250" s="371"/>
      <c r="L250" s="371"/>
      <c r="M250" s="371"/>
      <c r="N250" s="371"/>
      <c r="O250" s="305"/>
      <c r="P250" s="305"/>
      <c r="Q250" s="305"/>
      <c r="R250" s="305"/>
      <c r="S250" s="305"/>
      <c r="T250" s="305"/>
      <c r="U250" s="305"/>
      <c r="V250" s="305"/>
      <c r="W250" s="305"/>
      <c r="X250" s="305"/>
      <c r="Y250" s="305"/>
      <c r="Z250" s="305"/>
      <c r="AA250" s="305"/>
      <c r="AB250" s="305"/>
      <c r="AC250" s="305"/>
      <c r="AD250" s="305"/>
      <c r="AE250" s="305"/>
      <c r="AF250" s="305"/>
      <c r="AG250" s="305"/>
      <c r="AH250" s="305"/>
      <c r="AI250" s="305"/>
      <c r="AJ250" s="305"/>
      <c r="AK250" s="305"/>
      <c r="AL250" s="305"/>
      <c r="AM250" s="305"/>
      <c r="AN250" s="305"/>
      <c r="AO250" s="305"/>
      <c r="AP250" s="305"/>
      <c r="AQ250" s="305"/>
      <c r="AR250" s="305"/>
      <c r="AS250" s="305"/>
      <c r="AT250" s="305"/>
      <c r="AU250" s="305"/>
      <c r="AV250" s="305"/>
      <c r="AW250" s="305"/>
      <c r="AX250" s="305"/>
      <c r="AY250" s="305"/>
      <c r="AZ250" s="305"/>
      <c r="BA250" s="305"/>
      <c r="BB250" s="305"/>
      <c r="BC250" s="305"/>
      <c r="BD250" s="305"/>
      <c r="BE250" s="305"/>
      <c r="BF250" s="305"/>
      <c r="BG250" s="305"/>
      <c r="BH250" s="305"/>
      <c r="BI250" s="305"/>
      <c r="BJ250" s="305"/>
      <c r="BK250" s="305"/>
      <c r="BL250" s="305"/>
      <c r="BM250" s="305"/>
      <c r="BN250" s="305"/>
      <c r="BO250" s="305"/>
      <c r="BP250" s="305"/>
      <c r="BQ250" s="305"/>
      <c r="BR250" s="305"/>
      <c r="BS250" s="305"/>
      <c r="BT250" s="305"/>
      <c r="BU250" s="305"/>
      <c r="BV250" s="305"/>
      <c r="BW250" s="305"/>
      <c r="BX250" s="305"/>
      <c r="BY250" s="305"/>
      <c r="BZ250" s="305"/>
      <c r="CA250" s="305"/>
      <c r="CB250" s="305"/>
      <c r="CC250" s="305"/>
      <c r="CD250" s="305"/>
      <c r="CE250" s="305"/>
      <c r="CF250" s="305"/>
      <c r="CG250" s="305"/>
      <c r="CH250" s="305"/>
      <c r="CI250" s="305"/>
      <c r="CJ250" s="305"/>
      <c r="CK250" s="305"/>
      <c r="CL250" s="305"/>
      <c r="CM250" s="305"/>
      <c r="CN250" s="305"/>
      <c r="CO250" s="305"/>
      <c r="CP250" s="305"/>
      <c r="CQ250" s="305"/>
      <c r="CR250" s="305"/>
      <c r="CS250" s="305"/>
      <c r="CT250" s="305"/>
      <c r="CU250" s="305"/>
      <c r="CV250" s="305"/>
      <c r="CW250" s="305"/>
      <c r="CX250" s="305"/>
      <c r="CY250" s="305"/>
      <c r="CZ250" s="305"/>
      <c r="DA250" s="305"/>
      <c r="DB250" s="305"/>
      <c r="DC250" s="305"/>
      <c r="DD250" s="305"/>
      <c r="DE250" s="305"/>
      <c r="DF250" s="305"/>
      <c r="DG250" s="305"/>
      <c r="DH250" s="305"/>
      <c r="DI250" s="305"/>
      <c r="DJ250" s="305"/>
      <c r="DK250" s="305"/>
      <c r="DL250" s="305"/>
      <c r="DM250" s="305"/>
      <c r="DN250" s="305"/>
      <c r="DO250" s="305"/>
      <c r="DP250" s="305"/>
      <c r="DQ250" s="305"/>
      <c r="DR250" s="305"/>
      <c r="DS250" s="305"/>
      <c r="DT250" s="305"/>
      <c r="DU250" s="305"/>
      <c r="DV250" s="305"/>
      <c r="DW250" s="305"/>
      <c r="DX250" s="305"/>
      <c r="DY250" s="305"/>
      <c r="DZ250" s="305"/>
      <c r="EA250" s="305"/>
      <c r="EB250" s="305"/>
      <c r="EC250" s="305"/>
      <c r="ED250" s="305"/>
      <c r="EE250" s="305"/>
      <c r="EF250" s="305"/>
      <c r="EG250" s="305"/>
      <c r="EH250" s="305"/>
      <c r="EI250" s="305"/>
      <c r="EJ250" s="305"/>
      <c r="EK250" s="305"/>
      <c r="EL250" s="305"/>
      <c r="EM250" s="305"/>
      <c r="EN250" s="305"/>
      <c r="EO250" s="305"/>
      <c r="EP250" s="305"/>
      <c r="EQ250" s="305"/>
      <c r="ER250" s="305"/>
      <c r="ES250" s="305"/>
      <c r="ET250" s="305"/>
      <c r="EU250" s="305"/>
      <c r="EV250" s="305"/>
      <c r="EW250" s="305"/>
      <c r="EX250" s="305"/>
      <c r="EY250" s="305"/>
      <c r="EZ250" s="305"/>
      <c r="FA250" s="305"/>
      <c r="FB250" s="305"/>
      <c r="FC250" s="305"/>
      <c r="FD250" s="305"/>
      <c r="FE250" s="305"/>
      <c r="FF250" s="305"/>
      <c r="FG250" s="305"/>
      <c r="FH250" s="305"/>
      <c r="FI250" s="305"/>
      <c r="FJ250" s="305"/>
      <c r="FK250" s="305"/>
      <c r="FL250" s="305"/>
      <c r="FM250" s="305"/>
      <c r="FN250" s="305"/>
      <c r="FO250" s="305"/>
      <c r="FP250" s="305"/>
      <c r="FQ250" s="305"/>
      <c r="FR250" s="305"/>
      <c r="FS250" s="305"/>
      <c r="FT250" s="305"/>
      <c r="FU250" s="305"/>
      <c r="FV250" s="305"/>
      <c r="FW250" s="305"/>
      <c r="FX250" s="305"/>
      <c r="FY250" s="305"/>
      <c r="FZ250" s="305"/>
      <c r="GA250" s="305"/>
      <c r="GB250" s="305"/>
      <c r="GC250" s="305"/>
      <c r="GD250" s="305"/>
      <c r="GE250" s="305"/>
      <c r="GF250" s="305"/>
      <c r="GG250" s="305"/>
      <c r="GH250" s="305"/>
      <c r="GI250" s="305"/>
      <c r="GJ250" s="305"/>
      <c r="GK250" s="305"/>
      <c r="GL250" s="305"/>
      <c r="GM250" s="305"/>
      <c r="GN250" s="305"/>
      <c r="GO250" s="305"/>
      <c r="GP250" s="305"/>
      <c r="GQ250" s="305"/>
      <c r="GR250" s="305"/>
    </row>
    <row r="251" spans="3:200" s="318" customFormat="1" ht="12.75" customHeight="1" x14ac:dyDescent="0.2">
      <c r="C251" s="367"/>
      <c r="D251" s="403"/>
      <c r="E251" s="369"/>
      <c r="F251" s="369"/>
      <c r="G251" s="369"/>
      <c r="H251" s="369"/>
      <c r="I251" s="370"/>
      <c r="J251"/>
      <c r="K251" s="371"/>
      <c r="L251" s="371"/>
      <c r="M251" s="371"/>
      <c r="N251" s="371"/>
      <c r="O251" s="305"/>
      <c r="P251" s="305"/>
      <c r="Q251" s="305"/>
      <c r="R251" s="305"/>
      <c r="S251" s="305"/>
      <c r="T251" s="305"/>
      <c r="U251" s="305"/>
      <c r="V251" s="305"/>
      <c r="W251" s="305"/>
      <c r="X251" s="305"/>
      <c r="Y251" s="305"/>
      <c r="Z251" s="305"/>
      <c r="AA251" s="305"/>
      <c r="AB251" s="305"/>
      <c r="AC251" s="305"/>
      <c r="AD251" s="305"/>
      <c r="AE251" s="305"/>
      <c r="AF251" s="305"/>
      <c r="AG251" s="305"/>
      <c r="AH251" s="305"/>
      <c r="AI251" s="305"/>
      <c r="AJ251" s="305"/>
      <c r="AK251" s="305"/>
      <c r="AL251" s="305"/>
      <c r="AM251" s="305"/>
      <c r="AN251" s="305"/>
      <c r="AO251" s="305"/>
      <c r="AP251" s="305"/>
      <c r="AQ251" s="305"/>
      <c r="AR251" s="305"/>
      <c r="AS251" s="305"/>
      <c r="AT251" s="305"/>
      <c r="AU251" s="305"/>
      <c r="AV251" s="305"/>
      <c r="AW251" s="305"/>
      <c r="AX251" s="305"/>
      <c r="AY251" s="305"/>
      <c r="AZ251" s="305"/>
      <c r="BA251" s="305"/>
      <c r="BB251" s="305"/>
      <c r="BC251" s="305"/>
      <c r="BD251" s="305"/>
      <c r="BE251" s="305"/>
      <c r="BF251" s="305"/>
      <c r="BG251" s="305"/>
      <c r="BH251" s="305"/>
      <c r="BI251" s="305"/>
      <c r="BJ251" s="305"/>
      <c r="BK251" s="305"/>
      <c r="BL251" s="305"/>
      <c r="BM251" s="305"/>
      <c r="BN251" s="305"/>
      <c r="BO251" s="305"/>
      <c r="BP251" s="305"/>
      <c r="BQ251" s="305"/>
      <c r="BR251" s="305"/>
      <c r="BS251" s="305"/>
      <c r="BT251" s="305"/>
      <c r="BU251" s="305"/>
      <c r="BV251" s="305"/>
      <c r="BW251" s="305"/>
      <c r="BX251" s="305"/>
      <c r="BY251" s="305"/>
      <c r="BZ251" s="305"/>
      <c r="CA251" s="305"/>
      <c r="CB251" s="305"/>
      <c r="CC251" s="305"/>
      <c r="CD251" s="305"/>
      <c r="CE251" s="305"/>
      <c r="CF251" s="305"/>
      <c r="CG251" s="305"/>
      <c r="CH251" s="305"/>
      <c r="CI251" s="305"/>
      <c r="CJ251" s="305"/>
      <c r="CK251" s="305"/>
      <c r="CL251" s="305"/>
      <c r="CM251" s="305"/>
      <c r="CN251" s="305"/>
      <c r="CO251" s="305"/>
      <c r="CP251" s="305"/>
      <c r="CQ251" s="305"/>
      <c r="CR251" s="305"/>
      <c r="CS251" s="305"/>
      <c r="CT251" s="305"/>
      <c r="CU251" s="305"/>
      <c r="CV251" s="305"/>
      <c r="CW251" s="305"/>
      <c r="CX251" s="305"/>
      <c r="CY251" s="305"/>
      <c r="CZ251" s="305"/>
      <c r="DA251" s="305"/>
      <c r="DB251" s="305"/>
      <c r="DC251" s="305"/>
      <c r="DD251" s="305"/>
      <c r="DE251" s="305"/>
      <c r="DF251" s="305"/>
      <c r="DG251" s="305"/>
      <c r="DH251" s="305"/>
      <c r="DI251" s="305"/>
      <c r="DJ251" s="305"/>
      <c r="DK251" s="305"/>
      <c r="DL251" s="305"/>
      <c r="DM251" s="305"/>
      <c r="DN251" s="305"/>
      <c r="DO251" s="305"/>
      <c r="DP251" s="305"/>
      <c r="DQ251" s="305"/>
      <c r="DR251" s="305"/>
      <c r="DS251" s="305"/>
      <c r="DT251" s="305"/>
      <c r="DU251" s="305"/>
      <c r="DV251" s="305"/>
      <c r="DW251" s="305"/>
      <c r="DX251" s="305"/>
      <c r="DY251" s="305"/>
      <c r="DZ251" s="305"/>
      <c r="EA251" s="305"/>
      <c r="EB251" s="305"/>
      <c r="EC251" s="305"/>
      <c r="ED251" s="305"/>
      <c r="EE251" s="305"/>
      <c r="EF251" s="305"/>
      <c r="EG251" s="305"/>
      <c r="EH251" s="305"/>
      <c r="EI251" s="305"/>
      <c r="EJ251" s="305"/>
      <c r="EK251" s="305"/>
      <c r="EL251" s="305"/>
      <c r="EM251" s="305"/>
      <c r="EN251" s="305"/>
      <c r="EO251" s="305"/>
      <c r="EP251" s="305"/>
      <c r="EQ251" s="305"/>
      <c r="ER251" s="305"/>
      <c r="ES251" s="305"/>
      <c r="ET251" s="305"/>
      <c r="EU251" s="305"/>
      <c r="EV251" s="305"/>
      <c r="EW251" s="305"/>
      <c r="EX251" s="305"/>
      <c r="EY251" s="305"/>
      <c r="EZ251" s="305"/>
      <c r="FA251" s="305"/>
      <c r="FB251" s="305"/>
      <c r="FC251" s="305"/>
      <c r="FD251" s="305"/>
      <c r="FE251" s="305"/>
      <c r="FF251" s="305"/>
      <c r="FG251" s="305"/>
      <c r="FH251" s="305"/>
      <c r="FI251" s="305"/>
      <c r="FJ251" s="305"/>
      <c r="FK251" s="305"/>
      <c r="FL251" s="305"/>
      <c r="FM251" s="305"/>
      <c r="FN251" s="305"/>
      <c r="FO251" s="305"/>
      <c r="FP251" s="305"/>
      <c r="FQ251" s="305"/>
      <c r="FR251" s="305"/>
      <c r="FS251" s="305"/>
      <c r="FT251" s="305"/>
      <c r="FU251" s="305"/>
      <c r="FV251" s="305"/>
      <c r="FW251" s="305"/>
      <c r="FX251" s="305"/>
      <c r="FY251" s="305"/>
      <c r="FZ251" s="305"/>
      <c r="GA251" s="305"/>
      <c r="GB251" s="305"/>
      <c r="GC251" s="305"/>
      <c r="GD251" s="305"/>
      <c r="GE251" s="305"/>
      <c r="GF251" s="305"/>
      <c r="GG251" s="305"/>
      <c r="GH251" s="305"/>
      <c r="GI251" s="305"/>
      <c r="GJ251" s="305"/>
      <c r="GK251" s="305"/>
      <c r="GL251" s="305"/>
      <c r="GM251" s="305"/>
      <c r="GN251" s="305"/>
      <c r="GO251" s="305"/>
      <c r="GP251" s="305"/>
      <c r="GQ251" s="305"/>
      <c r="GR251" s="305"/>
    </row>
    <row r="252" spans="3:200" s="318" customFormat="1" ht="12.75" customHeight="1" x14ac:dyDescent="0.2">
      <c r="C252" s="367"/>
      <c r="D252" s="403"/>
      <c r="E252" s="369"/>
      <c r="F252" s="369"/>
      <c r="G252" s="369"/>
      <c r="H252" s="369"/>
      <c r="I252" s="370"/>
      <c r="J252"/>
      <c r="K252" s="371"/>
      <c r="L252" s="371"/>
      <c r="M252" s="371"/>
      <c r="N252" s="371"/>
      <c r="O252" s="305"/>
      <c r="P252" s="305"/>
      <c r="Q252" s="305"/>
      <c r="R252" s="305"/>
      <c r="S252" s="305"/>
      <c r="T252" s="305"/>
      <c r="U252" s="305"/>
      <c r="V252" s="305"/>
      <c r="W252" s="305"/>
      <c r="X252" s="305"/>
      <c r="Y252" s="305"/>
      <c r="Z252" s="305"/>
      <c r="AA252" s="305"/>
      <c r="AB252" s="305"/>
      <c r="AC252" s="305"/>
      <c r="AD252" s="305"/>
      <c r="AE252" s="305"/>
      <c r="AF252" s="305"/>
      <c r="AG252" s="305"/>
      <c r="AH252" s="305"/>
      <c r="AI252" s="305"/>
      <c r="AJ252" s="305"/>
      <c r="AK252" s="305"/>
      <c r="AL252" s="305"/>
      <c r="AM252" s="305"/>
      <c r="AN252" s="305"/>
      <c r="AO252" s="305"/>
      <c r="AP252" s="305"/>
      <c r="AQ252" s="305"/>
      <c r="AR252" s="305"/>
      <c r="AS252" s="305"/>
      <c r="AT252" s="305"/>
      <c r="AU252" s="305"/>
      <c r="AV252" s="305"/>
      <c r="AW252" s="305"/>
      <c r="AX252" s="305"/>
      <c r="AY252" s="305"/>
      <c r="AZ252" s="305"/>
      <c r="BA252" s="305"/>
      <c r="BB252" s="305"/>
      <c r="BC252" s="305"/>
      <c r="BD252" s="305"/>
      <c r="BE252" s="305"/>
      <c r="BF252" s="305"/>
      <c r="BG252" s="305"/>
      <c r="BH252" s="305"/>
      <c r="BI252" s="305"/>
      <c r="BJ252" s="305"/>
      <c r="BK252" s="305"/>
      <c r="BL252" s="305"/>
      <c r="BM252" s="305"/>
      <c r="BN252" s="305"/>
      <c r="BO252" s="305"/>
      <c r="BP252" s="305"/>
      <c r="BQ252" s="305"/>
      <c r="BR252" s="305"/>
      <c r="BS252" s="305"/>
      <c r="BT252" s="305"/>
      <c r="BU252" s="305"/>
      <c r="BV252" s="305"/>
      <c r="BW252" s="305"/>
      <c r="BX252" s="305"/>
      <c r="BY252" s="305"/>
      <c r="BZ252" s="305"/>
      <c r="CA252" s="305"/>
      <c r="CB252" s="305"/>
      <c r="CC252" s="305"/>
      <c r="CD252" s="305"/>
      <c r="CE252" s="305"/>
      <c r="CF252" s="305"/>
      <c r="CG252" s="305"/>
      <c r="CH252" s="305"/>
      <c r="CI252" s="305"/>
      <c r="CJ252" s="305"/>
      <c r="CK252" s="305"/>
      <c r="CL252" s="305"/>
      <c r="CM252" s="305"/>
      <c r="CN252" s="305"/>
      <c r="CO252" s="305"/>
      <c r="CP252" s="305"/>
      <c r="CQ252" s="305"/>
      <c r="CR252" s="305"/>
      <c r="CS252" s="305"/>
      <c r="CT252" s="305"/>
      <c r="CU252" s="305"/>
      <c r="CV252" s="305"/>
      <c r="CW252" s="305"/>
      <c r="CX252" s="305"/>
      <c r="CY252" s="305"/>
      <c r="CZ252" s="305"/>
      <c r="DA252" s="305"/>
      <c r="DB252" s="305"/>
      <c r="DC252" s="305"/>
      <c r="DD252" s="305"/>
      <c r="DE252" s="305"/>
      <c r="DF252" s="305"/>
      <c r="DG252" s="305"/>
      <c r="DH252" s="305"/>
      <c r="DI252" s="305"/>
      <c r="DJ252" s="305"/>
      <c r="DK252" s="305"/>
      <c r="DL252" s="305"/>
      <c r="DM252" s="305"/>
      <c r="DN252" s="305"/>
      <c r="DO252" s="305"/>
      <c r="DP252" s="305"/>
      <c r="DQ252" s="305"/>
      <c r="DR252" s="305"/>
      <c r="DS252" s="305"/>
      <c r="DT252" s="305"/>
      <c r="DU252" s="305"/>
      <c r="DV252" s="305"/>
      <c r="DW252" s="305"/>
      <c r="DX252" s="305"/>
      <c r="DY252" s="305"/>
      <c r="DZ252" s="305"/>
      <c r="EA252" s="305"/>
      <c r="EB252" s="305"/>
      <c r="EC252" s="305"/>
      <c r="ED252" s="305"/>
      <c r="EE252" s="305"/>
      <c r="EF252" s="305"/>
      <c r="EG252" s="305"/>
      <c r="EH252" s="305"/>
      <c r="EI252" s="305"/>
      <c r="EJ252" s="305"/>
      <c r="EK252" s="305"/>
      <c r="EL252" s="305"/>
      <c r="EM252" s="305"/>
      <c r="EN252" s="305"/>
      <c r="EO252" s="305"/>
      <c r="EP252" s="305"/>
      <c r="EQ252" s="305"/>
      <c r="ER252" s="305"/>
      <c r="ES252" s="305"/>
      <c r="ET252" s="305"/>
      <c r="EU252" s="305"/>
      <c r="EV252" s="305"/>
      <c r="EW252" s="305"/>
      <c r="EX252" s="305"/>
      <c r="EY252" s="305"/>
      <c r="EZ252" s="305"/>
      <c r="FA252" s="305"/>
      <c r="FB252" s="305"/>
      <c r="FC252" s="305"/>
      <c r="FD252" s="305"/>
      <c r="FE252" s="305"/>
      <c r="FF252" s="305"/>
      <c r="FG252" s="305"/>
      <c r="FH252" s="305"/>
      <c r="FI252" s="305"/>
      <c r="FJ252" s="305"/>
      <c r="FK252" s="305"/>
      <c r="FL252" s="305"/>
      <c r="FM252" s="305"/>
      <c r="FN252" s="305"/>
      <c r="FO252" s="305"/>
      <c r="FP252" s="305"/>
      <c r="FQ252" s="305"/>
      <c r="FR252" s="305"/>
      <c r="FS252" s="305"/>
      <c r="FT252" s="305"/>
      <c r="FU252" s="305"/>
      <c r="FV252" s="305"/>
      <c r="FW252" s="305"/>
      <c r="FX252" s="305"/>
      <c r="FY252" s="305"/>
      <c r="FZ252" s="305"/>
      <c r="GA252" s="305"/>
      <c r="GB252" s="305"/>
      <c r="GC252" s="305"/>
      <c r="GD252" s="305"/>
      <c r="GE252" s="305"/>
      <c r="GF252" s="305"/>
      <c r="GG252" s="305"/>
      <c r="GH252" s="305"/>
      <c r="GI252" s="305"/>
      <c r="GJ252" s="305"/>
      <c r="GK252" s="305"/>
      <c r="GL252" s="305"/>
      <c r="GM252" s="305"/>
      <c r="GN252" s="305"/>
      <c r="GO252" s="305"/>
      <c r="GP252" s="305"/>
      <c r="GQ252" s="305"/>
      <c r="GR252" s="305"/>
    </row>
    <row r="253" spans="3:200" s="318" customFormat="1" ht="12.75" customHeight="1" x14ac:dyDescent="0.2">
      <c r="C253" s="367"/>
      <c r="D253" s="403"/>
      <c r="E253" s="369"/>
      <c r="F253" s="369"/>
      <c r="G253" s="369"/>
      <c r="H253" s="369"/>
      <c r="I253" s="370"/>
      <c r="J253"/>
      <c r="K253" s="371"/>
      <c r="L253" s="371"/>
      <c r="M253" s="371"/>
      <c r="N253" s="371"/>
      <c r="O253" s="305"/>
      <c r="P253" s="305"/>
      <c r="Q253" s="305"/>
      <c r="R253" s="305"/>
      <c r="S253" s="305"/>
      <c r="T253" s="305"/>
      <c r="U253" s="305"/>
      <c r="V253" s="305"/>
      <c r="W253" s="305"/>
      <c r="X253" s="305"/>
      <c r="Y253" s="305"/>
      <c r="Z253" s="305"/>
      <c r="AA253" s="305"/>
      <c r="AB253" s="305"/>
      <c r="AC253" s="305"/>
      <c r="AD253" s="305"/>
      <c r="AE253" s="305"/>
      <c r="AF253" s="305"/>
      <c r="AG253" s="305"/>
      <c r="AH253" s="305"/>
      <c r="AI253" s="305"/>
      <c r="AJ253" s="305"/>
      <c r="AK253" s="305"/>
      <c r="AL253" s="305"/>
      <c r="AM253" s="305"/>
      <c r="AN253" s="305"/>
      <c r="AO253" s="305"/>
      <c r="AP253" s="305"/>
      <c r="AQ253" s="305"/>
      <c r="AR253" s="305"/>
      <c r="AS253" s="305"/>
      <c r="AT253" s="305"/>
      <c r="AU253" s="305"/>
      <c r="AV253" s="305"/>
      <c r="AW253" s="305"/>
      <c r="AX253" s="305"/>
      <c r="AY253" s="305"/>
      <c r="AZ253" s="305"/>
      <c r="BA253" s="305"/>
      <c r="BB253" s="305"/>
      <c r="BC253" s="305"/>
      <c r="BD253" s="305"/>
      <c r="BE253" s="305"/>
      <c r="BF253" s="305"/>
      <c r="BG253" s="305"/>
      <c r="BH253" s="305"/>
      <c r="BI253" s="305"/>
      <c r="BJ253" s="305"/>
      <c r="BK253" s="305"/>
      <c r="BL253" s="305"/>
      <c r="BM253" s="305"/>
      <c r="BN253" s="305"/>
      <c r="BO253" s="305"/>
      <c r="BP253" s="305"/>
      <c r="BQ253" s="305"/>
      <c r="BR253" s="305"/>
      <c r="BS253" s="305"/>
      <c r="BT253" s="305"/>
      <c r="BU253" s="305"/>
      <c r="BV253" s="305"/>
      <c r="BW253" s="305"/>
      <c r="BX253" s="305"/>
      <c r="BY253" s="305"/>
      <c r="BZ253" s="305"/>
      <c r="CA253" s="305"/>
      <c r="CB253" s="305"/>
      <c r="CC253" s="305"/>
      <c r="CD253" s="305"/>
      <c r="CE253" s="305"/>
      <c r="CF253" s="305"/>
      <c r="CG253" s="305"/>
      <c r="CH253" s="305"/>
      <c r="CI253" s="305"/>
      <c r="CJ253" s="305"/>
      <c r="CK253" s="305"/>
      <c r="CL253" s="305"/>
      <c r="CM253" s="305"/>
      <c r="CN253" s="305"/>
      <c r="CO253" s="305"/>
      <c r="CP253" s="305"/>
      <c r="CQ253" s="305"/>
      <c r="CR253" s="305"/>
      <c r="CS253" s="305"/>
      <c r="CT253" s="305"/>
      <c r="CU253" s="305"/>
      <c r="CV253" s="305"/>
      <c r="CW253" s="305"/>
      <c r="CX253" s="305"/>
      <c r="CY253" s="305"/>
      <c r="CZ253" s="305"/>
      <c r="DA253" s="305"/>
      <c r="DB253" s="305"/>
      <c r="DC253" s="305"/>
      <c r="DD253" s="305"/>
      <c r="DE253" s="305"/>
      <c r="DF253" s="305"/>
      <c r="DG253" s="305"/>
      <c r="DH253" s="305"/>
      <c r="DI253" s="305"/>
      <c r="DJ253" s="305"/>
      <c r="DK253" s="305"/>
      <c r="DL253" s="305"/>
      <c r="DM253" s="305"/>
      <c r="DN253" s="305"/>
      <c r="DO253" s="305"/>
      <c r="DP253" s="305"/>
      <c r="DQ253" s="305"/>
      <c r="DR253" s="305"/>
      <c r="DS253" s="305"/>
      <c r="DT253" s="305"/>
      <c r="DU253" s="305"/>
      <c r="DV253" s="305"/>
      <c r="DW253" s="305"/>
      <c r="DX253" s="305"/>
      <c r="DY253" s="305"/>
      <c r="DZ253" s="305"/>
      <c r="EA253" s="305"/>
      <c r="EB253" s="305"/>
      <c r="EC253" s="305"/>
      <c r="ED253" s="305"/>
      <c r="EE253" s="305"/>
      <c r="EF253" s="305"/>
      <c r="EG253" s="305"/>
      <c r="EH253" s="305"/>
      <c r="EI253" s="305"/>
      <c r="EJ253" s="305"/>
      <c r="EK253" s="305"/>
      <c r="EL253" s="305"/>
      <c r="EM253" s="305"/>
      <c r="EN253" s="305"/>
      <c r="EO253" s="305"/>
      <c r="EP253" s="305"/>
      <c r="EQ253" s="305"/>
      <c r="ER253" s="305"/>
      <c r="ES253" s="305"/>
      <c r="ET253" s="305"/>
      <c r="EU253" s="305"/>
      <c r="EV253" s="305"/>
      <c r="EW253" s="305"/>
      <c r="EX253" s="305"/>
      <c r="EY253" s="305"/>
      <c r="EZ253" s="305"/>
      <c r="FA253" s="305"/>
      <c r="FB253" s="305"/>
      <c r="FC253" s="305"/>
      <c r="FD253" s="305"/>
      <c r="FE253" s="305"/>
      <c r="FF253" s="305"/>
      <c r="FG253" s="305"/>
      <c r="FH253" s="305"/>
      <c r="FI253" s="305"/>
      <c r="FJ253" s="305"/>
      <c r="FK253" s="305"/>
      <c r="FL253" s="305"/>
      <c r="FM253" s="305"/>
      <c r="FN253" s="305"/>
      <c r="FO253" s="305"/>
      <c r="FP253" s="305"/>
      <c r="FQ253" s="305"/>
      <c r="FR253" s="305"/>
      <c r="FS253" s="305"/>
      <c r="FT253" s="305"/>
      <c r="FU253" s="305"/>
      <c r="FV253" s="305"/>
      <c r="FW253" s="305"/>
      <c r="FX253" s="305"/>
      <c r="FY253" s="305"/>
      <c r="FZ253" s="305"/>
      <c r="GA253" s="305"/>
      <c r="GB253" s="305"/>
      <c r="GC253" s="305"/>
      <c r="GD253" s="305"/>
      <c r="GE253" s="305"/>
      <c r="GF253" s="305"/>
      <c r="GG253" s="305"/>
      <c r="GH253" s="305"/>
      <c r="GI253" s="305"/>
      <c r="GJ253" s="305"/>
      <c r="GK253" s="305"/>
      <c r="GL253" s="305"/>
      <c r="GM253" s="305"/>
      <c r="GN253" s="305"/>
      <c r="GO253" s="305"/>
      <c r="GP253" s="305"/>
      <c r="GQ253" s="305"/>
      <c r="GR253" s="305"/>
    </row>
    <row r="254" spans="3:200" s="318" customFormat="1" ht="12.75" customHeight="1" x14ac:dyDescent="0.2">
      <c r="C254" s="367"/>
      <c r="D254" s="403"/>
      <c r="E254" s="369"/>
      <c r="F254" s="369"/>
      <c r="G254" s="369"/>
      <c r="H254" s="369"/>
      <c r="I254" s="370"/>
      <c r="J254"/>
      <c r="K254" s="371"/>
      <c r="L254" s="371"/>
      <c r="M254" s="371"/>
      <c r="N254" s="371"/>
      <c r="O254" s="305"/>
      <c r="P254" s="305"/>
      <c r="Q254" s="305"/>
      <c r="R254" s="305"/>
      <c r="S254" s="305"/>
      <c r="T254" s="305"/>
      <c r="U254" s="305"/>
      <c r="V254" s="305"/>
      <c r="W254" s="305"/>
      <c r="X254" s="305"/>
      <c r="Y254" s="305"/>
      <c r="Z254" s="305"/>
      <c r="AA254" s="305"/>
      <c r="AB254" s="305"/>
      <c r="AC254" s="305"/>
      <c r="AD254" s="305"/>
      <c r="AE254" s="305"/>
      <c r="AF254" s="305"/>
      <c r="AG254" s="305"/>
      <c r="AH254" s="305"/>
      <c r="AI254" s="305"/>
      <c r="AJ254" s="305"/>
      <c r="AK254" s="305"/>
      <c r="AL254" s="305"/>
      <c r="AM254" s="305"/>
      <c r="AN254" s="305"/>
      <c r="AO254" s="305"/>
      <c r="AP254" s="305"/>
      <c r="AQ254" s="305"/>
      <c r="AR254" s="305"/>
      <c r="AS254" s="305"/>
      <c r="AT254" s="305"/>
      <c r="AU254" s="305"/>
      <c r="AV254" s="305"/>
      <c r="AW254" s="305"/>
      <c r="AX254" s="305"/>
      <c r="AY254" s="305"/>
      <c r="AZ254" s="305"/>
      <c r="BA254" s="305"/>
      <c r="BB254" s="305"/>
      <c r="BC254" s="305"/>
      <c r="BD254" s="305"/>
      <c r="BE254" s="305"/>
      <c r="BF254" s="305"/>
      <c r="BG254" s="305"/>
      <c r="BH254" s="305"/>
      <c r="BI254" s="305"/>
      <c r="BJ254" s="305"/>
      <c r="BK254" s="305"/>
      <c r="BL254" s="305"/>
      <c r="BM254" s="305"/>
      <c r="BN254" s="305"/>
      <c r="BO254" s="305"/>
      <c r="BP254" s="305"/>
      <c r="BQ254" s="305"/>
      <c r="BR254" s="305"/>
      <c r="BS254" s="305"/>
      <c r="BT254" s="305"/>
      <c r="BU254" s="305"/>
      <c r="BV254" s="305"/>
      <c r="BW254" s="305"/>
      <c r="BX254" s="305"/>
      <c r="BY254" s="305"/>
      <c r="BZ254" s="305"/>
      <c r="CA254" s="305"/>
      <c r="CB254" s="305"/>
      <c r="CC254" s="305"/>
      <c r="CD254" s="305"/>
      <c r="CE254" s="305"/>
      <c r="CF254" s="305"/>
      <c r="CG254" s="305"/>
      <c r="CH254" s="305"/>
      <c r="CI254" s="305"/>
      <c r="CJ254" s="305"/>
      <c r="CK254" s="305"/>
      <c r="CL254" s="305"/>
      <c r="CM254" s="305"/>
      <c r="CN254" s="305"/>
      <c r="CO254" s="305"/>
      <c r="CP254" s="305"/>
      <c r="CQ254" s="305"/>
      <c r="CR254" s="305"/>
      <c r="CS254" s="305"/>
      <c r="CT254" s="305"/>
      <c r="CU254" s="305"/>
      <c r="CV254" s="305"/>
      <c r="CW254" s="305"/>
      <c r="CX254" s="305"/>
      <c r="CY254" s="305"/>
      <c r="CZ254" s="305"/>
      <c r="DA254" s="305"/>
      <c r="DB254" s="305"/>
      <c r="DC254" s="305"/>
      <c r="DD254" s="305"/>
      <c r="DE254" s="305"/>
      <c r="DF254" s="305"/>
      <c r="DG254" s="305"/>
      <c r="DH254" s="305"/>
      <c r="DI254" s="305"/>
      <c r="DJ254" s="305"/>
      <c r="DK254" s="305"/>
      <c r="DL254" s="305"/>
      <c r="DM254" s="305"/>
      <c r="DN254" s="305"/>
      <c r="DO254" s="305"/>
      <c r="DP254" s="305"/>
      <c r="DQ254" s="305"/>
      <c r="DR254" s="305"/>
      <c r="DS254" s="305"/>
      <c r="DT254" s="305"/>
      <c r="DU254" s="305"/>
      <c r="DV254" s="305"/>
      <c r="DW254" s="305"/>
      <c r="DX254" s="305"/>
      <c r="DY254" s="305"/>
      <c r="DZ254" s="305"/>
      <c r="EA254" s="305"/>
      <c r="EB254" s="305"/>
      <c r="EC254" s="305"/>
      <c r="ED254" s="305"/>
      <c r="EE254" s="305"/>
      <c r="EF254" s="305"/>
      <c r="EG254" s="305"/>
      <c r="EH254" s="305"/>
      <c r="EI254" s="305"/>
      <c r="EJ254" s="305"/>
      <c r="EK254" s="305"/>
      <c r="EL254" s="305"/>
      <c r="EM254" s="305"/>
      <c r="EN254" s="305"/>
      <c r="EO254" s="305"/>
      <c r="EP254" s="305"/>
      <c r="EQ254" s="305"/>
      <c r="ER254" s="305"/>
      <c r="ES254" s="305"/>
      <c r="ET254" s="305"/>
      <c r="EU254" s="305"/>
      <c r="EV254" s="305"/>
      <c r="EW254" s="305"/>
      <c r="EX254" s="305"/>
      <c r="EY254" s="305"/>
      <c r="EZ254" s="305"/>
      <c r="FA254" s="305"/>
      <c r="FB254" s="305"/>
      <c r="FC254" s="305"/>
      <c r="FD254" s="305"/>
      <c r="FE254" s="305"/>
      <c r="FF254" s="305"/>
      <c r="FG254" s="305"/>
      <c r="FH254" s="305"/>
      <c r="FI254" s="305"/>
      <c r="FJ254" s="305"/>
      <c r="FK254" s="305"/>
      <c r="FL254" s="305"/>
      <c r="FM254" s="305"/>
      <c r="FN254" s="305"/>
      <c r="FO254" s="305"/>
      <c r="FP254" s="305"/>
      <c r="FQ254" s="305"/>
      <c r="FR254" s="305"/>
      <c r="FS254" s="305"/>
      <c r="FT254" s="305"/>
      <c r="FU254" s="305"/>
      <c r="FV254" s="305"/>
      <c r="FW254" s="305"/>
      <c r="FX254" s="305"/>
      <c r="FY254" s="305"/>
      <c r="FZ254" s="305"/>
      <c r="GA254" s="305"/>
      <c r="GB254" s="305"/>
      <c r="GC254" s="305"/>
      <c r="GD254" s="305"/>
      <c r="GE254" s="305"/>
      <c r="GF254" s="305"/>
      <c r="GG254" s="305"/>
      <c r="GH254" s="305"/>
      <c r="GI254" s="305"/>
      <c r="GJ254" s="305"/>
      <c r="GK254" s="305"/>
      <c r="GL254" s="305"/>
      <c r="GM254" s="305"/>
      <c r="GN254" s="305"/>
      <c r="GO254" s="305"/>
      <c r="GP254" s="305"/>
      <c r="GQ254" s="305"/>
      <c r="GR254" s="305"/>
    </row>
    <row r="255" spans="3:200" s="318" customFormat="1" ht="12.75" customHeight="1" x14ac:dyDescent="0.2">
      <c r="C255" s="367"/>
      <c r="D255" s="403"/>
      <c r="E255" s="369"/>
      <c r="F255" s="369"/>
      <c r="G255" s="369"/>
      <c r="H255" s="369"/>
      <c r="I255" s="370"/>
      <c r="J255"/>
      <c r="K255" s="371"/>
      <c r="L255" s="371"/>
      <c r="M255" s="371"/>
      <c r="N255" s="371"/>
      <c r="O255" s="305"/>
      <c r="P255" s="305"/>
      <c r="Q255" s="305"/>
      <c r="R255" s="305"/>
      <c r="S255" s="305"/>
      <c r="T255" s="305"/>
      <c r="U255" s="305"/>
      <c r="V255" s="305"/>
      <c r="W255" s="305"/>
      <c r="X255" s="305"/>
      <c r="Y255" s="305"/>
      <c r="Z255" s="305"/>
      <c r="AA255" s="305"/>
      <c r="AB255" s="305"/>
      <c r="AC255" s="305"/>
      <c r="AD255" s="305"/>
      <c r="AE255" s="305"/>
      <c r="AF255" s="305"/>
      <c r="AG255" s="305"/>
      <c r="AH255" s="305"/>
      <c r="AI255" s="305"/>
      <c r="AJ255" s="305"/>
      <c r="AK255" s="305"/>
      <c r="AL255" s="305"/>
      <c r="AM255" s="305"/>
      <c r="AN255" s="305"/>
      <c r="AO255" s="305"/>
      <c r="AP255" s="305"/>
      <c r="AQ255" s="305"/>
      <c r="AR255" s="305"/>
      <c r="AS255" s="305"/>
      <c r="AT255" s="305"/>
      <c r="AU255" s="305"/>
      <c r="AV255" s="305"/>
      <c r="AW255" s="305"/>
      <c r="AX255" s="305"/>
      <c r="AY255" s="305"/>
      <c r="AZ255" s="305"/>
      <c r="BA255" s="305"/>
      <c r="BB255" s="305"/>
      <c r="BC255" s="305"/>
      <c r="BD255" s="305"/>
      <c r="BE255" s="305"/>
      <c r="BF255" s="305"/>
      <c r="BG255" s="305"/>
      <c r="BH255" s="305"/>
      <c r="BI255" s="305"/>
      <c r="BJ255" s="305"/>
      <c r="BK255" s="305"/>
      <c r="BL255" s="305"/>
      <c r="BM255" s="305"/>
      <c r="BN255" s="305"/>
      <c r="BO255" s="305"/>
      <c r="BP255" s="305"/>
      <c r="BQ255" s="305"/>
      <c r="BR255" s="305"/>
      <c r="BS255" s="305"/>
      <c r="BT255" s="305"/>
      <c r="BU255" s="305"/>
      <c r="BV255" s="305"/>
      <c r="BW255" s="305"/>
      <c r="BX255" s="305"/>
      <c r="BY255" s="305"/>
      <c r="BZ255" s="305"/>
      <c r="CA255" s="305"/>
      <c r="CB255" s="305"/>
      <c r="CC255" s="305"/>
      <c r="CD255" s="305"/>
      <c r="CE255" s="305"/>
      <c r="CF255" s="305"/>
      <c r="CG255" s="305"/>
      <c r="CH255" s="305"/>
      <c r="CI255" s="305"/>
      <c r="CJ255" s="305"/>
      <c r="CK255" s="305"/>
      <c r="CL255" s="305"/>
      <c r="CM255" s="305"/>
      <c r="CN255" s="305"/>
      <c r="CO255" s="305"/>
      <c r="CP255" s="305"/>
      <c r="CQ255" s="305"/>
      <c r="CR255" s="305"/>
      <c r="CS255" s="305"/>
      <c r="CT255" s="305"/>
      <c r="CU255" s="305"/>
      <c r="CV255" s="305"/>
      <c r="CW255" s="305"/>
      <c r="CX255" s="305"/>
      <c r="CY255" s="305"/>
      <c r="CZ255" s="305"/>
      <c r="DA255" s="305"/>
      <c r="DB255" s="305"/>
      <c r="DC255" s="305"/>
      <c r="DD255" s="305"/>
      <c r="DE255" s="305"/>
      <c r="DF255" s="305"/>
      <c r="DG255" s="305"/>
      <c r="DH255" s="305"/>
      <c r="DI255" s="305"/>
      <c r="DJ255" s="305"/>
      <c r="DK255" s="305"/>
      <c r="DL255" s="305"/>
      <c r="DM255" s="305"/>
      <c r="DN255" s="305"/>
      <c r="DO255" s="305"/>
      <c r="DP255" s="305"/>
      <c r="DQ255" s="305"/>
      <c r="DR255" s="305"/>
      <c r="DS255" s="305"/>
      <c r="DT255" s="305"/>
      <c r="DU255" s="305"/>
      <c r="DV255" s="305"/>
      <c r="DW255" s="305"/>
      <c r="DX255" s="305"/>
      <c r="DY255" s="305"/>
      <c r="DZ255" s="305"/>
      <c r="EA255" s="305"/>
      <c r="EB255" s="305"/>
      <c r="EC255" s="305"/>
      <c r="ED255" s="305"/>
      <c r="EE255" s="305"/>
      <c r="EF255" s="305"/>
      <c r="EG255" s="305"/>
      <c r="EH255" s="305"/>
      <c r="EI255" s="305"/>
      <c r="EJ255" s="305"/>
      <c r="EK255" s="305"/>
      <c r="EL255" s="305"/>
      <c r="EM255" s="305"/>
      <c r="EN255" s="305"/>
      <c r="EO255" s="305"/>
      <c r="EP255" s="305"/>
      <c r="EQ255" s="305"/>
      <c r="ER255" s="305"/>
      <c r="ES255" s="305"/>
      <c r="ET255" s="305"/>
      <c r="EU255" s="305"/>
      <c r="EV255" s="305"/>
      <c r="EW255" s="305"/>
      <c r="EX255" s="305"/>
      <c r="EY255" s="305"/>
      <c r="EZ255" s="305"/>
      <c r="FA255" s="305"/>
      <c r="FB255" s="305"/>
      <c r="FC255" s="305"/>
      <c r="FD255" s="305"/>
      <c r="FE255" s="305"/>
      <c r="FF255" s="305"/>
      <c r="FG255" s="305"/>
      <c r="FH255" s="305"/>
      <c r="FI255" s="305"/>
      <c r="FJ255" s="305"/>
      <c r="FK255" s="305"/>
      <c r="FL255" s="305"/>
      <c r="FM255" s="305"/>
      <c r="FN255" s="305"/>
      <c r="FO255" s="305"/>
      <c r="FP255" s="305"/>
      <c r="FQ255" s="305"/>
      <c r="FR255" s="305"/>
      <c r="FS255" s="305"/>
      <c r="FT255" s="305"/>
      <c r="FU255" s="305"/>
      <c r="FV255" s="305"/>
      <c r="FW255" s="305"/>
      <c r="FX255" s="305"/>
      <c r="FY255" s="305"/>
      <c r="FZ255" s="305"/>
      <c r="GA255" s="305"/>
      <c r="GB255" s="305"/>
      <c r="GC255" s="305"/>
      <c r="GD255" s="305"/>
      <c r="GE255" s="305"/>
      <c r="GF255" s="305"/>
      <c r="GG255" s="305"/>
      <c r="GH255" s="305"/>
      <c r="GI255" s="305"/>
      <c r="GJ255" s="305"/>
      <c r="GK255" s="305"/>
      <c r="GL255" s="305"/>
      <c r="GM255" s="305"/>
      <c r="GN255" s="305"/>
      <c r="GO255" s="305"/>
      <c r="GP255" s="305"/>
      <c r="GQ255" s="305"/>
      <c r="GR255" s="305"/>
    </row>
    <row r="256" spans="3:200" s="318" customFormat="1" ht="12.75" customHeight="1" x14ac:dyDescent="0.2">
      <c r="C256" s="367"/>
      <c r="D256" s="403"/>
      <c r="E256" s="369"/>
      <c r="F256" s="369"/>
      <c r="G256" s="369"/>
      <c r="H256" s="369"/>
      <c r="I256" s="370"/>
      <c r="J256"/>
      <c r="K256" s="371"/>
      <c r="L256" s="371"/>
      <c r="M256" s="371"/>
      <c r="N256" s="371"/>
      <c r="O256" s="305"/>
      <c r="P256" s="305"/>
      <c r="Q256" s="305"/>
      <c r="R256" s="305"/>
      <c r="S256" s="305"/>
      <c r="T256" s="305"/>
      <c r="U256" s="305"/>
      <c r="V256" s="305"/>
      <c r="W256" s="305"/>
      <c r="X256" s="305"/>
      <c r="Y256" s="305"/>
      <c r="Z256" s="305"/>
      <c r="AA256" s="305"/>
      <c r="AB256" s="305"/>
      <c r="AC256" s="305"/>
      <c r="AD256" s="305"/>
      <c r="AE256" s="305"/>
      <c r="AF256" s="305"/>
      <c r="AG256" s="305"/>
      <c r="AH256" s="305"/>
      <c r="AI256" s="305"/>
      <c r="AJ256" s="305"/>
      <c r="AK256" s="305"/>
      <c r="AL256" s="305"/>
      <c r="AM256" s="305"/>
      <c r="AN256" s="305"/>
      <c r="AO256" s="305"/>
      <c r="AP256" s="305"/>
      <c r="AQ256" s="305"/>
      <c r="AR256" s="305"/>
      <c r="AS256" s="305"/>
      <c r="AT256" s="305"/>
      <c r="AU256" s="305"/>
      <c r="AV256" s="305"/>
      <c r="AW256" s="305"/>
      <c r="AX256" s="305"/>
      <c r="AY256" s="305"/>
      <c r="AZ256" s="305"/>
      <c r="BA256" s="305"/>
      <c r="BB256" s="305"/>
      <c r="BC256" s="305"/>
      <c r="BD256" s="305"/>
      <c r="BE256" s="305"/>
      <c r="BF256" s="305"/>
      <c r="BG256" s="305"/>
      <c r="BH256" s="305"/>
      <c r="BI256" s="305"/>
      <c r="BJ256" s="305"/>
      <c r="BK256" s="305"/>
      <c r="BL256" s="305"/>
      <c r="BM256" s="305"/>
      <c r="BN256" s="305"/>
      <c r="BO256" s="305"/>
      <c r="BP256" s="305"/>
      <c r="BQ256" s="305"/>
      <c r="BR256" s="305"/>
      <c r="BS256" s="305"/>
      <c r="BT256" s="305"/>
      <c r="BU256" s="305"/>
      <c r="BV256" s="305"/>
      <c r="BW256" s="305"/>
      <c r="BX256" s="305"/>
      <c r="BY256" s="305"/>
      <c r="BZ256" s="305"/>
      <c r="CA256" s="305"/>
      <c r="CB256" s="305"/>
      <c r="CC256" s="305"/>
      <c r="CD256" s="305"/>
      <c r="CE256" s="305"/>
      <c r="CF256" s="305"/>
      <c r="CG256" s="305"/>
      <c r="CH256" s="305"/>
      <c r="CI256" s="305"/>
      <c r="CJ256" s="305"/>
      <c r="CK256" s="305"/>
      <c r="CL256" s="305"/>
      <c r="CM256" s="305"/>
      <c r="CN256" s="305"/>
      <c r="CO256" s="305"/>
      <c r="CP256" s="305"/>
      <c r="CQ256" s="305"/>
      <c r="CR256" s="305"/>
      <c r="CS256" s="305"/>
      <c r="CT256" s="305"/>
      <c r="CU256" s="305"/>
      <c r="CV256" s="305"/>
      <c r="CW256" s="305"/>
      <c r="CX256" s="305"/>
      <c r="CY256" s="305"/>
      <c r="CZ256" s="305"/>
      <c r="DA256" s="305"/>
      <c r="DB256" s="305"/>
      <c r="DC256" s="305"/>
      <c r="DD256" s="305"/>
      <c r="DE256" s="305"/>
      <c r="DF256" s="305"/>
      <c r="DG256" s="305"/>
      <c r="DH256" s="305"/>
      <c r="DI256" s="305"/>
      <c r="DJ256" s="305"/>
      <c r="DK256" s="305"/>
      <c r="DL256" s="305"/>
      <c r="DM256" s="305"/>
      <c r="DN256" s="305"/>
      <c r="DO256" s="305"/>
      <c r="DP256" s="305"/>
      <c r="DQ256" s="305"/>
      <c r="DR256" s="305"/>
      <c r="DS256" s="305"/>
      <c r="DT256" s="305"/>
      <c r="DU256" s="305"/>
      <c r="DV256" s="305"/>
      <c r="DW256" s="305"/>
      <c r="DX256" s="305"/>
      <c r="DY256" s="305"/>
      <c r="DZ256" s="305"/>
      <c r="EA256" s="305"/>
      <c r="EB256" s="305"/>
      <c r="EC256" s="305"/>
      <c r="ED256" s="305"/>
      <c r="EE256" s="305"/>
      <c r="EF256" s="305"/>
      <c r="EG256" s="305"/>
      <c r="EH256" s="305"/>
      <c r="EI256" s="305"/>
      <c r="EJ256" s="305"/>
      <c r="EK256" s="305"/>
      <c r="EL256" s="305"/>
      <c r="EM256" s="305"/>
      <c r="EN256" s="305"/>
      <c r="EO256" s="305"/>
      <c r="EP256" s="305"/>
      <c r="EQ256" s="305"/>
      <c r="ER256" s="305"/>
      <c r="ES256" s="305"/>
      <c r="ET256" s="305"/>
      <c r="EU256" s="305"/>
      <c r="EV256" s="305"/>
      <c r="EW256" s="305"/>
      <c r="EX256" s="305"/>
      <c r="EY256" s="305"/>
      <c r="EZ256" s="305"/>
      <c r="FA256" s="305"/>
      <c r="FB256" s="305"/>
      <c r="FC256" s="305"/>
      <c r="FD256" s="305"/>
      <c r="FE256" s="305"/>
      <c r="FF256" s="305"/>
      <c r="FG256" s="305"/>
      <c r="FH256" s="305"/>
      <c r="FI256" s="305"/>
      <c r="FJ256" s="305"/>
      <c r="FK256" s="305"/>
      <c r="FL256" s="305"/>
      <c r="FM256" s="305"/>
      <c r="FN256" s="305"/>
      <c r="FO256" s="305"/>
      <c r="FP256" s="305"/>
      <c r="FQ256" s="305"/>
      <c r="FR256" s="305"/>
      <c r="FS256" s="305"/>
      <c r="FT256" s="305"/>
      <c r="FU256" s="305"/>
      <c r="FV256" s="305"/>
      <c r="FW256" s="305"/>
      <c r="FX256" s="305"/>
      <c r="FY256" s="305"/>
      <c r="FZ256" s="305"/>
      <c r="GA256" s="305"/>
      <c r="GB256" s="305"/>
      <c r="GC256" s="305"/>
      <c r="GD256" s="305"/>
      <c r="GE256" s="305"/>
      <c r="GF256" s="305"/>
      <c r="GG256" s="305"/>
      <c r="GH256" s="305"/>
      <c r="GI256" s="305"/>
      <c r="GJ256" s="305"/>
      <c r="GK256" s="305"/>
      <c r="GL256" s="305"/>
      <c r="GM256" s="305"/>
      <c r="GN256" s="305"/>
      <c r="GO256" s="305"/>
      <c r="GP256" s="305"/>
      <c r="GQ256" s="305"/>
      <c r="GR256" s="305"/>
    </row>
    <row r="257" spans="3:200" s="318" customFormat="1" ht="12.75" customHeight="1" x14ac:dyDescent="0.2">
      <c r="C257" s="367"/>
      <c r="D257" s="403"/>
      <c r="E257" s="369"/>
      <c r="F257" s="369"/>
      <c r="G257" s="369"/>
      <c r="H257" s="369"/>
      <c r="I257" s="370"/>
      <c r="J257"/>
      <c r="K257" s="371"/>
      <c r="L257" s="371"/>
      <c r="M257" s="371"/>
      <c r="N257" s="371"/>
      <c r="O257" s="305"/>
      <c r="P257" s="305"/>
      <c r="Q257" s="305"/>
      <c r="R257" s="305"/>
      <c r="S257" s="305"/>
      <c r="T257" s="305"/>
      <c r="U257" s="305"/>
      <c r="V257" s="305"/>
      <c r="W257" s="305"/>
      <c r="X257" s="305"/>
      <c r="Y257" s="305"/>
      <c r="Z257" s="305"/>
      <c r="AA257" s="305"/>
      <c r="AB257" s="305"/>
      <c r="AC257" s="305"/>
      <c r="AD257" s="305"/>
      <c r="AE257" s="305"/>
      <c r="AF257" s="305"/>
      <c r="AG257" s="305"/>
      <c r="AH257" s="305"/>
      <c r="AI257" s="305"/>
      <c r="AJ257" s="305"/>
      <c r="AK257" s="305"/>
      <c r="AL257" s="305"/>
      <c r="AM257" s="305"/>
      <c r="AN257" s="305"/>
      <c r="AO257" s="305"/>
      <c r="AP257" s="305"/>
      <c r="AQ257" s="305"/>
      <c r="AR257" s="305"/>
      <c r="AS257" s="305"/>
      <c r="AT257" s="305"/>
      <c r="AU257" s="305"/>
      <c r="AV257" s="305"/>
      <c r="AW257" s="305"/>
      <c r="AX257" s="305"/>
      <c r="AY257" s="305"/>
      <c r="AZ257" s="305"/>
      <c r="BA257" s="305"/>
      <c r="BB257" s="305"/>
      <c r="BC257" s="305"/>
      <c r="BD257" s="305"/>
      <c r="BE257" s="305"/>
      <c r="BF257" s="305"/>
      <c r="BG257" s="305"/>
      <c r="BH257" s="305"/>
      <c r="BI257" s="305"/>
      <c r="BJ257" s="305"/>
      <c r="BK257" s="305"/>
      <c r="BL257" s="305"/>
      <c r="BM257" s="305"/>
      <c r="BN257" s="305"/>
      <c r="BO257" s="305"/>
      <c r="BP257" s="305"/>
      <c r="BQ257" s="305"/>
      <c r="BR257" s="305"/>
      <c r="BS257" s="305"/>
      <c r="BT257" s="305"/>
      <c r="BU257" s="305"/>
      <c r="BV257" s="305"/>
      <c r="BW257" s="305"/>
      <c r="BX257" s="305"/>
      <c r="BY257" s="305"/>
      <c r="BZ257" s="305"/>
      <c r="CA257" s="305"/>
      <c r="CB257" s="305"/>
      <c r="CC257" s="305"/>
      <c r="CD257" s="305"/>
      <c r="CE257" s="305"/>
      <c r="CF257" s="305"/>
      <c r="CG257" s="305"/>
      <c r="CH257" s="305"/>
      <c r="CI257" s="305"/>
      <c r="CJ257" s="305"/>
      <c r="CK257" s="305"/>
      <c r="CL257" s="305"/>
      <c r="CM257" s="305"/>
      <c r="CN257" s="305"/>
      <c r="CO257" s="305"/>
      <c r="CP257" s="305"/>
      <c r="CQ257" s="305"/>
      <c r="CR257" s="305"/>
      <c r="CS257" s="305"/>
      <c r="CT257" s="305"/>
      <c r="CU257" s="305"/>
      <c r="CV257" s="305"/>
      <c r="CW257" s="305"/>
      <c r="CX257" s="305"/>
      <c r="CY257" s="305"/>
      <c r="CZ257" s="305"/>
      <c r="DA257" s="305"/>
      <c r="DB257" s="305"/>
      <c r="DC257" s="305"/>
      <c r="DD257" s="305"/>
      <c r="DE257" s="305"/>
      <c r="DF257" s="305"/>
      <c r="DG257" s="305"/>
      <c r="DH257" s="305"/>
      <c r="DI257" s="305"/>
      <c r="DJ257" s="305"/>
      <c r="DK257" s="305"/>
      <c r="DL257" s="305"/>
      <c r="DM257" s="305"/>
      <c r="DN257" s="305"/>
      <c r="DO257" s="305"/>
      <c r="DP257" s="305"/>
      <c r="DQ257" s="305"/>
      <c r="DR257" s="305"/>
      <c r="DS257" s="305"/>
      <c r="DT257" s="305"/>
      <c r="DU257" s="305"/>
      <c r="DV257" s="305"/>
      <c r="DW257" s="305"/>
      <c r="DX257" s="305"/>
      <c r="DY257" s="305"/>
      <c r="DZ257" s="305"/>
      <c r="EA257" s="305"/>
      <c r="EB257" s="305"/>
      <c r="EC257" s="305"/>
      <c r="ED257" s="305"/>
      <c r="EE257" s="305"/>
      <c r="EF257" s="305"/>
      <c r="EG257" s="305"/>
      <c r="EH257" s="305"/>
      <c r="EI257" s="305"/>
      <c r="EJ257" s="305"/>
      <c r="EK257" s="305"/>
      <c r="EL257" s="305"/>
      <c r="EM257" s="305"/>
      <c r="EN257" s="305"/>
      <c r="EO257" s="305"/>
      <c r="EP257" s="305"/>
      <c r="EQ257" s="305"/>
      <c r="ER257" s="305"/>
      <c r="ES257" s="305"/>
      <c r="ET257" s="305"/>
      <c r="EU257" s="305"/>
      <c r="EV257" s="305"/>
      <c r="EW257" s="305"/>
      <c r="EX257" s="305"/>
      <c r="EY257" s="305"/>
      <c r="EZ257" s="305"/>
      <c r="FA257" s="305"/>
      <c r="FB257" s="305"/>
      <c r="FC257" s="305"/>
      <c r="FD257" s="305"/>
      <c r="FE257" s="305"/>
      <c r="FF257" s="305"/>
      <c r="FG257" s="305"/>
      <c r="FH257" s="305"/>
      <c r="FI257" s="305"/>
      <c r="FJ257" s="305"/>
      <c r="FK257" s="305"/>
      <c r="FL257" s="305"/>
      <c r="FM257" s="305"/>
      <c r="FN257" s="305"/>
      <c r="FO257" s="305"/>
      <c r="FP257" s="305"/>
      <c r="FQ257" s="305"/>
      <c r="FR257" s="305"/>
      <c r="FS257" s="305"/>
      <c r="FT257" s="305"/>
      <c r="FU257" s="305"/>
      <c r="FV257" s="305"/>
      <c r="FW257" s="305"/>
      <c r="FX257" s="305"/>
      <c r="FY257" s="305"/>
      <c r="FZ257" s="305"/>
      <c r="GA257" s="305"/>
      <c r="GB257" s="305"/>
      <c r="GC257" s="305"/>
      <c r="GD257" s="305"/>
      <c r="GE257" s="305"/>
      <c r="GF257" s="305"/>
      <c r="GG257" s="305"/>
      <c r="GH257" s="305"/>
      <c r="GI257" s="305"/>
      <c r="GJ257" s="305"/>
      <c r="GK257" s="305"/>
      <c r="GL257" s="305"/>
      <c r="GM257" s="305"/>
      <c r="GN257" s="305"/>
      <c r="GO257" s="305"/>
      <c r="GP257" s="305"/>
      <c r="GQ257" s="305"/>
      <c r="GR257" s="305"/>
    </row>
    <row r="258" spans="3:200" s="318" customFormat="1" ht="12.75" customHeight="1" x14ac:dyDescent="0.2">
      <c r="C258" s="367"/>
      <c r="D258" s="403"/>
      <c r="E258" s="369"/>
      <c r="F258" s="369"/>
      <c r="G258" s="369"/>
      <c r="H258" s="369"/>
      <c r="I258" s="370"/>
      <c r="J258"/>
      <c r="K258" s="371"/>
      <c r="L258" s="371"/>
      <c r="M258" s="371"/>
      <c r="N258" s="371"/>
      <c r="O258" s="305"/>
      <c r="P258" s="305"/>
      <c r="Q258" s="305"/>
      <c r="R258" s="305"/>
      <c r="S258" s="305"/>
      <c r="T258" s="305"/>
      <c r="U258" s="305"/>
      <c r="V258" s="305"/>
      <c r="W258" s="305"/>
      <c r="X258" s="305"/>
      <c r="Y258" s="305"/>
      <c r="Z258" s="305"/>
      <c r="AA258" s="305"/>
      <c r="AB258" s="305"/>
      <c r="AC258" s="305"/>
      <c r="AD258" s="305"/>
      <c r="AE258" s="305"/>
      <c r="AF258" s="305"/>
      <c r="AG258" s="305"/>
      <c r="AH258" s="305"/>
      <c r="AI258" s="305"/>
      <c r="AJ258" s="305"/>
      <c r="AK258" s="305"/>
      <c r="AL258" s="305"/>
      <c r="AM258" s="305"/>
      <c r="AN258" s="305"/>
      <c r="AO258" s="305"/>
      <c r="AP258" s="305"/>
      <c r="AQ258" s="305"/>
      <c r="AR258" s="305"/>
      <c r="AS258" s="305"/>
      <c r="AT258" s="305"/>
      <c r="AU258" s="305"/>
      <c r="AV258" s="305"/>
      <c r="AW258" s="305"/>
      <c r="AX258" s="305"/>
      <c r="AY258" s="305"/>
      <c r="AZ258" s="305"/>
      <c r="BA258" s="305"/>
      <c r="BB258" s="305"/>
      <c r="BC258" s="305"/>
      <c r="BD258" s="305"/>
      <c r="BE258" s="305"/>
      <c r="BF258" s="305"/>
      <c r="BG258" s="305"/>
      <c r="BH258" s="305"/>
      <c r="BI258" s="305"/>
      <c r="BJ258" s="305"/>
      <c r="BK258" s="305"/>
      <c r="BL258" s="305"/>
      <c r="BM258" s="305"/>
      <c r="BN258" s="305"/>
      <c r="BO258" s="305"/>
      <c r="BP258" s="305"/>
      <c r="BQ258" s="305"/>
      <c r="BR258" s="305"/>
      <c r="BS258" s="305"/>
      <c r="BT258" s="305"/>
      <c r="BU258" s="305"/>
      <c r="BV258" s="305"/>
      <c r="BW258" s="305"/>
      <c r="BX258" s="305"/>
      <c r="BY258" s="305"/>
      <c r="BZ258" s="305"/>
      <c r="CA258" s="305"/>
      <c r="CB258" s="305"/>
      <c r="CC258" s="305"/>
      <c r="CD258" s="305"/>
      <c r="CE258" s="305"/>
      <c r="CF258" s="305"/>
      <c r="CG258" s="305"/>
      <c r="CH258" s="305"/>
      <c r="CI258" s="305"/>
      <c r="CJ258" s="305"/>
      <c r="CK258" s="305"/>
      <c r="CL258" s="305"/>
      <c r="CM258" s="305"/>
      <c r="CN258" s="305"/>
      <c r="CO258" s="305"/>
      <c r="CP258" s="305"/>
      <c r="CQ258" s="305"/>
      <c r="CR258" s="305"/>
      <c r="CS258" s="305"/>
      <c r="CT258" s="305"/>
      <c r="CU258" s="305"/>
      <c r="CV258" s="305"/>
      <c r="CW258" s="305"/>
      <c r="CX258" s="305"/>
      <c r="CY258" s="305"/>
      <c r="CZ258" s="305"/>
      <c r="DA258" s="305"/>
      <c r="DB258" s="305"/>
      <c r="DC258" s="305"/>
      <c r="DD258" s="305"/>
      <c r="DE258" s="305"/>
      <c r="DF258" s="305"/>
      <c r="DG258" s="305"/>
      <c r="DH258" s="305"/>
      <c r="DI258" s="305"/>
      <c r="DJ258" s="305"/>
      <c r="DK258" s="305"/>
      <c r="DL258" s="305"/>
      <c r="DM258" s="305"/>
      <c r="DN258" s="305"/>
      <c r="DO258" s="305"/>
      <c r="DP258" s="305"/>
      <c r="DQ258" s="305"/>
      <c r="DR258" s="305"/>
      <c r="DS258" s="305"/>
      <c r="DT258" s="305"/>
      <c r="DU258" s="305"/>
      <c r="DV258" s="305"/>
      <c r="DW258" s="305"/>
      <c r="DX258" s="305"/>
      <c r="DY258" s="305"/>
      <c r="DZ258" s="305"/>
      <c r="EA258" s="305"/>
      <c r="EB258" s="305"/>
      <c r="EC258" s="305"/>
      <c r="ED258" s="305"/>
      <c r="EE258" s="305"/>
      <c r="EF258" s="305"/>
      <c r="EG258" s="305"/>
      <c r="EH258" s="305"/>
      <c r="EI258" s="305"/>
      <c r="EJ258" s="305"/>
      <c r="EK258" s="305"/>
      <c r="EL258" s="305"/>
      <c r="EM258" s="305"/>
      <c r="EN258" s="305"/>
      <c r="EO258" s="305"/>
      <c r="EP258" s="305"/>
      <c r="EQ258" s="305"/>
      <c r="ER258" s="305"/>
      <c r="ES258" s="305"/>
      <c r="ET258" s="305"/>
      <c r="EU258" s="305"/>
      <c r="EV258" s="305"/>
      <c r="EW258" s="305"/>
      <c r="EX258" s="305"/>
      <c r="EY258" s="305"/>
      <c r="EZ258" s="305"/>
      <c r="FA258" s="305"/>
      <c r="FB258" s="305"/>
      <c r="FC258" s="305"/>
      <c r="FD258" s="305"/>
      <c r="FE258" s="305"/>
      <c r="FF258" s="305"/>
      <c r="FG258" s="305"/>
      <c r="FH258" s="305"/>
      <c r="FI258" s="305"/>
      <c r="FJ258" s="305"/>
      <c r="FK258" s="305"/>
      <c r="FL258" s="305"/>
      <c r="FM258" s="305"/>
      <c r="FN258" s="305"/>
      <c r="FO258" s="305"/>
      <c r="FP258" s="305"/>
      <c r="FQ258" s="305"/>
      <c r="FR258" s="305"/>
      <c r="FS258" s="305"/>
      <c r="FT258" s="305"/>
      <c r="FU258" s="305"/>
      <c r="FV258" s="305"/>
      <c r="FW258" s="305"/>
      <c r="FX258" s="305"/>
      <c r="FY258" s="305"/>
      <c r="FZ258" s="305"/>
      <c r="GA258" s="305"/>
      <c r="GB258" s="305"/>
      <c r="GC258" s="305"/>
      <c r="GD258" s="305"/>
      <c r="GE258" s="305"/>
      <c r="GF258" s="305"/>
      <c r="GG258" s="305"/>
      <c r="GH258" s="305"/>
      <c r="GI258" s="305"/>
      <c r="GJ258" s="305"/>
      <c r="GK258" s="305"/>
      <c r="GL258" s="305"/>
      <c r="GM258" s="305"/>
      <c r="GN258" s="305"/>
      <c r="GO258" s="305"/>
      <c r="GP258" s="305"/>
      <c r="GQ258" s="305"/>
      <c r="GR258" s="305"/>
    </row>
    <row r="259" spans="3:200" s="318" customFormat="1" ht="12.75" customHeight="1" x14ac:dyDescent="0.2">
      <c r="C259" s="367"/>
      <c r="D259" s="403"/>
      <c r="E259" s="369"/>
      <c r="F259" s="369"/>
      <c r="G259" s="369"/>
      <c r="H259" s="369"/>
      <c r="I259" s="370"/>
      <c r="J259"/>
      <c r="K259" s="371"/>
      <c r="L259" s="371"/>
      <c r="M259" s="371"/>
      <c r="N259" s="371"/>
      <c r="O259" s="305"/>
      <c r="P259" s="305"/>
      <c r="Q259" s="305"/>
      <c r="R259" s="305"/>
      <c r="S259" s="305"/>
      <c r="T259" s="305"/>
      <c r="U259" s="305"/>
      <c r="V259" s="305"/>
      <c r="W259" s="305"/>
      <c r="X259" s="305"/>
      <c r="Y259" s="305"/>
      <c r="Z259" s="305"/>
      <c r="AA259" s="305"/>
      <c r="AB259" s="305"/>
      <c r="AC259" s="305"/>
      <c r="AD259" s="305"/>
      <c r="AE259" s="305"/>
      <c r="AF259" s="305"/>
      <c r="AG259" s="305"/>
      <c r="AH259" s="305"/>
      <c r="AI259" s="305"/>
      <c r="AJ259" s="305"/>
      <c r="AK259" s="305"/>
      <c r="AL259" s="305"/>
      <c r="AM259" s="305"/>
      <c r="AN259" s="305"/>
      <c r="AO259" s="305"/>
      <c r="AP259" s="305"/>
      <c r="AQ259" s="305"/>
      <c r="AR259" s="305"/>
      <c r="AS259" s="305"/>
      <c r="AT259" s="305"/>
      <c r="AU259" s="305"/>
      <c r="AV259" s="305"/>
      <c r="AW259" s="305"/>
      <c r="AX259" s="305"/>
      <c r="AY259" s="305"/>
      <c r="AZ259" s="305"/>
      <c r="BA259" s="305"/>
      <c r="BB259" s="305"/>
      <c r="BC259" s="305"/>
      <c r="BD259" s="305"/>
      <c r="BE259" s="305"/>
      <c r="BF259" s="305"/>
      <c r="BG259" s="305"/>
      <c r="BH259" s="305"/>
      <c r="BI259" s="305"/>
      <c r="BJ259" s="305"/>
      <c r="BK259" s="305"/>
      <c r="BL259" s="305"/>
      <c r="BM259" s="305"/>
      <c r="BN259" s="305"/>
      <c r="BO259" s="305"/>
      <c r="BP259" s="305"/>
      <c r="BQ259" s="305"/>
      <c r="BR259" s="305"/>
      <c r="BS259" s="305"/>
      <c r="BT259" s="305"/>
      <c r="BU259" s="305"/>
      <c r="BV259" s="305"/>
      <c r="BW259" s="305"/>
      <c r="BX259" s="305"/>
      <c r="BY259" s="305"/>
      <c r="BZ259" s="305"/>
      <c r="CA259" s="305"/>
      <c r="CB259" s="305"/>
      <c r="CC259" s="305"/>
      <c r="CD259" s="305"/>
      <c r="CE259" s="305"/>
      <c r="CF259" s="305"/>
      <c r="CG259" s="305"/>
      <c r="CH259" s="305"/>
      <c r="CI259" s="305"/>
      <c r="CJ259" s="305"/>
      <c r="CK259" s="305"/>
      <c r="CL259" s="305"/>
      <c r="CM259" s="305"/>
      <c r="CN259" s="305"/>
      <c r="CO259" s="305"/>
      <c r="CP259" s="305"/>
      <c r="CQ259" s="305"/>
      <c r="CR259" s="305"/>
      <c r="CS259" s="305"/>
      <c r="CT259" s="305"/>
      <c r="CU259" s="305"/>
      <c r="CV259" s="305"/>
      <c r="CW259" s="305"/>
      <c r="CX259" s="305"/>
      <c r="CY259" s="305"/>
      <c r="CZ259" s="305"/>
      <c r="DA259" s="305"/>
      <c r="DB259" s="305"/>
      <c r="DC259" s="305"/>
      <c r="DD259" s="305"/>
      <c r="DE259" s="305"/>
      <c r="DF259" s="305"/>
      <c r="DG259" s="305"/>
      <c r="DH259" s="305"/>
      <c r="DI259" s="305"/>
      <c r="DJ259" s="305"/>
      <c r="DK259" s="305"/>
      <c r="DL259" s="305"/>
      <c r="DM259" s="305"/>
      <c r="DN259" s="305"/>
      <c r="DO259" s="305"/>
      <c r="DP259" s="305"/>
      <c r="DQ259" s="305"/>
      <c r="DR259" s="305"/>
      <c r="DS259" s="305"/>
      <c r="DT259" s="305"/>
      <c r="DU259" s="305"/>
      <c r="DV259" s="305"/>
      <c r="DW259" s="305"/>
      <c r="DX259" s="305"/>
      <c r="DY259" s="305"/>
      <c r="DZ259" s="305"/>
      <c r="EA259" s="305"/>
      <c r="EB259" s="305"/>
      <c r="EC259" s="305"/>
      <c r="ED259" s="305"/>
      <c r="EE259" s="305"/>
      <c r="EF259" s="305"/>
      <c r="EG259" s="305"/>
      <c r="EH259" s="305"/>
      <c r="EI259" s="305"/>
      <c r="EJ259" s="305"/>
      <c r="EK259" s="305"/>
      <c r="EL259" s="305"/>
      <c r="EM259" s="305"/>
      <c r="EN259" s="305"/>
      <c r="EO259" s="305"/>
      <c r="EP259" s="305"/>
      <c r="EQ259" s="305"/>
      <c r="ER259" s="305"/>
      <c r="ES259" s="305"/>
      <c r="ET259" s="305"/>
      <c r="EU259" s="305"/>
      <c r="EV259" s="305"/>
      <c r="EW259" s="305"/>
      <c r="EX259" s="305"/>
      <c r="EY259" s="305"/>
      <c r="EZ259" s="305"/>
      <c r="FA259" s="305"/>
      <c r="FB259" s="305"/>
      <c r="FC259" s="305"/>
      <c r="FD259" s="305"/>
      <c r="FE259" s="305"/>
      <c r="FF259" s="305"/>
      <c r="FG259" s="305"/>
      <c r="FH259" s="305"/>
      <c r="FI259" s="305"/>
      <c r="FJ259" s="305"/>
      <c r="FK259" s="305"/>
      <c r="FL259" s="305"/>
      <c r="FM259" s="305"/>
      <c r="FN259" s="305"/>
      <c r="FO259" s="305"/>
      <c r="FP259" s="305"/>
      <c r="FQ259" s="305"/>
      <c r="FR259" s="305"/>
      <c r="FS259" s="305"/>
      <c r="FT259" s="305"/>
      <c r="FU259" s="305"/>
      <c r="FV259" s="305"/>
      <c r="FW259" s="305"/>
      <c r="FX259" s="305"/>
      <c r="FY259" s="305"/>
      <c r="FZ259" s="305"/>
      <c r="GA259" s="305"/>
      <c r="GB259" s="305"/>
      <c r="GC259" s="305"/>
      <c r="GD259" s="305"/>
      <c r="GE259" s="305"/>
      <c r="GF259" s="305"/>
      <c r="GG259" s="305"/>
      <c r="GH259" s="305"/>
      <c r="GI259" s="305"/>
      <c r="GJ259" s="305"/>
      <c r="GK259" s="305"/>
      <c r="GL259" s="305"/>
      <c r="GM259" s="305"/>
      <c r="GN259" s="305"/>
      <c r="GO259" s="305"/>
      <c r="GP259" s="305"/>
      <c r="GQ259" s="305"/>
      <c r="GR259" s="305"/>
    </row>
    <row r="260" spans="3:200" s="318" customFormat="1" ht="12.75" customHeight="1" x14ac:dyDescent="0.2">
      <c r="C260" s="367"/>
      <c r="D260" s="403"/>
      <c r="E260" s="369"/>
      <c r="F260" s="369"/>
      <c r="G260" s="369"/>
      <c r="H260" s="369"/>
      <c r="I260" s="370"/>
      <c r="J260"/>
      <c r="K260" s="371"/>
      <c r="L260" s="371"/>
      <c r="M260" s="371"/>
      <c r="N260" s="371"/>
      <c r="O260" s="305"/>
      <c r="P260" s="305"/>
      <c r="Q260" s="305"/>
      <c r="R260" s="305"/>
      <c r="S260" s="305"/>
      <c r="T260" s="305"/>
      <c r="U260" s="305"/>
      <c r="V260" s="305"/>
      <c r="W260" s="305"/>
      <c r="X260" s="305"/>
      <c r="Y260" s="305"/>
      <c r="Z260" s="305"/>
      <c r="AA260" s="305"/>
      <c r="AB260" s="305"/>
      <c r="AC260" s="305"/>
      <c r="AD260" s="305"/>
      <c r="AE260" s="305"/>
      <c r="AF260" s="305"/>
      <c r="AG260" s="305"/>
      <c r="AH260" s="305"/>
      <c r="AI260" s="305"/>
      <c r="AJ260" s="305"/>
      <c r="AK260" s="305"/>
      <c r="AL260" s="305"/>
      <c r="AM260" s="305"/>
      <c r="AN260" s="305"/>
      <c r="AO260" s="305"/>
      <c r="AP260" s="305"/>
      <c r="AQ260" s="305"/>
      <c r="AR260" s="305"/>
      <c r="AS260" s="305"/>
      <c r="AT260" s="305"/>
      <c r="AU260" s="305"/>
      <c r="AV260" s="305"/>
      <c r="AW260" s="305"/>
      <c r="AX260" s="305"/>
      <c r="AY260" s="305"/>
      <c r="AZ260" s="305"/>
      <c r="BA260" s="305"/>
      <c r="BB260" s="305"/>
      <c r="BC260" s="305"/>
      <c r="BD260" s="305"/>
      <c r="BE260" s="305"/>
      <c r="BF260" s="305"/>
      <c r="BG260" s="305"/>
      <c r="BH260" s="305"/>
      <c r="BI260" s="305"/>
      <c r="BJ260" s="305"/>
      <c r="BK260" s="305"/>
      <c r="BL260" s="305"/>
      <c r="BM260" s="305"/>
      <c r="BN260" s="305"/>
      <c r="BO260" s="305"/>
      <c r="BP260" s="305"/>
      <c r="BQ260" s="305"/>
      <c r="BR260" s="305"/>
      <c r="BS260" s="305"/>
      <c r="BT260" s="305"/>
      <c r="BU260" s="305"/>
      <c r="BV260" s="305"/>
      <c r="BW260" s="305"/>
      <c r="BX260" s="305"/>
      <c r="BY260" s="305"/>
      <c r="BZ260" s="305"/>
      <c r="CA260" s="305"/>
      <c r="CB260" s="305"/>
      <c r="CC260" s="305"/>
      <c r="CD260" s="305"/>
      <c r="CE260" s="305"/>
      <c r="CF260" s="305"/>
      <c r="CG260" s="305"/>
      <c r="CH260" s="305"/>
      <c r="CI260" s="305"/>
      <c r="CJ260" s="305"/>
      <c r="CK260" s="305"/>
      <c r="CL260" s="305"/>
      <c r="CM260" s="305"/>
      <c r="CN260" s="305"/>
      <c r="CO260" s="305"/>
      <c r="CP260" s="305"/>
      <c r="CQ260" s="305"/>
      <c r="CR260" s="305"/>
      <c r="CS260" s="305"/>
      <c r="CT260" s="305"/>
      <c r="CU260" s="305"/>
      <c r="CV260" s="305"/>
      <c r="CW260" s="305"/>
      <c r="CX260" s="305"/>
      <c r="CY260" s="305"/>
      <c r="CZ260" s="305"/>
      <c r="DA260" s="305"/>
      <c r="DB260" s="305"/>
      <c r="DC260" s="305"/>
      <c r="DD260" s="305"/>
      <c r="DE260" s="305"/>
      <c r="DF260" s="305"/>
      <c r="DG260" s="305"/>
      <c r="DH260" s="305"/>
      <c r="DI260" s="305"/>
      <c r="DJ260" s="305"/>
      <c r="DK260" s="305"/>
      <c r="DL260" s="305"/>
      <c r="DM260" s="305"/>
      <c r="DN260" s="305"/>
      <c r="DO260" s="305"/>
      <c r="DP260" s="305"/>
      <c r="DQ260" s="305"/>
      <c r="DR260" s="305"/>
      <c r="DS260" s="305"/>
      <c r="DT260" s="305"/>
      <c r="DU260" s="305"/>
      <c r="DV260" s="305"/>
      <c r="DW260" s="305"/>
      <c r="DX260" s="305"/>
      <c r="DY260" s="305"/>
      <c r="DZ260" s="305"/>
      <c r="EA260" s="305"/>
      <c r="EB260" s="305"/>
      <c r="EC260" s="305"/>
      <c r="ED260" s="305"/>
      <c r="EE260" s="305"/>
      <c r="EF260" s="305"/>
      <c r="EG260" s="305"/>
      <c r="EH260" s="305"/>
      <c r="EI260" s="305"/>
      <c r="EJ260" s="305"/>
      <c r="EK260" s="305"/>
      <c r="EL260" s="305"/>
      <c r="EM260" s="305"/>
      <c r="EN260" s="305"/>
      <c r="EO260" s="305"/>
      <c r="EP260" s="305"/>
      <c r="EQ260" s="305"/>
      <c r="ER260" s="305"/>
      <c r="ES260" s="305"/>
      <c r="ET260" s="305"/>
      <c r="EU260" s="305"/>
      <c r="EV260" s="305"/>
      <c r="EW260" s="305"/>
      <c r="EX260" s="305"/>
      <c r="EY260" s="305"/>
      <c r="EZ260" s="305"/>
      <c r="FA260" s="305"/>
      <c r="FB260" s="305"/>
      <c r="FC260" s="305"/>
      <c r="FD260" s="305"/>
      <c r="FE260" s="305"/>
      <c r="FF260" s="305"/>
      <c r="FG260" s="305"/>
      <c r="FH260" s="305"/>
      <c r="FI260" s="305"/>
      <c r="FJ260" s="305"/>
      <c r="FK260" s="305"/>
      <c r="FL260" s="305"/>
      <c r="FM260" s="305"/>
      <c r="FN260" s="305"/>
      <c r="FO260" s="305"/>
      <c r="FP260" s="305"/>
      <c r="FQ260" s="305"/>
      <c r="FR260" s="305"/>
      <c r="FS260" s="305"/>
      <c r="FT260" s="305"/>
      <c r="FU260" s="305"/>
      <c r="FV260" s="305"/>
      <c r="FW260" s="305"/>
      <c r="FX260" s="305"/>
      <c r="FY260" s="305"/>
      <c r="FZ260" s="305"/>
      <c r="GA260" s="305"/>
      <c r="GB260" s="305"/>
      <c r="GC260" s="305"/>
      <c r="GD260" s="305"/>
      <c r="GE260" s="305"/>
      <c r="GF260" s="305"/>
      <c r="GG260" s="305"/>
      <c r="GH260" s="305"/>
      <c r="GI260" s="305"/>
      <c r="GJ260" s="305"/>
      <c r="GK260" s="305"/>
      <c r="GL260" s="305"/>
      <c r="GM260" s="305"/>
      <c r="GN260" s="305"/>
      <c r="GO260" s="305"/>
      <c r="GP260" s="305"/>
      <c r="GQ260" s="305"/>
      <c r="GR260" s="305"/>
    </row>
    <row r="261" spans="3:200" s="318" customFormat="1" ht="12.75" customHeight="1" x14ac:dyDescent="0.2">
      <c r="C261" s="367"/>
      <c r="D261" s="403"/>
      <c r="E261" s="369"/>
      <c r="F261" s="369"/>
      <c r="G261" s="369"/>
      <c r="H261" s="369"/>
      <c r="I261" s="370"/>
      <c r="J261"/>
      <c r="K261" s="371"/>
      <c r="L261" s="371"/>
      <c r="M261" s="371"/>
      <c r="N261" s="371"/>
      <c r="O261" s="305"/>
      <c r="P261" s="305"/>
      <c r="Q261" s="305"/>
      <c r="R261" s="305"/>
      <c r="S261" s="305"/>
      <c r="T261" s="305"/>
      <c r="U261" s="305"/>
      <c r="V261" s="305"/>
      <c r="W261" s="305"/>
      <c r="X261" s="305"/>
      <c r="Y261" s="305"/>
      <c r="Z261" s="305"/>
      <c r="AA261" s="305"/>
      <c r="AB261" s="305"/>
      <c r="AC261" s="305"/>
      <c r="AD261" s="305"/>
      <c r="AE261" s="305"/>
      <c r="AF261" s="305"/>
      <c r="AG261" s="305"/>
      <c r="AH261" s="305"/>
      <c r="AI261" s="305"/>
      <c r="AJ261" s="305"/>
      <c r="AK261" s="305"/>
      <c r="AL261" s="305"/>
      <c r="AM261" s="305"/>
      <c r="AN261" s="305"/>
      <c r="AO261" s="305"/>
      <c r="AP261" s="305"/>
      <c r="AQ261" s="305"/>
      <c r="AR261" s="305"/>
      <c r="AS261" s="305"/>
      <c r="AT261" s="305"/>
      <c r="AU261" s="305"/>
      <c r="AV261" s="305"/>
      <c r="AW261" s="305"/>
      <c r="AX261" s="305"/>
      <c r="AY261" s="305"/>
      <c r="AZ261" s="305"/>
      <c r="BA261" s="305"/>
      <c r="BB261" s="305"/>
      <c r="BC261" s="305"/>
      <c r="BD261" s="305"/>
      <c r="BE261" s="305"/>
      <c r="BF261" s="305"/>
      <c r="BG261" s="305"/>
      <c r="BH261" s="305"/>
      <c r="BI261" s="305"/>
      <c r="BJ261" s="305"/>
      <c r="BK261" s="305"/>
      <c r="BL261" s="305"/>
      <c r="BM261" s="305"/>
      <c r="BN261" s="305"/>
      <c r="BO261" s="305"/>
      <c r="BP261" s="305"/>
      <c r="BQ261" s="305"/>
      <c r="BR261" s="305"/>
      <c r="BS261" s="305"/>
      <c r="BT261" s="305"/>
      <c r="BU261" s="305"/>
      <c r="BV261" s="305"/>
      <c r="BW261" s="305"/>
      <c r="BX261" s="305"/>
      <c r="BY261" s="305"/>
      <c r="BZ261" s="305"/>
      <c r="CA261" s="305"/>
      <c r="CB261" s="305"/>
      <c r="CC261" s="305"/>
      <c r="CD261" s="305"/>
      <c r="CE261" s="305"/>
      <c r="CF261" s="305"/>
      <c r="CG261" s="305"/>
      <c r="CH261" s="305"/>
      <c r="CI261" s="305"/>
      <c r="CJ261" s="305"/>
      <c r="CK261" s="305"/>
      <c r="CL261" s="305"/>
      <c r="CM261" s="305"/>
      <c r="CN261" s="305"/>
      <c r="CO261" s="305"/>
      <c r="CP261" s="305"/>
      <c r="CQ261" s="305"/>
      <c r="CR261" s="305"/>
      <c r="CS261" s="305"/>
      <c r="CT261" s="305"/>
      <c r="CU261" s="305"/>
      <c r="CV261" s="305"/>
      <c r="CW261" s="305"/>
      <c r="CX261" s="305"/>
      <c r="CY261" s="305"/>
      <c r="CZ261" s="305"/>
      <c r="DA261" s="305"/>
      <c r="DB261" s="305"/>
      <c r="DC261" s="305"/>
      <c r="DD261" s="305"/>
      <c r="DE261" s="305"/>
      <c r="DF261" s="305"/>
      <c r="DG261" s="305"/>
      <c r="DH261" s="305"/>
      <c r="DI261" s="305"/>
      <c r="DJ261" s="305"/>
      <c r="DK261" s="305"/>
      <c r="DL261" s="305"/>
      <c r="DM261" s="305"/>
      <c r="DN261" s="305"/>
      <c r="DO261" s="305"/>
      <c r="DP261" s="305"/>
      <c r="DQ261" s="305"/>
      <c r="DR261" s="305"/>
      <c r="DS261" s="305"/>
      <c r="DT261" s="305"/>
      <c r="DU261" s="305"/>
      <c r="DV261" s="305"/>
      <c r="DW261" s="305"/>
      <c r="DX261" s="305"/>
      <c r="DY261" s="305"/>
      <c r="DZ261" s="305"/>
      <c r="EA261" s="305"/>
      <c r="EB261" s="305"/>
      <c r="EC261" s="305"/>
      <c r="ED261" s="305"/>
      <c r="EE261" s="305"/>
      <c r="EF261" s="305"/>
      <c r="EG261" s="305"/>
      <c r="EH261" s="305"/>
      <c r="EI261" s="305"/>
      <c r="EJ261" s="305"/>
      <c r="EK261" s="305"/>
      <c r="EL261" s="305"/>
      <c r="EM261" s="305"/>
      <c r="EN261" s="305"/>
      <c r="EO261" s="305"/>
      <c r="EP261" s="305"/>
      <c r="EQ261" s="305"/>
      <c r="ER261" s="305"/>
      <c r="ES261" s="305"/>
      <c r="ET261" s="305"/>
      <c r="EU261" s="305"/>
      <c r="EV261" s="305"/>
      <c r="EW261" s="305"/>
      <c r="EX261" s="305"/>
      <c r="EY261" s="305"/>
      <c r="EZ261" s="305"/>
      <c r="FA261" s="305"/>
      <c r="FB261" s="305"/>
      <c r="FC261" s="305"/>
      <c r="FD261" s="305"/>
      <c r="FE261" s="305"/>
      <c r="FF261" s="305"/>
      <c r="FG261" s="305"/>
      <c r="FH261" s="305"/>
      <c r="FI261" s="305"/>
      <c r="FJ261" s="305"/>
      <c r="FK261" s="305"/>
      <c r="FL261" s="305"/>
      <c r="FM261" s="305"/>
      <c r="FN261" s="305"/>
      <c r="FO261" s="305"/>
      <c r="FP261" s="305"/>
      <c r="FQ261" s="305"/>
      <c r="FR261" s="305"/>
      <c r="FS261" s="305"/>
      <c r="FT261" s="305"/>
      <c r="FU261" s="305"/>
      <c r="FV261" s="305"/>
      <c r="FW261" s="305"/>
      <c r="FX261" s="305"/>
      <c r="FY261" s="305"/>
      <c r="FZ261" s="305"/>
      <c r="GA261" s="305"/>
      <c r="GB261" s="305"/>
      <c r="GC261" s="305"/>
      <c r="GD261" s="305"/>
      <c r="GE261" s="305"/>
      <c r="GF261" s="305"/>
      <c r="GG261" s="305"/>
      <c r="GH261" s="305"/>
      <c r="GI261" s="305"/>
      <c r="GJ261" s="305"/>
      <c r="GK261" s="305"/>
      <c r="GL261" s="305"/>
      <c r="GM261" s="305"/>
      <c r="GN261" s="305"/>
      <c r="GO261" s="305"/>
      <c r="GP261" s="305"/>
      <c r="GQ261" s="305"/>
      <c r="GR261" s="305"/>
    </row>
    <row r="262" spans="3:200" s="318" customFormat="1" ht="12.75" customHeight="1" x14ac:dyDescent="0.2">
      <c r="C262" s="367"/>
      <c r="D262" s="403"/>
      <c r="E262" s="369"/>
      <c r="F262" s="369"/>
      <c r="G262" s="369"/>
      <c r="H262" s="369"/>
      <c r="I262" s="370"/>
      <c r="J262"/>
      <c r="K262" s="371"/>
      <c r="L262" s="371"/>
      <c r="M262" s="371"/>
      <c r="N262" s="371"/>
      <c r="O262" s="305"/>
      <c r="P262" s="305"/>
      <c r="Q262" s="305"/>
      <c r="R262" s="305"/>
      <c r="S262" s="305"/>
      <c r="T262" s="305"/>
      <c r="U262" s="305"/>
      <c r="V262" s="305"/>
      <c r="W262" s="305"/>
      <c r="X262" s="305"/>
      <c r="Y262" s="305"/>
      <c r="Z262" s="305"/>
      <c r="AA262" s="305"/>
      <c r="AB262" s="305"/>
      <c r="AC262" s="305"/>
      <c r="AD262" s="305"/>
      <c r="AE262" s="305"/>
      <c r="AF262" s="305"/>
      <c r="AG262" s="305"/>
      <c r="AH262" s="305"/>
      <c r="AI262" s="305"/>
      <c r="AJ262" s="305"/>
      <c r="AK262" s="305"/>
      <c r="AL262" s="305"/>
      <c r="AM262" s="305"/>
      <c r="AN262" s="305"/>
      <c r="AO262" s="305"/>
      <c r="AP262" s="305"/>
      <c r="AQ262" s="305"/>
      <c r="AR262" s="305"/>
      <c r="AS262" s="305"/>
      <c r="AT262" s="305"/>
      <c r="AU262" s="305"/>
      <c r="AV262" s="305"/>
      <c r="AW262" s="305"/>
      <c r="AX262" s="305"/>
      <c r="AY262" s="305"/>
      <c r="AZ262" s="305"/>
      <c r="BA262" s="305"/>
      <c r="BB262" s="305"/>
      <c r="BC262" s="305"/>
      <c r="BD262" s="305"/>
      <c r="BE262" s="305"/>
      <c r="BF262" s="305"/>
      <c r="BG262" s="305"/>
      <c r="BH262" s="305"/>
      <c r="BI262" s="305"/>
      <c r="BJ262" s="305"/>
      <c r="BK262" s="305"/>
      <c r="BL262" s="305"/>
      <c r="BM262" s="305"/>
      <c r="BN262" s="305"/>
      <c r="BO262" s="305"/>
      <c r="BP262" s="305"/>
      <c r="BQ262" s="305"/>
      <c r="BR262" s="305"/>
      <c r="BS262" s="305"/>
      <c r="BT262" s="305"/>
      <c r="BU262" s="305"/>
      <c r="BV262" s="305"/>
      <c r="BW262" s="305"/>
      <c r="BX262" s="305"/>
      <c r="BY262" s="305"/>
      <c r="BZ262" s="305"/>
      <c r="CA262" s="305"/>
      <c r="CB262" s="305"/>
      <c r="CC262" s="305"/>
      <c r="CD262" s="305"/>
      <c r="CE262" s="305"/>
      <c r="CF262" s="305"/>
      <c r="CG262" s="305"/>
      <c r="CH262" s="305"/>
      <c r="CI262" s="305"/>
      <c r="CJ262" s="305"/>
      <c r="CK262" s="305"/>
      <c r="CL262" s="305"/>
      <c r="CM262" s="305"/>
      <c r="CN262" s="305"/>
      <c r="CO262" s="305"/>
      <c r="CP262" s="305"/>
      <c r="CQ262" s="305"/>
      <c r="CR262" s="305"/>
      <c r="CS262" s="305"/>
      <c r="CT262" s="305"/>
      <c r="CU262" s="305"/>
      <c r="CV262" s="305"/>
      <c r="CW262" s="305"/>
      <c r="CX262" s="305"/>
      <c r="CY262" s="305"/>
      <c r="CZ262" s="305"/>
      <c r="DA262" s="305"/>
      <c r="DB262" s="305"/>
      <c r="DC262" s="305"/>
      <c r="DD262" s="305"/>
      <c r="DE262" s="305"/>
      <c r="DF262" s="305"/>
      <c r="DG262" s="305"/>
      <c r="DH262" s="305"/>
      <c r="DI262" s="305"/>
      <c r="DJ262" s="305"/>
      <c r="DK262" s="305"/>
      <c r="DL262" s="305"/>
      <c r="DM262" s="305"/>
      <c r="DN262" s="305"/>
      <c r="DO262" s="305"/>
      <c r="DP262" s="305"/>
      <c r="DQ262" s="305"/>
      <c r="DR262" s="305"/>
      <c r="DS262" s="305"/>
      <c r="DT262" s="305"/>
      <c r="DU262" s="305"/>
      <c r="DV262" s="305"/>
      <c r="DW262" s="305"/>
      <c r="DX262" s="305"/>
      <c r="DY262" s="305"/>
      <c r="DZ262" s="305"/>
      <c r="EA262" s="305"/>
      <c r="EB262" s="305"/>
      <c r="EC262" s="305"/>
      <c r="ED262" s="305"/>
      <c r="EE262" s="305"/>
      <c r="EF262" s="305"/>
      <c r="EG262" s="305"/>
      <c r="EH262" s="305"/>
      <c r="EI262" s="305"/>
      <c r="EJ262" s="305"/>
      <c r="EK262" s="305"/>
      <c r="EL262" s="305"/>
      <c r="EM262" s="305"/>
      <c r="EN262" s="305"/>
      <c r="EO262" s="305"/>
      <c r="EP262" s="305"/>
      <c r="EQ262" s="305"/>
      <c r="ER262" s="305"/>
      <c r="ES262" s="305"/>
      <c r="ET262" s="305"/>
      <c r="EU262" s="305"/>
      <c r="EV262" s="305"/>
      <c r="EW262" s="305"/>
      <c r="EX262" s="305"/>
      <c r="EY262" s="305"/>
      <c r="EZ262" s="305"/>
      <c r="FA262" s="305"/>
      <c r="FB262" s="305"/>
      <c r="FC262" s="305"/>
      <c r="FD262" s="305"/>
      <c r="FE262" s="305"/>
      <c r="FF262" s="305"/>
      <c r="FG262" s="305"/>
      <c r="FH262" s="305"/>
      <c r="FI262" s="305"/>
      <c r="FJ262" s="305"/>
      <c r="FK262" s="305"/>
      <c r="FL262" s="305"/>
      <c r="FM262" s="305"/>
      <c r="FN262" s="305"/>
      <c r="FO262" s="305"/>
      <c r="FP262" s="305"/>
      <c r="FQ262" s="305"/>
      <c r="FR262" s="305"/>
      <c r="FS262" s="305"/>
      <c r="FT262" s="305"/>
      <c r="FU262" s="305"/>
      <c r="FV262" s="305"/>
      <c r="FW262" s="305"/>
      <c r="FX262" s="305"/>
      <c r="FY262" s="305"/>
      <c r="FZ262" s="305"/>
      <c r="GA262" s="305"/>
      <c r="GB262" s="305"/>
      <c r="GC262" s="305"/>
      <c r="GD262" s="305"/>
      <c r="GE262" s="305"/>
      <c r="GF262" s="305"/>
      <c r="GG262" s="305"/>
      <c r="GH262" s="305"/>
      <c r="GI262" s="305"/>
      <c r="GJ262" s="305"/>
      <c r="GK262" s="305"/>
      <c r="GL262" s="305"/>
      <c r="GM262" s="305"/>
      <c r="GN262" s="305"/>
      <c r="GO262" s="305"/>
      <c r="GP262" s="305"/>
      <c r="GQ262" s="305"/>
      <c r="GR262" s="305"/>
    </row>
    <row r="263" spans="3:200" s="318" customFormat="1" ht="12.75" customHeight="1" x14ac:dyDescent="0.2">
      <c r="C263" s="367"/>
      <c r="D263" s="403"/>
      <c r="E263" s="369"/>
      <c r="F263" s="369"/>
      <c r="G263" s="369"/>
      <c r="H263" s="369"/>
      <c r="I263" s="370"/>
      <c r="J263"/>
      <c r="K263" s="371"/>
      <c r="L263" s="371"/>
      <c r="M263" s="371"/>
      <c r="N263" s="371"/>
      <c r="O263" s="305"/>
      <c r="P263" s="305"/>
      <c r="Q263" s="305"/>
      <c r="R263" s="305"/>
      <c r="S263" s="305"/>
      <c r="T263" s="305"/>
      <c r="U263" s="305"/>
      <c r="V263" s="305"/>
      <c r="W263" s="305"/>
      <c r="X263" s="305"/>
      <c r="Y263" s="305"/>
      <c r="Z263" s="305"/>
      <c r="AA263" s="305"/>
      <c r="AB263" s="305"/>
      <c r="AC263" s="305"/>
      <c r="AD263" s="305"/>
      <c r="AE263" s="305"/>
      <c r="AF263" s="305"/>
      <c r="AG263" s="305"/>
      <c r="AH263" s="305"/>
      <c r="AI263" s="305"/>
      <c r="AJ263" s="305"/>
      <c r="AK263" s="305"/>
      <c r="AL263" s="305"/>
      <c r="AM263" s="305"/>
      <c r="AN263" s="305"/>
      <c r="AO263" s="305"/>
      <c r="AP263" s="305"/>
      <c r="AQ263" s="305"/>
      <c r="AR263" s="305"/>
      <c r="AS263" s="305"/>
      <c r="AT263" s="305"/>
      <c r="AU263" s="305"/>
      <c r="AV263" s="305"/>
      <c r="AW263" s="305"/>
      <c r="AX263" s="305"/>
      <c r="AY263" s="305"/>
      <c r="AZ263" s="305"/>
      <c r="BA263" s="305"/>
      <c r="BB263" s="305"/>
      <c r="BC263" s="305"/>
      <c r="BD263" s="305"/>
      <c r="BE263" s="305"/>
      <c r="BF263" s="305"/>
      <c r="BG263" s="305"/>
      <c r="BH263" s="305"/>
      <c r="BI263" s="305"/>
      <c r="BJ263" s="305"/>
      <c r="BK263" s="305"/>
      <c r="BL263" s="305"/>
      <c r="BM263" s="305"/>
      <c r="BN263" s="305"/>
      <c r="BO263" s="305"/>
      <c r="BP263" s="305"/>
      <c r="BQ263" s="305"/>
      <c r="BR263" s="305"/>
      <c r="BS263" s="305"/>
      <c r="BT263" s="305"/>
      <c r="BU263" s="305"/>
      <c r="BV263" s="305"/>
      <c r="BW263" s="305"/>
      <c r="BX263" s="305"/>
      <c r="BY263" s="305"/>
      <c r="BZ263" s="305"/>
      <c r="CA263" s="305"/>
      <c r="CB263" s="305"/>
      <c r="CC263" s="305"/>
      <c r="CD263" s="305"/>
      <c r="CE263" s="305"/>
      <c r="CF263" s="305"/>
      <c r="CG263" s="305"/>
      <c r="CH263" s="305"/>
      <c r="CI263" s="305"/>
      <c r="CJ263" s="305"/>
      <c r="CK263" s="305"/>
      <c r="CL263" s="305"/>
      <c r="CM263" s="305"/>
      <c r="CN263" s="305"/>
      <c r="CO263" s="305"/>
      <c r="CP263" s="305"/>
      <c r="CQ263" s="305"/>
      <c r="CR263" s="305"/>
      <c r="CS263" s="305"/>
      <c r="CT263" s="305"/>
      <c r="CU263" s="305"/>
      <c r="CV263" s="305"/>
      <c r="CW263" s="305"/>
      <c r="CX263" s="305"/>
      <c r="CY263" s="305"/>
      <c r="CZ263" s="305"/>
      <c r="DA263" s="305"/>
      <c r="DB263" s="305"/>
      <c r="DC263" s="305"/>
      <c r="DD263" s="305"/>
      <c r="DE263" s="305"/>
      <c r="DF263" s="305"/>
      <c r="DG263" s="305"/>
      <c r="DH263" s="305"/>
      <c r="DI263" s="305"/>
      <c r="DJ263" s="305"/>
      <c r="DK263" s="305"/>
      <c r="DL263" s="305"/>
      <c r="DM263" s="305"/>
      <c r="DN263" s="305"/>
      <c r="DO263" s="305"/>
      <c r="DP263" s="305"/>
      <c r="DQ263" s="305"/>
      <c r="DR263" s="305"/>
      <c r="DS263" s="305"/>
      <c r="DT263" s="305"/>
      <c r="DU263" s="305"/>
      <c r="DV263" s="305"/>
      <c r="DW263" s="305"/>
      <c r="DX263" s="305"/>
      <c r="DY263" s="305"/>
      <c r="DZ263" s="305"/>
      <c r="EA263" s="305"/>
      <c r="EB263" s="305"/>
      <c r="EC263" s="305"/>
      <c r="ED263" s="305"/>
      <c r="EE263" s="305"/>
      <c r="EF263" s="305"/>
      <c r="EG263" s="305"/>
      <c r="EH263" s="305"/>
      <c r="EI263" s="305"/>
      <c r="EJ263" s="305"/>
      <c r="EK263" s="305"/>
      <c r="EL263" s="305"/>
      <c r="EM263" s="305"/>
      <c r="EN263" s="305"/>
      <c r="EO263" s="305"/>
      <c r="EP263" s="305"/>
      <c r="EQ263" s="305"/>
      <c r="ER263" s="305"/>
      <c r="ES263" s="305"/>
      <c r="ET263" s="305"/>
      <c r="EU263" s="305"/>
      <c r="EV263" s="305"/>
      <c r="EW263" s="305"/>
      <c r="EX263" s="305"/>
      <c r="EY263" s="305"/>
      <c r="EZ263" s="305"/>
      <c r="FA263" s="305"/>
      <c r="FB263" s="305"/>
      <c r="FC263" s="305"/>
      <c r="FD263" s="305"/>
      <c r="FE263" s="305"/>
      <c r="FF263" s="305"/>
      <c r="FG263" s="305"/>
      <c r="FH263" s="305"/>
      <c r="FI263" s="305"/>
      <c r="FJ263" s="305"/>
      <c r="FK263" s="305"/>
      <c r="FL263" s="305"/>
      <c r="FM263" s="305"/>
      <c r="FN263" s="305"/>
      <c r="FO263" s="305"/>
      <c r="FP263" s="305"/>
      <c r="FQ263" s="305"/>
      <c r="FR263" s="305"/>
      <c r="FS263" s="305"/>
      <c r="FT263" s="305"/>
      <c r="FU263" s="305"/>
      <c r="FV263" s="305"/>
      <c r="FW263" s="305"/>
      <c r="FX263" s="305"/>
      <c r="FY263" s="305"/>
      <c r="FZ263" s="305"/>
      <c r="GA263" s="305"/>
      <c r="GB263" s="305"/>
      <c r="GC263" s="305"/>
      <c r="GD263" s="305"/>
      <c r="GE263" s="305"/>
      <c r="GF263" s="305"/>
      <c r="GG263" s="305"/>
      <c r="GH263" s="305"/>
      <c r="GI263" s="305"/>
      <c r="GJ263" s="305"/>
      <c r="GK263" s="305"/>
      <c r="GL263" s="305"/>
      <c r="GM263" s="305"/>
      <c r="GN263" s="305"/>
      <c r="GO263" s="305"/>
      <c r="GP263" s="305"/>
      <c r="GQ263" s="305"/>
      <c r="GR263" s="305"/>
    </row>
    <row r="264" spans="3:200" s="318" customFormat="1" ht="12.75" customHeight="1" x14ac:dyDescent="0.2">
      <c r="C264" s="367"/>
      <c r="D264" s="403"/>
      <c r="E264" s="369"/>
      <c r="F264" s="369"/>
      <c r="G264" s="369"/>
      <c r="H264" s="369"/>
      <c r="I264" s="370"/>
      <c r="J264"/>
      <c r="K264" s="371"/>
      <c r="L264" s="371"/>
      <c r="M264" s="371"/>
      <c r="N264" s="371"/>
      <c r="O264" s="305"/>
      <c r="P264" s="305"/>
      <c r="Q264" s="305"/>
      <c r="R264" s="305"/>
      <c r="S264" s="305"/>
      <c r="T264" s="305"/>
      <c r="U264" s="305"/>
      <c r="V264" s="305"/>
      <c r="W264" s="305"/>
      <c r="X264" s="305"/>
      <c r="Y264" s="305"/>
      <c r="Z264" s="305"/>
      <c r="AA264" s="305"/>
      <c r="AB264" s="305"/>
      <c r="AC264" s="305"/>
      <c r="AD264" s="305"/>
      <c r="AE264" s="305"/>
      <c r="AF264" s="305"/>
      <c r="AG264" s="305"/>
      <c r="AH264" s="305"/>
      <c r="AI264" s="305"/>
      <c r="AJ264" s="305"/>
      <c r="AK264" s="305"/>
      <c r="AL264" s="305"/>
      <c r="AM264" s="305"/>
      <c r="AN264" s="305"/>
      <c r="AO264" s="305"/>
      <c r="AP264" s="305"/>
      <c r="AQ264" s="305"/>
      <c r="AR264" s="305"/>
      <c r="AS264" s="305"/>
      <c r="AT264" s="305"/>
      <c r="AU264" s="305"/>
      <c r="AV264" s="305"/>
      <c r="AW264" s="305"/>
      <c r="AX264" s="305"/>
      <c r="AY264" s="305"/>
      <c r="AZ264" s="305"/>
      <c r="BA264" s="305"/>
      <c r="BB264" s="305"/>
      <c r="BC264" s="305"/>
      <c r="BD264" s="305"/>
      <c r="BE264" s="305"/>
      <c r="BF264" s="305"/>
      <c r="BG264" s="305"/>
      <c r="BH264" s="305"/>
      <c r="BI264" s="305"/>
      <c r="BJ264" s="305"/>
      <c r="BK264" s="305"/>
      <c r="BL264" s="305"/>
      <c r="BM264" s="305"/>
      <c r="BN264" s="305"/>
      <c r="BO264" s="305"/>
      <c r="BP264" s="305"/>
      <c r="BQ264" s="305"/>
      <c r="BR264" s="305"/>
      <c r="BS264" s="305"/>
      <c r="BT264" s="305"/>
      <c r="BU264" s="305"/>
      <c r="BV264" s="305"/>
      <c r="BW264" s="305"/>
      <c r="BX264" s="305"/>
      <c r="BY264" s="305"/>
      <c r="BZ264" s="305"/>
      <c r="CA264" s="305"/>
      <c r="CB264" s="305"/>
      <c r="CC264" s="305"/>
      <c r="CD264" s="305"/>
      <c r="CE264" s="305"/>
      <c r="CF264" s="305"/>
      <c r="CG264" s="305"/>
      <c r="CH264" s="305"/>
      <c r="CI264" s="305"/>
      <c r="CJ264" s="305"/>
      <c r="CK264" s="305"/>
      <c r="CL264" s="305"/>
      <c r="CM264" s="305"/>
      <c r="CN264" s="305"/>
      <c r="CO264" s="305"/>
      <c r="CP264" s="305"/>
      <c r="CQ264" s="305"/>
      <c r="CR264" s="305"/>
      <c r="CS264" s="305"/>
      <c r="CT264" s="305"/>
      <c r="CU264" s="305"/>
      <c r="CV264" s="305"/>
      <c r="CW264" s="305"/>
      <c r="CX264" s="305"/>
      <c r="CY264" s="305"/>
      <c r="CZ264" s="305"/>
      <c r="DA264" s="305"/>
      <c r="DB264" s="305"/>
      <c r="DC264" s="305"/>
      <c r="DD264" s="305"/>
      <c r="DE264" s="305"/>
      <c r="DF264" s="305"/>
      <c r="DG264" s="305"/>
      <c r="DH264" s="305"/>
      <c r="DI264" s="305"/>
      <c r="DJ264" s="305"/>
      <c r="DK264" s="305"/>
      <c r="DL264" s="305"/>
      <c r="DM264" s="305"/>
      <c r="DN264" s="305"/>
      <c r="DO264" s="305"/>
      <c r="DP264" s="305"/>
      <c r="DQ264" s="305"/>
      <c r="DR264" s="305"/>
      <c r="DS264" s="305"/>
      <c r="DT264" s="305"/>
      <c r="DU264" s="305"/>
      <c r="DV264" s="305"/>
      <c r="DW264" s="305"/>
      <c r="DX264" s="305"/>
      <c r="DY264" s="305"/>
      <c r="DZ264" s="305"/>
      <c r="EA264" s="305"/>
      <c r="EB264" s="305"/>
      <c r="EC264" s="305"/>
      <c r="ED264" s="305"/>
      <c r="EE264" s="305"/>
      <c r="EF264" s="305"/>
      <c r="EG264" s="305"/>
      <c r="EH264" s="305"/>
      <c r="EI264" s="305"/>
      <c r="EJ264" s="305"/>
      <c r="EK264" s="305"/>
      <c r="EL264" s="305"/>
      <c r="EM264" s="305"/>
      <c r="EN264" s="305"/>
      <c r="EO264" s="305"/>
      <c r="EP264" s="305"/>
      <c r="EQ264" s="305"/>
      <c r="ER264" s="305"/>
      <c r="ES264" s="305"/>
      <c r="ET264" s="305"/>
      <c r="EU264" s="305"/>
      <c r="EV264" s="305"/>
      <c r="EW264" s="305"/>
      <c r="EX264" s="305"/>
      <c r="EY264" s="305"/>
      <c r="EZ264" s="305"/>
      <c r="FA264" s="305"/>
      <c r="FB264" s="305"/>
      <c r="FC264" s="305"/>
      <c r="FD264" s="305"/>
      <c r="FE264" s="305"/>
      <c r="FF264" s="305"/>
      <c r="FG264" s="305"/>
      <c r="FH264" s="305"/>
      <c r="FI264" s="305"/>
      <c r="FJ264" s="305"/>
      <c r="FK264" s="305"/>
      <c r="FL264" s="305"/>
      <c r="FM264" s="305"/>
      <c r="FN264" s="305"/>
      <c r="FO264" s="305"/>
      <c r="FP264" s="305"/>
      <c r="FQ264" s="305"/>
      <c r="FR264" s="305"/>
      <c r="FS264" s="305"/>
      <c r="FT264" s="305"/>
      <c r="FU264" s="305"/>
      <c r="FV264" s="305"/>
      <c r="FW264" s="305"/>
      <c r="FX264" s="305"/>
      <c r="FY264" s="305"/>
      <c r="FZ264" s="305"/>
      <c r="GA264" s="305"/>
      <c r="GB264" s="305"/>
      <c r="GC264" s="305"/>
      <c r="GD264" s="305"/>
      <c r="GE264" s="305"/>
      <c r="GF264" s="305"/>
      <c r="GG264" s="305"/>
      <c r="GH264" s="305"/>
      <c r="GI264" s="305"/>
      <c r="GJ264" s="305"/>
      <c r="GK264" s="305"/>
      <c r="GL264" s="305"/>
      <c r="GM264" s="305"/>
      <c r="GN264" s="305"/>
      <c r="GO264" s="305"/>
      <c r="GP264" s="305"/>
      <c r="GQ264" s="305"/>
      <c r="GR264" s="305"/>
    </row>
    <row r="265" spans="3:200" s="318" customFormat="1" ht="12.75" customHeight="1" x14ac:dyDescent="0.2">
      <c r="C265" s="367"/>
      <c r="D265" s="403"/>
      <c r="E265" s="369"/>
      <c r="F265" s="369"/>
      <c r="G265" s="369"/>
      <c r="H265" s="369"/>
      <c r="I265" s="370"/>
      <c r="J265"/>
      <c r="K265" s="371"/>
      <c r="L265" s="371"/>
      <c r="M265" s="371"/>
      <c r="N265" s="371"/>
      <c r="O265" s="305"/>
      <c r="P265" s="305"/>
      <c r="Q265" s="305"/>
      <c r="R265" s="305"/>
      <c r="S265" s="305"/>
      <c r="T265" s="305"/>
      <c r="U265" s="305"/>
      <c r="V265" s="305"/>
      <c r="W265" s="305"/>
      <c r="X265" s="305"/>
      <c r="Y265" s="305"/>
      <c r="Z265" s="305"/>
      <c r="AA265" s="305"/>
      <c r="AB265" s="305"/>
      <c r="AC265" s="305"/>
      <c r="AD265" s="305"/>
      <c r="AE265" s="305"/>
      <c r="AF265" s="305"/>
      <c r="AG265" s="305"/>
      <c r="AH265" s="305"/>
      <c r="AI265" s="305"/>
      <c r="AJ265" s="305"/>
      <c r="AK265" s="305"/>
      <c r="AL265" s="305"/>
      <c r="AM265" s="305"/>
      <c r="AN265" s="305"/>
      <c r="AO265" s="305"/>
      <c r="AP265" s="305"/>
      <c r="AQ265" s="305"/>
      <c r="AR265" s="305"/>
      <c r="AS265" s="305"/>
      <c r="AT265" s="305"/>
      <c r="AU265" s="305"/>
      <c r="AV265" s="305"/>
      <c r="AW265" s="305"/>
      <c r="AX265" s="305"/>
      <c r="AY265" s="305"/>
      <c r="AZ265" s="305"/>
      <c r="BA265" s="305"/>
      <c r="BB265" s="305"/>
      <c r="BC265" s="305"/>
      <c r="BD265" s="305"/>
      <c r="BE265" s="305"/>
      <c r="BF265" s="305"/>
      <c r="BG265" s="305"/>
      <c r="BH265" s="305"/>
      <c r="BI265" s="305"/>
      <c r="BJ265" s="305"/>
      <c r="BK265" s="305"/>
      <c r="BL265" s="305"/>
      <c r="BM265" s="305"/>
      <c r="BN265" s="305"/>
      <c r="BO265" s="305"/>
      <c r="BP265" s="305"/>
      <c r="BQ265" s="305"/>
      <c r="BR265" s="305"/>
      <c r="BS265" s="305"/>
      <c r="BT265" s="305"/>
      <c r="BU265" s="305"/>
      <c r="BV265" s="305"/>
      <c r="BW265" s="305"/>
      <c r="BX265" s="305"/>
      <c r="BY265" s="305"/>
      <c r="BZ265" s="305"/>
      <c r="CA265" s="305"/>
      <c r="CB265" s="305"/>
      <c r="CC265" s="305"/>
      <c r="CD265" s="305"/>
      <c r="CE265" s="305"/>
      <c r="CF265" s="305"/>
      <c r="CG265" s="305"/>
      <c r="CH265" s="305"/>
      <c r="CI265" s="305"/>
      <c r="CJ265" s="305"/>
      <c r="CK265" s="305"/>
      <c r="CL265" s="305"/>
      <c r="CM265" s="305"/>
      <c r="CN265" s="305"/>
      <c r="CO265" s="305"/>
      <c r="CP265" s="305"/>
      <c r="CQ265" s="305"/>
      <c r="CR265" s="305"/>
      <c r="CS265" s="305"/>
      <c r="CT265" s="305"/>
      <c r="CU265" s="305"/>
      <c r="CV265" s="305"/>
      <c r="CW265" s="305"/>
      <c r="CX265" s="305"/>
      <c r="CY265" s="305"/>
      <c r="CZ265" s="305"/>
      <c r="DA265" s="305"/>
      <c r="DB265" s="305"/>
      <c r="DC265" s="305"/>
      <c r="DD265" s="305"/>
      <c r="DE265" s="305"/>
      <c r="DF265" s="305"/>
      <c r="DG265" s="305"/>
      <c r="DH265" s="305"/>
      <c r="DI265" s="305"/>
      <c r="DJ265" s="305"/>
      <c r="DK265" s="305"/>
      <c r="DL265" s="305"/>
      <c r="DM265" s="305"/>
      <c r="DN265" s="305"/>
      <c r="DO265" s="305"/>
      <c r="DP265" s="305"/>
      <c r="DQ265" s="305"/>
      <c r="DR265" s="305"/>
      <c r="DS265" s="305"/>
      <c r="DT265" s="305"/>
      <c r="DU265" s="305"/>
      <c r="DV265" s="305"/>
      <c r="DW265" s="305"/>
      <c r="DX265" s="305"/>
      <c r="DY265" s="305"/>
      <c r="DZ265" s="305"/>
      <c r="EA265" s="305"/>
      <c r="EB265" s="305"/>
      <c r="EC265" s="305"/>
      <c r="ED265" s="305"/>
      <c r="EE265" s="305"/>
      <c r="EF265" s="305"/>
      <c r="EG265" s="305"/>
      <c r="EH265" s="305"/>
      <c r="EI265" s="305"/>
      <c r="EJ265" s="305"/>
      <c r="EK265" s="305"/>
      <c r="EL265" s="305"/>
      <c r="EM265" s="305"/>
      <c r="EN265" s="305"/>
      <c r="EO265" s="305"/>
      <c r="EP265" s="305"/>
      <c r="EQ265" s="305"/>
      <c r="ER265" s="305"/>
      <c r="ES265" s="305"/>
      <c r="ET265" s="305"/>
      <c r="EU265" s="305"/>
      <c r="EV265" s="305"/>
      <c r="EW265" s="305"/>
      <c r="EX265" s="305"/>
      <c r="EY265" s="305"/>
      <c r="EZ265" s="305"/>
      <c r="FA265" s="305"/>
      <c r="FB265" s="305"/>
      <c r="FC265" s="305"/>
      <c r="FD265" s="305"/>
      <c r="FE265" s="305"/>
      <c r="FF265" s="305"/>
      <c r="FG265" s="305"/>
      <c r="FH265" s="305"/>
      <c r="FI265" s="305"/>
      <c r="FJ265" s="305"/>
      <c r="FK265" s="305"/>
      <c r="FL265" s="305"/>
      <c r="FM265" s="305"/>
      <c r="FN265" s="305"/>
      <c r="FO265" s="305"/>
      <c r="FP265" s="305"/>
      <c r="FQ265" s="305"/>
      <c r="FR265" s="305"/>
      <c r="FS265" s="305"/>
      <c r="FT265" s="305"/>
      <c r="FU265" s="305"/>
      <c r="FV265" s="305"/>
      <c r="FW265" s="305"/>
      <c r="FX265" s="305"/>
      <c r="FY265" s="305"/>
      <c r="FZ265" s="305"/>
      <c r="GA265" s="305"/>
      <c r="GB265" s="305"/>
      <c r="GC265" s="305"/>
      <c r="GD265" s="305"/>
      <c r="GE265" s="305"/>
      <c r="GF265" s="305"/>
      <c r="GG265" s="305"/>
      <c r="GH265" s="305"/>
      <c r="GI265" s="305"/>
      <c r="GJ265" s="305"/>
      <c r="GK265" s="305"/>
      <c r="GL265" s="305"/>
      <c r="GM265" s="305"/>
      <c r="GN265" s="305"/>
      <c r="GO265" s="305"/>
      <c r="GP265" s="305"/>
      <c r="GQ265" s="305"/>
      <c r="GR265" s="305"/>
    </row>
    <row r="266" spans="3:200" s="318" customFormat="1" ht="12.75" customHeight="1" x14ac:dyDescent="0.2">
      <c r="C266" s="367"/>
      <c r="D266" s="403"/>
      <c r="E266" s="369"/>
      <c r="F266" s="369"/>
      <c r="G266" s="369"/>
      <c r="H266" s="369"/>
      <c r="I266" s="370"/>
      <c r="J266"/>
      <c r="K266" s="371"/>
      <c r="L266" s="371"/>
      <c r="M266" s="371"/>
      <c r="N266" s="371"/>
      <c r="O266" s="305"/>
      <c r="P266" s="305"/>
      <c r="Q266" s="305"/>
      <c r="R266" s="305"/>
      <c r="S266" s="305"/>
      <c r="T266" s="305"/>
      <c r="U266" s="305"/>
      <c r="V266" s="305"/>
      <c r="W266" s="305"/>
      <c r="X266" s="305"/>
      <c r="Y266" s="305"/>
      <c r="Z266" s="305"/>
      <c r="AA266" s="305"/>
      <c r="AB266" s="305"/>
      <c r="AC266" s="305"/>
      <c r="AD266" s="305"/>
      <c r="AE266" s="305"/>
      <c r="AF266" s="305"/>
      <c r="AG266" s="305"/>
      <c r="AH266" s="305"/>
      <c r="AI266" s="305"/>
      <c r="AJ266" s="305"/>
      <c r="AK266" s="305"/>
      <c r="AL266" s="305"/>
      <c r="AM266" s="305"/>
      <c r="AN266" s="305"/>
      <c r="AO266" s="305"/>
      <c r="AP266" s="305"/>
      <c r="AQ266" s="305"/>
      <c r="AR266" s="305"/>
      <c r="AS266" s="305"/>
      <c r="AT266" s="305"/>
      <c r="AU266" s="305"/>
      <c r="AV266" s="305"/>
      <c r="AW266" s="305"/>
      <c r="AX266" s="305"/>
      <c r="AY266" s="305"/>
      <c r="AZ266" s="305"/>
      <c r="BA266" s="305"/>
      <c r="BB266" s="305"/>
      <c r="BC266" s="305"/>
      <c r="BD266" s="305"/>
      <c r="BE266" s="305"/>
      <c r="BF266" s="305"/>
      <c r="BG266" s="305"/>
      <c r="BH266" s="305"/>
      <c r="BI266" s="305"/>
      <c r="BJ266" s="305"/>
      <c r="BK266" s="305"/>
      <c r="BL266" s="305"/>
      <c r="BM266" s="305"/>
      <c r="BN266" s="305"/>
      <c r="BO266" s="305"/>
      <c r="BP266" s="305"/>
      <c r="BQ266" s="305"/>
      <c r="BR266" s="305"/>
      <c r="BS266" s="305"/>
      <c r="BT266" s="305"/>
      <c r="BU266" s="305"/>
      <c r="BV266" s="305"/>
      <c r="BW266" s="305"/>
      <c r="BX266" s="305"/>
      <c r="BY266" s="305"/>
      <c r="BZ266" s="305"/>
      <c r="CA266" s="305"/>
      <c r="CB266" s="305"/>
      <c r="CC266" s="305"/>
      <c r="CD266" s="305"/>
      <c r="CE266" s="305"/>
      <c r="CF266" s="305"/>
      <c r="CG266" s="305"/>
      <c r="CH266" s="305"/>
      <c r="CI266" s="305"/>
      <c r="CJ266" s="305"/>
      <c r="CK266" s="305"/>
      <c r="CL266" s="305"/>
      <c r="CM266" s="305"/>
      <c r="CN266" s="305"/>
      <c r="CO266" s="305"/>
      <c r="CP266" s="305"/>
      <c r="CQ266" s="305"/>
      <c r="CR266" s="305"/>
      <c r="CS266" s="305"/>
      <c r="CT266" s="305"/>
      <c r="CU266" s="305"/>
      <c r="CV266" s="305"/>
      <c r="CW266" s="305"/>
      <c r="CX266" s="305"/>
      <c r="CY266" s="305"/>
      <c r="CZ266" s="305"/>
      <c r="DA266" s="305"/>
      <c r="DB266" s="305"/>
      <c r="DC266" s="305"/>
      <c r="DD266" s="305"/>
      <c r="DE266" s="305"/>
      <c r="DF266" s="305"/>
      <c r="DG266" s="305"/>
      <c r="DH266" s="305"/>
      <c r="DI266" s="305"/>
      <c r="DJ266" s="305"/>
      <c r="DK266" s="305"/>
      <c r="DL266" s="305"/>
      <c r="DM266" s="305"/>
      <c r="DN266" s="305"/>
      <c r="DO266" s="305"/>
      <c r="DP266" s="305"/>
      <c r="DQ266" s="305"/>
      <c r="DR266" s="305"/>
      <c r="DS266" s="305"/>
      <c r="DT266" s="305"/>
      <c r="DU266" s="305"/>
      <c r="DV266" s="305"/>
      <c r="DW266" s="305"/>
      <c r="DX266" s="305"/>
      <c r="DY266" s="305"/>
      <c r="DZ266" s="305"/>
      <c r="EA266" s="305"/>
      <c r="EB266" s="305"/>
      <c r="EC266" s="305"/>
      <c r="ED266" s="305"/>
      <c r="EE266" s="305"/>
      <c r="EF266" s="305"/>
      <c r="EG266" s="305"/>
      <c r="EH266" s="305"/>
      <c r="EI266" s="305"/>
      <c r="EJ266" s="305"/>
      <c r="EK266" s="305"/>
      <c r="EL266" s="305"/>
      <c r="EM266" s="305"/>
      <c r="EN266" s="305"/>
      <c r="EO266" s="305"/>
      <c r="EP266" s="305"/>
      <c r="EQ266" s="305"/>
      <c r="ER266" s="305"/>
      <c r="ES266" s="305"/>
      <c r="ET266" s="305"/>
      <c r="EU266" s="305"/>
      <c r="EV266" s="305"/>
      <c r="EW266" s="305"/>
      <c r="EX266" s="305"/>
      <c r="EY266" s="305"/>
      <c r="EZ266" s="305"/>
      <c r="FA266" s="305"/>
      <c r="FB266" s="305"/>
      <c r="FC266" s="305"/>
      <c r="FD266" s="305"/>
      <c r="FE266" s="305"/>
      <c r="FF266" s="305"/>
      <c r="FG266" s="305"/>
      <c r="FH266" s="305"/>
      <c r="FI266" s="305"/>
      <c r="FJ266" s="305"/>
      <c r="FK266" s="305"/>
      <c r="FL266" s="305"/>
      <c r="FM266" s="305"/>
      <c r="FN266" s="305"/>
      <c r="FO266" s="305"/>
      <c r="FP266" s="305"/>
      <c r="FQ266" s="305"/>
      <c r="FR266" s="305"/>
      <c r="FS266" s="305"/>
      <c r="FT266" s="305"/>
      <c r="FU266" s="305"/>
      <c r="FV266" s="305"/>
      <c r="FW266" s="305"/>
      <c r="FX266" s="305"/>
      <c r="FY266" s="305"/>
      <c r="FZ266" s="305"/>
      <c r="GA266" s="305"/>
      <c r="GB266" s="305"/>
      <c r="GC266" s="305"/>
      <c r="GD266" s="305"/>
      <c r="GE266" s="305"/>
      <c r="GF266" s="305"/>
      <c r="GG266" s="305"/>
      <c r="GH266" s="305"/>
      <c r="GI266" s="305"/>
      <c r="GJ266" s="305"/>
      <c r="GK266" s="305"/>
      <c r="GL266" s="305"/>
      <c r="GM266" s="305"/>
      <c r="GN266" s="305"/>
      <c r="GO266" s="305"/>
      <c r="GP266" s="305"/>
      <c r="GQ266" s="305"/>
      <c r="GR266" s="305"/>
    </row>
    <row r="267" spans="3:200" s="318" customFormat="1" ht="12.75" customHeight="1" x14ac:dyDescent="0.2">
      <c r="C267" s="367"/>
      <c r="D267" s="403"/>
      <c r="E267" s="369"/>
      <c r="F267" s="369"/>
      <c r="G267" s="369"/>
      <c r="H267" s="369"/>
      <c r="I267" s="370"/>
      <c r="J267"/>
      <c r="K267" s="371"/>
      <c r="L267" s="371"/>
      <c r="M267" s="371"/>
      <c r="N267" s="371"/>
      <c r="O267" s="305"/>
      <c r="P267" s="305"/>
      <c r="Q267" s="305"/>
      <c r="R267" s="305"/>
      <c r="S267" s="305"/>
      <c r="T267" s="305"/>
      <c r="U267" s="305"/>
      <c r="V267" s="305"/>
      <c r="W267" s="305"/>
      <c r="X267" s="305"/>
      <c r="Y267" s="305"/>
      <c r="Z267" s="305"/>
      <c r="AA267" s="305"/>
      <c r="AB267" s="305"/>
      <c r="AC267" s="305"/>
      <c r="AD267" s="305"/>
      <c r="AE267" s="305"/>
      <c r="AF267" s="305"/>
      <c r="AG267" s="305"/>
      <c r="AH267" s="305"/>
      <c r="AI267" s="305"/>
      <c r="AJ267" s="305"/>
      <c r="AK267" s="305"/>
      <c r="AL267" s="305"/>
      <c r="AM267" s="305"/>
      <c r="AN267" s="305"/>
      <c r="AO267" s="305"/>
      <c r="AP267" s="305"/>
      <c r="AQ267" s="305"/>
      <c r="AR267" s="305"/>
      <c r="AS267" s="305"/>
      <c r="AT267" s="305"/>
      <c r="AU267" s="305"/>
      <c r="AV267" s="305"/>
      <c r="AW267" s="305"/>
      <c r="AX267" s="305"/>
      <c r="AY267" s="305"/>
      <c r="AZ267" s="305"/>
      <c r="BA267" s="305"/>
      <c r="BB267" s="305"/>
      <c r="BC267" s="305"/>
      <c r="BD267" s="305"/>
      <c r="BE267" s="305"/>
      <c r="BF267" s="305"/>
      <c r="BG267" s="305"/>
      <c r="BH267" s="305"/>
      <c r="BI267" s="305"/>
      <c r="BJ267" s="305"/>
      <c r="BK267" s="305"/>
      <c r="BL267" s="305"/>
      <c r="BM267" s="305"/>
      <c r="BN267" s="305"/>
      <c r="BO267" s="305"/>
      <c r="BP267" s="305"/>
      <c r="BQ267" s="305"/>
      <c r="BR267" s="305"/>
      <c r="BS267" s="305"/>
      <c r="BT267" s="305"/>
      <c r="BU267" s="305"/>
      <c r="BV267" s="305"/>
      <c r="BW267" s="305"/>
      <c r="BX267" s="305"/>
      <c r="BY267" s="305"/>
      <c r="BZ267" s="305"/>
      <c r="CA267" s="305"/>
      <c r="CB267" s="305"/>
      <c r="CC267" s="305"/>
      <c r="CD267" s="305"/>
      <c r="CE267" s="305"/>
      <c r="CF267" s="305"/>
      <c r="CG267" s="305"/>
      <c r="CH267" s="305"/>
      <c r="CI267" s="305"/>
      <c r="CJ267" s="305"/>
      <c r="CK267" s="305"/>
      <c r="CL267" s="305"/>
      <c r="CM267" s="305"/>
      <c r="CN267" s="305"/>
      <c r="CO267" s="305"/>
      <c r="CP267" s="305"/>
      <c r="CQ267" s="305"/>
      <c r="CR267" s="305"/>
      <c r="CS267" s="305"/>
      <c r="CT267" s="305"/>
      <c r="CU267" s="305"/>
      <c r="CV267" s="305"/>
      <c r="CW267" s="305"/>
      <c r="CX267" s="305"/>
      <c r="CY267" s="305"/>
      <c r="CZ267" s="305"/>
      <c r="DA267" s="305"/>
      <c r="DB267" s="305"/>
      <c r="DC267" s="305"/>
      <c r="DD267" s="305"/>
      <c r="DE267" s="305"/>
      <c r="DF267" s="305"/>
      <c r="DG267" s="305"/>
      <c r="DH267" s="305"/>
      <c r="DI267" s="305"/>
      <c r="DJ267" s="305"/>
      <c r="DK267" s="305"/>
      <c r="DL267" s="305"/>
      <c r="DM267" s="305"/>
      <c r="DN267" s="305"/>
      <c r="DO267" s="305"/>
      <c r="DP267" s="305"/>
      <c r="DQ267" s="305"/>
      <c r="DR267" s="305"/>
      <c r="DS267" s="305"/>
      <c r="DT267" s="305"/>
      <c r="DU267" s="305"/>
      <c r="DV267" s="305"/>
      <c r="DW267" s="305"/>
      <c r="DX267" s="305"/>
      <c r="DY267" s="305"/>
      <c r="DZ267" s="305"/>
      <c r="EA267" s="305"/>
      <c r="EB267" s="305"/>
      <c r="EC267" s="305"/>
      <c r="ED267" s="305"/>
      <c r="EE267" s="305"/>
      <c r="EF267" s="305"/>
      <c r="EG267" s="305"/>
      <c r="EH267" s="305"/>
      <c r="EI267" s="305"/>
      <c r="EJ267" s="305"/>
      <c r="EK267" s="305"/>
      <c r="EL267" s="305"/>
      <c r="EM267" s="305"/>
      <c r="EN267" s="305"/>
      <c r="EO267" s="305"/>
      <c r="EP267" s="305"/>
      <c r="EQ267" s="305"/>
      <c r="ER267" s="305"/>
      <c r="ES267" s="305"/>
      <c r="ET267" s="305"/>
      <c r="EU267" s="305"/>
      <c r="EV267" s="305"/>
      <c r="EW267" s="305"/>
      <c r="EX267" s="305"/>
      <c r="EY267" s="305"/>
      <c r="EZ267" s="305"/>
      <c r="FA267" s="305"/>
      <c r="FB267" s="305"/>
      <c r="FC267" s="305"/>
      <c r="FD267" s="305"/>
      <c r="FE267" s="305"/>
      <c r="FF267" s="305"/>
      <c r="FG267" s="305"/>
      <c r="FH267" s="305"/>
      <c r="FI267" s="305"/>
      <c r="FJ267" s="305"/>
      <c r="FK267" s="305"/>
      <c r="FL267" s="305"/>
      <c r="FM267" s="305"/>
      <c r="FN267" s="305"/>
      <c r="FO267" s="305"/>
      <c r="FP267" s="305"/>
      <c r="FQ267" s="305"/>
      <c r="FR267" s="305"/>
      <c r="FS267" s="305"/>
      <c r="FT267" s="305"/>
      <c r="FU267" s="305"/>
      <c r="FV267" s="305"/>
      <c r="FW267" s="305"/>
      <c r="FX267" s="305"/>
      <c r="FY267" s="305"/>
      <c r="FZ267" s="305"/>
      <c r="GA267" s="305"/>
      <c r="GB267" s="305"/>
      <c r="GC267" s="305"/>
      <c r="GD267" s="305"/>
      <c r="GE267" s="305"/>
      <c r="GF267" s="305"/>
      <c r="GG267" s="305"/>
      <c r="GH267" s="305"/>
      <c r="GI267" s="305"/>
      <c r="GJ267" s="305"/>
      <c r="GK267" s="305"/>
      <c r="GL267" s="305"/>
      <c r="GM267" s="305"/>
      <c r="GN267" s="305"/>
      <c r="GO267" s="305"/>
      <c r="GP267" s="305"/>
      <c r="GQ267" s="305"/>
      <c r="GR267" s="305"/>
    </row>
    <row r="268" spans="3:200" s="318" customFormat="1" ht="12.75" customHeight="1" x14ac:dyDescent="0.2">
      <c r="C268" s="367"/>
      <c r="D268" s="403"/>
      <c r="E268" s="369"/>
      <c r="F268" s="369"/>
      <c r="G268" s="369"/>
      <c r="H268" s="369"/>
      <c r="I268" s="370"/>
      <c r="J268"/>
      <c r="K268" s="371"/>
      <c r="L268" s="371"/>
      <c r="M268" s="371"/>
      <c r="N268" s="371"/>
      <c r="O268" s="305"/>
      <c r="P268" s="305"/>
      <c r="Q268" s="305"/>
      <c r="R268" s="305"/>
      <c r="S268" s="305"/>
      <c r="T268" s="305"/>
      <c r="U268" s="305"/>
      <c r="V268" s="305"/>
      <c r="W268" s="305"/>
      <c r="X268" s="305"/>
      <c r="Y268" s="305"/>
      <c r="Z268" s="305"/>
      <c r="AA268" s="305"/>
      <c r="AB268" s="305"/>
      <c r="AC268" s="305"/>
      <c r="AD268" s="305"/>
      <c r="AE268" s="305"/>
      <c r="AF268" s="305"/>
      <c r="AG268" s="305"/>
      <c r="AH268" s="305"/>
      <c r="AI268" s="305"/>
      <c r="AJ268" s="305"/>
      <c r="AK268" s="305"/>
      <c r="AL268" s="305"/>
      <c r="AM268" s="305"/>
      <c r="AN268" s="305"/>
      <c r="AO268" s="305"/>
      <c r="AP268" s="305"/>
      <c r="AQ268" s="305"/>
      <c r="AR268" s="305"/>
      <c r="AS268" s="305"/>
      <c r="AT268" s="305"/>
      <c r="AU268" s="305"/>
      <c r="AV268" s="305"/>
      <c r="AW268" s="305"/>
      <c r="AX268" s="305"/>
      <c r="AY268" s="305"/>
      <c r="AZ268" s="305"/>
      <c r="BA268" s="305"/>
      <c r="BB268" s="305"/>
      <c r="BC268" s="305"/>
      <c r="BD268" s="305"/>
      <c r="BE268" s="305"/>
      <c r="BF268" s="305"/>
      <c r="BG268" s="305"/>
      <c r="BH268" s="305"/>
      <c r="BI268" s="305"/>
      <c r="BJ268" s="305"/>
      <c r="BK268" s="305"/>
      <c r="BL268" s="305"/>
      <c r="BM268" s="305"/>
      <c r="BN268" s="305"/>
      <c r="BO268" s="305"/>
      <c r="BP268" s="305"/>
      <c r="BQ268" s="305"/>
      <c r="BR268" s="305"/>
      <c r="BS268" s="305"/>
      <c r="BT268" s="305"/>
      <c r="BU268" s="305"/>
      <c r="BV268" s="305"/>
      <c r="BW268" s="305"/>
      <c r="BX268" s="305"/>
      <c r="BY268" s="305"/>
      <c r="BZ268" s="305"/>
      <c r="CA268" s="305"/>
      <c r="CB268" s="305"/>
      <c r="CC268" s="305"/>
      <c r="CD268" s="305"/>
      <c r="CE268" s="305"/>
      <c r="CF268" s="305"/>
      <c r="CG268" s="305"/>
      <c r="CH268" s="305"/>
      <c r="CI268" s="305"/>
      <c r="CJ268" s="305"/>
      <c r="CK268" s="305"/>
      <c r="CL268" s="305"/>
      <c r="CM268" s="305"/>
      <c r="CN268" s="305"/>
      <c r="CO268" s="305"/>
      <c r="CP268" s="305"/>
      <c r="CQ268" s="305"/>
      <c r="CR268" s="305"/>
      <c r="CS268" s="305"/>
      <c r="CT268" s="305"/>
      <c r="CU268" s="305"/>
      <c r="CV268" s="305"/>
      <c r="CW268" s="305"/>
      <c r="CX268" s="305"/>
      <c r="CY268" s="305"/>
      <c r="CZ268" s="305"/>
      <c r="DA268" s="305"/>
      <c r="DB268" s="305"/>
      <c r="DC268" s="305"/>
      <c r="DD268" s="305"/>
      <c r="DE268" s="305"/>
      <c r="DF268" s="305"/>
      <c r="DG268" s="305"/>
      <c r="DH268" s="305"/>
      <c r="DI268" s="305"/>
      <c r="DJ268" s="305"/>
      <c r="DK268" s="305"/>
      <c r="DL268" s="305"/>
      <c r="DM268" s="305"/>
      <c r="DN268" s="305"/>
      <c r="DO268" s="305"/>
      <c r="DP268" s="305"/>
      <c r="DQ268" s="305"/>
      <c r="DR268" s="305"/>
      <c r="DS268" s="305"/>
      <c r="DT268" s="305"/>
      <c r="DU268" s="305"/>
      <c r="DV268" s="305"/>
      <c r="DW268" s="305"/>
      <c r="DX268" s="305"/>
      <c r="DY268" s="305"/>
      <c r="DZ268" s="305"/>
      <c r="EA268" s="305"/>
      <c r="EB268" s="305"/>
      <c r="EC268" s="305"/>
      <c r="ED268" s="305"/>
      <c r="EE268" s="305"/>
      <c r="EF268" s="305"/>
      <c r="EG268" s="305"/>
      <c r="EH268" s="305"/>
      <c r="EI268" s="305"/>
      <c r="EJ268" s="305"/>
      <c r="EK268" s="305"/>
      <c r="EL268" s="305"/>
      <c r="EM268" s="305"/>
      <c r="EN268" s="305"/>
      <c r="EO268" s="305"/>
      <c r="EP268" s="305"/>
      <c r="EQ268" s="305"/>
      <c r="ER268" s="305"/>
      <c r="ES268" s="305"/>
      <c r="ET268" s="305"/>
      <c r="EU268" s="305"/>
      <c r="EV268" s="305"/>
      <c r="EW268" s="305"/>
      <c r="EX268" s="305"/>
      <c r="EY268" s="305"/>
      <c r="EZ268" s="305"/>
      <c r="FA268" s="305"/>
      <c r="FB268" s="305"/>
      <c r="FC268" s="305"/>
      <c r="FD268" s="305"/>
      <c r="FE268" s="305"/>
      <c r="FF268" s="305"/>
      <c r="FG268" s="305"/>
      <c r="FH268" s="305"/>
      <c r="FI268" s="305"/>
      <c r="FJ268" s="305"/>
      <c r="FK268" s="305"/>
      <c r="FL268" s="305"/>
      <c r="FM268" s="305"/>
      <c r="FN268" s="305"/>
      <c r="FO268" s="305"/>
      <c r="FP268" s="305"/>
      <c r="FQ268" s="305"/>
      <c r="FR268" s="305"/>
      <c r="FS268" s="305"/>
      <c r="FT268" s="305"/>
      <c r="FU268" s="305"/>
      <c r="FV268" s="305"/>
      <c r="FW268" s="305"/>
      <c r="FX268" s="305"/>
      <c r="FY268" s="305"/>
      <c r="FZ268" s="305"/>
      <c r="GA268" s="305"/>
      <c r="GB268" s="305"/>
      <c r="GC268" s="305"/>
      <c r="GD268" s="305"/>
      <c r="GE268" s="305"/>
      <c r="GF268" s="305"/>
      <c r="GG268" s="305"/>
      <c r="GH268" s="305"/>
      <c r="GI268" s="305"/>
      <c r="GJ268" s="305"/>
      <c r="GK268" s="305"/>
      <c r="GL268" s="305"/>
      <c r="GM268" s="305"/>
      <c r="GN268" s="305"/>
      <c r="GO268" s="305"/>
      <c r="GP268" s="305"/>
      <c r="GQ268" s="305"/>
      <c r="GR268" s="305"/>
    </row>
    <row r="269" spans="3:200" s="318" customFormat="1" ht="12.75" customHeight="1" x14ac:dyDescent="0.2">
      <c r="C269" s="367"/>
      <c r="D269" s="403"/>
      <c r="E269" s="369"/>
      <c r="F269" s="369"/>
      <c r="G269" s="369"/>
      <c r="H269" s="369"/>
      <c r="I269" s="370"/>
      <c r="J269"/>
      <c r="K269" s="371"/>
      <c r="L269" s="371"/>
      <c r="M269" s="371"/>
      <c r="N269" s="371"/>
      <c r="O269" s="305"/>
      <c r="P269" s="305"/>
      <c r="Q269" s="305"/>
      <c r="R269" s="305"/>
      <c r="S269" s="305"/>
      <c r="T269" s="305"/>
      <c r="U269" s="305"/>
      <c r="V269" s="305"/>
      <c r="W269" s="305"/>
      <c r="X269" s="305"/>
      <c r="Y269" s="305"/>
      <c r="Z269" s="305"/>
      <c r="AA269" s="305"/>
      <c r="AB269" s="305"/>
      <c r="AC269" s="305"/>
      <c r="AD269" s="305"/>
      <c r="AE269" s="305"/>
      <c r="AF269" s="305"/>
      <c r="AG269" s="305"/>
      <c r="AH269" s="305"/>
      <c r="AI269" s="305"/>
      <c r="AJ269" s="305"/>
      <c r="AK269" s="305"/>
      <c r="AL269" s="305"/>
      <c r="AM269" s="305"/>
      <c r="AN269" s="305"/>
      <c r="AO269" s="305"/>
      <c r="AP269" s="305"/>
      <c r="AQ269" s="305"/>
      <c r="AR269" s="305"/>
      <c r="AS269" s="305"/>
      <c r="AT269" s="305"/>
      <c r="AU269" s="305"/>
      <c r="AV269" s="305"/>
      <c r="AW269" s="305"/>
      <c r="AX269" s="305"/>
      <c r="AY269" s="305"/>
      <c r="AZ269" s="305"/>
      <c r="BA269" s="305"/>
      <c r="BB269" s="305"/>
      <c r="BC269" s="305"/>
      <c r="BD269" s="305"/>
      <c r="BE269" s="305"/>
      <c r="BF269" s="305"/>
      <c r="BG269" s="305"/>
      <c r="BH269" s="305"/>
      <c r="BI269" s="305"/>
      <c r="BJ269" s="305"/>
      <c r="BK269" s="305"/>
      <c r="BL269" s="305"/>
      <c r="BM269" s="305"/>
      <c r="BN269" s="305"/>
      <c r="BO269" s="305"/>
      <c r="BP269" s="305"/>
      <c r="BQ269" s="305"/>
      <c r="BR269" s="305"/>
      <c r="BS269" s="305"/>
      <c r="BT269" s="305"/>
      <c r="BU269" s="305"/>
      <c r="BV269" s="305"/>
      <c r="BW269" s="305"/>
      <c r="BX269" s="305"/>
      <c r="BY269" s="305"/>
      <c r="BZ269" s="305"/>
      <c r="CA269" s="305"/>
      <c r="CB269" s="305"/>
      <c r="CC269" s="305"/>
      <c r="CD269" s="305"/>
      <c r="CE269" s="305"/>
      <c r="CF269" s="305"/>
      <c r="CG269" s="305"/>
      <c r="CH269" s="305"/>
      <c r="CI269" s="305"/>
      <c r="CJ269" s="305"/>
      <c r="CK269" s="305"/>
      <c r="CL269" s="305"/>
      <c r="CM269" s="305"/>
      <c r="CN269" s="305"/>
      <c r="CO269" s="305"/>
      <c r="CP269" s="305"/>
      <c r="CQ269" s="305"/>
      <c r="CR269" s="305"/>
      <c r="CS269" s="305"/>
      <c r="CT269" s="305"/>
      <c r="CU269" s="305"/>
      <c r="CV269" s="305"/>
      <c r="CW269" s="305"/>
      <c r="CX269" s="305"/>
      <c r="CY269" s="305"/>
      <c r="CZ269" s="305"/>
      <c r="DA269" s="305"/>
      <c r="DB269" s="305"/>
      <c r="DC269" s="305"/>
      <c r="DD269" s="305"/>
      <c r="DE269" s="305"/>
      <c r="DF269" s="305"/>
      <c r="DG269" s="305"/>
      <c r="DH269" s="305"/>
      <c r="DI269" s="305"/>
      <c r="DJ269" s="305"/>
      <c r="DK269" s="305"/>
      <c r="DL269" s="305"/>
      <c r="DM269" s="305"/>
      <c r="DN269" s="305"/>
      <c r="DO269" s="305"/>
      <c r="DP269" s="305"/>
      <c r="DQ269" s="305"/>
      <c r="DR269" s="305"/>
      <c r="DS269" s="305"/>
      <c r="DT269" s="305"/>
      <c r="DU269" s="305"/>
      <c r="DV269" s="305"/>
      <c r="DW269" s="305"/>
      <c r="DX269" s="305"/>
      <c r="DY269" s="305"/>
      <c r="DZ269" s="305"/>
      <c r="EA269" s="305"/>
      <c r="EB269" s="305"/>
      <c r="EC269" s="305"/>
      <c r="ED269" s="305"/>
      <c r="EE269" s="305"/>
      <c r="EF269" s="305"/>
      <c r="EG269" s="305"/>
      <c r="EH269" s="305"/>
      <c r="EI269" s="305"/>
      <c r="EJ269" s="305"/>
      <c r="EK269" s="305"/>
      <c r="EL269" s="305"/>
      <c r="EM269" s="305"/>
      <c r="EN269" s="305"/>
      <c r="EO269" s="305"/>
      <c r="EP269" s="305"/>
      <c r="EQ269" s="305"/>
      <c r="ER269" s="305"/>
      <c r="ES269" s="305"/>
      <c r="ET269" s="305"/>
      <c r="EU269" s="305"/>
      <c r="EV269" s="305"/>
      <c r="EW269" s="305"/>
      <c r="EX269" s="305"/>
      <c r="EY269" s="305"/>
      <c r="EZ269" s="305"/>
      <c r="FA269" s="305"/>
      <c r="FB269" s="305"/>
      <c r="FC269" s="305"/>
      <c r="FD269" s="305"/>
      <c r="FE269" s="305"/>
      <c r="FF269" s="305"/>
      <c r="FG269" s="305"/>
      <c r="FH269" s="305"/>
      <c r="FI269" s="305"/>
      <c r="FJ269" s="305"/>
      <c r="FK269" s="305"/>
      <c r="FL269" s="305"/>
      <c r="FM269" s="305"/>
      <c r="FN269" s="305"/>
      <c r="FO269" s="305"/>
      <c r="FP269" s="305"/>
      <c r="FQ269" s="305"/>
      <c r="FR269" s="305"/>
      <c r="FS269" s="305"/>
      <c r="FT269" s="305"/>
      <c r="FU269" s="305"/>
      <c r="FV269" s="305"/>
      <c r="FW269" s="305"/>
      <c r="FX269" s="305"/>
      <c r="FY269" s="305"/>
      <c r="FZ269" s="305"/>
      <c r="GA269" s="305"/>
      <c r="GB269" s="305"/>
      <c r="GC269" s="305"/>
      <c r="GD269" s="305"/>
      <c r="GE269" s="305"/>
      <c r="GF269" s="305"/>
      <c r="GG269" s="305"/>
      <c r="GH269" s="305"/>
      <c r="GI269" s="305"/>
      <c r="GJ269" s="305"/>
      <c r="GK269" s="305"/>
      <c r="GL269" s="305"/>
      <c r="GM269" s="305"/>
      <c r="GN269" s="305"/>
      <c r="GO269" s="305"/>
      <c r="GP269" s="305"/>
      <c r="GQ269" s="305"/>
      <c r="GR269" s="305"/>
    </row>
    <row r="270" spans="3:200" s="318" customFormat="1" ht="12.75" customHeight="1" x14ac:dyDescent="0.2">
      <c r="C270" s="367"/>
      <c r="D270" s="403"/>
      <c r="E270" s="369"/>
      <c r="F270" s="369"/>
      <c r="G270" s="369"/>
      <c r="H270" s="369"/>
      <c r="I270" s="370"/>
      <c r="J270"/>
      <c r="K270" s="371"/>
      <c r="L270" s="371"/>
      <c r="M270" s="371"/>
      <c r="N270" s="371"/>
      <c r="O270" s="305"/>
      <c r="P270" s="305"/>
      <c r="Q270" s="305"/>
      <c r="R270" s="305"/>
      <c r="S270" s="305"/>
      <c r="T270" s="305"/>
      <c r="U270" s="305"/>
      <c r="V270" s="305"/>
      <c r="W270" s="305"/>
      <c r="X270" s="305"/>
      <c r="Y270" s="305"/>
      <c r="Z270" s="305"/>
      <c r="AA270" s="305"/>
      <c r="AB270" s="305"/>
      <c r="AC270" s="305"/>
      <c r="AD270" s="305"/>
      <c r="AE270" s="305"/>
      <c r="AF270" s="305"/>
      <c r="AG270" s="305"/>
      <c r="AH270" s="305"/>
      <c r="AI270" s="305"/>
      <c r="AJ270" s="305"/>
      <c r="AK270" s="305"/>
      <c r="AL270" s="305"/>
      <c r="AM270" s="305"/>
      <c r="AN270" s="305"/>
      <c r="AO270" s="305"/>
      <c r="AP270" s="305"/>
      <c r="AQ270" s="305"/>
      <c r="AR270" s="305"/>
      <c r="AS270" s="305"/>
      <c r="AT270" s="305"/>
      <c r="AU270" s="305"/>
      <c r="AV270" s="305"/>
      <c r="AW270" s="305"/>
      <c r="AX270" s="305"/>
      <c r="AY270" s="305"/>
      <c r="AZ270" s="305"/>
      <c r="BA270" s="305"/>
      <c r="BB270" s="305"/>
      <c r="BC270" s="305"/>
      <c r="BD270" s="305"/>
      <c r="BE270" s="305"/>
      <c r="BF270" s="305"/>
      <c r="BG270" s="305"/>
      <c r="BH270" s="305"/>
      <c r="BI270" s="305"/>
      <c r="BJ270" s="305"/>
      <c r="BK270" s="305"/>
      <c r="BL270" s="305"/>
      <c r="BM270" s="305"/>
      <c r="BN270" s="305"/>
      <c r="BO270" s="305"/>
      <c r="BP270" s="305"/>
      <c r="BQ270" s="305"/>
      <c r="BR270" s="305"/>
      <c r="BS270" s="305"/>
      <c r="BT270" s="305"/>
      <c r="BU270" s="305"/>
      <c r="BV270" s="305"/>
      <c r="BW270" s="305"/>
      <c r="BX270" s="305"/>
      <c r="BY270" s="305"/>
      <c r="BZ270" s="305"/>
      <c r="CA270" s="305"/>
      <c r="CB270" s="305"/>
      <c r="CC270" s="305"/>
      <c r="CD270" s="305"/>
      <c r="CE270" s="305"/>
      <c r="CF270" s="305"/>
      <c r="CG270" s="305"/>
      <c r="CH270" s="305"/>
      <c r="CI270" s="305"/>
      <c r="CJ270" s="305"/>
      <c r="CK270" s="305"/>
      <c r="CL270" s="305"/>
      <c r="CM270" s="305"/>
      <c r="CN270" s="305"/>
      <c r="CO270" s="305"/>
      <c r="CP270" s="305"/>
      <c r="CQ270" s="305"/>
      <c r="CR270" s="305"/>
      <c r="CS270" s="305"/>
      <c r="CT270" s="305"/>
      <c r="CU270" s="305"/>
      <c r="CV270" s="305"/>
      <c r="CW270" s="305"/>
      <c r="CX270" s="305"/>
      <c r="CY270" s="305"/>
      <c r="CZ270" s="305"/>
      <c r="DA270" s="305"/>
      <c r="DB270" s="305"/>
      <c r="DC270" s="305"/>
      <c r="DD270" s="305"/>
      <c r="DE270" s="305"/>
      <c r="DF270" s="305"/>
      <c r="DG270" s="305"/>
      <c r="DH270" s="305"/>
      <c r="DI270" s="305"/>
      <c r="DJ270" s="305"/>
      <c r="DK270" s="305"/>
      <c r="DL270" s="305"/>
      <c r="DM270" s="305"/>
      <c r="DN270" s="305"/>
      <c r="DO270" s="305"/>
      <c r="DP270" s="305"/>
      <c r="DQ270" s="305"/>
      <c r="DR270" s="305"/>
      <c r="DS270" s="305"/>
      <c r="DT270" s="305"/>
      <c r="DU270" s="305"/>
      <c r="DV270" s="305"/>
      <c r="DW270" s="305"/>
      <c r="DX270" s="305"/>
      <c r="DY270" s="305"/>
      <c r="DZ270" s="305"/>
      <c r="EA270" s="305"/>
      <c r="EB270" s="305"/>
      <c r="EC270" s="305"/>
      <c r="ED270" s="305"/>
      <c r="EE270" s="305"/>
      <c r="EF270" s="305"/>
      <c r="EG270" s="305"/>
      <c r="EH270" s="305"/>
      <c r="EI270" s="305"/>
      <c r="EJ270" s="305"/>
      <c r="EK270" s="305"/>
      <c r="EL270" s="305"/>
      <c r="EM270" s="305"/>
      <c r="EN270" s="305"/>
      <c r="EO270" s="305"/>
      <c r="EP270" s="305"/>
      <c r="EQ270" s="305"/>
      <c r="ER270" s="305"/>
      <c r="ES270" s="305"/>
      <c r="ET270" s="305"/>
      <c r="EU270" s="305"/>
      <c r="EV270" s="305"/>
      <c r="EW270" s="305"/>
      <c r="EX270" s="305"/>
      <c r="EY270" s="305"/>
      <c r="EZ270" s="305"/>
      <c r="FA270" s="305"/>
      <c r="FB270" s="305"/>
      <c r="FC270" s="305"/>
      <c r="FD270" s="305"/>
      <c r="FE270" s="305"/>
      <c r="FF270" s="305"/>
      <c r="FG270" s="305"/>
      <c r="FH270" s="305"/>
      <c r="FI270" s="305"/>
      <c r="FJ270" s="305"/>
      <c r="FK270" s="305"/>
      <c r="FL270" s="305"/>
      <c r="FM270" s="305"/>
      <c r="FN270" s="305"/>
      <c r="FO270" s="305"/>
      <c r="FP270" s="305"/>
      <c r="FQ270" s="305"/>
      <c r="FR270" s="305"/>
      <c r="FS270" s="305"/>
      <c r="FT270" s="305"/>
      <c r="FU270" s="305"/>
      <c r="FV270" s="305"/>
      <c r="FW270" s="305"/>
      <c r="FX270" s="305"/>
      <c r="FY270" s="305"/>
      <c r="FZ270" s="305"/>
      <c r="GA270" s="305"/>
      <c r="GB270" s="305"/>
      <c r="GC270" s="305"/>
      <c r="GD270" s="305"/>
      <c r="GE270" s="305"/>
      <c r="GF270" s="305"/>
      <c r="GG270" s="305"/>
      <c r="GH270" s="305"/>
      <c r="GI270" s="305"/>
      <c r="GJ270" s="305"/>
      <c r="GK270" s="305"/>
      <c r="GL270" s="305"/>
      <c r="GM270" s="305"/>
      <c r="GN270" s="305"/>
      <c r="GO270" s="305"/>
      <c r="GP270" s="305"/>
      <c r="GQ270" s="305"/>
      <c r="GR270" s="305"/>
    </row>
    <row r="271" spans="3:200" s="318" customFormat="1" ht="12.75" customHeight="1" x14ac:dyDescent="0.2">
      <c r="C271" s="367"/>
      <c r="D271" s="403"/>
      <c r="E271" s="369"/>
      <c r="F271" s="369"/>
      <c r="G271" s="369"/>
      <c r="H271" s="369"/>
      <c r="I271" s="370"/>
      <c r="J271"/>
      <c r="K271" s="371"/>
      <c r="L271" s="371"/>
      <c r="M271" s="371"/>
      <c r="N271" s="371"/>
      <c r="O271" s="305"/>
      <c r="P271" s="305"/>
      <c r="Q271" s="305"/>
      <c r="R271" s="305"/>
      <c r="S271" s="305"/>
      <c r="T271" s="305"/>
      <c r="U271" s="305"/>
      <c r="V271" s="305"/>
      <c r="W271" s="305"/>
      <c r="X271" s="305"/>
      <c r="Y271" s="305"/>
      <c r="Z271" s="305"/>
      <c r="AA271" s="305"/>
      <c r="AB271" s="305"/>
      <c r="AC271" s="305"/>
      <c r="AD271" s="305"/>
      <c r="AE271" s="305"/>
      <c r="AF271" s="305"/>
      <c r="AG271" s="305"/>
      <c r="AH271" s="305"/>
      <c r="AI271" s="305"/>
      <c r="AJ271" s="305"/>
      <c r="AK271" s="305"/>
      <c r="AL271" s="305"/>
      <c r="AM271" s="305"/>
      <c r="AN271" s="305"/>
      <c r="AO271" s="305"/>
      <c r="AP271" s="305"/>
      <c r="AQ271" s="305"/>
      <c r="AR271" s="305"/>
      <c r="AS271" s="305"/>
      <c r="AT271" s="305"/>
      <c r="AU271" s="305"/>
      <c r="AV271" s="305"/>
      <c r="AW271" s="305"/>
      <c r="AX271" s="305"/>
      <c r="AY271" s="305"/>
      <c r="AZ271" s="305"/>
      <c r="BA271" s="305"/>
      <c r="BB271" s="305"/>
      <c r="BC271" s="305"/>
      <c r="BD271" s="305"/>
      <c r="BE271" s="305"/>
      <c r="BF271" s="305"/>
      <c r="BG271" s="305"/>
      <c r="BH271" s="305"/>
      <c r="BI271" s="305"/>
      <c r="BJ271" s="305"/>
      <c r="BK271" s="305"/>
      <c r="BL271" s="305"/>
      <c r="BM271" s="305"/>
      <c r="BN271" s="305"/>
      <c r="BO271" s="305"/>
      <c r="BP271" s="305"/>
      <c r="BQ271" s="305"/>
      <c r="BR271" s="305"/>
      <c r="BS271" s="305"/>
      <c r="BT271" s="305"/>
      <c r="BU271" s="305"/>
      <c r="BV271" s="305"/>
      <c r="BW271" s="305"/>
      <c r="BX271" s="305"/>
      <c r="BY271" s="305"/>
      <c r="BZ271" s="305"/>
      <c r="CA271" s="305"/>
      <c r="CB271" s="305"/>
      <c r="CC271" s="305"/>
      <c r="CD271" s="305"/>
      <c r="CE271" s="305"/>
      <c r="CF271" s="305"/>
      <c r="CG271" s="305"/>
      <c r="CH271" s="305"/>
      <c r="CI271" s="305"/>
      <c r="CJ271" s="305"/>
      <c r="CK271" s="305"/>
      <c r="CL271" s="305"/>
      <c r="CM271" s="305"/>
      <c r="CN271" s="305"/>
      <c r="CO271" s="305"/>
      <c r="CP271" s="305"/>
      <c r="CQ271" s="305"/>
      <c r="CR271" s="305"/>
      <c r="CS271" s="305"/>
      <c r="CT271" s="305"/>
      <c r="CU271" s="305"/>
      <c r="CV271" s="305"/>
      <c r="CW271" s="305"/>
      <c r="CX271" s="305"/>
      <c r="CY271" s="305"/>
      <c r="CZ271" s="305"/>
      <c r="DA271" s="305"/>
      <c r="DB271" s="305"/>
      <c r="DC271" s="305"/>
      <c r="DD271" s="305"/>
      <c r="DE271" s="305"/>
      <c r="DF271" s="305"/>
      <c r="DG271" s="305"/>
      <c r="DH271" s="305"/>
      <c r="DI271" s="305"/>
      <c r="DJ271" s="305"/>
      <c r="DK271" s="305"/>
      <c r="DL271" s="305"/>
      <c r="DM271" s="305"/>
      <c r="DN271" s="305"/>
      <c r="DO271" s="305"/>
      <c r="DP271" s="305"/>
      <c r="DQ271" s="305"/>
      <c r="DR271" s="305"/>
      <c r="DS271" s="305"/>
      <c r="DT271" s="305"/>
      <c r="DU271" s="305"/>
      <c r="DV271" s="305"/>
      <c r="DW271" s="305"/>
      <c r="DX271" s="305"/>
      <c r="DY271" s="305"/>
      <c r="DZ271" s="305"/>
      <c r="EA271" s="305"/>
      <c r="EB271" s="305"/>
      <c r="EC271" s="305"/>
      <c r="ED271" s="305"/>
      <c r="EE271" s="305"/>
      <c r="EF271" s="305"/>
      <c r="EG271" s="305"/>
      <c r="EH271" s="305"/>
      <c r="EI271" s="305"/>
      <c r="EJ271" s="305"/>
      <c r="EK271" s="305"/>
      <c r="EL271" s="305"/>
      <c r="EM271" s="305"/>
      <c r="EN271" s="305"/>
      <c r="EO271" s="305"/>
      <c r="EP271" s="305"/>
      <c r="EQ271" s="305"/>
      <c r="ER271" s="305"/>
      <c r="ES271" s="305"/>
      <c r="ET271" s="305"/>
      <c r="EU271" s="305"/>
      <c r="EV271" s="305"/>
      <c r="EW271" s="305"/>
      <c r="EX271" s="305"/>
      <c r="EY271" s="305"/>
      <c r="EZ271" s="305"/>
      <c r="FA271" s="305"/>
      <c r="FB271" s="305"/>
      <c r="FC271" s="305"/>
      <c r="FD271" s="305"/>
      <c r="FE271" s="305"/>
      <c r="FF271" s="305"/>
      <c r="FG271" s="305"/>
      <c r="FH271" s="305"/>
      <c r="FI271" s="305"/>
      <c r="FJ271" s="305"/>
      <c r="FK271" s="305"/>
      <c r="FL271" s="305"/>
      <c r="FM271" s="305"/>
      <c r="FN271" s="305"/>
      <c r="FO271" s="305"/>
      <c r="FP271" s="305"/>
      <c r="FQ271" s="305"/>
      <c r="FR271" s="305"/>
      <c r="FS271" s="305"/>
      <c r="FT271" s="305"/>
      <c r="FU271" s="305"/>
      <c r="FV271" s="305"/>
      <c r="FW271" s="305"/>
      <c r="FX271" s="305"/>
      <c r="FY271" s="305"/>
      <c r="FZ271" s="305"/>
      <c r="GA271" s="305"/>
      <c r="GB271" s="305"/>
      <c r="GC271" s="305"/>
      <c r="GD271" s="305"/>
      <c r="GE271" s="305"/>
      <c r="GF271" s="305"/>
      <c r="GG271" s="305"/>
      <c r="GH271" s="305"/>
      <c r="GI271" s="305"/>
      <c r="GJ271" s="305"/>
      <c r="GK271" s="305"/>
      <c r="GL271" s="305"/>
      <c r="GM271" s="305"/>
      <c r="GN271" s="305"/>
      <c r="GO271" s="305"/>
      <c r="GP271" s="305"/>
      <c r="GQ271" s="305"/>
      <c r="GR271" s="305"/>
    </row>
    <row r="272" spans="3:200" s="318" customFormat="1" ht="12.75" customHeight="1" x14ac:dyDescent="0.2">
      <c r="C272" s="367"/>
      <c r="D272" s="403"/>
      <c r="E272" s="369"/>
      <c r="F272" s="369"/>
      <c r="G272" s="369"/>
      <c r="H272" s="369"/>
      <c r="I272" s="370"/>
      <c r="J272"/>
      <c r="K272" s="371"/>
      <c r="L272" s="371"/>
      <c r="M272" s="371"/>
      <c r="N272" s="371"/>
      <c r="O272" s="305"/>
      <c r="P272" s="305"/>
      <c r="Q272" s="305"/>
      <c r="R272" s="305"/>
      <c r="S272" s="305"/>
      <c r="T272" s="305"/>
      <c r="U272" s="305"/>
      <c r="V272" s="305"/>
      <c r="W272" s="305"/>
      <c r="X272" s="305"/>
      <c r="Y272" s="305"/>
      <c r="Z272" s="305"/>
      <c r="AA272" s="305"/>
      <c r="AB272" s="305"/>
      <c r="AC272" s="305"/>
      <c r="AD272" s="305"/>
      <c r="AE272" s="305"/>
      <c r="AF272" s="305"/>
      <c r="AG272" s="305"/>
      <c r="AH272" s="305"/>
      <c r="AI272" s="305"/>
      <c r="AJ272" s="305"/>
      <c r="AK272" s="305"/>
      <c r="AL272" s="305"/>
      <c r="AM272" s="305"/>
      <c r="AN272" s="305"/>
      <c r="AO272" s="305"/>
      <c r="AP272" s="305"/>
      <c r="AQ272" s="305"/>
      <c r="AR272" s="305"/>
      <c r="AS272" s="305"/>
      <c r="AT272" s="305"/>
      <c r="AU272" s="305"/>
      <c r="AV272" s="305"/>
      <c r="AW272" s="305"/>
      <c r="AX272" s="305"/>
      <c r="AY272" s="305"/>
      <c r="AZ272" s="305"/>
      <c r="BA272" s="305"/>
      <c r="BB272" s="305"/>
      <c r="BC272" s="305"/>
      <c r="BD272" s="305"/>
      <c r="BE272" s="305"/>
      <c r="BF272" s="305"/>
      <c r="BG272" s="305"/>
      <c r="BH272" s="305"/>
      <c r="BI272" s="305"/>
      <c r="BJ272" s="305"/>
      <c r="BK272" s="305"/>
      <c r="BL272" s="305"/>
      <c r="BM272" s="305"/>
      <c r="BN272" s="305"/>
      <c r="BO272" s="305"/>
      <c r="BP272" s="305"/>
      <c r="BQ272" s="305"/>
      <c r="BR272" s="305"/>
      <c r="BS272" s="305"/>
      <c r="BT272" s="305"/>
      <c r="BU272" s="305"/>
      <c r="BV272" s="305"/>
      <c r="BW272" s="305"/>
      <c r="BX272" s="305"/>
      <c r="BY272" s="305"/>
      <c r="BZ272" s="305"/>
      <c r="CA272" s="305"/>
      <c r="CB272" s="305"/>
      <c r="CC272" s="305"/>
      <c r="CD272" s="305"/>
      <c r="CE272" s="305"/>
      <c r="CF272" s="305"/>
      <c r="CG272" s="305"/>
      <c r="CH272" s="305"/>
      <c r="CI272" s="305"/>
      <c r="CJ272" s="305"/>
      <c r="CK272" s="305"/>
      <c r="CL272" s="305"/>
      <c r="CM272" s="305"/>
      <c r="CN272" s="305"/>
      <c r="CO272" s="305"/>
      <c r="CP272" s="305"/>
      <c r="CQ272" s="305"/>
      <c r="CR272" s="305"/>
      <c r="CS272" s="305"/>
      <c r="CT272" s="305"/>
      <c r="CU272" s="305"/>
      <c r="CV272" s="305"/>
      <c r="CW272" s="305"/>
      <c r="CX272" s="305"/>
      <c r="CY272" s="305"/>
      <c r="CZ272" s="305"/>
      <c r="DA272" s="305"/>
      <c r="DB272" s="305"/>
      <c r="DC272" s="305"/>
      <c r="DD272" s="305"/>
      <c r="DE272" s="305"/>
      <c r="DF272" s="305"/>
      <c r="DG272" s="305"/>
      <c r="DH272" s="305"/>
      <c r="DI272" s="305"/>
      <c r="DJ272" s="305"/>
      <c r="DK272" s="305"/>
      <c r="DL272" s="305"/>
      <c r="DM272" s="305"/>
      <c r="DN272" s="305"/>
      <c r="DO272" s="305"/>
      <c r="DP272" s="305"/>
      <c r="DQ272" s="305"/>
      <c r="DR272" s="305"/>
      <c r="DS272" s="305"/>
      <c r="DT272" s="305"/>
      <c r="DU272" s="305"/>
      <c r="DV272" s="305"/>
      <c r="DW272" s="305"/>
      <c r="DX272" s="305"/>
      <c r="DY272" s="305"/>
      <c r="DZ272" s="305"/>
      <c r="EA272" s="305"/>
      <c r="EB272" s="305"/>
      <c r="EC272" s="305"/>
      <c r="ED272" s="305"/>
      <c r="EE272" s="305"/>
      <c r="EF272" s="305"/>
      <c r="EG272" s="305"/>
      <c r="EH272" s="305"/>
      <c r="EI272" s="305"/>
      <c r="EJ272" s="305"/>
      <c r="EK272" s="305"/>
      <c r="EL272" s="305"/>
      <c r="EM272" s="305"/>
      <c r="EN272" s="305"/>
      <c r="EO272" s="305"/>
      <c r="EP272" s="305"/>
      <c r="EQ272" s="305"/>
      <c r="ER272" s="305"/>
      <c r="ES272" s="305"/>
      <c r="ET272" s="305"/>
      <c r="EU272" s="305"/>
      <c r="EV272" s="305"/>
      <c r="EW272" s="305"/>
      <c r="EX272" s="305"/>
      <c r="EY272" s="305"/>
      <c r="EZ272" s="305"/>
      <c r="FA272" s="305"/>
      <c r="FB272" s="305"/>
      <c r="FC272" s="305"/>
      <c r="FD272" s="305"/>
      <c r="FE272" s="305"/>
      <c r="FF272" s="305"/>
      <c r="FG272" s="305"/>
      <c r="FH272" s="305"/>
      <c r="FI272" s="305"/>
      <c r="FJ272" s="305"/>
      <c r="FK272" s="305"/>
      <c r="FL272" s="305"/>
      <c r="FM272" s="305"/>
      <c r="FN272" s="305"/>
      <c r="FO272" s="305"/>
      <c r="FP272" s="305"/>
      <c r="FQ272" s="305"/>
      <c r="FR272" s="305"/>
      <c r="FS272" s="305"/>
      <c r="FT272" s="305"/>
      <c r="FU272" s="305"/>
      <c r="FV272" s="305"/>
      <c r="FW272" s="305"/>
      <c r="FX272" s="305"/>
      <c r="FY272" s="305"/>
      <c r="FZ272" s="305"/>
      <c r="GA272" s="305"/>
      <c r="GB272" s="305"/>
      <c r="GC272" s="305"/>
      <c r="GD272" s="305"/>
      <c r="GE272" s="305"/>
      <c r="GF272" s="305"/>
      <c r="GG272" s="305"/>
      <c r="GH272" s="305"/>
      <c r="GI272" s="305"/>
      <c r="GJ272" s="305"/>
      <c r="GK272" s="305"/>
      <c r="GL272" s="305"/>
      <c r="GM272" s="305"/>
      <c r="GN272" s="305"/>
      <c r="GO272" s="305"/>
      <c r="GP272" s="305"/>
      <c r="GQ272" s="305"/>
      <c r="GR272" s="305"/>
    </row>
    <row r="273" spans="3:200" s="318" customFormat="1" ht="12.75" customHeight="1" x14ac:dyDescent="0.2">
      <c r="C273" s="367"/>
      <c r="D273" s="403"/>
      <c r="E273" s="369"/>
      <c r="F273" s="369"/>
      <c r="G273" s="369"/>
      <c r="H273" s="369"/>
      <c r="I273" s="370"/>
      <c r="J273"/>
      <c r="K273" s="371"/>
      <c r="L273" s="371"/>
      <c r="M273" s="371"/>
      <c r="N273" s="371"/>
      <c r="O273" s="305"/>
      <c r="P273" s="305"/>
      <c r="Q273" s="305"/>
      <c r="R273" s="305"/>
      <c r="S273" s="305"/>
      <c r="T273" s="305"/>
      <c r="U273" s="305"/>
      <c r="V273" s="305"/>
      <c r="W273" s="305"/>
      <c r="X273" s="305"/>
      <c r="Y273" s="305"/>
      <c r="Z273" s="305"/>
      <c r="AA273" s="305"/>
      <c r="AB273" s="305"/>
      <c r="AC273" s="305"/>
      <c r="AD273" s="305"/>
      <c r="AE273" s="305"/>
      <c r="AF273" s="305"/>
      <c r="AG273" s="305"/>
      <c r="AH273" s="305"/>
      <c r="AI273" s="305"/>
      <c r="AJ273" s="305"/>
      <c r="AK273" s="305"/>
      <c r="AL273" s="305"/>
      <c r="AM273" s="305"/>
      <c r="AN273" s="305"/>
      <c r="AO273" s="305"/>
      <c r="AP273" s="305"/>
      <c r="AQ273" s="305"/>
      <c r="AR273" s="305"/>
      <c r="AS273" s="305"/>
      <c r="AT273" s="305"/>
      <c r="AU273" s="305"/>
      <c r="AV273" s="305"/>
      <c r="AW273" s="305"/>
      <c r="AX273" s="305"/>
      <c r="AY273" s="305"/>
      <c r="AZ273" s="305"/>
      <c r="BA273" s="305"/>
      <c r="BB273" s="305"/>
      <c r="BC273" s="305"/>
      <c r="BD273" s="305"/>
      <c r="BE273" s="305"/>
      <c r="BF273" s="305"/>
      <c r="BG273" s="305"/>
      <c r="BH273" s="305"/>
      <c r="BI273" s="305"/>
      <c r="BJ273" s="305"/>
      <c r="BK273" s="305"/>
      <c r="BL273" s="305"/>
      <c r="BM273" s="305"/>
      <c r="BN273" s="305"/>
      <c r="BO273" s="305"/>
      <c r="BP273" s="305"/>
      <c r="BQ273" s="305"/>
      <c r="BR273" s="305"/>
      <c r="BS273" s="305"/>
      <c r="BT273" s="305"/>
      <c r="BU273" s="305"/>
      <c r="BV273" s="305"/>
      <c r="BW273" s="305"/>
      <c r="BX273" s="305"/>
      <c r="BY273" s="305"/>
      <c r="BZ273" s="305"/>
      <c r="CA273" s="305"/>
      <c r="CB273" s="305"/>
      <c r="CC273" s="305"/>
      <c r="CD273" s="305"/>
      <c r="CE273" s="305"/>
      <c r="CF273" s="305"/>
      <c r="CG273" s="305"/>
      <c r="CH273" s="305"/>
      <c r="CI273" s="305"/>
      <c r="CJ273" s="305"/>
      <c r="CK273" s="305"/>
      <c r="CL273" s="305"/>
      <c r="CM273" s="305"/>
      <c r="CN273" s="305"/>
      <c r="CO273" s="305"/>
      <c r="CP273" s="305"/>
      <c r="CQ273" s="305"/>
      <c r="CR273" s="305"/>
      <c r="CS273" s="305"/>
      <c r="CT273" s="305"/>
      <c r="CU273" s="305"/>
      <c r="CV273" s="305"/>
      <c r="CW273" s="305"/>
      <c r="CX273" s="305"/>
      <c r="CY273" s="305"/>
      <c r="CZ273" s="305"/>
      <c r="DA273" s="305"/>
      <c r="DB273" s="305"/>
      <c r="DC273" s="305"/>
      <c r="DD273" s="305"/>
      <c r="DE273" s="305"/>
      <c r="DF273" s="305"/>
      <c r="DG273" s="305"/>
      <c r="DH273" s="305"/>
      <c r="DI273" s="305"/>
      <c r="DJ273" s="305"/>
      <c r="DK273" s="305"/>
      <c r="DL273" s="305"/>
      <c r="DM273" s="305"/>
      <c r="DN273" s="305"/>
      <c r="DO273" s="305"/>
      <c r="DP273" s="305"/>
      <c r="DQ273" s="305"/>
      <c r="DR273" s="305"/>
      <c r="DS273" s="305"/>
      <c r="DT273" s="305"/>
      <c r="DU273" s="305"/>
      <c r="DV273" s="305"/>
      <c r="DW273" s="305"/>
      <c r="DX273" s="305"/>
      <c r="DY273" s="305"/>
      <c r="DZ273" s="305"/>
      <c r="EA273" s="305"/>
      <c r="EB273" s="305"/>
      <c r="EC273" s="305"/>
      <c r="ED273" s="305"/>
      <c r="EE273" s="305"/>
      <c r="EF273" s="305"/>
      <c r="EG273" s="305"/>
      <c r="EH273" s="305"/>
      <c r="EI273" s="305"/>
      <c r="EJ273" s="305"/>
      <c r="EK273" s="305"/>
      <c r="EL273" s="305"/>
      <c r="EM273" s="305"/>
      <c r="EN273" s="305"/>
      <c r="EO273" s="305"/>
      <c r="EP273" s="305"/>
      <c r="EQ273" s="305"/>
      <c r="ER273" s="305"/>
      <c r="ES273" s="305"/>
      <c r="ET273" s="305"/>
      <c r="EU273" s="305"/>
      <c r="EV273" s="305"/>
      <c r="EW273" s="305"/>
      <c r="EX273" s="305"/>
      <c r="EY273" s="305"/>
      <c r="EZ273" s="305"/>
      <c r="FA273" s="305"/>
      <c r="FB273" s="305"/>
      <c r="FC273" s="305"/>
      <c r="FD273" s="305"/>
      <c r="FE273" s="305"/>
      <c r="FF273" s="305"/>
      <c r="FG273" s="305"/>
      <c r="FH273" s="305"/>
      <c r="FI273" s="305"/>
      <c r="FJ273" s="305"/>
      <c r="FK273" s="305"/>
      <c r="FL273" s="305"/>
      <c r="FM273" s="305"/>
      <c r="FN273" s="305"/>
      <c r="FO273" s="305"/>
      <c r="FP273" s="305"/>
      <c r="FQ273" s="305"/>
      <c r="FR273" s="305"/>
      <c r="FS273" s="305"/>
      <c r="FT273" s="305"/>
      <c r="FU273" s="305"/>
      <c r="FV273" s="305"/>
      <c r="FW273" s="305"/>
      <c r="FX273" s="305"/>
      <c r="FY273" s="305"/>
      <c r="FZ273" s="305"/>
      <c r="GA273" s="305"/>
      <c r="GB273" s="305"/>
      <c r="GC273" s="305"/>
      <c r="GD273" s="305"/>
      <c r="GE273" s="305"/>
      <c r="GF273" s="305"/>
      <c r="GG273" s="305"/>
      <c r="GH273" s="305"/>
      <c r="GI273" s="305"/>
      <c r="GJ273" s="305"/>
      <c r="GK273" s="305"/>
      <c r="GL273" s="305"/>
      <c r="GM273" s="305"/>
      <c r="GN273" s="305"/>
      <c r="GO273" s="305"/>
      <c r="GP273" s="305"/>
      <c r="GQ273" s="305"/>
      <c r="GR273" s="305"/>
    </row>
    <row r="274" spans="3:200" s="318" customFormat="1" ht="12.75" customHeight="1" x14ac:dyDescent="0.2">
      <c r="C274" s="367"/>
      <c r="D274" s="403"/>
      <c r="E274" s="369"/>
      <c r="F274" s="369"/>
      <c r="G274" s="369"/>
      <c r="H274" s="369"/>
      <c r="I274" s="370"/>
      <c r="J274"/>
      <c r="K274" s="371"/>
      <c r="L274" s="371"/>
      <c r="M274" s="371"/>
      <c r="N274" s="371"/>
      <c r="O274" s="305"/>
      <c r="P274" s="305"/>
      <c r="Q274" s="305"/>
      <c r="R274" s="305"/>
      <c r="S274" s="305"/>
      <c r="T274" s="305"/>
      <c r="U274" s="305"/>
      <c r="V274" s="305"/>
      <c r="W274" s="305"/>
      <c r="X274" s="305"/>
      <c r="Y274" s="305"/>
      <c r="Z274" s="305"/>
      <c r="AA274" s="305"/>
      <c r="AB274" s="305"/>
      <c r="AC274" s="305"/>
      <c r="AD274" s="305"/>
      <c r="AE274" s="305"/>
      <c r="AF274" s="305"/>
      <c r="AG274" s="305"/>
      <c r="AH274" s="305"/>
      <c r="AI274" s="305"/>
      <c r="AJ274" s="305"/>
      <c r="AK274" s="305"/>
      <c r="AL274" s="305"/>
      <c r="AM274" s="305"/>
      <c r="AN274" s="305"/>
      <c r="AO274" s="305"/>
      <c r="AP274" s="305"/>
      <c r="AQ274" s="305"/>
      <c r="AR274" s="305"/>
      <c r="AS274" s="305"/>
      <c r="AT274" s="305"/>
      <c r="AU274" s="305"/>
      <c r="AV274" s="305"/>
      <c r="AW274" s="305"/>
      <c r="AX274" s="305"/>
      <c r="AY274" s="305"/>
      <c r="AZ274" s="305"/>
      <c r="BA274" s="305"/>
      <c r="BB274" s="305"/>
      <c r="BC274" s="305"/>
      <c r="BD274" s="305"/>
      <c r="BE274" s="305"/>
      <c r="BF274" s="305"/>
      <c r="BG274" s="305"/>
      <c r="BH274" s="305"/>
      <c r="BI274" s="305"/>
      <c r="BJ274" s="305"/>
      <c r="BK274" s="305"/>
      <c r="BL274" s="305"/>
      <c r="BM274" s="305"/>
      <c r="BN274" s="305"/>
      <c r="BO274" s="305"/>
      <c r="BP274" s="305"/>
      <c r="BQ274" s="305"/>
      <c r="BR274" s="305"/>
      <c r="BS274" s="305"/>
      <c r="BT274" s="305"/>
      <c r="BU274" s="305"/>
      <c r="BV274" s="305"/>
      <c r="BW274" s="305"/>
      <c r="BX274" s="305"/>
      <c r="BY274" s="305"/>
      <c r="BZ274" s="305"/>
      <c r="CA274" s="305"/>
      <c r="CB274" s="305"/>
      <c r="CC274" s="305"/>
      <c r="CD274" s="305"/>
      <c r="CE274" s="305"/>
      <c r="CF274" s="305"/>
      <c r="CG274" s="305"/>
      <c r="CH274" s="305"/>
      <c r="CI274" s="305"/>
      <c r="CJ274" s="305"/>
      <c r="CK274" s="305"/>
      <c r="CL274" s="305"/>
      <c r="CM274" s="305"/>
      <c r="CN274" s="305"/>
      <c r="CO274" s="305"/>
      <c r="CP274" s="305"/>
      <c r="CQ274" s="305"/>
      <c r="CR274" s="305"/>
      <c r="CS274" s="305"/>
      <c r="CT274" s="305"/>
      <c r="CU274" s="305"/>
      <c r="CV274" s="305"/>
      <c r="CW274" s="305"/>
      <c r="CX274" s="305"/>
      <c r="CY274" s="305"/>
      <c r="CZ274" s="305"/>
      <c r="DA274" s="305"/>
      <c r="DB274" s="305"/>
      <c r="DC274" s="305"/>
      <c r="DD274" s="305"/>
      <c r="DE274" s="305"/>
      <c r="DF274" s="305"/>
      <c r="DG274" s="305"/>
      <c r="DH274" s="305"/>
      <c r="DI274" s="305"/>
      <c r="DJ274" s="305"/>
      <c r="DK274" s="305"/>
      <c r="DL274" s="305"/>
      <c r="DM274" s="305"/>
      <c r="DN274" s="305"/>
      <c r="DO274" s="305"/>
      <c r="DP274" s="305"/>
      <c r="DQ274" s="305"/>
      <c r="DR274" s="305"/>
      <c r="DS274" s="305"/>
      <c r="DT274" s="305"/>
      <c r="DU274" s="305"/>
      <c r="DV274" s="305"/>
      <c r="DW274" s="305"/>
      <c r="DX274" s="305"/>
      <c r="DY274" s="305"/>
      <c r="DZ274" s="305"/>
      <c r="EA274" s="305"/>
      <c r="EB274" s="305"/>
      <c r="EC274" s="305"/>
      <c r="ED274" s="305"/>
      <c r="EE274" s="305"/>
      <c r="EF274" s="305"/>
      <c r="EG274" s="305"/>
      <c r="EH274" s="305"/>
      <c r="EI274" s="305"/>
      <c r="EJ274" s="305"/>
      <c r="EK274" s="305"/>
      <c r="EL274" s="305"/>
      <c r="EM274" s="305"/>
      <c r="EN274" s="305"/>
      <c r="EO274" s="305"/>
      <c r="EP274" s="305"/>
      <c r="EQ274" s="305"/>
      <c r="ER274" s="305"/>
      <c r="ES274" s="305"/>
      <c r="ET274" s="305"/>
      <c r="EU274" s="305"/>
      <c r="EV274" s="305"/>
      <c r="EW274" s="305"/>
      <c r="EX274" s="305"/>
      <c r="EY274" s="305"/>
      <c r="EZ274" s="305"/>
      <c r="FA274" s="305"/>
      <c r="FB274" s="305"/>
      <c r="FC274" s="305"/>
      <c r="FD274" s="305"/>
      <c r="FE274" s="305"/>
      <c r="FF274" s="305"/>
      <c r="FG274" s="305"/>
      <c r="FH274" s="305"/>
      <c r="FI274" s="305"/>
      <c r="FJ274" s="305"/>
      <c r="FK274" s="305"/>
      <c r="FL274" s="305"/>
      <c r="FM274" s="305"/>
      <c r="FN274" s="305"/>
      <c r="FO274" s="305"/>
      <c r="FP274" s="305"/>
      <c r="FQ274" s="305"/>
      <c r="FR274" s="305"/>
      <c r="FS274" s="305"/>
      <c r="FT274" s="305"/>
      <c r="FU274" s="305"/>
      <c r="FV274" s="305"/>
      <c r="FW274" s="305"/>
      <c r="FX274" s="305"/>
      <c r="FY274" s="305"/>
      <c r="FZ274" s="305"/>
      <c r="GA274" s="305"/>
      <c r="GB274" s="305"/>
      <c r="GC274" s="305"/>
      <c r="GD274" s="305"/>
      <c r="GE274" s="305"/>
      <c r="GF274" s="305"/>
      <c r="GG274" s="305"/>
      <c r="GH274" s="305"/>
      <c r="GI274" s="305"/>
      <c r="GJ274" s="305"/>
      <c r="GK274" s="305"/>
      <c r="GL274" s="305"/>
      <c r="GM274" s="305"/>
      <c r="GN274" s="305"/>
      <c r="GO274" s="305"/>
      <c r="GP274" s="305"/>
      <c r="GQ274" s="305"/>
      <c r="GR274" s="305"/>
    </row>
    <row r="275" spans="3:200" s="318" customFormat="1" ht="12.75" customHeight="1" x14ac:dyDescent="0.2">
      <c r="C275" s="367"/>
      <c r="D275" s="403"/>
      <c r="E275" s="369"/>
      <c r="F275" s="369"/>
      <c r="G275" s="369"/>
      <c r="H275" s="369"/>
      <c r="I275" s="370"/>
      <c r="J275"/>
      <c r="K275" s="371"/>
      <c r="L275" s="371"/>
      <c r="M275" s="371"/>
      <c r="N275" s="371"/>
      <c r="O275" s="305"/>
      <c r="P275" s="305"/>
      <c r="Q275" s="305"/>
      <c r="R275" s="305"/>
      <c r="S275" s="305"/>
      <c r="T275" s="305"/>
      <c r="U275" s="305"/>
      <c r="V275" s="305"/>
      <c r="W275" s="305"/>
      <c r="X275" s="305"/>
      <c r="Y275" s="305"/>
      <c r="Z275" s="305"/>
      <c r="AA275" s="305"/>
      <c r="AB275" s="305"/>
      <c r="AC275" s="305"/>
      <c r="AD275" s="305"/>
      <c r="AE275" s="305"/>
      <c r="AF275" s="305"/>
      <c r="AG275" s="305"/>
      <c r="AH275" s="305"/>
      <c r="AI275" s="305"/>
      <c r="AJ275" s="305"/>
      <c r="AK275" s="305"/>
      <c r="AL275" s="305"/>
      <c r="AM275" s="305"/>
      <c r="AN275" s="305"/>
      <c r="AO275" s="305"/>
      <c r="AP275" s="305"/>
      <c r="AQ275" s="305"/>
      <c r="AR275" s="305"/>
      <c r="AS275" s="305"/>
      <c r="AT275" s="305"/>
      <c r="AU275" s="305"/>
      <c r="AV275" s="305"/>
      <c r="AW275" s="305"/>
      <c r="AX275" s="305"/>
      <c r="AY275" s="305"/>
      <c r="AZ275" s="305"/>
      <c r="BA275" s="305"/>
      <c r="BB275" s="305"/>
      <c r="BC275" s="305"/>
      <c r="BD275" s="305"/>
      <c r="BE275" s="305"/>
      <c r="BF275" s="305"/>
      <c r="BG275" s="305"/>
      <c r="BH275" s="305"/>
      <c r="BI275" s="305"/>
      <c r="BJ275" s="305"/>
      <c r="BK275" s="305"/>
      <c r="BL275" s="305"/>
      <c r="BM275" s="305"/>
      <c r="BN275" s="305"/>
      <c r="BO275" s="305"/>
      <c r="BP275" s="305"/>
      <c r="BQ275" s="305"/>
      <c r="BR275" s="305"/>
      <c r="BS275" s="305"/>
      <c r="BT275" s="305"/>
      <c r="BU275" s="305"/>
      <c r="BV275" s="305"/>
      <c r="BW275" s="305"/>
      <c r="BX275" s="305"/>
      <c r="BY275" s="305"/>
      <c r="BZ275" s="305"/>
      <c r="CA275" s="305"/>
      <c r="CB275" s="305"/>
      <c r="CC275" s="305"/>
      <c r="CD275" s="305"/>
      <c r="CE275" s="305"/>
      <c r="CF275" s="305"/>
      <c r="CG275" s="305"/>
      <c r="CH275" s="305"/>
      <c r="CI275" s="305"/>
      <c r="CJ275" s="305"/>
      <c r="CK275" s="305"/>
      <c r="CL275" s="305"/>
      <c r="CM275" s="305"/>
      <c r="CN275" s="305"/>
      <c r="CO275" s="305"/>
      <c r="CP275" s="305"/>
      <c r="CQ275" s="305"/>
      <c r="CR275" s="305"/>
      <c r="CS275" s="305"/>
      <c r="CT275" s="305"/>
      <c r="CU275" s="305"/>
      <c r="CV275" s="305"/>
      <c r="CW275" s="305"/>
      <c r="CX275" s="305"/>
      <c r="CY275" s="305"/>
      <c r="CZ275" s="305"/>
      <c r="DA275" s="305"/>
      <c r="DB275" s="305"/>
      <c r="DC275" s="305"/>
      <c r="DD275" s="305"/>
      <c r="DE275" s="305"/>
      <c r="DF275" s="305"/>
      <c r="DG275" s="305"/>
      <c r="DH275" s="305"/>
      <c r="DI275" s="305"/>
      <c r="DJ275" s="305"/>
      <c r="DK275" s="305"/>
      <c r="DL275" s="305"/>
      <c r="DM275" s="305"/>
      <c r="DN275" s="305"/>
      <c r="DO275" s="305"/>
      <c r="DP275" s="305"/>
      <c r="DQ275" s="305"/>
      <c r="DR275" s="305"/>
      <c r="DS275" s="305"/>
      <c r="DT275" s="305"/>
      <c r="DU275" s="305"/>
      <c r="DV275" s="305"/>
      <c r="DW275" s="305"/>
      <c r="DX275" s="305"/>
      <c r="DY275" s="305"/>
      <c r="DZ275" s="305"/>
      <c r="EA275" s="305"/>
      <c r="EB275" s="305"/>
      <c r="EC275" s="305"/>
      <c r="ED275" s="305"/>
      <c r="EE275" s="305"/>
      <c r="EF275" s="305"/>
      <c r="EG275" s="305"/>
      <c r="EH275" s="305"/>
      <c r="EI275" s="305"/>
      <c r="EJ275" s="305"/>
      <c r="EK275" s="305"/>
      <c r="EL275" s="305"/>
      <c r="EM275" s="305"/>
      <c r="EN275" s="305"/>
      <c r="EO275" s="305"/>
      <c r="EP275" s="305"/>
      <c r="EQ275" s="305"/>
      <c r="ER275" s="305"/>
      <c r="ES275" s="305"/>
      <c r="ET275" s="305"/>
      <c r="EU275" s="305"/>
      <c r="EV275" s="305"/>
      <c r="EW275" s="305"/>
      <c r="EX275" s="305"/>
      <c r="EY275" s="305"/>
      <c r="EZ275" s="305"/>
      <c r="FA275" s="305"/>
      <c r="FB275" s="305"/>
      <c r="FC275" s="305"/>
      <c r="FD275" s="305"/>
      <c r="FE275" s="305"/>
      <c r="FF275" s="305"/>
      <c r="FG275" s="305"/>
      <c r="FH275" s="305"/>
      <c r="FI275" s="305"/>
      <c r="FJ275" s="305"/>
      <c r="FK275" s="305"/>
      <c r="FL275" s="305"/>
      <c r="FM275" s="305"/>
      <c r="FN275" s="305"/>
      <c r="FO275" s="305"/>
      <c r="FP275" s="305"/>
      <c r="FQ275" s="305"/>
      <c r="FR275" s="305"/>
      <c r="FS275" s="305"/>
      <c r="FT275" s="305"/>
      <c r="FU275" s="305"/>
      <c r="FV275" s="305"/>
      <c r="FW275" s="305"/>
      <c r="FX275" s="305"/>
      <c r="FY275" s="305"/>
      <c r="FZ275" s="305"/>
      <c r="GA275" s="305"/>
      <c r="GB275" s="305"/>
      <c r="GC275" s="305"/>
      <c r="GD275" s="305"/>
      <c r="GE275" s="305"/>
      <c r="GF275" s="305"/>
      <c r="GG275" s="305"/>
      <c r="GH275" s="305"/>
      <c r="GI275" s="305"/>
      <c r="GJ275" s="305"/>
      <c r="GK275" s="305"/>
      <c r="GL275" s="305"/>
      <c r="GM275" s="305"/>
      <c r="GN275" s="305"/>
      <c r="GO275" s="305"/>
      <c r="GP275" s="305"/>
      <c r="GQ275" s="305"/>
      <c r="GR275" s="305"/>
    </row>
    <row r="276" spans="3:200" s="318" customFormat="1" ht="12.75" customHeight="1" x14ac:dyDescent="0.2">
      <c r="C276" s="367"/>
      <c r="D276" s="403"/>
      <c r="E276" s="369"/>
      <c r="F276" s="369"/>
      <c r="G276" s="369"/>
      <c r="H276" s="369"/>
      <c r="I276" s="370"/>
      <c r="J276"/>
      <c r="K276" s="371"/>
      <c r="L276" s="371"/>
      <c r="M276" s="371"/>
      <c r="N276" s="371"/>
      <c r="O276" s="305"/>
      <c r="P276" s="305"/>
      <c r="Q276" s="305"/>
      <c r="R276" s="305"/>
      <c r="S276" s="305"/>
      <c r="T276" s="305"/>
      <c r="U276" s="305"/>
      <c r="V276" s="305"/>
      <c r="W276" s="305"/>
      <c r="X276" s="305"/>
      <c r="Y276" s="305"/>
      <c r="Z276" s="305"/>
      <c r="AA276" s="305"/>
      <c r="AB276" s="305"/>
      <c r="AC276" s="305"/>
      <c r="AD276" s="305"/>
      <c r="AE276" s="305"/>
      <c r="AF276" s="305"/>
      <c r="AG276" s="305"/>
      <c r="AH276" s="305"/>
      <c r="AI276" s="305"/>
      <c r="AJ276" s="305"/>
      <c r="AK276" s="305"/>
      <c r="AL276" s="305"/>
      <c r="AM276" s="305"/>
      <c r="AN276" s="305"/>
      <c r="AO276" s="305"/>
      <c r="AP276" s="305"/>
      <c r="AQ276" s="305"/>
      <c r="AR276" s="305"/>
      <c r="AS276" s="305"/>
      <c r="AT276" s="305"/>
      <c r="AU276" s="305"/>
      <c r="AV276" s="305"/>
      <c r="AW276" s="305"/>
      <c r="AX276" s="305"/>
      <c r="AY276" s="305"/>
      <c r="AZ276" s="305"/>
      <c r="BA276" s="305"/>
      <c r="BB276" s="305"/>
      <c r="BC276" s="305"/>
      <c r="BD276" s="305"/>
      <c r="BE276" s="305"/>
      <c r="BF276" s="305"/>
      <c r="BG276" s="305"/>
      <c r="BH276" s="305"/>
      <c r="BI276" s="305"/>
      <c r="BJ276" s="305"/>
      <c r="BK276" s="305"/>
      <c r="BL276" s="305"/>
      <c r="BM276" s="305"/>
      <c r="BN276" s="305"/>
      <c r="BO276" s="305"/>
      <c r="BP276" s="305"/>
      <c r="BQ276" s="305"/>
      <c r="BR276" s="305"/>
      <c r="BS276" s="305"/>
      <c r="BT276" s="305"/>
      <c r="BU276" s="305"/>
      <c r="BV276" s="305"/>
      <c r="BW276" s="305"/>
      <c r="BX276" s="305"/>
      <c r="BY276" s="305"/>
      <c r="BZ276" s="305"/>
      <c r="CA276" s="305"/>
      <c r="CB276" s="305"/>
      <c r="CC276" s="305"/>
      <c r="CD276" s="305"/>
      <c r="CE276" s="305"/>
      <c r="CF276" s="305"/>
      <c r="CG276" s="305"/>
      <c r="CH276" s="305"/>
      <c r="CI276" s="305"/>
      <c r="CJ276" s="305"/>
      <c r="CK276" s="305"/>
      <c r="CL276" s="305"/>
      <c r="CM276" s="305"/>
      <c r="CN276" s="305"/>
      <c r="CO276" s="305"/>
      <c r="CP276" s="305"/>
      <c r="CQ276" s="305"/>
      <c r="CR276" s="305"/>
      <c r="CS276" s="305"/>
      <c r="CT276" s="305"/>
      <c r="CU276" s="305"/>
      <c r="CV276" s="305"/>
      <c r="CW276" s="305"/>
      <c r="CX276" s="305"/>
      <c r="CY276" s="305"/>
      <c r="CZ276" s="305"/>
      <c r="DA276" s="305"/>
      <c r="DB276" s="305"/>
      <c r="DC276" s="305"/>
      <c r="DD276" s="305"/>
      <c r="DE276" s="305"/>
      <c r="DF276" s="305"/>
      <c r="DG276" s="305"/>
      <c r="DH276" s="305"/>
      <c r="DI276" s="305"/>
      <c r="DJ276" s="305"/>
      <c r="DK276" s="305"/>
      <c r="DL276" s="305"/>
      <c r="DM276" s="305"/>
      <c r="DN276" s="305"/>
      <c r="DO276" s="305"/>
      <c r="DP276" s="305"/>
      <c r="DQ276" s="305"/>
      <c r="DR276" s="305"/>
      <c r="DS276" s="305"/>
      <c r="DT276" s="305"/>
      <c r="DU276" s="305"/>
      <c r="DV276" s="305"/>
      <c r="DW276" s="305"/>
      <c r="DX276" s="305"/>
      <c r="DY276" s="305"/>
      <c r="DZ276" s="305"/>
      <c r="EA276" s="305"/>
      <c r="EB276" s="305"/>
      <c r="EC276" s="305"/>
      <c r="ED276" s="305"/>
      <c r="EE276" s="305"/>
      <c r="EF276" s="305"/>
      <c r="EG276" s="305"/>
      <c r="EH276" s="305"/>
      <c r="EI276" s="305"/>
      <c r="EJ276" s="305"/>
      <c r="EK276" s="305"/>
      <c r="EL276" s="305"/>
      <c r="EM276" s="305"/>
      <c r="EN276" s="305"/>
      <c r="EO276" s="305"/>
      <c r="EP276" s="305"/>
      <c r="EQ276" s="305"/>
      <c r="ER276" s="305"/>
      <c r="ES276" s="305"/>
      <c r="ET276" s="305"/>
      <c r="EU276" s="305"/>
      <c r="EV276" s="305"/>
      <c r="EW276" s="305"/>
      <c r="EX276" s="305"/>
      <c r="EY276" s="305"/>
      <c r="EZ276" s="305"/>
      <c r="FA276" s="305"/>
      <c r="FB276" s="305"/>
      <c r="FC276" s="305"/>
      <c r="FD276" s="305"/>
      <c r="FE276" s="305"/>
      <c r="FF276" s="305"/>
      <c r="FG276" s="305"/>
      <c r="FH276" s="305"/>
      <c r="FI276" s="305"/>
      <c r="FJ276" s="305"/>
      <c r="FK276" s="305"/>
      <c r="FL276" s="305"/>
      <c r="FM276" s="305"/>
      <c r="FN276" s="305"/>
      <c r="FO276" s="305"/>
      <c r="FP276" s="305"/>
      <c r="FQ276" s="305"/>
      <c r="FR276" s="305"/>
      <c r="FS276" s="305"/>
      <c r="FT276" s="305"/>
      <c r="FU276" s="305"/>
      <c r="FV276" s="305"/>
      <c r="FW276" s="305"/>
      <c r="FX276" s="305"/>
      <c r="FY276" s="305"/>
      <c r="FZ276" s="305"/>
      <c r="GA276" s="305"/>
      <c r="GB276" s="305"/>
      <c r="GC276" s="305"/>
      <c r="GD276" s="305"/>
      <c r="GE276" s="305"/>
      <c r="GF276" s="305"/>
      <c r="GG276" s="305"/>
      <c r="GH276" s="305"/>
      <c r="GI276" s="305"/>
      <c r="GJ276" s="305"/>
      <c r="GK276" s="305"/>
      <c r="GL276" s="305"/>
      <c r="GM276" s="305"/>
      <c r="GN276" s="305"/>
      <c r="GO276" s="305"/>
      <c r="GP276" s="305"/>
      <c r="GQ276" s="305"/>
      <c r="GR276" s="305"/>
    </row>
    <row r="277" spans="3:200" s="318" customFormat="1" ht="12.75" customHeight="1" x14ac:dyDescent="0.2">
      <c r="C277" s="367"/>
      <c r="D277" s="403"/>
      <c r="E277" s="369"/>
      <c r="F277" s="369"/>
      <c r="G277" s="369"/>
      <c r="H277" s="369"/>
      <c r="I277" s="370"/>
      <c r="J277"/>
      <c r="K277" s="371"/>
      <c r="L277" s="371"/>
      <c r="M277" s="371"/>
      <c r="N277" s="371"/>
      <c r="O277" s="305"/>
      <c r="P277" s="305"/>
      <c r="Q277" s="305"/>
      <c r="R277" s="305"/>
      <c r="S277" s="305"/>
      <c r="T277" s="305"/>
      <c r="U277" s="305"/>
      <c r="V277" s="305"/>
      <c r="W277" s="305"/>
      <c r="X277" s="305"/>
      <c r="Y277" s="305"/>
      <c r="Z277" s="305"/>
      <c r="AA277" s="305"/>
      <c r="AB277" s="305"/>
      <c r="AC277" s="305"/>
      <c r="AD277" s="305"/>
      <c r="AE277" s="305"/>
      <c r="AF277" s="305"/>
      <c r="AG277" s="305"/>
      <c r="AH277" s="305"/>
      <c r="AI277" s="305"/>
      <c r="AJ277" s="305"/>
      <c r="AK277" s="305"/>
      <c r="AL277" s="305"/>
      <c r="AM277" s="305"/>
      <c r="AN277" s="305"/>
      <c r="AO277" s="305"/>
      <c r="AP277" s="305"/>
      <c r="AQ277" s="305"/>
      <c r="AR277" s="305"/>
      <c r="AS277" s="305"/>
      <c r="AT277" s="305"/>
      <c r="AU277" s="305"/>
      <c r="AV277" s="305"/>
      <c r="AW277" s="305"/>
      <c r="AX277" s="305"/>
      <c r="AY277" s="305"/>
      <c r="AZ277" s="305"/>
      <c r="BA277" s="305"/>
      <c r="BB277" s="305"/>
      <c r="BC277" s="305"/>
      <c r="BD277" s="305"/>
      <c r="BE277" s="305"/>
      <c r="BF277" s="305"/>
      <c r="BG277" s="305"/>
      <c r="BH277" s="305"/>
      <c r="BI277" s="305"/>
      <c r="BJ277" s="305"/>
      <c r="BK277" s="305"/>
      <c r="BL277" s="305"/>
      <c r="BM277" s="305"/>
      <c r="BN277" s="305"/>
      <c r="BO277" s="305"/>
      <c r="BP277" s="305"/>
      <c r="BQ277" s="305"/>
      <c r="BR277" s="305"/>
      <c r="BS277" s="305"/>
      <c r="BT277" s="305"/>
      <c r="BU277" s="305"/>
      <c r="BV277" s="305"/>
      <c r="BW277" s="305"/>
      <c r="BX277" s="305"/>
      <c r="BY277" s="305"/>
      <c r="BZ277" s="305"/>
      <c r="CA277" s="305"/>
      <c r="CB277" s="305"/>
      <c r="CC277" s="305"/>
      <c r="CD277" s="305"/>
      <c r="CE277" s="305"/>
      <c r="CF277" s="305"/>
      <c r="CG277" s="305"/>
      <c r="CH277" s="305"/>
      <c r="CI277" s="305"/>
      <c r="CJ277" s="305"/>
      <c r="CK277" s="305"/>
      <c r="CL277" s="305"/>
      <c r="CM277" s="305"/>
      <c r="CN277" s="305"/>
      <c r="CO277" s="305"/>
      <c r="CP277" s="305"/>
      <c r="CQ277" s="305"/>
      <c r="CR277" s="305"/>
      <c r="CS277" s="305"/>
      <c r="CT277" s="305"/>
      <c r="CU277" s="305"/>
      <c r="CV277" s="305"/>
      <c r="CW277" s="305"/>
      <c r="CX277" s="305"/>
      <c r="CY277" s="305"/>
      <c r="CZ277" s="305"/>
      <c r="DA277" s="305"/>
      <c r="DB277" s="305"/>
      <c r="DC277" s="305"/>
      <c r="DD277" s="305"/>
      <c r="DE277" s="305"/>
      <c r="DF277" s="305"/>
      <c r="DG277" s="305"/>
      <c r="DH277" s="305"/>
      <c r="DI277" s="305"/>
      <c r="DJ277" s="305"/>
      <c r="DK277" s="305"/>
      <c r="DL277" s="305"/>
      <c r="DM277" s="305"/>
      <c r="DN277" s="305"/>
      <c r="DO277" s="305"/>
      <c r="DP277" s="305"/>
      <c r="DQ277" s="305"/>
      <c r="DR277" s="305"/>
      <c r="DS277" s="305"/>
      <c r="DT277" s="305"/>
      <c r="DU277" s="305"/>
      <c r="DV277" s="305"/>
      <c r="DW277" s="305"/>
      <c r="DX277" s="305"/>
      <c r="DY277" s="305"/>
      <c r="DZ277" s="305"/>
      <c r="EA277" s="305"/>
      <c r="EB277" s="305"/>
      <c r="EC277" s="305"/>
      <c r="ED277" s="305"/>
      <c r="EE277" s="305"/>
      <c r="EF277" s="305"/>
      <c r="EG277" s="305"/>
      <c r="EH277" s="305"/>
      <c r="EI277" s="305"/>
      <c r="EJ277" s="305"/>
      <c r="EK277" s="305"/>
      <c r="EL277" s="305"/>
      <c r="EM277" s="305"/>
      <c r="EN277" s="305"/>
      <c r="EO277" s="305"/>
      <c r="EP277" s="305"/>
      <c r="EQ277" s="305"/>
      <c r="ER277" s="305"/>
      <c r="ES277" s="305"/>
      <c r="ET277" s="305"/>
      <c r="EU277" s="305"/>
      <c r="EV277" s="305"/>
      <c r="EW277" s="305"/>
      <c r="EX277" s="305"/>
      <c r="EY277" s="305"/>
      <c r="EZ277" s="305"/>
      <c r="FA277" s="305"/>
      <c r="FB277" s="305"/>
      <c r="FC277" s="305"/>
      <c r="FD277" s="305"/>
      <c r="FE277" s="305"/>
      <c r="FF277" s="305"/>
      <c r="FG277" s="305"/>
      <c r="FH277" s="305"/>
      <c r="FI277" s="305"/>
      <c r="FJ277" s="305"/>
      <c r="FK277" s="305"/>
      <c r="FL277" s="305"/>
      <c r="FM277" s="305"/>
      <c r="FN277" s="305"/>
      <c r="FO277" s="305"/>
      <c r="FP277" s="305"/>
      <c r="FQ277" s="305"/>
      <c r="FR277" s="305"/>
      <c r="FS277" s="305"/>
      <c r="FT277" s="305"/>
      <c r="FU277" s="305"/>
      <c r="FV277" s="305"/>
      <c r="FW277" s="305"/>
      <c r="FX277" s="305"/>
      <c r="FY277" s="305"/>
      <c r="FZ277" s="305"/>
      <c r="GA277" s="305"/>
      <c r="GB277" s="305"/>
      <c r="GC277" s="305"/>
      <c r="GD277" s="305"/>
      <c r="GE277" s="305"/>
      <c r="GF277" s="305"/>
      <c r="GG277" s="305"/>
      <c r="GH277" s="305"/>
      <c r="GI277" s="305"/>
      <c r="GJ277" s="305"/>
      <c r="GK277" s="305"/>
      <c r="GL277" s="305"/>
      <c r="GM277" s="305"/>
      <c r="GN277" s="305"/>
      <c r="GO277" s="305"/>
      <c r="GP277" s="305"/>
      <c r="GQ277" s="305"/>
      <c r="GR277" s="305"/>
    </row>
    <row r="278" spans="3:200" s="318" customFormat="1" ht="12.75" customHeight="1" x14ac:dyDescent="0.2">
      <c r="C278" s="367"/>
      <c r="D278" s="403"/>
      <c r="E278" s="369"/>
      <c r="F278" s="369"/>
      <c r="G278" s="369"/>
      <c r="H278" s="369"/>
      <c r="I278" s="370"/>
      <c r="J278"/>
      <c r="K278" s="371"/>
      <c r="L278" s="371"/>
      <c r="M278" s="371"/>
      <c r="N278" s="371"/>
      <c r="O278" s="305"/>
      <c r="P278" s="305"/>
      <c r="Q278" s="305"/>
      <c r="R278" s="305"/>
      <c r="S278" s="305"/>
      <c r="T278" s="305"/>
      <c r="U278" s="305"/>
      <c r="V278" s="305"/>
      <c r="W278" s="305"/>
      <c r="X278" s="305"/>
      <c r="Y278" s="305"/>
      <c r="Z278" s="305"/>
      <c r="AA278" s="305"/>
      <c r="AB278" s="305"/>
      <c r="AC278" s="305"/>
      <c r="AD278" s="305"/>
      <c r="AE278" s="305"/>
      <c r="AF278" s="305"/>
      <c r="AG278" s="305"/>
      <c r="AH278" s="305"/>
      <c r="AI278" s="305"/>
      <c r="AJ278" s="305"/>
      <c r="AK278" s="305"/>
      <c r="AL278" s="305"/>
      <c r="AM278" s="305"/>
      <c r="AN278" s="305"/>
      <c r="AO278" s="305"/>
      <c r="AP278" s="305"/>
      <c r="AQ278" s="305"/>
      <c r="AR278" s="305"/>
      <c r="AS278" s="305"/>
      <c r="AT278" s="305"/>
      <c r="AU278" s="305"/>
      <c r="AV278" s="305"/>
      <c r="AW278" s="305"/>
      <c r="AX278" s="305"/>
      <c r="AY278" s="305"/>
      <c r="AZ278" s="305"/>
      <c r="BA278" s="305"/>
      <c r="BB278" s="305"/>
      <c r="BC278" s="305"/>
      <c r="BD278" s="305"/>
      <c r="BE278" s="305"/>
      <c r="BF278" s="305"/>
      <c r="BG278" s="305"/>
      <c r="BH278" s="305"/>
      <c r="BI278" s="305"/>
      <c r="BJ278" s="305"/>
      <c r="BK278" s="305"/>
      <c r="BL278" s="305"/>
      <c r="BM278" s="305"/>
      <c r="BN278" s="305"/>
      <c r="BO278" s="305"/>
      <c r="BP278" s="305"/>
      <c r="BQ278" s="305"/>
      <c r="BR278" s="305"/>
      <c r="BS278" s="305"/>
      <c r="BT278" s="305"/>
      <c r="BU278" s="305"/>
      <c r="BV278" s="305"/>
      <c r="BW278" s="305"/>
      <c r="BX278" s="305"/>
      <c r="BY278" s="305"/>
      <c r="BZ278" s="305"/>
      <c r="CA278" s="305"/>
      <c r="CB278" s="305"/>
      <c r="CC278" s="305"/>
      <c r="CD278" s="305"/>
      <c r="CE278" s="305"/>
      <c r="CF278" s="305"/>
      <c r="CG278" s="305"/>
      <c r="CH278" s="305"/>
      <c r="CI278" s="305"/>
      <c r="CJ278" s="305"/>
      <c r="CK278" s="305"/>
      <c r="CL278" s="305"/>
      <c r="CM278" s="305"/>
      <c r="CN278" s="305"/>
      <c r="CO278" s="305"/>
      <c r="CP278" s="305"/>
      <c r="CQ278" s="305"/>
      <c r="CR278" s="305"/>
      <c r="CS278" s="305"/>
      <c r="CT278" s="305"/>
      <c r="CU278" s="305"/>
      <c r="CV278" s="305"/>
      <c r="CW278" s="305"/>
      <c r="CX278" s="305"/>
      <c r="CY278" s="305"/>
      <c r="CZ278" s="305"/>
      <c r="DA278" s="305"/>
      <c r="DB278" s="305"/>
      <c r="DC278" s="305"/>
      <c r="DD278" s="305"/>
      <c r="DE278" s="305"/>
      <c r="DF278" s="305"/>
      <c r="DG278" s="305"/>
      <c r="DH278" s="305"/>
      <c r="DI278" s="305"/>
      <c r="DJ278" s="305"/>
      <c r="DK278" s="305"/>
      <c r="DL278" s="305"/>
      <c r="DM278" s="305"/>
      <c r="DN278" s="305"/>
      <c r="DO278" s="305"/>
      <c r="DP278" s="305"/>
      <c r="DQ278" s="305"/>
      <c r="DR278" s="305"/>
      <c r="DS278" s="305"/>
      <c r="DT278" s="305"/>
      <c r="DU278" s="305"/>
      <c r="DV278" s="305"/>
      <c r="DW278" s="305"/>
      <c r="DX278" s="305"/>
      <c r="DY278" s="305"/>
      <c r="DZ278" s="305"/>
      <c r="EA278" s="305"/>
      <c r="EB278" s="305"/>
      <c r="EC278" s="305"/>
      <c r="ED278" s="305"/>
      <c r="EE278" s="305"/>
      <c r="EF278" s="305"/>
      <c r="EG278" s="305"/>
      <c r="EH278" s="305"/>
      <c r="EI278" s="305"/>
      <c r="EJ278" s="305"/>
      <c r="EK278" s="305"/>
      <c r="EL278" s="305"/>
      <c r="EM278" s="305"/>
      <c r="EN278" s="305"/>
      <c r="EO278" s="305"/>
      <c r="EP278" s="305"/>
      <c r="EQ278" s="305"/>
      <c r="ER278" s="305"/>
      <c r="ES278" s="305"/>
      <c r="ET278" s="305"/>
      <c r="EU278" s="305"/>
      <c r="EV278" s="305"/>
      <c r="EW278" s="305"/>
      <c r="EX278" s="305"/>
      <c r="EY278" s="305"/>
      <c r="EZ278" s="305"/>
      <c r="FA278" s="305"/>
      <c r="FB278" s="305"/>
      <c r="FC278" s="305"/>
      <c r="FD278" s="305"/>
      <c r="FE278" s="305"/>
      <c r="FF278" s="305"/>
      <c r="FG278" s="305"/>
      <c r="FH278" s="305"/>
      <c r="FI278" s="305"/>
      <c r="FJ278" s="305"/>
      <c r="FK278" s="305"/>
      <c r="FL278" s="305"/>
      <c r="FM278" s="305"/>
      <c r="FN278" s="305"/>
      <c r="FO278" s="305"/>
      <c r="FP278" s="305"/>
      <c r="FQ278" s="305"/>
      <c r="FR278" s="305"/>
      <c r="FS278" s="305"/>
      <c r="FT278" s="305"/>
      <c r="FU278" s="305"/>
      <c r="FV278" s="305"/>
      <c r="FW278" s="305"/>
      <c r="FX278" s="305"/>
      <c r="FY278" s="305"/>
      <c r="FZ278" s="305"/>
      <c r="GA278" s="305"/>
      <c r="GB278" s="305"/>
      <c r="GC278" s="305"/>
      <c r="GD278" s="305"/>
      <c r="GE278" s="305"/>
      <c r="GF278" s="305"/>
      <c r="GG278" s="305"/>
      <c r="GH278" s="305"/>
      <c r="GI278" s="305"/>
      <c r="GJ278" s="305"/>
      <c r="GK278" s="305"/>
      <c r="GL278" s="305"/>
      <c r="GM278" s="305"/>
      <c r="GN278" s="305"/>
      <c r="GO278" s="305"/>
      <c r="GP278" s="305"/>
      <c r="GQ278" s="305"/>
      <c r="GR278" s="305"/>
    </row>
    <row r="279" spans="3:200" s="318" customFormat="1" ht="12.75" customHeight="1" x14ac:dyDescent="0.2">
      <c r="C279" s="367"/>
      <c r="D279" s="403"/>
      <c r="E279" s="369"/>
      <c r="F279" s="369"/>
      <c r="G279" s="369"/>
      <c r="H279" s="369"/>
      <c r="I279" s="370"/>
      <c r="J279"/>
      <c r="K279" s="371"/>
      <c r="L279" s="371"/>
      <c r="M279" s="371"/>
      <c r="N279" s="371"/>
      <c r="O279" s="305"/>
      <c r="P279" s="305"/>
      <c r="Q279" s="305"/>
      <c r="R279" s="305"/>
      <c r="S279" s="305"/>
      <c r="T279" s="305"/>
      <c r="U279" s="305"/>
      <c r="V279" s="305"/>
      <c r="W279" s="305"/>
      <c r="X279" s="305"/>
      <c r="Y279" s="305"/>
      <c r="Z279" s="305"/>
      <c r="AA279" s="305"/>
      <c r="AB279" s="305"/>
      <c r="AC279" s="305"/>
      <c r="AD279" s="305"/>
      <c r="AE279" s="305"/>
      <c r="AF279" s="305"/>
      <c r="AG279" s="305"/>
      <c r="AH279" s="305"/>
      <c r="AI279" s="305"/>
      <c r="AJ279" s="305"/>
      <c r="AK279" s="305"/>
      <c r="AL279" s="305"/>
      <c r="AM279" s="305"/>
      <c r="AN279" s="305"/>
      <c r="AO279" s="305"/>
      <c r="AP279" s="305"/>
      <c r="AQ279" s="305"/>
      <c r="AR279" s="305"/>
      <c r="AS279" s="305"/>
      <c r="AT279" s="305"/>
      <c r="AU279" s="305"/>
      <c r="AV279" s="305"/>
      <c r="AW279" s="305"/>
      <c r="AX279" s="305"/>
      <c r="AY279" s="305"/>
      <c r="AZ279" s="305"/>
      <c r="BA279" s="305"/>
      <c r="BB279" s="305"/>
      <c r="BC279" s="305"/>
      <c r="BD279" s="305"/>
      <c r="BE279" s="305"/>
      <c r="BF279" s="305"/>
      <c r="BG279" s="305"/>
      <c r="BH279" s="305"/>
      <c r="BI279" s="305"/>
      <c r="BJ279" s="305"/>
      <c r="BK279" s="305"/>
      <c r="BL279" s="305"/>
      <c r="BM279" s="305"/>
      <c r="BN279" s="305"/>
      <c r="BO279" s="305"/>
      <c r="BP279" s="305"/>
      <c r="BQ279" s="305"/>
      <c r="BR279" s="305"/>
      <c r="BS279" s="305"/>
      <c r="BT279" s="305"/>
      <c r="BU279" s="305"/>
      <c r="BV279" s="305"/>
      <c r="BW279" s="305"/>
      <c r="BX279" s="305"/>
      <c r="BY279" s="305"/>
      <c r="BZ279" s="305"/>
      <c r="CA279" s="305"/>
      <c r="CB279" s="305"/>
      <c r="CC279" s="305"/>
      <c r="CD279" s="305"/>
      <c r="CE279" s="305"/>
      <c r="CF279" s="305"/>
      <c r="CG279" s="305"/>
      <c r="CH279" s="305"/>
      <c r="CI279" s="305"/>
      <c r="CJ279" s="305"/>
      <c r="CK279" s="305"/>
      <c r="CL279" s="305"/>
      <c r="CM279" s="305"/>
      <c r="CN279" s="305"/>
      <c r="CO279" s="305"/>
      <c r="CP279" s="305"/>
      <c r="CQ279" s="305"/>
      <c r="CR279" s="305"/>
      <c r="CS279" s="305"/>
      <c r="CT279" s="305"/>
      <c r="CU279" s="305"/>
      <c r="CV279" s="305"/>
      <c r="CW279" s="305"/>
      <c r="CX279" s="305"/>
      <c r="CY279" s="305"/>
      <c r="CZ279" s="305"/>
      <c r="DA279" s="305"/>
      <c r="DB279" s="305"/>
      <c r="DC279" s="305"/>
      <c r="DD279" s="305"/>
      <c r="DE279" s="305"/>
      <c r="DF279" s="305"/>
      <c r="DG279" s="305"/>
      <c r="DH279" s="305"/>
      <c r="DI279" s="305"/>
      <c r="DJ279" s="305"/>
      <c r="DK279" s="305"/>
      <c r="DL279" s="305"/>
      <c r="DM279" s="305"/>
      <c r="DN279" s="305"/>
      <c r="DO279" s="305"/>
      <c r="DP279" s="305"/>
      <c r="DQ279" s="305"/>
      <c r="DR279" s="305"/>
      <c r="DS279" s="305"/>
      <c r="DT279" s="305"/>
      <c r="DU279" s="305"/>
      <c r="DV279" s="305"/>
      <c r="DW279" s="305"/>
      <c r="DX279" s="305"/>
      <c r="DY279" s="305"/>
      <c r="DZ279" s="305"/>
      <c r="EA279" s="305"/>
      <c r="EB279" s="305"/>
      <c r="EC279" s="305"/>
      <c r="ED279" s="305"/>
      <c r="EE279" s="305"/>
      <c r="EF279" s="305"/>
      <c r="EG279" s="305"/>
      <c r="EH279" s="305"/>
      <c r="EI279" s="305"/>
      <c r="EJ279" s="305"/>
      <c r="EK279" s="305"/>
      <c r="EL279" s="305"/>
      <c r="EM279" s="305"/>
      <c r="EN279" s="305"/>
      <c r="EO279" s="305"/>
      <c r="EP279" s="305"/>
      <c r="EQ279" s="305"/>
      <c r="ER279" s="305"/>
      <c r="ES279" s="305"/>
      <c r="ET279" s="305"/>
      <c r="EU279" s="305"/>
      <c r="EV279" s="305"/>
      <c r="EW279" s="305"/>
      <c r="EX279" s="305"/>
      <c r="EY279" s="305"/>
      <c r="EZ279" s="305"/>
      <c r="FA279" s="305"/>
      <c r="FB279" s="305"/>
      <c r="FC279" s="305"/>
      <c r="FD279" s="305"/>
      <c r="FE279" s="305"/>
      <c r="FF279" s="305"/>
      <c r="FG279" s="305"/>
      <c r="FH279" s="305"/>
      <c r="FI279" s="305"/>
      <c r="FJ279" s="305"/>
      <c r="FK279" s="305"/>
      <c r="FL279" s="305"/>
      <c r="FM279" s="305"/>
      <c r="FN279" s="305"/>
      <c r="FO279" s="305"/>
      <c r="FP279" s="305"/>
      <c r="FQ279" s="305"/>
      <c r="FR279" s="305"/>
      <c r="FS279" s="305"/>
      <c r="FT279" s="305"/>
      <c r="FU279" s="305"/>
      <c r="FV279" s="305"/>
      <c r="FW279" s="305"/>
      <c r="FX279" s="305"/>
      <c r="FY279" s="305"/>
      <c r="FZ279" s="305"/>
      <c r="GA279" s="305"/>
      <c r="GB279" s="305"/>
      <c r="GC279" s="305"/>
      <c r="GD279" s="305"/>
      <c r="GE279" s="305"/>
      <c r="GF279" s="305"/>
      <c r="GG279" s="305"/>
      <c r="GH279" s="305"/>
      <c r="GI279" s="305"/>
      <c r="GJ279" s="305"/>
      <c r="GK279" s="305"/>
      <c r="GL279" s="305"/>
      <c r="GM279" s="305"/>
      <c r="GN279" s="305"/>
      <c r="GO279" s="305"/>
      <c r="GP279" s="305"/>
      <c r="GQ279" s="305"/>
      <c r="GR279" s="305"/>
    </row>
    <row r="280" spans="3:200" s="318" customFormat="1" ht="12.75" customHeight="1" x14ac:dyDescent="0.2">
      <c r="C280" s="367"/>
      <c r="D280" s="403"/>
      <c r="E280" s="369"/>
      <c r="F280" s="369"/>
      <c r="G280" s="369"/>
      <c r="H280" s="369"/>
      <c r="I280" s="370"/>
      <c r="J280"/>
      <c r="K280" s="371"/>
      <c r="L280" s="371"/>
      <c r="M280" s="371"/>
      <c r="N280" s="371"/>
      <c r="O280" s="305"/>
      <c r="P280" s="305"/>
      <c r="Q280" s="305"/>
      <c r="R280" s="305"/>
      <c r="S280" s="305"/>
      <c r="T280" s="305"/>
      <c r="U280" s="305"/>
      <c r="V280" s="305"/>
      <c r="W280" s="305"/>
      <c r="X280" s="305"/>
      <c r="Y280" s="305"/>
      <c r="Z280" s="305"/>
      <c r="AA280" s="305"/>
      <c r="AB280" s="305"/>
      <c r="AC280" s="305"/>
      <c r="AD280" s="305"/>
      <c r="AE280" s="305"/>
      <c r="AF280" s="305"/>
      <c r="AG280" s="305"/>
      <c r="AH280" s="305"/>
      <c r="AI280" s="305"/>
      <c r="AJ280" s="305"/>
      <c r="AK280" s="305"/>
      <c r="AL280" s="305"/>
      <c r="AM280" s="305"/>
      <c r="AN280" s="305"/>
      <c r="AO280" s="305"/>
      <c r="AP280" s="305"/>
      <c r="AQ280" s="305"/>
      <c r="AR280" s="305"/>
      <c r="AS280" s="305"/>
      <c r="AT280" s="305"/>
      <c r="AU280" s="305"/>
      <c r="AV280" s="305"/>
      <c r="AW280" s="305"/>
      <c r="AX280" s="305"/>
      <c r="AY280" s="305"/>
      <c r="AZ280" s="305"/>
      <c r="BA280" s="305"/>
      <c r="BB280" s="305"/>
      <c r="BC280" s="305"/>
      <c r="BD280" s="305"/>
      <c r="BE280" s="305"/>
      <c r="BF280" s="305"/>
      <c r="BG280" s="305"/>
      <c r="BH280" s="305"/>
      <c r="BI280" s="305"/>
      <c r="BJ280" s="305"/>
      <c r="BK280" s="305"/>
      <c r="BL280" s="305"/>
      <c r="BM280" s="305"/>
      <c r="BN280" s="305"/>
      <c r="BO280" s="305"/>
      <c r="BP280" s="305"/>
      <c r="BQ280" s="305"/>
      <c r="BR280" s="305"/>
      <c r="BS280" s="305"/>
      <c r="BT280" s="305"/>
      <c r="BU280" s="305"/>
      <c r="BV280" s="305"/>
      <c r="BW280" s="305"/>
      <c r="BX280" s="305"/>
      <c r="BY280" s="305"/>
      <c r="BZ280" s="305"/>
      <c r="CA280" s="305"/>
      <c r="CB280" s="305"/>
      <c r="CC280" s="305"/>
      <c r="CD280" s="305"/>
      <c r="CE280" s="305"/>
      <c r="CF280" s="305"/>
      <c r="CG280" s="305"/>
      <c r="CH280" s="305"/>
      <c r="CI280" s="305"/>
      <c r="CJ280" s="305"/>
      <c r="CK280" s="305"/>
      <c r="CL280" s="305"/>
      <c r="CM280" s="305"/>
      <c r="CN280" s="305"/>
      <c r="CO280" s="305"/>
      <c r="CP280" s="305"/>
      <c r="CQ280" s="305"/>
      <c r="CR280" s="305"/>
      <c r="CS280" s="305"/>
      <c r="CT280" s="305"/>
      <c r="CU280" s="305"/>
      <c r="CV280" s="305"/>
      <c r="CW280" s="305"/>
      <c r="CX280" s="305"/>
      <c r="CY280" s="305"/>
      <c r="CZ280" s="305"/>
      <c r="DA280" s="305"/>
      <c r="DB280" s="305"/>
      <c r="DC280" s="305"/>
      <c r="DD280" s="305"/>
      <c r="DE280" s="305"/>
      <c r="DF280" s="305"/>
      <c r="DG280" s="305"/>
      <c r="DH280" s="305"/>
      <c r="DI280" s="305"/>
      <c r="DJ280" s="305"/>
      <c r="DK280" s="305"/>
      <c r="DL280" s="305"/>
      <c r="DM280" s="305"/>
      <c r="DN280" s="305"/>
      <c r="DO280" s="305"/>
      <c r="DP280" s="305"/>
      <c r="DQ280" s="305"/>
      <c r="DR280" s="305"/>
      <c r="DS280" s="305"/>
      <c r="DT280" s="305"/>
      <c r="DU280" s="305"/>
      <c r="DV280" s="305"/>
      <c r="DW280" s="305"/>
      <c r="DX280" s="305"/>
      <c r="DY280" s="305"/>
      <c r="DZ280" s="305"/>
      <c r="EA280" s="305"/>
      <c r="EB280" s="305"/>
      <c r="EC280" s="305"/>
      <c r="ED280" s="305"/>
      <c r="EE280" s="305"/>
      <c r="EF280" s="305"/>
      <c r="EG280" s="305"/>
      <c r="EH280" s="305"/>
      <c r="EI280" s="305"/>
      <c r="EJ280" s="305"/>
      <c r="EK280" s="305"/>
      <c r="EL280" s="305"/>
      <c r="EM280" s="305"/>
      <c r="EN280" s="305"/>
      <c r="EO280" s="305"/>
      <c r="EP280" s="305"/>
      <c r="EQ280" s="305"/>
      <c r="ER280" s="305"/>
      <c r="ES280" s="305"/>
      <c r="ET280" s="305"/>
      <c r="EU280" s="305"/>
      <c r="EV280" s="305"/>
      <c r="EW280" s="305"/>
      <c r="EX280" s="305"/>
      <c r="EY280" s="305"/>
      <c r="EZ280" s="305"/>
      <c r="FA280" s="305"/>
      <c r="FB280" s="305"/>
      <c r="FC280" s="305"/>
      <c r="FD280" s="305"/>
      <c r="FE280" s="305"/>
      <c r="FF280" s="305"/>
      <c r="FG280" s="305"/>
      <c r="FH280" s="305"/>
      <c r="FI280" s="305"/>
      <c r="FJ280" s="305"/>
      <c r="FK280" s="305"/>
      <c r="FL280" s="305"/>
      <c r="FM280" s="305"/>
      <c r="FN280" s="305"/>
      <c r="FO280" s="305"/>
      <c r="FP280" s="305"/>
      <c r="FQ280" s="305"/>
      <c r="FR280" s="305"/>
      <c r="FS280" s="305"/>
      <c r="FT280" s="305"/>
      <c r="FU280" s="305"/>
      <c r="FV280" s="305"/>
      <c r="FW280" s="305"/>
      <c r="FX280" s="305"/>
      <c r="FY280" s="305"/>
      <c r="FZ280" s="305"/>
      <c r="GA280" s="305"/>
      <c r="GB280" s="305"/>
      <c r="GC280" s="305"/>
      <c r="GD280" s="305"/>
      <c r="GE280" s="305"/>
      <c r="GF280" s="305"/>
      <c r="GG280" s="305"/>
      <c r="GH280" s="305"/>
      <c r="GI280" s="305"/>
      <c r="GJ280" s="305"/>
      <c r="GK280" s="305"/>
      <c r="GL280" s="305"/>
      <c r="GM280" s="305"/>
      <c r="GN280" s="305"/>
      <c r="GO280" s="305"/>
      <c r="GP280" s="305"/>
      <c r="GQ280" s="305"/>
      <c r="GR280" s="305"/>
    </row>
    <row r="281" spans="3:200" s="318" customFormat="1" ht="12.75" customHeight="1" x14ac:dyDescent="0.2">
      <c r="C281" s="367"/>
      <c r="D281" s="403"/>
      <c r="E281" s="369"/>
      <c r="F281" s="369"/>
      <c r="G281" s="369"/>
      <c r="H281" s="369"/>
      <c r="I281" s="370"/>
      <c r="J281"/>
      <c r="K281" s="371"/>
      <c r="L281" s="371"/>
      <c r="M281" s="371"/>
      <c r="N281" s="371"/>
      <c r="O281" s="305"/>
      <c r="P281" s="305"/>
      <c r="Q281" s="305"/>
      <c r="R281" s="305"/>
      <c r="S281" s="305"/>
      <c r="T281" s="305"/>
      <c r="U281" s="305"/>
      <c r="V281" s="305"/>
      <c r="W281" s="305"/>
      <c r="X281" s="305"/>
      <c r="Y281" s="305"/>
      <c r="Z281" s="305"/>
      <c r="AA281" s="305"/>
      <c r="AB281" s="305"/>
      <c r="AC281" s="305"/>
      <c r="AD281" s="305"/>
      <c r="AE281" s="305"/>
      <c r="AF281" s="305"/>
      <c r="AG281" s="305"/>
      <c r="AH281" s="305"/>
      <c r="AI281" s="305"/>
      <c r="AJ281" s="305"/>
      <c r="AK281" s="305"/>
      <c r="AL281" s="305"/>
      <c r="AM281" s="305"/>
      <c r="AN281" s="305"/>
      <c r="AO281" s="305"/>
      <c r="AP281" s="305"/>
      <c r="AQ281" s="305"/>
      <c r="AR281" s="305"/>
      <c r="AS281" s="305"/>
      <c r="AT281" s="305"/>
      <c r="AU281" s="305"/>
      <c r="AV281" s="305"/>
      <c r="AW281" s="305"/>
      <c r="AX281" s="305"/>
      <c r="AY281" s="305"/>
      <c r="AZ281" s="305"/>
      <c r="BA281" s="305"/>
      <c r="BB281" s="305"/>
      <c r="BC281" s="305"/>
      <c r="BD281" s="305"/>
      <c r="BE281" s="305"/>
      <c r="BF281" s="305"/>
      <c r="BG281" s="305"/>
      <c r="BH281" s="305"/>
      <c r="BI281" s="305"/>
      <c r="BJ281" s="305"/>
      <c r="BK281" s="305"/>
      <c r="BL281" s="305"/>
      <c r="BM281" s="305"/>
      <c r="BN281" s="305"/>
      <c r="BO281" s="305"/>
      <c r="BP281" s="305"/>
      <c r="BQ281" s="305"/>
      <c r="BR281" s="305"/>
      <c r="BS281" s="305"/>
      <c r="BT281" s="305"/>
      <c r="BU281" s="305"/>
      <c r="BV281" s="305"/>
      <c r="BW281" s="305"/>
      <c r="BX281" s="305"/>
      <c r="BY281" s="305"/>
      <c r="BZ281" s="305"/>
      <c r="CA281" s="305"/>
      <c r="CB281" s="305"/>
      <c r="CC281" s="305"/>
      <c r="CD281" s="305"/>
      <c r="CE281" s="305"/>
      <c r="CF281" s="305"/>
      <c r="CG281" s="305"/>
      <c r="CH281" s="305"/>
      <c r="CI281" s="305"/>
      <c r="CJ281" s="305"/>
      <c r="CK281" s="305"/>
      <c r="CL281" s="305"/>
      <c r="CM281" s="305"/>
      <c r="CN281" s="305"/>
      <c r="CO281" s="305"/>
      <c r="CP281" s="305"/>
      <c r="CQ281" s="305"/>
      <c r="CR281" s="305"/>
      <c r="CS281" s="305"/>
      <c r="CT281" s="305"/>
      <c r="CU281" s="305"/>
      <c r="CV281" s="305"/>
      <c r="CW281" s="305"/>
      <c r="CX281" s="305"/>
      <c r="CY281" s="305"/>
      <c r="CZ281" s="305"/>
      <c r="DA281" s="305"/>
      <c r="DB281" s="305"/>
      <c r="DC281" s="305"/>
      <c r="DD281" s="305"/>
      <c r="DE281" s="305"/>
      <c r="DF281" s="305"/>
      <c r="DG281" s="305"/>
      <c r="DH281" s="305"/>
      <c r="DI281" s="305"/>
      <c r="DJ281" s="305"/>
      <c r="DK281" s="305"/>
      <c r="DL281" s="305"/>
      <c r="DM281" s="305"/>
      <c r="DN281" s="305"/>
      <c r="DO281" s="305"/>
      <c r="DP281" s="305"/>
      <c r="DQ281" s="305"/>
      <c r="DR281" s="305"/>
      <c r="DS281" s="305"/>
      <c r="DT281" s="305"/>
      <c r="DU281" s="305"/>
      <c r="DV281" s="305"/>
      <c r="DW281" s="305"/>
      <c r="DX281" s="305"/>
      <c r="DY281" s="305"/>
      <c r="DZ281" s="305"/>
      <c r="EA281" s="305"/>
      <c r="EB281" s="305"/>
      <c r="EC281" s="305"/>
      <c r="ED281" s="305"/>
      <c r="EE281" s="305"/>
      <c r="EF281" s="305"/>
      <c r="EG281" s="305"/>
      <c r="EH281" s="305"/>
      <c r="EI281" s="305"/>
      <c r="EJ281" s="305"/>
      <c r="EK281" s="305"/>
      <c r="EL281" s="305"/>
      <c r="EM281" s="305"/>
      <c r="EN281" s="305"/>
      <c r="EO281" s="305"/>
      <c r="EP281" s="305"/>
      <c r="EQ281" s="305"/>
      <c r="ER281" s="305"/>
      <c r="ES281" s="305"/>
      <c r="ET281" s="305"/>
      <c r="EU281" s="305"/>
      <c r="EV281" s="305"/>
      <c r="EW281" s="305"/>
      <c r="EX281" s="305"/>
      <c r="EY281" s="305"/>
      <c r="EZ281" s="305"/>
      <c r="FA281" s="305"/>
      <c r="FB281" s="305"/>
      <c r="FC281" s="305"/>
      <c r="FD281" s="305"/>
      <c r="FE281" s="305"/>
      <c r="FF281" s="305"/>
      <c r="FG281" s="305"/>
      <c r="FH281" s="305"/>
      <c r="FI281" s="305"/>
      <c r="FJ281" s="305"/>
      <c r="FK281" s="305"/>
      <c r="FL281" s="305"/>
      <c r="FM281" s="305"/>
      <c r="FN281" s="305"/>
      <c r="FO281" s="305"/>
      <c r="FP281" s="305"/>
      <c r="FQ281" s="305"/>
      <c r="FR281" s="305"/>
      <c r="FS281" s="305"/>
      <c r="FT281" s="305"/>
      <c r="FU281" s="305"/>
      <c r="FV281" s="305"/>
      <c r="FW281" s="305"/>
      <c r="FX281" s="305"/>
      <c r="FY281" s="305"/>
      <c r="FZ281" s="305"/>
      <c r="GA281" s="305"/>
      <c r="GB281" s="305"/>
      <c r="GC281" s="305"/>
      <c r="GD281" s="305"/>
      <c r="GE281" s="305"/>
      <c r="GF281" s="305"/>
      <c r="GG281" s="305"/>
      <c r="GH281" s="305"/>
      <c r="GI281" s="305"/>
      <c r="GJ281" s="305"/>
      <c r="GK281" s="305"/>
      <c r="GL281" s="305"/>
      <c r="GM281" s="305"/>
      <c r="GN281" s="305"/>
      <c r="GO281" s="305"/>
      <c r="GP281" s="305"/>
      <c r="GQ281" s="305"/>
      <c r="GR281" s="305"/>
    </row>
    <row r="282" spans="3:200" s="318" customFormat="1" ht="12.75" customHeight="1" x14ac:dyDescent="0.2">
      <c r="C282" s="367"/>
      <c r="D282" s="403"/>
      <c r="E282" s="369"/>
      <c r="F282" s="369"/>
      <c r="G282" s="369"/>
      <c r="H282" s="369"/>
      <c r="I282" s="370"/>
      <c r="J282"/>
      <c r="K282" s="371"/>
      <c r="L282" s="371"/>
      <c r="M282" s="371"/>
      <c r="N282" s="371"/>
      <c r="O282" s="305"/>
      <c r="P282" s="305"/>
      <c r="Q282" s="305"/>
      <c r="R282" s="305"/>
      <c r="S282" s="305"/>
      <c r="T282" s="305"/>
      <c r="U282" s="305"/>
      <c r="V282" s="305"/>
      <c r="W282" s="305"/>
      <c r="X282" s="305"/>
      <c r="Y282" s="305"/>
      <c r="Z282" s="305"/>
      <c r="AA282" s="305"/>
      <c r="AB282" s="305"/>
      <c r="AC282" s="305"/>
      <c r="AD282" s="305"/>
      <c r="AE282" s="305"/>
      <c r="AF282" s="305"/>
      <c r="AG282" s="305"/>
      <c r="AH282" s="305"/>
      <c r="AI282" s="305"/>
      <c r="AJ282" s="305"/>
      <c r="AK282" s="305"/>
      <c r="AL282" s="305"/>
      <c r="AM282" s="305"/>
      <c r="AN282" s="305"/>
      <c r="AO282" s="305"/>
      <c r="AP282" s="305"/>
      <c r="AQ282" s="305"/>
      <c r="AR282" s="305"/>
      <c r="AS282" s="305"/>
      <c r="AT282" s="305"/>
      <c r="AU282" s="305"/>
      <c r="AV282" s="305"/>
      <c r="AW282" s="305"/>
      <c r="AX282" s="305"/>
      <c r="AY282" s="305"/>
      <c r="AZ282" s="305"/>
      <c r="BA282" s="305"/>
      <c r="BB282" s="305"/>
      <c r="BC282" s="305"/>
      <c r="BD282" s="305"/>
      <c r="BE282" s="305"/>
      <c r="BF282" s="305"/>
      <c r="BG282" s="305"/>
      <c r="BH282" s="305"/>
      <c r="BI282" s="305"/>
      <c r="BJ282" s="305"/>
      <c r="BK282" s="305"/>
      <c r="BL282" s="305"/>
      <c r="BM282" s="305"/>
      <c r="BN282" s="305"/>
      <c r="BO282" s="305"/>
      <c r="BP282" s="305"/>
      <c r="BQ282" s="305"/>
      <c r="BR282" s="305"/>
      <c r="BS282" s="305"/>
      <c r="BT282" s="305"/>
      <c r="BU282" s="305"/>
      <c r="BV282" s="305"/>
      <c r="BW282" s="305"/>
      <c r="BX282" s="305"/>
      <c r="BY282" s="305"/>
      <c r="BZ282" s="305"/>
      <c r="CA282" s="305"/>
      <c r="CB282" s="305"/>
      <c r="CC282" s="305"/>
      <c r="CD282" s="305"/>
      <c r="CE282" s="305"/>
      <c r="CF282" s="305"/>
      <c r="CG282" s="305"/>
      <c r="CH282" s="305"/>
      <c r="CI282" s="305"/>
      <c r="CJ282" s="305"/>
      <c r="CK282" s="305"/>
      <c r="CL282" s="305"/>
      <c r="CM282" s="305"/>
      <c r="CN282" s="305"/>
      <c r="CO282" s="305"/>
      <c r="CP282" s="305"/>
      <c r="CQ282" s="305"/>
      <c r="CR282" s="305"/>
      <c r="CS282" s="305"/>
      <c r="CT282" s="305"/>
      <c r="CU282" s="305"/>
      <c r="CV282" s="305"/>
      <c r="CW282" s="305"/>
      <c r="CX282" s="305"/>
      <c r="CY282" s="305"/>
      <c r="CZ282" s="305"/>
      <c r="DA282" s="305"/>
      <c r="DB282" s="305"/>
      <c r="DC282" s="305"/>
      <c r="DD282" s="305"/>
      <c r="DE282" s="305"/>
      <c r="DF282" s="305"/>
      <c r="DG282" s="305"/>
      <c r="DH282" s="305"/>
      <c r="DI282" s="305"/>
      <c r="DJ282" s="305"/>
      <c r="DK282" s="305"/>
      <c r="DL282" s="305"/>
      <c r="DM282" s="305"/>
      <c r="DN282" s="305"/>
      <c r="DO282" s="305"/>
      <c r="DP282" s="305"/>
      <c r="DQ282" s="305"/>
      <c r="DR282" s="305"/>
      <c r="DS282" s="305"/>
      <c r="DT282" s="305"/>
      <c r="DU282" s="305"/>
      <c r="DV282" s="305"/>
      <c r="DW282" s="305"/>
      <c r="DX282" s="305"/>
      <c r="DY282" s="305"/>
      <c r="DZ282" s="305"/>
      <c r="EA282" s="305"/>
      <c r="EB282" s="305"/>
      <c r="EC282" s="305"/>
      <c r="ED282" s="305"/>
      <c r="EE282" s="305"/>
      <c r="EF282" s="305"/>
      <c r="EG282" s="305"/>
      <c r="EH282" s="305"/>
      <c r="EI282" s="305"/>
      <c r="EJ282" s="305"/>
      <c r="EK282" s="305"/>
      <c r="EL282" s="305"/>
      <c r="EM282" s="305"/>
      <c r="EN282" s="305"/>
      <c r="EO282" s="305"/>
      <c r="EP282" s="305"/>
      <c r="EQ282" s="305"/>
      <c r="ER282" s="305"/>
      <c r="ES282" s="305"/>
      <c r="ET282" s="305"/>
      <c r="EU282" s="305"/>
      <c r="EV282" s="305"/>
      <c r="EW282" s="305"/>
      <c r="EX282" s="305"/>
      <c r="EY282" s="305"/>
      <c r="EZ282" s="305"/>
      <c r="FA282" s="305"/>
      <c r="FB282" s="305"/>
      <c r="FC282" s="305"/>
      <c r="FD282" s="305"/>
      <c r="FE282" s="305"/>
      <c r="FF282" s="305"/>
      <c r="FG282" s="305"/>
      <c r="FH282" s="305"/>
      <c r="FI282" s="305"/>
      <c r="FJ282" s="305"/>
      <c r="FK282" s="305"/>
      <c r="FL282" s="305"/>
      <c r="FM282" s="305"/>
      <c r="FN282" s="305"/>
      <c r="FO282" s="305"/>
      <c r="FP282" s="305"/>
      <c r="FQ282" s="305"/>
      <c r="FR282" s="305"/>
      <c r="FS282" s="305"/>
      <c r="FT282" s="305"/>
      <c r="FU282" s="305"/>
      <c r="FV282" s="305"/>
      <c r="FW282" s="305"/>
      <c r="FX282" s="305"/>
      <c r="FY282" s="305"/>
      <c r="FZ282" s="305"/>
      <c r="GA282" s="305"/>
      <c r="GB282" s="305"/>
      <c r="GC282" s="305"/>
      <c r="GD282" s="305"/>
      <c r="GE282" s="305"/>
      <c r="GF282" s="305"/>
      <c r="GG282" s="305"/>
      <c r="GH282" s="305"/>
      <c r="GI282" s="305"/>
      <c r="GJ282" s="305"/>
      <c r="GK282" s="305"/>
      <c r="GL282" s="305"/>
      <c r="GM282" s="305"/>
      <c r="GN282" s="305"/>
      <c r="GO282" s="305"/>
      <c r="GP282" s="305"/>
      <c r="GQ282" s="305"/>
      <c r="GR282" s="305"/>
    </row>
    <row r="283" spans="3:200" s="318" customFormat="1" ht="12.75" customHeight="1" x14ac:dyDescent="0.2">
      <c r="C283" s="367"/>
      <c r="D283" s="403"/>
      <c r="E283" s="369"/>
      <c r="F283" s="369"/>
      <c r="G283" s="369"/>
      <c r="H283" s="369"/>
      <c r="I283" s="370"/>
      <c r="J283"/>
      <c r="K283" s="371"/>
      <c r="L283" s="371"/>
      <c r="M283" s="371"/>
      <c r="N283" s="371"/>
      <c r="O283" s="305"/>
      <c r="P283" s="305"/>
      <c r="Q283" s="305"/>
      <c r="R283" s="305"/>
      <c r="S283" s="305"/>
      <c r="T283" s="305"/>
      <c r="U283" s="305"/>
      <c r="V283" s="305"/>
      <c r="W283" s="305"/>
      <c r="X283" s="305"/>
      <c r="Y283" s="305"/>
      <c r="Z283" s="305"/>
      <c r="AA283" s="305"/>
      <c r="AB283" s="305"/>
      <c r="AC283" s="305"/>
      <c r="AD283" s="305"/>
      <c r="AE283" s="305"/>
      <c r="AF283" s="305"/>
      <c r="AG283" s="305"/>
      <c r="AH283" s="305"/>
      <c r="AI283" s="305"/>
      <c r="AJ283" s="305"/>
      <c r="AK283" s="305"/>
      <c r="AL283" s="305"/>
      <c r="AM283" s="305"/>
      <c r="AN283" s="305"/>
      <c r="AO283" s="305"/>
      <c r="AP283" s="305"/>
      <c r="AQ283" s="305"/>
      <c r="AR283" s="305"/>
      <c r="AS283" s="305"/>
      <c r="AT283" s="305"/>
      <c r="AU283" s="305"/>
      <c r="AV283" s="305"/>
      <c r="AW283" s="305"/>
      <c r="AX283" s="305"/>
      <c r="AY283" s="305"/>
      <c r="AZ283" s="305"/>
      <c r="BA283" s="305"/>
      <c r="BB283" s="305"/>
      <c r="BC283" s="305"/>
      <c r="BD283" s="305"/>
      <c r="BE283" s="305"/>
      <c r="BF283" s="305"/>
      <c r="BG283" s="305"/>
      <c r="BH283" s="305"/>
      <c r="BI283" s="305"/>
      <c r="BJ283" s="305"/>
      <c r="BK283" s="305"/>
      <c r="BL283" s="305"/>
      <c r="BM283" s="305"/>
      <c r="BN283" s="305"/>
      <c r="BO283" s="305"/>
      <c r="BP283" s="305"/>
      <c r="BQ283" s="305"/>
      <c r="BR283" s="305"/>
      <c r="BS283" s="305"/>
      <c r="BT283" s="305"/>
      <c r="BU283" s="305"/>
      <c r="BV283" s="305"/>
      <c r="BW283" s="305"/>
      <c r="BX283" s="305"/>
      <c r="BY283" s="305"/>
      <c r="BZ283" s="305"/>
      <c r="CA283" s="305"/>
      <c r="CB283" s="305"/>
      <c r="CC283" s="305"/>
      <c r="CD283" s="305"/>
      <c r="CE283" s="305"/>
      <c r="CF283" s="305"/>
      <c r="CG283" s="305"/>
      <c r="CH283" s="305"/>
      <c r="CI283" s="305"/>
      <c r="CJ283" s="305"/>
      <c r="CK283" s="305"/>
      <c r="CL283" s="305"/>
      <c r="CM283" s="305"/>
      <c r="CN283" s="305"/>
      <c r="CO283" s="305"/>
      <c r="CP283" s="305"/>
      <c r="CQ283" s="305"/>
      <c r="CR283" s="305"/>
      <c r="CS283" s="305"/>
      <c r="CT283" s="305"/>
      <c r="CU283" s="305"/>
      <c r="CV283" s="305"/>
      <c r="CW283" s="305"/>
      <c r="CX283" s="305"/>
      <c r="CY283" s="305"/>
      <c r="CZ283" s="305"/>
      <c r="DA283" s="305"/>
      <c r="DB283" s="305"/>
      <c r="DC283" s="305"/>
      <c r="DD283" s="305"/>
      <c r="DE283" s="305"/>
      <c r="DF283" s="305"/>
      <c r="DG283" s="305"/>
      <c r="DH283" s="305"/>
      <c r="DI283" s="305"/>
      <c r="DJ283" s="305"/>
      <c r="DK283" s="305"/>
      <c r="DL283" s="305"/>
      <c r="DM283" s="305"/>
      <c r="DN283" s="305"/>
      <c r="DO283" s="305"/>
      <c r="DP283" s="305"/>
      <c r="DQ283" s="305"/>
      <c r="DR283" s="305"/>
      <c r="DS283" s="305"/>
      <c r="DT283" s="305"/>
      <c r="DU283" s="305"/>
      <c r="DV283" s="305"/>
      <c r="DW283" s="305"/>
      <c r="DX283" s="305"/>
      <c r="DY283" s="305"/>
      <c r="DZ283" s="305"/>
      <c r="EA283" s="305"/>
      <c r="EB283" s="305"/>
      <c r="EC283" s="305"/>
      <c r="ED283" s="305"/>
      <c r="EE283" s="305"/>
      <c r="EF283" s="305"/>
      <c r="EG283" s="305"/>
      <c r="EH283" s="305"/>
      <c r="EI283" s="305"/>
      <c r="EJ283" s="305"/>
      <c r="EK283" s="305"/>
      <c r="EL283" s="305"/>
      <c r="EM283" s="305"/>
      <c r="EN283" s="305"/>
      <c r="EO283" s="305"/>
      <c r="EP283" s="305"/>
      <c r="EQ283" s="305"/>
      <c r="ER283" s="305"/>
      <c r="ES283" s="305"/>
      <c r="ET283" s="305"/>
      <c r="EU283" s="305"/>
      <c r="EV283" s="305"/>
      <c r="EW283" s="305"/>
      <c r="EX283" s="305"/>
      <c r="EY283" s="305"/>
      <c r="EZ283" s="305"/>
      <c r="FA283" s="305"/>
      <c r="FB283" s="305"/>
      <c r="FC283" s="305"/>
      <c r="FD283" s="305"/>
      <c r="FE283" s="305"/>
      <c r="FF283" s="305"/>
      <c r="FG283" s="305"/>
      <c r="FH283" s="305"/>
      <c r="FI283" s="305"/>
      <c r="FJ283" s="305"/>
      <c r="FK283" s="305"/>
      <c r="FL283" s="305"/>
      <c r="FM283" s="305"/>
      <c r="FN283" s="305"/>
      <c r="FO283" s="305"/>
      <c r="FP283" s="305"/>
      <c r="FQ283" s="305"/>
      <c r="FR283" s="305"/>
      <c r="FS283" s="305"/>
      <c r="FT283" s="305"/>
      <c r="FU283" s="305"/>
      <c r="FV283" s="305"/>
      <c r="FW283" s="305"/>
      <c r="FX283" s="305"/>
      <c r="FY283" s="305"/>
      <c r="FZ283" s="305"/>
      <c r="GA283" s="305"/>
      <c r="GB283" s="305"/>
      <c r="GC283" s="305"/>
      <c r="GD283" s="305"/>
      <c r="GE283" s="305"/>
      <c r="GF283" s="305"/>
      <c r="GG283" s="305"/>
      <c r="GH283" s="305"/>
      <c r="GI283" s="305"/>
      <c r="GJ283" s="305"/>
      <c r="GK283" s="305"/>
      <c r="GL283" s="305"/>
      <c r="GM283" s="305"/>
      <c r="GN283" s="305"/>
      <c r="GO283" s="305"/>
      <c r="GP283" s="305"/>
      <c r="GQ283" s="305"/>
      <c r="GR283" s="305"/>
    </row>
    <row r="284" spans="3:200" s="318" customFormat="1" ht="12.75" customHeight="1" x14ac:dyDescent="0.2">
      <c r="C284" s="367"/>
      <c r="D284" s="403"/>
      <c r="E284" s="369"/>
      <c r="F284" s="369"/>
      <c r="G284" s="369"/>
      <c r="H284" s="369"/>
      <c r="I284" s="370"/>
      <c r="J284"/>
      <c r="K284" s="371"/>
      <c r="L284" s="371"/>
      <c r="M284" s="371"/>
      <c r="N284" s="371"/>
      <c r="O284" s="305"/>
      <c r="P284" s="305"/>
      <c r="Q284" s="305"/>
      <c r="R284" s="305"/>
      <c r="S284" s="305"/>
      <c r="T284" s="305"/>
      <c r="U284" s="305"/>
      <c r="V284" s="305"/>
      <c r="W284" s="305"/>
      <c r="X284" s="305"/>
      <c r="Y284" s="305"/>
      <c r="Z284" s="305"/>
      <c r="AA284" s="305"/>
      <c r="AB284" s="305"/>
      <c r="AC284" s="305"/>
      <c r="AD284" s="305"/>
      <c r="AE284" s="305"/>
      <c r="AF284" s="305"/>
      <c r="AG284" s="305"/>
      <c r="AH284" s="305"/>
      <c r="AI284" s="305"/>
      <c r="AJ284" s="305"/>
      <c r="AK284" s="305"/>
      <c r="AL284" s="305"/>
      <c r="AM284" s="305"/>
      <c r="AN284" s="305"/>
      <c r="AO284" s="305"/>
      <c r="AP284" s="305"/>
      <c r="AQ284" s="305"/>
      <c r="AR284" s="305"/>
      <c r="AS284" s="305"/>
      <c r="AT284" s="305"/>
      <c r="AU284" s="305"/>
      <c r="AV284" s="305"/>
      <c r="AW284" s="305"/>
      <c r="AX284" s="305"/>
      <c r="AY284" s="305"/>
      <c r="AZ284" s="305"/>
      <c r="BA284" s="305"/>
      <c r="BB284" s="305"/>
      <c r="BC284" s="305"/>
      <c r="BD284" s="305"/>
      <c r="BE284" s="305"/>
      <c r="BF284" s="305"/>
      <c r="BG284" s="305"/>
      <c r="BH284" s="305"/>
      <c r="BI284" s="305"/>
      <c r="BJ284" s="305"/>
      <c r="BK284" s="305"/>
      <c r="BL284" s="305"/>
      <c r="BM284" s="305"/>
      <c r="BN284" s="305"/>
      <c r="BO284" s="305"/>
      <c r="BP284" s="305"/>
      <c r="BQ284" s="305"/>
      <c r="BR284" s="305"/>
      <c r="BS284" s="305"/>
      <c r="BT284" s="305"/>
      <c r="BU284" s="305"/>
      <c r="BV284" s="305"/>
      <c r="BW284" s="305"/>
      <c r="BX284" s="305"/>
      <c r="BY284" s="305"/>
      <c r="BZ284" s="305"/>
      <c r="CA284" s="305"/>
      <c r="CB284" s="305"/>
      <c r="CC284" s="305"/>
      <c r="CD284" s="305"/>
      <c r="CE284" s="305"/>
      <c r="CF284" s="305"/>
      <c r="CG284" s="305"/>
      <c r="CH284" s="305"/>
      <c r="CI284" s="305"/>
      <c r="CJ284" s="305"/>
      <c r="CK284" s="305"/>
      <c r="CL284" s="305"/>
      <c r="CM284" s="305"/>
      <c r="CN284" s="305"/>
      <c r="CO284" s="305"/>
      <c r="CP284" s="305"/>
      <c r="CQ284" s="305"/>
      <c r="CR284" s="305"/>
      <c r="CS284" s="305"/>
      <c r="CT284" s="305"/>
      <c r="CU284" s="305"/>
      <c r="CV284" s="305"/>
      <c r="CW284" s="305"/>
      <c r="CX284" s="305"/>
      <c r="CY284" s="305"/>
      <c r="CZ284" s="305"/>
      <c r="DA284" s="305"/>
      <c r="DB284" s="305"/>
      <c r="DC284" s="305"/>
      <c r="DD284" s="305"/>
      <c r="DE284" s="305"/>
      <c r="DF284" s="305"/>
      <c r="DG284" s="305"/>
      <c r="DH284" s="305"/>
      <c r="DI284" s="305"/>
      <c r="DJ284" s="305"/>
      <c r="DK284" s="305"/>
      <c r="DL284" s="305"/>
      <c r="DM284" s="305"/>
      <c r="DN284" s="305"/>
      <c r="DO284" s="305"/>
      <c r="DP284" s="305"/>
      <c r="DQ284" s="305"/>
      <c r="DR284" s="305"/>
      <c r="DS284" s="305"/>
      <c r="DT284" s="305"/>
      <c r="DU284" s="305"/>
      <c r="DV284" s="305"/>
      <c r="DW284" s="305"/>
      <c r="DX284" s="305"/>
      <c r="DY284" s="305"/>
      <c r="DZ284" s="305"/>
      <c r="EA284" s="305"/>
      <c r="EB284" s="305"/>
      <c r="EC284" s="305"/>
      <c r="ED284" s="305"/>
      <c r="EE284" s="305"/>
      <c r="EF284" s="305"/>
      <c r="EG284" s="305"/>
      <c r="EH284" s="305"/>
      <c r="EI284" s="305"/>
      <c r="EJ284" s="305"/>
      <c r="EK284" s="305"/>
      <c r="EL284" s="305"/>
      <c r="EM284" s="305"/>
      <c r="EN284" s="305"/>
      <c r="EO284" s="305"/>
      <c r="EP284" s="305"/>
      <c r="EQ284" s="305"/>
      <c r="ER284" s="305"/>
      <c r="ES284" s="305"/>
      <c r="ET284" s="305"/>
      <c r="EU284" s="305"/>
      <c r="EV284" s="305"/>
      <c r="EW284" s="305"/>
      <c r="EX284" s="305"/>
      <c r="EY284" s="305"/>
      <c r="EZ284" s="305"/>
      <c r="FA284" s="305"/>
      <c r="FB284" s="305"/>
      <c r="FC284" s="305"/>
      <c r="FD284" s="305"/>
      <c r="FE284" s="305"/>
      <c r="FF284" s="305"/>
      <c r="FG284" s="305"/>
      <c r="FH284" s="305"/>
      <c r="FI284" s="305"/>
      <c r="FJ284" s="305"/>
      <c r="FK284" s="305"/>
      <c r="FL284" s="305"/>
      <c r="FM284" s="305"/>
      <c r="FN284" s="305"/>
      <c r="FO284" s="305"/>
      <c r="FP284" s="305"/>
      <c r="FQ284" s="305"/>
      <c r="FR284" s="305"/>
      <c r="FS284" s="305"/>
      <c r="FT284" s="305"/>
      <c r="FU284" s="305"/>
      <c r="FV284" s="305"/>
      <c r="FW284" s="305"/>
      <c r="FX284" s="305"/>
      <c r="FY284" s="305"/>
      <c r="FZ284" s="305"/>
      <c r="GA284" s="305"/>
      <c r="GB284" s="305"/>
      <c r="GC284" s="305"/>
      <c r="GD284" s="305"/>
      <c r="GE284" s="305"/>
      <c r="GF284" s="305"/>
      <c r="GG284" s="305"/>
      <c r="GH284" s="305"/>
      <c r="GI284" s="305"/>
      <c r="GJ284" s="305"/>
      <c r="GK284" s="305"/>
      <c r="GL284" s="305"/>
      <c r="GM284" s="305"/>
      <c r="GN284" s="305"/>
      <c r="GO284" s="305"/>
      <c r="GP284" s="305"/>
      <c r="GQ284" s="305"/>
      <c r="GR284" s="305"/>
    </row>
    <row r="285" spans="3:200" s="318" customFormat="1" ht="12.75" customHeight="1" x14ac:dyDescent="0.2">
      <c r="C285" s="367"/>
      <c r="D285" s="403"/>
      <c r="E285" s="369"/>
      <c r="F285" s="369"/>
      <c r="G285" s="369"/>
      <c r="H285" s="369"/>
      <c r="I285" s="370"/>
      <c r="J285"/>
      <c r="K285" s="371"/>
      <c r="L285" s="371"/>
      <c r="M285" s="371"/>
      <c r="N285" s="371"/>
      <c r="O285" s="305"/>
      <c r="P285" s="305"/>
      <c r="Q285" s="305"/>
      <c r="R285" s="305"/>
      <c r="S285" s="305"/>
      <c r="T285" s="305"/>
      <c r="U285" s="305"/>
      <c r="V285" s="305"/>
      <c r="W285" s="305"/>
      <c r="X285" s="305"/>
      <c r="Y285" s="305"/>
      <c r="Z285" s="305"/>
      <c r="AA285" s="305"/>
      <c r="AB285" s="305"/>
      <c r="AC285" s="305"/>
      <c r="AD285" s="305"/>
      <c r="AE285" s="305"/>
      <c r="AF285" s="305"/>
      <c r="AG285" s="305"/>
      <c r="AH285" s="305"/>
      <c r="AI285" s="305"/>
      <c r="AJ285" s="305"/>
      <c r="AK285" s="305"/>
      <c r="AL285" s="305"/>
      <c r="AM285" s="305"/>
      <c r="AN285" s="305"/>
      <c r="AO285" s="305"/>
      <c r="AP285" s="305"/>
      <c r="AQ285" s="305"/>
      <c r="AR285" s="305"/>
      <c r="AS285" s="305"/>
      <c r="AT285" s="305"/>
      <c r="AU285" s="305"/>
      <c r="AV285" s="305"/>
      <c r="AW285" s="305"/>
      <c r="AX285" s="305"/>
      <c r="AY285" s="305"/>
      <c r="AZ285" s="305"/>
      <c r="BA285" s="305"/>
      <c r="BB285" s="305"/>
      <c r="BC285" s="305"/>
      <c r="BD285" s="305"/>
      <c r="BE285" s="305"/>
      <c r="BF285" s="305"/>
      <c r="BG285" s="305"/>
      <c r="BH285" s="305"/>
      <c r="BI285" s="305"/>
      <c r="BJ285" s="305"/>
      <c r="BK285" s="305"/>
      <c r="BL285" s="305"/>
      <c r="BM285" s="305"/>
      <c r="BN285" s="305"/>
      <c r="BO285" s="305"/>
      <c r="BP285" s="305"/>
      <c r="BQ285" s="305"/>
      <c r="BR285" s="305"/>
      <c r="BS285" s="305"/>
      <c r="BT285" s="305"/>
      <c r="BU285" s="305"/>
      <c r="BV285" s="305"/>
      <c r="BW285" s="305"/>
      <c r="BX285" s="305"/>
      <c r="BY285" s="305"/>
      <c r="BZ285" s="305"/>
      <c r="CA285" s="305"/>
      <c r="CB285" s="305"/>
      <c r="CC285" s="305"/>
      <c r="CD285" s="305"/>
      <c r="CE285" s="305"/>
      <c r="CF285" s="305"/>
      <c r="CG285" s="305"/>
      <c r="CH285" s="305"/>
      <c r="CI285" s="305"/>
      <c r="CJ285" s="305"/>
      <c r="CK285" s="305"/>
      <c r="CL285" s="305"/>
      <c r="CM285" s="305"/>
      <c r="CN285" s="305"/>
      <c r="CO285" s="305"/>
      <c r="CP285" s="305"/>
      <c r="CQ285" s="305"/>
      <c r="CR285" s="305"/>
      <c r="CS285" s="305"/>
      <c r="CT285" s="305"/>
      <c r="CU285" s="305"/>
      <c r="CV285" s="305"/>
      <c r="CW285" s="305"/>
      <c r="CX285" s="305"/>
      <c r="CY285" s="305"/>
      <c r="CZ285" s="305"/>
      <c r="DA285" s="305"/>
      <c r="DB285" s="305"/>
      <c r="DC285" s="305"/>
      <c r="DD285" s="305"/>
      <c r="DE285" s="305"/>
      <c r="DF285" s="305"/>
      <c r="DG285" s="305"/>
      <c r="DH285" s="305"/>
      <c r="DI285" s="305"/>
      <c r="DJ285" s="305"/>
      <c r="DK285" s="305"/>
      <c r="DL285" s="305"/>
      <c r="DM285" s="305"/>
      <c r="DN285" s="305"/>
      <c r="DO285" s="305"/>
      <c r="DP285" s="305"/>
      <c r="DQ285" s="305"/>
      <c r="DR285" s="305"/>
      <c r="DS285" s="305"/>
      <c r="DT285" s="305"/>
      <c r="DU285" s="305"/>
      <c r="DV285" s="305"/>
      <c r="DW285" s="305"/>
      <c r="DX285" s="305"/>
      <c r="DY285" s="305"/>
      <c r="DZ285" s="305"/>
      <c r="EA285" s="305"/>
      <c r="EB285" s="305"/>
      <c r="EC285" s="305"/>
      <c r="ED285" s="305"/>
      <c r="EE285" s="305"/>
      <c r="EF285" s="305"/>
      <c r="EG285" s="305"/>
      <c r="EH285" s="305"/>
      <c r="EI285" s="305"/>
      <c r="EJ285" s="305"/>
      <c r="EK285" s="305"/>
      <c r="EL285" s="305"/>
      <c r="EM285" s="305"/>
      <c r="EN285" s="305"/>
      <c r="EO285" s="305"/>
      <c r="EP285" s="305"/>
      <c r="EQ285" s="305"/>
      <c r="ER285" s="305"/>
      <c r="ES285" s="305"/>
      <c r="ET285" s="305"/>
      <c r="EU285" s="305"/>
      <c r="EV285" s="305"/>
      <c r="EW285" s="305"/>
      <c r="EX285" s="305"/>
      <c r="EY285" s="305"/>
      <c r="EZ285" s="305"/>
      <c r="FA285" s="305"/>
      <c r="FB285" s="305"/>
      <c r="FC285" s="305"/>
      <c r="FD285" s="305"/>
      <c r="FE285" s="305"/>
      <c r="FF285" s="305"/>
      <c r="FG285" s="305"/>
      <c r="FH285" s="305"/>
      <c r="FI285" s="305"/>
      <c r="FJ285" s="305"/>
      <c r="FK285" s="305"/>
      <c r="FL285" s="305"/>
      <c r="FM285" s="305"/>
      <c r="FN285" s="305"/>
      <c r="FO285" s="305"/>
      <c r="FP285" s="305"/>
      <c r="FQ285" s="305"/>
      <c r="FR285" s="305"/>
      <c r="FS285" s="305"/>
      <c r="FT285" s="305"/>
      <c r="FU285" s="305"/>
      <c r="FV285" s="305"/>
      <c r="FW285" s="305"/>
      <c r="FX285" s="305"/>
      <c r="FY285" s="305"/>
      <c r="FZ285" s="305"/>
      <c r="GA285" s="305"/>
      <c r="GB285" s="305"/>
      <c r="GC285" s="305"/>
      <c r="GD285" s="305"/>
      <c r="GE285" s="305"/>
      <c r="GF285" s="305"/>
      <c r="GG285" s="305"/>
      <c r="GH285" s="305"/>
      <c r="GI285" s="305"/>
      <c r="GJ285" s="305"/>
      <c r="GK285" s="305"/>
      <c r="GL285" s="305"/>
      <c r="GM285" s="305"/>
      <c r="GN285" s="305"/>
      <c r="GO285" s="305"/>
      <c r="GP285" s="305"/>
      <c r="GQ285" s="305"/>
      <c r="GR285" s="305"/>
    </row>
    <row r="286" spans="3:200" s="318" customFormat="1" ht="12.75" customHeight="1" x14ac:dyDescent="0.2">
      <c r="C286" s="367"/>
      <c r="D286" s="403"/>
      <c r="E286" s="369"/>
      <c r="F286" s="369"/>
      <c r="G286" s="369"/>
      <c r="H286" s="369"/>
      <c r="I286" s="370"/>
      <c r="J286"/>
      <c r="K286" s="371"/>
      <c r="L286" s="371"/>
      <c r="M286" s="371"/>
      <c r="N286" s="371"/>
      <c r="O286" s="305"/>
      <c r="P286" s="305"/>
      <c r="Q286" s="305"/>
      <c r="R286" s="305"/>
      <c r="S286" s="305"/>
      <c r="T286" s="305"/>
      <c r="U286" s="305"/>
      <c r="V286" s="305"/>
      <c r="W286" s="305"/>
      <c r="X286" s="305"/>
      <c r="Y286" s="305"/>
      <c r="Z286" s="305"/>
      <c r="AA286" s="305"/>
      <c r="AB286" s="305"/>
      <c r="AC286" s="305"/>
      <c r="AD286" s="305"/>
      <c r="AE286" s="305"/>
      <c r="AF286" s="305"/>
      <c r="AG286" s="305"/>
      <c r="AH286" s="305"/>
      <c r="AI286" s="305"/>
      <c r="AJ286" s="305"/>
      <c r="AK286" s="305"/>
      <c r="AL286" s="305"/>
      <c r="AM286" s="305"/>
      <c r="AN286" s="305"/>
      <c r="AO286" s="305"/>
      <c r="AP286" s="305"/>
      <c r="AQ286" s="305"/>
      <c r="AR286" s="305"/>
      <c r="AS286" s="305"/>
      <c r="AT286" s="305"/>
      <c r="AU286" s="305"/>
      <c r="AV286" s="305"/>
      <c r="AW286" s="305"/>
      <c r="AX286" s="305"/>
      <c r="AY286" s="305"/>
      <c r="AZ286" s="305"/>
      <c r="BA286" s="305"/>
      <c r="BB286" s="305"/>
      <c r="BC286" s="305"/>
      <c r="BD286" s="305"/>
      <c r="BE286" s="305"/>
      <c r="BF286" s="305"/>
      <c r="BG286" s="305"/>
      <c r="BH286" s="305"/>
      <c r="BI286" s="305"/>
      <c r="BJ286" s="305"/>
      <c r="BK286" s="305"/>
      <c r="BL286" s="305"/>
      <c r="BM286" s="305"/>
      <c r="BN286" s="305"/>
      <c r="BO286" s="305"/>
      <c r="BP286" s="305"/>
      <c r="BQ286" s="305"/>
      <c r="BR286" s="305"/>
      <c r="BS286" s="305"/>
      <c r="BT286" s="305"/>
      <c r="BU286" s="305"/>
      <c r="BV286" s="305"/>
      <c r="BW286" s="305"/>
      <c r="BX286" s="305"/>
      <c r="BY286" s="305"/>
      <c r="BZ286" s="305"/>
      <c r="CA286" s="305"/>
      <c r="CB286" s="305"/>
      <c r="CC286" s="305"/>
      <c r="CD286" s="305"/>
      <c r="CE286" s="305"/>
      <c r="CF286" s="305"/>
      <c r="CG286" s="305"/>
      <c r="CH286" s="305"/>
      <c r="CI286" s="305"/>
      <c r="CJ286" s="305"/>
      <c r="CK286" s="305"/>
      <c r="CL286" s="305"/>
      <c r="CM286" s="305"/>
      <c r="CN286" s="305"/>
      <c r="CO286" s="305"/>
      <c r="CP286" s="305"/>
      <c r="CQ286" s="305"/>
      <c r="CR286" s="305"/>
      <c r="CS286" s="305"/>
      <c r="CT286" s="305"/>
      <c r="CU286" s="305"/>
      <c r="CV286" s="305"/>
      <c r="CW286" s="305"/>
      <c r="CX286" s="305"/>
      <c r="CY286" s="305"/>
      <c r="CZ286" s="305"/>
      <c r="DA286" s="305"/>
      <c r="DB286" s="305"/>
      <c r="DC286" s="305"/>
      <c r="DD286" s="305"/>
      <c r="DE286" s="305"/>
      <c r="DF286" s="305"/>
      <c r="DG286" s="305"/>
      <c r="DH286" s="305"/>
      <c r="DI286" s="305"/>
      <c r="DJ286" s="305"/>
      <c r="DK286" s="305"/>
      <c r="DL286" s="305"/>
      <c r="DM286" s="305"/>
      <c r="DN286" s="305"/>
      <c r="DO286" s="305"/>
      <c r="DP286" s="305"/>
      <c r="DQ286" s="305"/>
      <c r="DR286" s="305"/>
      <c r="DS286" s="305"/>
      <c r="DT286" s="305"/>
      <c r="DU286" s="305"/>
      <c r="DV286" s="305"/>
      <c r="DW286" s="305"/>
      <c r="DX286" s="305"/>
      <c r="DY286" s="305"/>
      <c r="DZ286" s="305"/>
      <c r="EA286" s="305"/>
      <c r="EB286" s="305"/>
      <c r="EC286" s="305"/>
      <c r="ED286" s="305"/>
      <c r="EE286" s="305"/>
      <c r="EF286" s="305"/>
      <c r="EG286" s="305"/>
      <c r="EH286" s="305"/>
      <c r="EI286" s="305"/>
      <c r="EJ286" s="305"/>
      <c r="EK286" s="305"/>
      <c r="EL286" s="305"/>
      <c r="EM286" s="305"/>
      <c r="EN286" s="305"/>
      <c r="EO286" s="305"/>
      <c r="EP286" s="305"/>
      <c r="EQ286" s="305"/>
      <c r="ER286" s="305"/>
      <c r="ES286" s="305"/>
      <c r="ET286" s="305"/>
      <c r="EU286" s="305"/>
      <c r="EV286" s="305"/>
      <c r="EW286" s="305"/>
      <c r="EX286" s="305"/>
      <c r="EY286" s="305"/>
      <c r="EZ286" s="305"/>
      <c r="FA286" s="305"/>
      <c r="FB286" s="305"/>
      <c r="FC286" s="305"/>
      <c r="FD286" s="305"/>
      <c r="FE286" s="305"/>
      <c r="FF286" s="305"/>
      <c r="FG286" s="305"/>
      <c r="FH286" s="305"/>
      <c r="FI286" s="305"/>
      <c r="FJ286" s="305"/>
      <c r="FK286" s="305"/>
      <c r="FL286" s="305"/>
      <c r="FM286" s="305"/>
      <c r="FN286" s="305"/>
      <c r="FO286" s="305"/>
      <c r="FP286" s="305"/>
      <c r="FQ286" s="305"/>
      <c r="FR286" s="305"/>
      <c r="FS286" s="305"/>
      <c r="FT286" s="305"/>
      <c r="FU286" s="305"/>
      <c r="FV286" s="305"/>
      <c r="FW286" s="305"/>
      <c r="FX286" s="305"/>
      <c r="FY286" s="305"/>
      <c r="FZ286" s="305"/>
      <c r="GA286" s="305"/>
      <c r="GB286" s="305"/>
      <c r="GC286" s="305"/>
      <c r="GD286" s="305"/>
      <c r="GE286" s="305"/>
      <c r="GF286" s="305"/>
      <c r="GG286" s="305"/>
      <c r="GH286" s="305"/>
      <c r="GI286" s="305"/>
      <c r="GJ286" s="305"/>
      <c r="GK286" s="305"/>
      <c r="GL286" s="305"/>
      <c r="GM286" s="305"/>
      <c r="GN286" s="305"/>
      <c r="GO286" s="305"/>
      <c r="GP286" s="305"/>
      <c r="GQ286" s="305"/>
      <c r="GR286" s="305"/>
    </row>
    <row r="287" spans="3:200" s="318" customFormat="1" ht="12.75" customHeight="1" x14ac:dyDescent="0.2">
      <c r="C287" s="367"/>
      <c r="D287" s="403"/>
      <c r="E287" s="369"/>
      <c r="F287" s="369"/>
      <c r="G287" s="369"/>
      <c r="H287" s="369"/>
      <c r="I287" s="370"/>
      <c r="J287"/>
      <c r="K287" s="371"/>
      <c r="L287" s="371"/>
      <c r="M287" s="371"/>
      <c r="N287" s="371"/>
      <c r="O287" s="305"/>
      <c r="P287" s="305"/>
      <c r="Q287" s="305"/>
      <c r="R287" s="305"/>
      <c r="S287" s="305"/>
      <c r="T287" s="305"/>
      <c r="U287" s="305"/>
      <c r="V287" s="305"/>
      <c r="W287" s="305"/>
      <c r="X287" s="305"/>
      <c r="Y287" s="305"/>
      <c r="Z287" s="305"/>
      <c r="AA287" s="305"/>
      <c r="AB287" s="305"/>
      <c r="AC287" s="305"/>
      <c r="AD287" s="305"/>
      <c r="AE287" s="305"/>
      <c r="AF287" s="305"/>
      <c r="AG287" s="305"/>
      <c r="AH287" s="305"/>
      <c r="AI287" s="305"/>
      <c r="AJ287" s="305"/>
      <c r="AK287" s="305"/>
      <c r="AL287" s="305"/>
      <c r="AM287" s="305"/>
      <c r="AN287" s="305"/>
      <c r="AO287" s="305"/>
      <c r="AP287" s="305"/>
      <c r="AQ287" s="305"/>
      <c r="AR287" s="305"/>
      <c r="AS287" s="305"/>
      <c r="AT287" s="305"/>
      <c r="AU287" s="305"/>
      <c r="AV287" s="305"/>
      <c r="AW287" s="305"/>
      <c r="AX287" s="305"/>
      <c r="AY287" s="305"/>
      <c r="AZ287" s="305"/>
      <c r="BA287" s="305"/>
      <c r="BB287" s="305"/>
      <c r="BC287" s="305"/>
      <c r="BD287" s="305"/>
      <c r="BE287" s="305"/>
      <c r="BF287" s="305"/>
      <c r="BG287" s="305"/>
      <c r="BH287" s="305"/>
      <c r="BI287" s="305"/>
      <c r="BJ287" s="305"/>
      <c r="BK287" s="305"/>
      <c r="BL287" s="305"/>
      <c r="BM287" s="305"/>
      <c r="BN287" s="305"/>
      <c r="BO287" s="305"/>
      <c r="BP287" s="305"/>
      <c r="BQ287" s="305"/>
      <c r="BR287" s="305"/>
      <c r="BS287" s="305"/>
      <c r="BT287" s="305"/>
      <c r="BU287" s="305"/>
      <c r="BV287" s="305"/>
      <c r="BW287" s="305"/>
      <c r="BX287" s="305"/>
      <c r="BY287" s="305"/>
      <c r="BZ287" s="305"/>
      <c r="CA287" s="305"/>
      <c r="CB287" s="305"/>
      <c r="CC287" s="305"/>
      <c r="CD287" s="305"/>
      <c r="CE287" s="305"/>
      <c r="CF287" s="305"/>
      <c r="CG287" s="305"/>
      <c r="CH287" s="305"/>
      <c r="CI287" s="305"/>
      <c r="CJ287" s="305"/>
      <c r="CK287" s="305"/>
      <c r="CL287" s="305"/>
      <c r="CM287" s="305"/>
      <c r="CN287" s="305"/>
      <c r="CO287" s="305"/>
      <c r="CP287" s="305"/>
      <c r="CQ287" s="305"/>
      <c r="CR287" s="305"/>
      <c r="CS287" s="305"/>
      <c r="CT287" s="305"/>
      <c r="CU287" s="305"/>
      <c r="CV287" s="305"/>
      <c r="CW287" s="305"/>
      <c r="CX287" s="305"/>
      <c r="CY287" s="305"/>
      <c r="CZ287" s="305"/>
      <c r="DA287" s="305"/>
      <c r="DB287" s="305"/>
      <c r="DC287" s="305"/>
      <c r="DD287" s="305"/>
      <c r="DE287" s="305"/>
      <c r="DF287" s="305"/>
      <c r="DG287" s="305"/>
      <c r="DH287" s="305"/>
      <c r="DI287" s="305"/>
      <c r="DJ287" s="305"/>
      <c r="DK287" s="305"/>
      <c r="DL287" s="305"/>
      <c r="DM287" s="305"/>
      <c r="DN287" s="305"/>
      <c r="DO287" s="305"/>
      <c r="DP287" s="305"/>
      <c r="DQ287" s="305"/>
      <c r="DR287" s="305"/>
      <c r="DS287" s="305"/>
      <c r="DT287" s="305"/>
      <c r="DU287" s="305"/>
      <c r="DV287" s="305"/>
      <c r="DW287" s="305"/>
      <c r="DX287" s="305"/>
      <c r="DY287" s="305"/>
      <c r="DZ287" s="305"/>
      <c r="EA287" s="305"/>
      <c r="EB287" s="305"/>
      <c r="EC287" s="305"/>
      <c r="ED287" s="305"/>
      <c r="EE287" s="305"/>
      <c r="EF287" s="305"/>
      <c r="EG287" s="305"/>
      <c r="EH287" s="305"/>
      <c r="EI287" s="305"/>
      <c r="EJ287" s="305"/>
      <c r="EK287" s="305"/>
      <c r="EL287" s="305"/>
      <c r="EM287" s="305"/>
      <c r="EN287" s="305"/>
      <c r="EO287" s="305"/>
      <c r="EP287" s="305"/>
      <c r="EQ287" s="305"/>
      <c r="ER287" s="305"/>
      <c r="ES287" s="305"/>
      <c r="ET287" s="305"/>
      <c r="EU287" s="305"/>
      <c r="EV287" s="305"/>
      <c r="EW287" s="305"/>
      <c r="EX287" s="305"/>
      <c r="EY287" s="305"/>
      <c r="EZ287" s="305"/>
      <c r="FA287" s="305"/>
      <c r="FB287" s="305"/>
      <c r="FC287" s="305"/>
      <c r="FD287" s="305"/>
      <c r="FE287" s="305"/>
      <c r="FF287" s="305"/>
      <c r="FG287" s="305"/>
      <c r="FH287" s="305"/>
      <c r="FI287" s="305"/>
      <c r="FJ287" s="305"/>
      <c r="FK287" s="305"/>
      <c r="FL287" s="305"/>
      <c r="FM287" s="305"/>
      <c r="FN287" s="305"/>
      <c r="FO287" s="305"/>
      <c r="FP287" s="305"/>
      <c r="FQ287" s="305"/>
      <c r="FR287" s="305"/>
      <c r="FS287" s="305"/>
      <c r="FT287" s="305"/>
      <c r="FU287" s="305"/>
      <c r="FV287" s="305"/>
      <c r="FW287" s="305"/>
      <c r="FX287" s="305"/>
      <c r="FY287" s="305"/>
      <c r="FZ287" s="305"/>
      <c r="GA287" s="305"/>
      <c r="GB287" s="305"/>
      <c r="GC287" s="305"/>
      <c r="GD287" s="305"/>
      <c r="GE287" s="305"/>
      <c r="GF287" s="305"/>
      <c r="GG287" s="305"/>
      <c r="GH287" s="305"/>
      <c r="GI287" s="305"/>
      <c r="GJ287" s="305"/>
      <c r="GK287" s="305"/>
      <c r="GL287" s="305"/>
      <c r="GM287" s="305"/>
      <c r="GN287" s="305"/>
      <c r="GO287" s="305"/>
      <c r="GP287" s="305"/>
      <c r="GQ287" s="305"/>
      <c r="GR287" s="305"/>
    </row>
    <row r="288" spans="3:200" s="318" customFormat="1" ht="12.75" customHeight="1" x14ac:dyDescent="0.2">
      <c r="C288" s="367"/>
      <c r="D288" s="403"/>
      <c r="E288" s="369"/>
      <c r="F288" s="369"/>
      <c r="G288" s="369"/>
      <c r="H288" s="369"/>
      <c r="I288" s="370"/>
      <c r="J288"/>
      <c r="K288" s="371"/>
      <c r="L288" s="371"/>
      <c r="M288" s="371"/>
      <c r="N288" s="371"/>
      <c r="O288" s="305"/>
      <c r="P288" s="305"/>
      <c r="Q288" s="305"/>
      <c r="R288" s="305"/>
      <c r="S288" s="305"/>
      <c r="T288" s="305"/>
      <c r="U288" s="305"/>
      <c r="V288" s="305"/>
      <c r="W288" s="305"/>
      <c r="X288" s="305"/>
      <c r="Y288" s="305"/>
      <c r="Z288" s="305"/>
      <c r="AA288" s="305"/>
      <c r="AB288" s="305"/>
      <c r="AC288" s="305"/>
      <c r="AD288" s="305"/>
      <c r="AE288" s="305"/>
      <c r="AF288" s="305"/>
      <c r="AG288" s="305"/>
      <c r="AH288" s="305"/>
      <c r="AI288" s="305"/>
      <c r="AJ288" s="305"/>
      <c r="AK288" s="305"/>
      <c r="AL288" s="305"/>
      <c r="AM288" s="305"/>
      <c r="AN288" s="305"/>
      <c r="AO288" s="305"/>
      <c r="AP288" s="305"/>
      <c r="AQ288" s="305"/>
      <c r="AR288" s="305"/>
      <c r="AS288" s="305"/>
      <c r="AT288" s="305"/>
      <c r="AU288" s="305"/>
      <c r="AV288" s="305"/>
      <c r="AW288" s="305"/>
      <c r="AX288" s="305"/>
      <c r="AY288" s="305"/>
      <c r="AZ288" s="305"/>
      <c r="BA288" s="305"/>
      <c r="BB288" s="305"/>
      <c r="BC288" s="305"/>
      <c r="BD288" s="305"/>
      <c r="BE288" s="305"/>
      <c r="BF288" s="305"/>
      <c r="BG288" s="305"/>
      <c r="BH288" s="305"/>
      <c r="BI288" s="305"/>
      <c r="BJ288" s="305"/>
      <c r="BK288" s="305"/>
      <c r="BL288" s="305"/>
      <c r="BM288" s="305"/>
      <c r="BN288" s="305"/>
      <c r="BO288" s="305"/>
      <c r="BP288" s="305"/>
      <c r="BQ288" s="305"/>
      <c r="BR288" s="305"/>
      <c r="BS288" s="305"/>
      <c r="BT288" s="305"/>
      <c r="BU288" s="305"/>
      <c r="BV288" s="305"/>
      <c r="BW288" s="305"/>
      <c r="BX288" s="305"/>
      <c r="BY288" s="305"/>
      <c r="BZ288" s="305"/>
      <c r="CA288" s="305"/>
      <c r="CB288" s="305"/>
      <c r="CC288" s="305"/>
      <c r="CD288" s="305"/>
      <c r="CE288" s="305"/>
      <c r="CF288" s="305"/>
      <c r="CG288" s="305"/>
      <c r="CH288" s="305"/>
      <c r="CI288" s="305"/>
      <c r="CJ288" s="305"/>
      <c r="CK288" s="305"/>
      <c r="CL288" s="305"/>
      <c r="CM288" s="305"/>
      <c r="CN288" s="305"/>
      <c r="CO288" s="305"/>
      <c r="CP288" s="305"/>
      <c r="CQ288" s="305"/>
      <c r="CR288" s="305"/>
      <c r="CS288" s="305"/>
      <c r="CT288" s="305"/>
      <c r="CU288" s="305"/>
      <c r="CV288" s="305"/>
      <c r="CW288" s="305"/>
      <c r="CX288" s="305"/>
      <c r="CY288" s="305"/>
      <c r="CZ288" s="305"/>
      <c r="DA288" s="305"/>
      <c r="DB288" s="305"/>
      <c r="DC288" s="305"/>
      <c r="DD288" s="305"/>
      <c r="DE288" s="305"/>
      <c r="DF288" s="305"/>
      <c r="DG288" s="305"/>
      <c r="DH288" s="305"/>
      <c r="DI288" s="305"/>
      <c r="DJ288" s="305"/>
      <c r="DK288" s="305"/>
      <c r="DL288" s="305"/>
      <c r="DM288" s="305"/>
      <c r="DN288" s="305"/>
      <c r="DO288" s="305"/>
      <c r="DP288" s="305"/>
      <c r="DQ288" s="305"/>
      <c r="DR288" s="305"/>
      <c r="DS288" s="305"/>
      <c r="DT288" s="305"/>
      <c r="DU288" s="305"/>
      <c r="DV288" s="305"/>
      <c r="DW288" s="305"/>
      <c r="DX288" s="305"/>
      <c r="DY288" s="305"/>
      <c r="DZ288" s="305"/>
      <c r="EA288" s="305"/>
      <c r="EB288" s="305"/>
      <c r="EC288" s="305"/>
      <c r="ED288" s="305"/>
      <c r="EE288" s="305"/>
      <c r="EF288" s="305"/>
      <c r="EG288" s="305"/>
      <c r="EH288" s="305"/>
      <c r="EI288" s="305"/>
      <c r="EJ288" s="305"/>
      <c r="EK288" s="305"/>
      <c r="EL288" s="305"/>
      <c r="EM288" s="305"/>
      <c r="EN288" s="305"/>
      <c r="EO288" s="305"/>
      <c r="EP288" s="305"/>
      <c r="EQ288" s="305"/>
      <c r="ER288" s="305"/>
      <c r="ES288" s="305"/>
      <c r="ET288" s="305"/>
      <c r="EU288" s="305"/>
      <c r="EV288" s="305"/>
      <c r="EW288" s="305"/>
      <c r="EX288" s="305"/>
      <c r="EY288" s="305"/>
      <c r="EZ288" s="305"/>
      <c r="FA288" s="305"/>
      <c r="FB288" s="305"/>
      <c r="FC288" s="305"/>
      <c r="FD288" s="305"/>
      <c r="FE288" s="305"/>
      <c r="FF288" s="305"/>
      <c r="FG288" s="305"/>
      <c r="FH288" s="305"/>
      <c r="FI288" s="305"/>
      <c r="FJ288" s="305"/>
      <c r="FK288" s="305"/>
      <c r="FL288" s="305"/>
      <c r="FM288" s="305"/>
      <c r="FN288" s="305"/>
      <c r="FO288" s="305"/>
      <c r="FP288" s="305"/>
      <c r="FQ288" s="305"/>
      <c r="FR288" s="305"/>
      <c r="FS288" s="305"/>
      <c r="FT288" s="305"/>
      <c r="FU288" s="305"/>
      <c r="FV288" s="305"/>
      <c r="FW288" s="305"/>
      <c r="FX288" s="305"/>
      <c r="FY288" s="305"/>
      <c r="FZ288" s="305"/>
      <c r="GA288" s="305"/>
      <c r="GB288" s="305"/>
      <c r="GC288" s="305"/>
      <c r="GD288" s="305"/>
      <c r="GE288" s="305"/>
      <c r="GF288" s="305"/>
      <c r="GG288" s="305"/>
      <c r="GH288" s="305"/>
      <c r="GI288" s="305"/>
      <c r="GJ288" s="305"/>
      <c r="GK288" s="305"/>
      <c r="GL288" s="305"/>
      <c r="GM288" s="305"/>
      <c r="GN288" s="305"/>
      <c r="GO288" s="305"/>
      <c r="GP288" s="305"/>
      <c r="GQ288" s="305"/>
      <c r="GR288" s="305"/>
    </row>
    <row r="289" spans="3:200" s="318" customFormat="1" ht="12.75" customHeight="1" x14ac:dyDescent="0.2">
      <c r="C289" s="367"/>
      <c r="D289" s="403"/>
      <c r="E289" s="369"/>
      <c r="F289" s="369"/>
      <c r="G289" s="369"/>
      <c r="H289" s="369"/>
      <c r="I289" s="370"/>
      <c r="J289"/>
      <c r="K289" s="371"/>
      <c r="L289" s="371"/>
      <c r="M289" s="371"/>
      <c r="N289" s="371"/>
      <c r="O289" s="305"/>
      <c r="P289" s="305"/>
      <c r="Q289" s="305"/>
      <c r="R289" s="305"/>
      <c r="S289" s="305"/>
      <c r="T289" s="305"/>
      <c r="U289" s="305"/>
      <c r="V289" s="305"/>
      <c r="W289" s="305"/>
      <c r="X289" s="305"/>
      <c r="Y289" s="305"/>
      <c r="Z289" s="305"/>
      <c r="AA289" s="305"/>
      <c r="AB289" s="305"/>
      <c r="AC289" s="305"/>
      <c r="AD289" s="305"/>
      <c r="AE289" s="305"/>
      <c r="AF289" s="305"/>
      <c r="AG289" s="305"/>
      <c r="AH289" s="305"/>
      <c r="AI289" s="305"/>
      <c r="AJ289" s="305"/>
      <c r="AK289" s="305"/>
      <c r="AL289" s="305"/>
      <c r="AM289" s="305"/>
      <c r="AN289" s="305"/>
      <c r="AO289" s="305"/>
      <c r="AP289" s="305"/>
      <c r="AQ289" s="305"/>
      <c r="AR289" s="305"/>
      <c r="AS289" s="305"/>
      <c r="AT289" s="305"/>
      <c r="AU289" s="305"/>
      <c r="AV289" s="305"/>
      <c r="AW289" s="305"/>
      <c r="AX289" s="305"/>
      <c r="AY289" s="305"/>
      <c r="AZ289" s="305"/>
      <c r="BA289" s="305"/>
      <c r="BB289" s="305"/>
      <c r="BC289" s="305"/>
      <c r="BD289" s="305"/>
      <c r="BE289" s="305"/>
      <c r="BF289" s="305"/>
      <c r="BG289" s="305"/>
      <c r="BH289" s="305"/>
      <c r="BI289" s="305"/>
      <c r="BJ289" s="305"/>
      <c r="BK289" s="305"/>
      <c r="BL289" s="305"/>
      <c r="BM289" s="305"/>
      <c r="BN289" s="305"/>
      <c r="BO289" s="305"/>
      <c r="BP289" s="305"/>
      <c r="BQ289" s="305"/>
      <c r="BR289" s="305"/>
      <c r="BS289" s="305"/>
      <c r="BT289" s="305"/>
      <c r="BU289" s="305"/>
      <c r="BV289" s="305"/>
      <c r="BW289" s="305"/>
      <c r="BX289" s="305"/>
      <c r="BY289" s="305"/>
      <c r="BZ289" s="305"/>
      <c r="CA289" s="305"/>
      <c r="CB289" s="305"/>
      <c r="CC289" s="305"/>
      <c r="CD289" s="305"/>
      <c r="CE289" s="305"/>
      <c r="CF289" s="305"/>
      <c r="CG289" s="305"/>
      <c r="CH289" s="305"/>
      <c r="CI289" s="305"/>
      <c r="CJ289" s="305"/>
      <c r="CK289" s="305"/>
      <c r="CL289" s="305"/>
      <c r="CM289" s="305"/>
      <c r="CN289" s="305"/>
      <c r="CO289" s="305"/>
      <c r="CP289" s="305"/>
      <c r="CQ289" s="305"/>
      <c r="CR289" s="305"/>
      <c r="CS289" s="305"/>
      <c r="CT289" s="305"/>
      <c r="CU289" s="305"/>
      <c r="CV289" s="305"/>
      <c r="CW289" s="305"/>
      <c r="CX289" s="305"/>
      <c r="CY289" s="305"/>
      <c r="CZ289" s="305"/>
      <c r="DA289" s="305"/>
      <c r="DB289" s="305"/>
      <c r="DC289" s="305"/>
      <c r="DD289" s="305"/>
      <c r="DE289" s="305"/>
      <c r="DF289" s="305"/>
      <c r="DG289" s="305"/>
      <c r="DH289" s="305"/>
      <c r="DI289" s="305"/>
      <c r="DJ289" s="305"/>
      <c r="DK289" s="305"/>
      <c r="DL289" s="305"/>
      <c r="DM289" s="305"/>
      <c r="DN289" s="305"/>
      <c r="DO289" s="305"/>
      <c r="DP289" s="305"/>
      <c r="DQ289" s="305"/>
      <c r="DR289" s="305"/>
      <c r="DS289" s="305"/>
      <c r="DT289" s="305"/>
      <c r="DU289" s="305"/>
      <c r="DV289" s="305"/>
      <c r="DW289" s="305"/>
      <c r="DX289" s="305"/>
      <c r="DY289" s="305"/>
      <c r="DZ289" s="305"/>
      <c r="EA289" s="305"/>
      <c r="EB289" s="305"/>
      <c r="EC289" s="305"/>
      <c r="ED289" s="305"/>
      <c r="EE289" s="305"/>
      <c r="EF289" s="305"/>
      <c r="EG289" s="305"/>
      <c r="EH289" s="305"/>
      <c r="EI289" s="305"/>
      <c r="EJ289" s="305"/>
      <c r="EK289" s="305"/>
      <c r="EL289" s="305"/>
      <c r="EM289" s="305"/>
      <c r="EN289" s="305"/>
      <c r="EO289" s="305"/>
      <c r="EP289" s="305"/>
      <c r="EQ289" s="305"/>
      <c r="ER289" s="305"/>
      <c r="ES289" s="305"/>
      <c r="ET289" s="305"/>
      <c r="EU289" s="305"/>
      <c r="EV289" s="305"/>
      <c r="EW289" s="305"/>
      <c r="EX289" s="305"/>
      <c r="EY289" s="305"/>
      <c r="EZ289" s="305"/>
      <c r="FA289" s="305"/>
      <c r="FB289" s="305"/>
      <c r="FC289" s="305"/>
      <c r="FD289" s="305"/>
      <c r="FE289" s="305"/>
      <c r="FF289" s="305"/>
      <c r="FG289" s="305"/>
      <c r="FH289" s="305"/>
      <c r="FI289" s="305"/>
      <c r="FJ289" s="305"/>
      <c r="FK289" s="305"/>
      <c r="FL289" s="305"/>
      <c r="FM289" s="305"/>
      <c r="FN289" s="305"/>
      <c r="FO289" s="305"/>
      <c r="FP289" s="305"/>
      <c r="FQ289" s="305"/>
      <c r="FR289" s="305"/>
      <c r="FS289" s="305"/>
      <c r="FT289" s="305"/>
      <c r="FU289" s="305"/>
      <c r="FV289" s="305"/>
      <c r="FW289" s="305"/>
      <c r="FX289" s="305"/>
      <c r="FY289" s="305"/>
      <c r="FZ289" s="305"/>
      <c r="GA289" s="305"/>
      <c r="GB289" s="305"/>
      <c r="GC289" s="305"/>
      <c r="GD289" s="305"/>
      <c r="GE289" s="305"/>
      <c r="GF289" s="305"/>
      <c r="GG289" s="305"/>
      <c r="GH289" s="305"/>
      <c r="GI289" s="305"/>
      <c r="GJ289" s="305"/>
      <c r="GK289" s="305"/>
      <c r="GL289" s="305"/>
      <c r="GM289" s="305"/>
      <c r="GN289" s="305"/>
      <c r="GO289" s="305"/>
      <c r="GP289" s="305"/>
      <c r="GQ289" s="305"/>
      <c r="GR289" s="305"/>
    </row>
    <row r="290" spans="3:200" s="318" customFormat="1" ht="12.75" customHeight="1" x14ac:dyDescent="0.2">
      <c r="C290" s="367"/>
      <c r="D290" s="403"/>
      <c r="E290" s="369"/>
      <c r="F290" s="369"/>
      <c r="G290" s="369"/>
      <c r="H290" s="369"/>
      <c r="I290" s="370"/>
      <c r="J290"/>
      <c r="K290" s="371"/>
      <c r="L290" s="371"/>
      <c r="M290" s="371"/>
      <c r="N290" s="371"/>
      <c r="O290" s="305"/>
      <c r="P290" s="305"/>
      <c r="Q290" s="305"/>
      <c r="R290" s="305"/>
      <c r="S290" s="305"/>
      <c r="T290" s="305"/>
      <c r="U290" s="305"/>
      <c r="V290" s="305"/>
      <c r="W290" s="305"/>
      <c r="X290" s="305"/>
      <c r="Y290" s="305"/>
      <c r="Z290" s="305"/>
      <c r="AA290" s="305"/>
      <c r="AB290" s="305"/>
      <c r="AC290" s="305"/>
      <c r="AD290" s="305"/>
      <c r="AE290" s="305"/>
      <c r="AF290" s="305"/>
      <c r="AG290" s="305"/>
      <c r="AH290" s="305"/>
      <c r="AI290" s="305"/>
      <c r="AJ290" s="305"/>
      <c r="AK290" s="305"/>
      <c r="AL290" s="305"/>
      <c r="AM290" s="305"/>
      <c r="AN290" s="305"/>
      <c r="AO290" s="305"/>
      <c r="AP290" s="305"/>
      <c r="AQ290" s="305"/>
      <c r="AR290" s="305"/>
      <c r="AS290" s="305"/>
      <c r="AT290" s="305"/>
      <c r="AU290" s="305"/>
      <c r="AV290" s="305"/>
      <c r="AW290" s="305"/>
      <c r="AX290" s="305"/>
      <c r="AY290" s="305"/>
      <c r="AZ290" s="305"/>
      <c r="BA290" s="305"/>
      <c r="BB290" s="305"/>
      <c r="BC290" s="305"/>
      <c r="BD290" s="305"/>
      <c r="BE290" s="305"/>
      <c r="BF290" s="305"/>
      <c r="BG290" s="305"/>
      <c r="BH290" s="305"/>
      <c r="BI290" s="305"/>
      <c r="BJ290" s="305"/>
      <c r="BK290" s="305"/>
      <c r="BL290" s="305"/>
      <c r="BM290" s="305"/>
      <c r="BN290" s="305"/>
      <c r="BO290" s="305"/>
      <c r="BP290" s="305"/>
      <c r="BQ290" s="305"/>
      <c r="BR290" s="305"/>
      <c r="BS290" s="305"/>
      <c r="BT290" s="305"/>
      <c r="BU290" s="305"/>
      <c r="BV290" s="305"/>
      <c r="BW290" s="305"/>
      <c r="BX290" s="305"/>
      <c r="BY290" s="305"/>
      <c r="BZ290" s="305"/>
      <c r="CA290" s="305"/>
      <c r="CB290" s="305"/>
      <c r="CC290" s="305"/>
      <c r="CD290" s="305"/>
      <c r="CE290" s="305"/>
      <c r="CF290" s="305"/>
      <c r="CG290" s="305"/>
      <c r="CH290" s="305"/>
      <c r="CI290" s="305"/>
      <c r="CJ290" s="305"/>
      <c r="CK290" s="305"/>
      <c r="CL290" s="305"/>
      <c r="CM290" s="305"/>
      <c r="CN290" s="305"/>
      <c r="CO290" s="305"/>
      <c r="CP290" s="305"/>
      <c r="CQ290" s="305"/>
      <c r="CR290" s="305"/>
      <c r="CS290" s="305"/>
      <c r="CT290" s="305"/>
      <c r="CU290" s="305"/>
      <c r="CV290" s="305"/>
      <c r="CW290" s="305"/>
      <c r="CX290" s="305"/>
      <c r="CY290" s="305"/>
      <c r="CZ290" s="305"/>
      <c r="DA290" s="305"/>
      <c r="DB290" s="305"/>
      <c r="DC290" s="305"/>
      <c r="DD290" s="305"/>
      <c r="DE290" s="305"/>
      <c r="DF290" s="305"/>
      <c r="DG290" s="305"/>
      <c r="DH290" s="305"/>
      <c r="DI290" s="305"/>
      <c r="DJ290" s="305"/>
      <c r="DK290" s="305"/>
      <c r="DL290" s="305"/>
      <c r="DM290" s="305"/>
      <c r="DN290" s="305"/>
      <c r="DO290" s="305"/>
      <c r="DP290" s="305"/>
      <c r="DQ290" s="305"/>
      <c r="DR290" s="305"/>
      <c r="DS290" s="305"/>
      <c r="DT290" s="305"/>
      <c r="DU290" s="305"/>
      <c r="DV290" s="305"/>
      <c r="DW290" s="305"/>
      <c r="DX290" s="305"/>
      <c r="DY290" s="305"/>
      <c r="DZ290" s="305"/>
      <c r="EA290" s="305"/>
      <c r="EB290" s="305"/>
      <c r="EC290" s="305"/>
      <c r="ED290" s="305"/>
      <c r="EE290" s="305"/>
      <c r="EF290" s="305"/>
      <c r="EG290" s="305"/>
      <c r="EH290" s="305"/>
      <c r="EI290" s="305"/>
      <c r="EJ290" s="305"/>
      <c r="EK290" s="305"/>
      <c r="EL290" s="305"/>
      <c r="EM290" s="305"/>
      <c r="EN290" s="305"/>
      <c r="EO290" s="305"/>
      <c r="EP290" s="305"/>
      <c r="EQ290" s="305"/>
      <c r="ER290" s="305"/>
      <c r="ES290" s="305"/>
      <c r="ET290" s="305"/>
      <c r="EU290" s="305"/>
      <c r="EV290" s="305"/>
      <c r="EW290" s="305"/>
      <c r="EX290" s="305"/>
      <c r="EY290" s="305"/>
      <c r="EZ290" s="305"/>
      <c r="FA290" s="305"/>
      <c r="FB290" s="305"/>
      <c r="FC290" s="305"/>
      <c r="FD290" s="305"/>
      <c r="FE290" s="305"/>
      <c r="FF290" s="305"/>
      <c r="FG290" s="305"/>
      <c r="FH290" s="305"/>
      <c r="FI290" s="305"/>
      <c r="FJ290" s="305"/>
      <c r="FK290" s="305"/>
      <c r="FL290" s="305"/>
      <c r="FM290" s="305"/>
      <c r="FN290" s="305"/>
      <c r="FO290" s="305"/>
      <c r="FP290" s="305"/>
      <c r="FQ290" s="305"/>
      <c r="FR290" s="305"/>
      <c r="FS290" s="305"/>
      <c r="FT290" s="305"/>
      <c r="FU290" s="305"/>
      <c r="FV290" s="305"/>
      <c r="FW290" s="305"/>
      <c r="FX290" s="305"/>
      <c r="FY290" s="305"/>
      <c r="FZ290" s="305"/>
      <c r="GA290" s="305"/>
      <c r="GB290" s="305"/>
      <c r="GC290" s="305"/>
      <c r="GD290" s="305"/>
      <c r="GE290" s="305"/>
      <c r="GF290" s="305"/>
      <c r="GG290" s="305"/>
      <c r="GH290" s="305"/>
      <c r="GI290" s="305"/>
      <c r="GJ290" s="305"/>
      <c r="GK290" s="305"/>
      <c r="GL290" s="305"/>
      <c r="GM290" s="305"/>
      <c r="GN290" s="305"/>
      <c r="GO290" s="305"/>
      <c r="GP290" s="305"/>
      <c r="GQ290" s="305"/>
      <c r="GR290" s="305"/>
    </row>
    <row r="291" spans="3:200" s="318" customFormat="1" ht="12.75" customHeight="1" x14ac:dyDescent="0.2">
      <c r="C291" s="367"/>
      <c r="D291" s="403"/>
      <c r="E291" s="369"/>
      <c r="F291" s="369"/>
      <c r="G291" s="369"/>
      <c r="H291" s="369"/>
      <c r="I291" s="370"/>
      <c r="J291"/>
      <c r="K291" s="371"/>
      <c r="L291" s="371"/>
      <c r="M291" s="371"/>
      <c r="N291" s="371"/>
      <c r="O291" s="305"/>
      <c r="P291" s="305"/>
      <c r="Q291" s="305"/>
      <c r="R291" s="305"/>
      <c r="S291" s="305"/>
      <c r="T291" s="305"/>
      <c r="U291" s="305"/>
      <c r="V291" s="305"/>
      <c r="W291" s="305"/>
      <c r="X291" s="305"/>
      <c r="Y291" s="305"/>
      <c r="Z291" s="305"/>
      <c r="AA291" s="305"/>
      <c r="AB291" s="305"/>
      <c r="AC291" s="305"/>
      <c r="AD291" s="305"/>
      <c r="AE291" s="305"/>
      <c r="AF291" s="305"/>
      <c r="AG291" s="305"/>
      <c r="AH291" s="305"/>
      <c r="AI291" s="305"/>
      <c r="AJ291" s="305"/>
      <c r="AK291" s="305"/>
      <c r="AL291" s="305"/>
      <c r="AM291" s="305"/>
      <c r="AN291" s="305"/>
      <c r="AO291" s="305"/>
      <c r="AP291" s="305"/>
      <c r="AQ291" s="305"/>
      <c r="AR291" s="305"/>
      <c r="AS291" s="305"/>
      <c r="AT291" s="305"/>
      <c r="AU291" s="305"/>
      <c r="AV291" s="305"/>
      <c r="AW291" s="305"/>
      <c r="AX291" s="305"/>
      <c r="AY291" s="305"/>
      <c r="AZ291" s="305"/>
      <c r="BA291" s="305"/>
      <c r="BB291" s="305"/>
      <c r="BC291" s="305"/>
      <c r="BD291" s="305"/>
      <c r="BE291" s="305"/>
      <c r="BF291" s="305"/>
      <c r="BG291" s="305"/>
      <c r="BH291" s="305"/>
      <c r="BI291" s="305"/>
      <c r="BJ291" s="305"/>
      <c r="BK291" s="305"/>
      <c r="BL291" s="305"/>
      <c r="BM291" s="305"/>
      <c r="BN291" s="305"/>
      <c r="BO291" s="305"/>
      <c r="BP291" s="305"/>
      <c r="BQ291" s="305"/>
      <c r="BR291" s="305"/>
      <c r="BS291" s="305"/>
      <c r="BT291" s="305"/>
      <c r="BU291" s="305"/>
      <c r="BV291" s="305"/>
      <c r="BW291" s="305"/>
      <c r="BX291" s="305"/>
      <c r="BY291" s="305"/>
      <c r="BZ291" s="305"/>
      <c r="CA291" s="305"/>
      <c r="CB291" s="305"/>
      <c r="CC291" s="305"/>
      <c r="CD291" s="305"/>
      <c r="CE291" s="305"/>
      <c r="CF291" s="305"/>
      <c r="CG291" s="305"/>
      <c r="CH291" s="305"/>
      <c r="CI291" s="305"/>
      <c r="CJ291" s="305"/>
      <c r="CK291" s="305"/>
      <c r="CL291" s="305"/>
      <c r="CM291" s="305"/>
      <c r="CN291" s="305"/>
      <c r="CO291" s="305"/>
      <c r="CP291" s="305"/>
      <c r="CQ291" s="305"/>
      <c r="CR291" s="305"/>
      <c r="CS291" s="305"/>
      <c r="CT291" s="305"/>
      <c r="CU291" s="305"/>
      <c r="CV291" s="305"/>
      <c r="CW291" s="305"/>
      <c r="CX291" s="305"/>
      <c r="CY291" s="305"/>
      <c r="CZ291" s="305"/>
      <c r="DA291" s="305"/>
      <c r="DB291" s="305"/>
      <c r="DC291" s="305"/>
      <c r="DD291" s="305"/>
      <c r="DE291" s="305"/>
      <c r="DF291" s="305"/>
      <c r="DG291" s="305"/>
      <c r="DH291" s="305"/>
      <c r="DI291" s="305"/>
      <c r="DJ291" s="305"/>
      <c r="DK291" s="305"/>
      <c r="DL291" s="305"/>
      <c r="DM291" s="305"/>
      <c r="DN291" s="305"/>
      <c r="DO291" s="305"/>
      <c r="DP291" s="305"/>
      <c r="DQ291" s="305"/>
      <c r="DR291" s="305"/>
      <c r="DS291" s="305"/>
      <c r="DT291" s="305"/>
      <c r="DU291" s="305"/>
      <c r="DV291" s="305"/>
      <c r="DW291" s="305"/>
      <c r="DX291" s="305"/>
      <c r="DY291" s="305"/>
      <c r="DZ291" s="305"/>
      <c r="EA291" s="305"/>
      <c r="EB291" s="305"/>
      <c r="EC291" s="305"/>
      <c r="ED291" s="305"/>
      <c r="EE291" s="305"/>
      <c r="EF291" s="305"/>
      <c r="EG291" s="305"/>
      <c r="EH291" s="305"/>
      <c r="EI291" s="305"/>
      <c r="EJ291" s="305"/>
      <c r="EK291" s="305"/>
      <c r="EL291" s="305"/>
      <c r="EM291" s="305"/>
      <c r="EN291" s="305"/>
      <c r="EO291" s="305"/>
      <c r="EP291" s="305"/>
      <c r="EQ291" s="305"/>
      <c r="ER291" s="305"/>
      <c r="ES291" s="305"/>
      <c r="ET291" s="305"/>
      <c r="EU291" s="305"/>
      <c r="EV291" s="305"/>
      <c r="EW291" s="305"/>
      <c r="EX291" s="305"/>
      <c r="EY291" s="305"/>
      <c r="EZ291" s="305"/>
      <c r="FA291" s="305"/>
      <c r="FB291" s="305"/>
      <c r="FC291" s="305"/>
      <c r="FD291" s="305"/>
      <c r="FE291" s="305"/>
      <c r="FF291" s="305"/>
      <c r="FG291" s="305"/>
      <c r="FH291" s="305"/>
      <c r="FI291" s="305"/>
      <c r="FJ291" s="305"/>
      <c r="FK291" s="305"/>
      <c r="FL291" s="305"/>
      <c r="FM291" s="305"/>
      <c r="FN291" s="305"/>
      <c r="FO291" s="305"/>
      <c r="FP291" s="305"/>
      <c r="FQ291" s="305"/>
      <c r="FR291" s="305"/>
      <c r="FS291" s="305"/>
      <c r="FT291" s="305"/>
      <c r="FU291" s="305"/>
      <c r="FV291" s="305"/>
      <c r="FW291" s="305"/>
      <c r="FX291" s="305"/>
      <c r="FY291" s="305"/>
      <c r="FZ291" s="305"/>
      <c r="GA291" s="305"/>
      <c r="GB291" s="305"/>
      <c r="GC291" s="305"/>
      <c r="GD291" s="305"/>
      <c r="GE291" s="305"/>
      <c r="GF291" s="305"/>
      <c r="GG291" s="305"/>
      <c r="GH291" s="305"/>
      <c r="GI291" s="305"/>
      <c r="GJ291" s="305"/>
      <c r="GK291" s="305"/>
      <c r="GL291" s="305"/>
      <c r="GM291" s="305"/>
      <c r="GN291" s="305"/>
      <c r="GO291" s="305"/>
      <c r="GP291" s="305"/>
      <c r="GQ291" s="305"/>
      <c r="GR291" s="305"/>
    </row>
    <row r="292" spans="3:200" s="318" customFormat="1" ht="12.75" customHeight="1" x14ac:dyDescent="0.2">
      <c r="C292" s="367"/>
      <c r="D292" s="403"/>
      <c r="E292" s="369"/>
      <c r="F292" s="369"/>
      <c r="G292" s="369"/>
      <c r="H292" s="369"/>
      <c r="I292" s="370"/>
      <c r="J292"/>
      <c r="K292" s="371"/>
      <c r="L292" s="371"/>
      <c r="M292" s="371"/>
      <c r="N292" s="371"/>
      <c r="O292" s="305"/>
      <c r="P292" s="305"/>
      <c r="Q292" s="305"/>
      <c r="R292" s="305"/>
      <c r="S292" s="305"/>
      <c r="T292" s="305"/>
      <c r="U292" s="305"/>
      <c r="V292" s="305"/>
      <c r="W292" s="305"/>
      <c r="X292" s="305"/>
      <c r="Y292" s="305"/>
      <c r="Z292" s="305"/>
      <c r="AA292" s="305"/>
      <c r="AB292" s="305"/>
      <c r="AC292" s="305"/>
      <c r="AD292" s="305"/>
      <c r="AE292" s="305"/>
      <c r="AF292" s="305"/>
      <c r="AG292" s="305"/>
      <c r="AH292" s="305"/>
      <c r="AI292" s="305"/>
      <c r="AJ292" s="305"/>
      <c r="AK292" s="305"/>
      <c r="AL292" s="305"/>
      <c r="AM292" s="305"/>
      <c r="AN292" s="305"/>
      <c r="AO292" s="305"/>
      <c r="AP292" s="305"/>
      <c r="AQ292" s="305"/>
      <c r="AR292" s="305"/>
      <c r="AS292" s="305"/>
      <c r="AT292" s="305"/>
      <c r="AU292" s="305"/>
      <c r="AV292" s="305"/>
      <c r="AW292" s="305"/>
      <c r="AX292" s="305"/>
      <c r="AY292" s="305"/>
      <c r="AZ292" s="305"/>
      <c r="BA292" s="305"/>
      <c r="BB292" s="305"/>
      <c r="BC292" s="305"/>
      <c r="BD292" s="305"/>
      <c r="BE292" s="305"/>
      <c r="BF292" s="305"/>
      <c r="BG292" s="305"/>
      <c r="BH292" s="305"/>
      <c r="BI292" s="305"/>
      <c r="BJ292" s="305"/>
      <c r="BK292" s="305"/>
      <c r="BL292" s="305"/>
      <c r="BM292" s="305"/>
      <c r="BN292" s="305"/>
      <c r="BO292" s="305"/>
      <c r="BP292" s="305"/>
      <c r="BQ292" s="305"/>
      <c r="BR292" s="305"/>
      <c r="BS292" s="305"/>
      <c r="BT292" s="305"/>
      <c r="BU292" s="305"/>
      <c r="BV292" s="305"/>
      <c r="BW292" s="305"/>
      <c r="BX292" s="305"/>
      <c r="BY292" s="305"/>
      <c r="BZ292" s="305"/>
      <c r="CA292" s="305"/>
      <c r="CB292" s="305"/>
      <c r="CC292" s="305"/>
      <c r="CD292" s="305"/>
      <c r="CE292" s="305"/>
      <c r="CF292" s="305"/>
      <c r="CG292" s="305"/>
      <c r="CH292" s="305"/>
      <c r="CI292" s="305"/>
      <c r="CJ292" s="305"/>
      <c r="CK292" s="305"/>
      <c r="CL292" s="305"/>
      <c r="CM292" s="305"/>
      <c r="CN292" s="305"/>
      <c r="CO292" s="305"/>
      <c r="CP292" s="305"/>
      <c r="CQ292" s="305"/>
      <c r="CR292" s="305"/>
      <c r="CS292" s="305"/>
      <c r="CT292" s="305"/>
      <c r="CU292" s="305"/>
      <c r="CV292" s="305"/>
      <c r="CW292" s="305"/>
      <c r="CX292" s="305"/>
      <c r="CY292" s="305"/>
      <c r="CZ292" s="305"/>
      <c r="DA292" s="305"/>
      <c r="DB292" s="305"/>
      <c r="DC292" s="305"/>
      <c r="DD292" s="305"/>
      <c r="DE292" s="305"/>
      <c r="DF292" s="305"/>
      <c r="DG292" s="305"/>
      <c r="DH292" s="305"/>
      <c r="DI292" s="305"/>
      <c r="DJ292" s="305"/>
      <c r="DK292" s="305"/>
      <c r="DL292" s="305"/>
      <c r="DM292" s="305"/>
      <c r="DN292" s="305"/>
      <c r="DO292" s="305"/>
      <c r="DP292" s="305"/>
      <c r="DQ292" s="305"/>
      <c r="DR292" s="305"/>
      <c r="DS292" s="305"/>
      <c r="DT292" s="305"/>
      <c r="DU292" s="305"/>
      <c r="DV292" s="305"/>
      <c r="DW292" s="305"/>
      <c r="DX292" s="305"/>
      <c r="DY292" s="305"/>
      <c r="DZ292" s="305"/>
      <c r="EA292" s="305"/>
      <c r="EB292" s="305"/>
      <c r="EC292" s="305"/>
      <c r="ED292" s="305"/>
      <c r="EE292" s="305"/>
      <c r="EF292" s="305"/>
      <c r="EG292" s="305"/>
      <c r="EH292" s="305"/>
      <c r="EI292" s="305"/>
      <c r="EJ292" s="305"/>
      <c r="EK292" s="305"/>
      <c r="EL292" s="305"/>
      <c r="EM292" s="305"/>
      <c r="EN292" s="305"/>
      <c r="EO292" s="305"/>
      <c r="EP292" s="305"/>
      <c r="EQ292" s="305"/>
      <c r="ER292" s="305"/>
      <c r="ES292" s="305"/>
      <c r="ET292" s="305"/>
      <c r="EU292" s="305"/>
      <c r="EV292" s="305"/>
      <c r="EW292" s="305"/>
      <c r="EX292" s="305"/>
      <c r="EY292" s="305"/>
      <c r="EZ292" s="305"/>
      <c r="FA292" s="305"/>
      <c r="FB292" s="305"/>
      <c r="FC292" s="305"/>
      <c r="FD292" s="305"/>
      <c r="FE292" s="305"/>
      <c r="FF292" s="305"/>
      <c r="FG292" s="305"/>
      <c r="FH292" s="305"/>
      <c r="FI292" s="305"/>
      <c r="FJ292" s="305"/>
      <c r="FK292" s="305"/>
      <c r="FL292" s="305"/>
      <c r="FM292" s="305"/>
      <c r="FN292" s="305"/>
      <c r="FO292" s="305"/>
      <c r="FP292" s="305"/>
      <c r="FQ292" s="305"/>
      <c r="FR292" s="305"/>
      <c r="FS292" s="305"/>
      <c r="FT292" s="305"/>
      <c r="FU292" s="305"/>
      <c r="FV292" s="305"/>
      <c r="FW292" s="305"/>
      <c r="FX292" s="305"/>
      <c r="FY292" s="305"/>
      <c r="FZ292" s="305"/>
      <c r="GA292" s="305"/>
      <c r="GB292" s="305"/>
      <c r="GC292" s="305"/>
      <c r="GD292" s="305"/>
      <c r="GE292" s="305"/>
      <c r="GF292" s="305"/>
      <c r="GG292" s="305"/>
      <c r="GH292" s="305"/>
      <c r="GI292" s="305"/>
      <c r="GJ292" s="305"/>
      <c r="GK292" s="305"/>
      <c r="GL292" s="305"/>
      <c r="GM292" s="305"/>
      <c r="GN292" s="305"/>
      <c r="GO292" s="305"/>
      <c r="GP292" s="305"/>
      <c r="GQ292" s="305"/>
      <c r="GR292" s="305"/>
    </row>
    <row r="293" spans="3:200" s="318" customFormat="1" ht="12.75" customHeight="1" x14ac:dyDescent="0.2">
      <c r="C293" s="367"/>
      <c r="D293" s="403"/>
      <c r="E293" s="369"/>
      <c r="F293" s="369"/>
      <c r="G293" s="369"/>
      <c r="H293" s="369"/>
      <c r="I293" s="370"/>
      <c r="J293"/>
      <c r="K293" s="371"/>
      <c r="L293" s="371"/>
      <c r="M293" s="371"/>
      <c r="N293" s="371"/>
      <c r="O293" s="305"/>
      <c r="P293" s="305"/>
      <c r="Q293" s="305"/>
      <c r="R293" s="305"/>
      <c r="S293" s="305"/>
      <c r="T293" s="305"/>
      <c r="U293" s="305"/>
      <c r="V293" s="305"/>
      <c r="W293" s="305"/>
      <c r="X293" s="305"/>
      <c r="Y293" s="305"/>
      <c r="Z293" s="305"/>
      <c r="AA293" s="305"/>
      <c r="AB293" s="305"/>
      <c r="AC293" s="305"/>
      <c r="AD293" s="305"/>
      <c r="AE293" s="305"/>
      <c r="AF293" s="305"/>
      <c r="AG293" s="305"/>
      <c r="AH293" s="305"/>
      <c r="AI293" s="305"/>
      <c r="AJ293" s="305"/>
      <c r="AK293" s="305"/>
      <c r="AL293" s="305"/>
      <c r="AM293" s="305"/>
      <c r="AN293" s="305"/>
      <c r="AO293" s="305"/>
      <c r="AP293" s="305"/>
      <c r="AQ293" s="305"/>
      <c r="AR293" s="305"/>
      <c r="AS293" s="305"/>
      <c r="AT293" s="305"/>
      <c r="AU293" s="305"/>
      <c r="AV293" s="305"/>
      <c r="AW293" s="305"/>
      <c r="AX293" s="305"/>
      <c r="AY293" s="305"/>
      <c r="AZ293" s="305"/>
      <c r="BA293" s="305"/>
      <c r="BB293" s="305"/>
      <c r="BC293" s="305"/>
      <c r="BD293" s="305"/>
      <c r="BE293" s="305"/>
      <c r="BF293" s="305"/>
      <c r="BG293" s="305"/>
      <c r="BH293" s="305"/>
      <c r="BI293" s="305"/>
      <c r="BJ293" s="305"/>
      <c r="BK293" s="305"/>
      <c r="BL293" s="305"/>
      <c r="BM293" s="305"/>
      <c r="BN293" s="305"/>
      <c r="BO293" s="305"/>
      <c r="BP293" s="305"/>
      <c r="BQ293" s="305"/>
      <c r="BR293" s="305"/>
      <c r="BS293" s="305"/>
      <c r="BT293" s="305"/>
      <c r="BU293" s="305"/>
      <c r="BV293" s="305"/>
      <c r="BW293" s="305"/>
      <c r="BX293" s="305"/>
      <c r="BY293" s="305"/>
      <c r="BZ293" s="305"/>
      <c r="CA293" s="305"/>
      <c r="CB293" s="305"/>
      <c r="CC293" s="305"/>
      <c r="CD293" s="305"/>
      <c r="CE293" s="305"/>
      <c r="CF293" s="305"/>
      <c r="CG293" s="305"/>
      <c r="CH293" s="305"/>
      <c r="CI293" s="305"/>
      <c r="CJ293" s="305"/>
      <c r="CK293" s="305"/>
      <c r="CL293" s="305"/>
      <c r="CM293" s="305"/>
      <c r="CN293" s="305"/>
      <c r="CO293" s="305"/>
      <c r="CP293" s="305"/>
      <c r="CQ293" s="305"/>
      <c r="CR293" s="305"/>
      <c r="CS293" s="305"/>
      <c r="CT293" s="305"/>
      <c r="CU293" s="305"/>
      <c r="CV293" s="305"/>
      <c r="CW293" s="305"/>
      <c r="CX293" s="305"/>
      <c r="CY293" s="305"/>
      <c r="CZ293" s="305"/>
      <c r="DA293" s="305"/>
      <c r="DB293" s="305"/>
      <c r="DC293" s="305"/>
      <c r="DD293" s="305"/>
      <c r="DE293" s="305"/>
      <c r="DF293" s="305"/>
      <c r="DG293" s="305"/>
      <c r="DH293" s="305"/>
      <c r="DI293" s="305"/>
      <c r="DJ293" s="305"/>
      <c r="DK293" s="305"/>
      <c r="DL293" s="305"/>
      <c r="DM293" s="305"/>
      <c r="DN293" s="305"/>
      <c r="DO293" s="305"/>
      <c r="DP293" s="305"/>
      <c r="DQ293" s="305"/>
      <c r="DR293" s="305"/>
      <c r="DS293" s="305"/>
      <c r="DT293" s="305"/>
      <c r="DU293" s="305"/>
      <c r="DV293" s="305"/>
      <c r="DW293" s="305"/>
      <c r="DX293" s="305"/>
      <c r="DY293" s="305"/>
      <c r="DZ293" s="305"/>
      <c r="EA293" s="305"/>
      <c r="EB293" s="305"/>
      <c r="EC293" s="305"/>
      <c r="ED293" s="305"/>
      <c r="EE293" s="305"/>
      <c r="EF293" s="305"/>
      <c r="EG293" s="305"/>
      <c r="EH293" s="305"/>
      <c r="EI293" s="305"/>
      <c r="EJ293" s="305"/>
      <c r="EK293" s="305"/>
      <c r="EL293" s="305"/>
      <c r="EM293" s="305"/>
      <c r="EN293" s="305"/>
      <c r="EO293" s="305"/>
      <c r="EP293" s="305"/>
      <c r="EQ293" s="305"/>
      <c r="ER293" s="305"/>
      <c r="ES293" s="305"/>
      <c r="ET293" s="305"/>
      <c r="EU293" s="305"/>
      <c r="EV293" s="305"/>
      <c r="EW293" s="305"/>
      <c r="EX293" s="305"/>
      <c r="EY293" s="305"/>
      <c r="EZ293" s="305"/>
      <c r="FA293" s="305"/>
      <c r="FB293" s="305"/>
      <c r="FC293" s="305"/>
      <c r="FD293" s="305"/>
      <c r="FE293" s="305"/>
      <c r="FF293" s="305"/>
      <c r="FG293" s="305"/>
      <c r="FH293" s="305"/>
      <c r="FI293" s="305"/>
      <c r="FJ293" s="305"/>
      <c r="FK293" s="305"/>
      <c r="FL293" s="305"/>
      <c r="FM293" s="305"/>
      <c r="FN293" s="305"/>
      <c r="FO293" s="305"/>
      <c r="FP293" s="305"/>
      <c r="FQ293" s="305"/>
      <c r="FR293" s="305"/>
      <c r="FS293" s="305"/>
      <c r="FT293" s="305"/>
      <c r="FU293" s="305"/>
      <c r="FV293" s="305"/>
      <c r="FW293" s="305"/>
      <c r="FX293" s="305"/>
      <c r="FY293" s="305"/>
      <c r="FZ293" s="305"/>
      <c r="GA293" s="305"/>
      <c r="GB293" s="305"/>
      <c r="GC293" s="305"/>
      <c r="GD293" s="305"/>
      <c r="GE293" s="305"/>
      <c r="GF293" s="305"/>
      <c r="GG293" s="305"/>
      <c r="GH293" s="305"/>
      <c r="GI293" s="305"/>
      <c r="GJ293" s="305"/>
      <c r="GK293" s="305"/>
      <c r="GL293" s="305"/>
      <c r="GM293" s="305"/>
      <c r="GN293" s="305"/>
      <c r="GO293" s="305"/>
      <c r="GP293" s="305"/>
      <c r="GQ293" s="305"/>
      <c r="GR293" s="305"/>
    </row>
    <row r="294" spans="3:200" s="318" customFormat="1" ht="12.75" customHeight="1" x14ac:dyDescent="0.2">
      <c r="C294" s="367"/>
      <c r="D294" s="403"/>
      <c r="E294" s="369"/>
      <c r="F294" s="369"/>
      <c r="G294" s="369"/>
      <c r="H294" s="369"/>
      <c r="I294" s="370"/>
      <c r="J294"/>
      <c r="K294" s="371"/>
      <c r="L294" s="371"/>
      <c r="M294" s="371"/>
      <c r="N294" s="371"/>
      <c r="O294" s="305"/>
      <c r="P294" s="305"/>
      <c r="Q294" s="305"/>
      <c r="R294" s="305"/>
      <c r="S294" s="305"/>
      <c r="T294" s="305"/>
      <c r="U294" s="305"/>
      <c r="V294" s="305"/>
      <c r="W294" s="305"/>
      <c r="X294" s="305"/>
      <c r="Y294" s="305"/>
      <c r="Z294" s="305"/>
      <c r="AA294" s="305"/>
      <c r="AB294" s="305"/>
      <c r="AC294" s="305"/>
      <c r="AD294" s="305"/>
      <c r="AE294" s="305"/>
      <c r="AF294" s="305"/>
      <c r="AG294" s="305"/>
      <c r="AH294" s="305"/>
      <c r="AI294" s="305"/>
      <c r="AJ294" s="305"/>
      <c r="AK294" s="305"/>
      <c r="AL294" s="305"/>
      <c r="AM294" s="305"/>
      <c r="AN294" s="305"/>
      <c r="AO294" s="305"/>
      <c r="AP294" s="305"/>
      <c r="AQ294" s="305"/>
      <c r="AR294" s="305"/>
      <c r="AS294" s="305"/>
      <c r="AT294" s="305"/>
      <c r="AU294" s="305"/>
      <c r="AV294" s="305"/>
      <c r="AW294" s="305"/>
      <c r="AX294" s="305"/>
      <c r="AY294" s="305"/>
      <c r="AZ294" s="305"/>
      <c r="BA294" s="305"/>
      <c r="BB294" s="305"/>
      <c r="BC294" s="305"/>
      <c r="BD294" s="305"/>
      <c r="BE294" s="305"/>
      <c r="BF294" s="305"/>
      <c r="BG294" s="305"/>
      <c r="BH294" s="305"/>
      <c r="BI294" s="305"/>
      <c r="BJ294" s="305"/>
      <c r="BK294" s="305"/>
      <c r="BL294" s="305"/>
      <c r="BM294" s="305"/>
      <c r="BN294" s="305"/>
      <c r="BO294" s="305"/>
      <c r="BP294" s="305"/>
      <c r="BQ294" s="305"/>
      <c r="BR294" s="305"/>
      <c r="BS294" s="305"/>
      <c r="BT294" s="305"/>
      <c r="BU294" s="305"/>
      <c r="BV294" s="305"/>
      <c r="BW294" s="305"/>
      <c r="BX294" s="305"/>
      <c r="BY294" s="305"/>
      <c r="BZ294" s="305"/>
      <c r="CA294" s="305"/>
      <c r="CB294" s="305"/>
      <c r="CC294" s="305"/>
      <c r="CD294" s="305"/>
      <c r="CE294" s="305"/>
      <c r="CF294" s="305"/>
      <c r="CG294" s="305"/>
      <c r="CH294" s="305"/>
      <c r="CI294" s="305"/>
      <c r="CJ294" s="305"/>
      <c r="CK294" s="305"/>
      <c r="CL294" s="305"/>
      <c r="CM294" s="305"/>
      <c r="CN294" s="305"/>
      <c r="CO294" s="305"/>
      <c r="CP294" s="305"/>
      <c r="CQ294" s="305"/>
      <c r="CR294" s="305"/>
      <c r="CS294" s="305"/>
      <c r="CT294" s="305"/>
      <c r="CU294" s="305"/>
      <c r="CV294" s="305"/>
      <c r="CW294" s="305"/>
      <c r="CX294" s="305"/>
      <c r="CY294" s="305"/>
      <c r="CZ294" s="305"/>
      <c r="DA294" s="305"/>
      <c r="DB294" s="305"/>
      <c r="DC294" s="305"/>
      <c r="DD294" s="305"/>
      <c r="DE294" s="305"/>
      <c r="DF294" s="305"/>
      <c r="DG294" s="305"/>
      <c r="DH294" s="305"/>
      <c r="DI294" s="305"/>
      <c r="DJ294" s="305"/>
      <c r="DK294" s="305"/>
      <c r="DL294" s="305"/>
      <c r="DM294" s="305"/>
      <c r="DN294" s="305"/>
      <c r="DO294" s="305"/>
      <c r="DP294" s="305"/>
      <c r="DQ294" s="305"/>
      <c r="DR294" s="305"/>
      <c r="DS294" s="305"/>
      <c r="DT294" s="305"/>
      <c r="DU294" s="305"/>
      <c r="DV294" s="305"/>
      <c r="DW294" s="305"/>
      <c r="DX294" s="305"/>
      <c r="DY294" s="305"/>
      <c r="DZ294" s="305"/>
      <c r="EA294" s="305"/>
      <c r="EB294" s="305"/>
      <c r="EC294" s="305"/>
      <c r="ED294" s="305"/>
      <c r="EE294" s="305"/>
      <c r="EF294" s="305"/>
      <c r="EG294" s="305"/>
      <c r="EH294" s="305"/>
      <c r="EI294" s="305"/>
      <c r="EJ294" s="305"/>
      <c r="EK294" s="305"/>
      <c r="EL294" s="305"/>
      <c r="EM294" s="305"/>
      <c r="EN294" s="305"/>
      <c r="EO294" s="305"/>
      <c r="EP294" s="305"/>
      <c r="EQ294" s="305"/>
      <c r="ER294" s="305"/>
      <c r="ES294" s="305"/>
      <c r="ET294" s="305"/>
      <c r="EU294" s="305"/>
      <c r="EV294" s="305"/>
      <c r="EW294" s="305"/>
      <c r="EX294" s="305"/>
      <c r="EY294" s="305"/>
      <c r="EZ294" s="305"/>
      <c r="FA294" s="305"/>
      <c r="FB294" s="305"/>
      <c r="FC294" s="305"/>
      <c r="FD294" s="305"/>
      <c r="FE294" s="305"/>
      <c r="FF294" s="305"/>
      <c r="FG294" s="305"/>
      <c r="FH294" s="305"/>
      <c r="FI294" s="305"/>
      <c r="FJ294" s="305"/>
      <c r="FK294" s="305"/>
      <c r="FL294" s="305"/>
      <c r="FM294" s="305"/>
      <c r="FN294" s="305"/>
      <c r="FO294" s="305"/>
      <c r="FP294" s="305"/>
      <c r="FQ294" s="305"/>
      <c r="FR294" s="305"/>
      <c r="FS294" s="305"/>
      <c r="FT294" s="305"/>
      <c r="FU294" s="305"/>
      <c r="FV294" s="305"/>
      <c r="FW294" s="305"/>
      <c r="FX294" s="305"/>
      <c r="FY294" s="305"/>
      <c r="FZ294" s="305"/>
      <c r="GA294" s="305"/>
      <c r="GB294" s="305"/>
      <c r="GC294" s="305"/>
      <c r="GD294" s="305"/>
      <c r="GE294" s="305"/>
      <c r="GF294" s="305"/>
      <c r="GG294" s="305"/>
      <c r="GH294" s="305"/>
      <c r="GI294" s="305"/>
      <c r="GJ294" s="305"/>
      <c r="GK294" s="305"/>
      <c r="GL294" s="305"/>
      <c r="GM294" s="305"/>
      <c r="GN294" s="305"/>
      <c r="GO294" s="305"/>
      <c r="GP294" s="305"/>
      <c r="GQ294" s="305"/>
      <c r="GR294" s="305"/>
    </row>
    <row r="295" spans="3:200" s="318" customFormat="1" ht="12.75" customHeight="1" x14ac:dyDescent="0.2">
      <c r="C295" s="367"/>
      <c r="D295" s="403"/>
      <c r="E295" s="369"/>
      <c r="F295" s="369"/>
      <c r="G295" s="369"/>
      <c r="H295" s="369"/>
      <c r="I295" s="370"/>
      <c r="J295"/>
      <c r="K295" s="371"/>
      <c r="L295" s="371"/>
      <c r="M295" s="371"/>
      <c r="N295" s="371"/>
      <c r="O295" s="305"/>
      <c r="P295" s="305"/>
      <c r="Q295" s="305"/>
      <c r="R295" s="305"/>
      <c r="S295" s="305"/>
      <c r="T295" s="305"/>
      <c r="U295" s="305"/>
      <c r="V295" s="305"/>
      <c r="W295" s="305"/>
      <c r="X295" s="305"/>
      <c r="Y295" s="305"/>
      <c r="Z295" s="305"/>
      <c r="AA295" s="305"/>
      <c r="AB295" s="305"/>
      <c r="AC295" s="305"/>
      <c r="AD295" s="305"/>
      <c r="AE295" s="305"/>
      <c r="AF295" s="305"/>
      <c r="AG295" s="305"/>
      <c r="AH295" s="305"/>
      <c r="AI295" s="305"/>
      <c r="AJ295" s="305"/>
      <c r="AK295" s="305"/>
      <c r="AL295" s="305"/>
      <c r="AM295" s="305"/>
      <c r="AN295" s="305"/>
      <c r="AO295" s="305"/>
      <c r="AP295" s="305"/>
      <c r="AQ295" s="305"/>
      <c r="AR295" s="305"/>
      <c r="AS295" s="305"/>
      <c r="AT295" s="305"/>
      <c r="AU295" s="305"/>
      <c r="AV295" s="305"/>
      <c r="AW295" s="305"/>
      <c r="AX295" s="305"/>
      <c r="AY295" s="305"/>
      <c r="AZ295" s="305"/>
      <c r="BA295" s="305"/>
      <c r="BB295" s="305"/>
      <c r="BC295" s="305"/>
      <c r="BD295" s="305"/>
      <c r="BE295" s="305"/>
      <c r="BF295" s="305"/>
      <c r="BG295" s="305"/>
      <c r="BH295" s="305"/>
      <c r="BI295" s="305"/>
      <c r="BJ295" s="305"/>
      <c r="BK295" s="305"/>
      <c r="BL295" s="305"/>
      <c r="BM295" s="305"/>
      <c r="BN295" s="305"/>
      <c r="BO295" s="305"/>
      <c r="BP295" s="305"/>
      <c r="BQ295" s="305"/>
      <c r="BR295" s="305"/>
      <c r="BS295" s="305"/>
      <c r="BT295" s="305"/>
      <c r="BU295" s="305"/>
      <c r="BV295" s="305"/>
      <c r="BW295" s="305"/>
      <c r="BX295" s="305"/>
      <c r="BY295" s="305"/>
      <c r="BZ295" s="305"/>
      <c r="CA295" s="305"/>
      <c r="CB295" s="305"/>
      <c r="CC295" s="305"/>
      <c r="CD295" s="305"/>
      <c r="CE295" s="305"/>
      <c r="CF295" s="305"/>
      <c r="CG295" s="305"/>
      <c r="CH295" s="305"/>
      <c r="CI295" s="305"/>
      <c r="CJ295" s="305"/>
      <c r="CK295" s="305"/>
      <c r="CL295" s="305"/>
      <c r="CM295" s="305"/>
      <c r="CN295" s="305"/>
      <c r="CO295" s="305"/>
      <c r="CP295" s="305"/>
      <c r="CQ295" s="305"/>
      <c r="CR295" s="305"/>
      <c r="CS295" s="305"/>
      <c r="CT295" s="305"/>
      <c r="CU295" s="305"/>
      <c r="CV295" s="305"/>
      <c r="CW295" s="305"/>
      <c r="CX295" s="305"/>
      <c r="CY295" s="305"/>
      <c r="CZ295" s="305"/>
      <c r="DA295" s="305"/>
      <c r="DB295" s="305"/>
      <c r="DC295" s="305"/>
      <c r="DD295" s="305"/>
      <c r="DE295" s="305"/>
      <c r="DF295" s="305"/>
      <c r="DG295" s="305"/>
      <c r="DH295" s="305"/>
      <c r="DI295" s="305"/>
      <c r="DJ295" s="305"/>
      <c r="DK295" s="305"/>
      <c r="DL295" s="305"/>
      <c r="DM295" s="305"/>
      <c r="DN295" s="305"/>
      <c r="DO295" s="305"/>
      <c r="DP295" s="305"/>
      <c r="DQ295" s="305"/>
      <c r="DR295" s="305"/>
      <c r="DS295" s="305"/>
      <c r="DT295" s="305"/>
      <c r="DU295" s="305"/>
      <c r="DV295" s="305"/>
      <c r="DW295" s="305"/>
      <c r="DX295" s="305"/>
      <c r="DY295" s="305"/>
      <c r="DZ295" s="305"/>
      <c r="EA295" s="305"/>
      <c r="EB295" s="305"/>
      <c r="EC295" s="305"/>
      <c r="ED295" s="305"/>
      <c r="EE295" s="305"/>
      <c r="EF295" s="305"/>
      <c r="EG295" s="305"/>
      <c r="EH295" s="305"/>
      <c r="EI295" s="305"/>
      <c r="EJ295" s="305"/>
      <c r="EK295" s="305"/>
      <c r="EL295" s="305"/>
      <c r="EM295" s="305"/>
      <c r="EN295" s="305"/>
      <c r="EO295" s="305"/>
      <c r="EP295" s="305"/>
      <c r="EQ295" s="305"/>
      <c r="ER295" s="305"/>
      <c r="ES295" s="305"/>
      <c r="ET295" s="305"/>
      <c r="EU295" s="305"/>
      <c r="EV295" s="305"/>
      <c r="EW295" s="305"/>
      <c r="EX295" s="305"/>
      <c r="EY295" s="305"/>
      <c r="EZ295" s="305"/>
      <c r="FA295" s="305"/>
      <c r="FB295" s="305"/>
      <c r="FC295" s="305"/>
      <c r="FD295" s="305"/>
      <c r="FE295" s="305"/>
      <c r="FF295" s="305"/>
      <c r="FG295" s="305"/>
      <c r="FH295" s="305"/>
      <c r="FI295" s="305"/>
      <c r="FJ295" s="305"/>
      <c r="FK295" s="305"/>
      <c r="FL295" s="305"/>
      <c r="FM295" s="305"/>
      <c r="FN295" s="305"/>
      <c r="FO295" s="305"/>
      <c r="FP295" s="305"/>
      <c r="FQ295" s="305"/>
      <c r="FR295" s="305"/>
      <c r="FS295" s="305"/>
      <c r="FT295" s="305"/>
      <c r="FU295" s="305"/>
      <c r="FV295" s="305"/>
      <c r="FW295" s="305"/>
      <c r="FX295" s="305"/>
      <c r="FY295" s="305"/>
      <c r="FZ295" s="305"/>
      <c r="GA295" s="305"/>
      <c r="GB295" s="305"/>
      <c r="GC295" s="305"/>
      <c r="GD295" s="305"/>
      <c r="GE295" s="305"/>
      <c r="GF295" s="305"/>
      <c r="GG295" s="305"/>
      <c r="GH295" s="305"/>
      <c r="GI295" s="305"/>
      <c r="GJ295" s="305"/>
      <c r="GK295" s="305"/>
      <c r="GL295" s="305"/>
      <c r="GM295" s="305"/>
      <c r="GN295" s="305"/>
      <c r="GO295" s="305"/>
      <c r="GP295" s="305"/>
      <c r="GQ295" s="305"/>
      <c r="GR295" s="305"/>
    </row>
    <row r="296" spans="3:200" s="318" customFormat="1" ht="12.75" customHeight="1" x14ac:dyDescent="0.2">
      <c r="C296" s="367"/>
      <c r="D296" s="403"/>
      <c r="E296" s="369"/>
      <c r="F296" s="369"/>
      <c r="G296" s="369"/>
      <c r="H296" s="369"/>
      <c r="I296" s="370"/>
      <c r="J296"/>
      <c r="K296" s="371"/>
      <c r="L296" s="371"/>
      <c r="M296" s="371"/>
      <c r="N296" s="371"/>
      <c r="O296" s="305"/>
      <c r="P296" s="305"/>
      <c r="Q296" s="305"/>
      <c r="R296" s="305"/>
      <c r="S296" s="305"/>
      <c r="T296" s="305"/>
      <c r="U296" s="305"/>
      <c r="V296" s="305"/>
      <c r="W296" s="305"/>
      <c r="X296" s="305"/>
      <c r="Y296" s="305"/>
      <c r="Z296" s="305"/>
      <c r="AA296" s="305"/>
      <c r="AB296" s="305"/>
      <c r="AC296" s="305"/>
      <c r="AD296" s="305"/>
      <c r="AE296" s="305"/>
      <c r="AF296" s="305"/>
      <c r="AG296" s="305"/>
      <c r="AH296" s="305"/>
      <c r="AI296" s="305"/>
      <c r="AJ296" s="305"/>
      <c r="AK296" s="305"/>
      <c r="AL296" s="305"/>
      <c r="AM296" s="305"/>
      <c r="AN296" s="305"/>
      <c r="AO296" s="305"/>
      <c r="AP296" s="305"/>
      <c r="AQ296" s="305"/>
      <c r="AR296" s="305"/>
      <c r="AS296" s="305"/>
      <c r="AT296" s="305"/>
      <c r="AU296" s="305"/>
      <c r="AV296" s="305"/>
      <c r="AW296" s="305"/>
      <c r="AX296" s="305"/>
      <c r="AY296" s="305"/>
      <c r="AZ296" s="305"/>
      <c r="BA296" s="305"/>
      <c r="BB296" s="305"/>
      <c r="BC296" s="305"/>
      <c r="BD296" s="305"/>
      <c r="BE296" s="305"/>
      <c r="BF296" s="305"/>
      <c r="BG296" s="305"/>
      <c r="BH296" s="305"/>
      <c r="BI296" s="305"/>
      <c r="BJ296" s="305"/>
      <c r="BK296" s="305"/>
      <c r="BL296" s="305"/>
      <c r="BM296" s="305"/>
      <c r="BN296" s="305"/>
      <c r="BO296" s="305"/>
      <c r="BP296" s="305"/>
      <c r="BQ296" s="305"/>
      <c r="BR296" s="305"/>
      <c r="BS296" s="305"/>
      <c r="BT296" s="305"/>
      <c r="BU296" s="305"/>
      <c r="BV296" s="305"/>
      <c r="BW296" s="305"/>
      <c r="BX296" s="305"/>
      <c r="BY296" s="305"/>
      <c r="BZ296" s="305"/>
      <c r="CA296" s="305"/>
      <c r="CB296" s="305"/>
      <c r="CC296" s="305"/>
      <c r="CD296" s="305"/>
      <c r="CE296" s="305"/>
      <c r="CF296" s="305"/>
      <c r="CG296" s="305"/>
      <c r="CH296" s="305"/>
      <c r="CI296" s="305"/>
      <c r="CJ296" s="305"/>
      <c r="CK296" s="305"/>
      <c r="CL296" s="305"/>
      <c r="CM296" s="305"/>
      <c r="CN296" s="305"/>
      <c r="CO296" s="305"/>
      <c r="CP296" s="305"/>
      <c r="CQ296" s="305"/>
      <c r="CR296" s="305"/>
      <c r="CS296" s="305"/>
      <c r="CT296" s="305"/>
      <c r="CU296" s="305"/>
      <c r="CV296" s="305"/>
      <c r="CW296" s="305"/>
      <c r="CX296" s="305"/>
      <c r="CY296" s="305"/>
      <c r="CZ296" s="305"/>
      <c r="DA296" s="305"/>
      <c r="DB296" s="305"/>
      <c r="DC296" s="305"/>
      <c r="DD296" s="305"/>
      <c r="DE296" s="305"/>
      <c r="DF296" s="305"/>
      <c r="DG296" s="305"/>
      <c r="DH296" s="305"/>
      <c r="DI296" s="305"/>
      <c r="DJ296" s="305"/>
      <c r="DK296" s="305"/>
      <c r="DL296" s="305"/>
      <c r="DM296" s="305"/>
      <c r="DN296" s="305"/>
      <c r="DO296" s="305"/>
      <c r="DP296" s="305"/>
      <c r="DQ296" s="305"/>
      <c r="DR296" s="305"/>
      <c r="DS296" s="305"/>
      <c r="DT296" s="305"/>
      <c r="DU296" s="305"/>
      <c r="DV296" s="305"/>
      <c r="DW296" s="305"/>
      <c r="DX296" s="305"/>
      <c r="DY296" s="305"/>
      <c r="DZ296" s="305"/>
      <c r="EA296" s="305"/>
      <c r="EB296" s="305"/>
      <c r="EC296" s="305"/>
      <c r="ED296" s="305"/>
      <c r="EE296" s="305"/>
      <c r="EF296" s="305"/>
      <c r="EG296" s="305"/>
      <c r="EH296" s="305"/>
      <c r="EI296" s="305"/>
      <c r="EJ296" s="305"/>
      <c r="EK296" s="305"/>
      <c r="EL296" s="305"/>
      <c r="EM296" s="305"/>
      <c r="EN296" s="305"/>
      <c r="EO296" s="305"/>
      <c r="EP296" s="305"/>
      <c r="EQ296" s="305"/>
      <c r="ER296" s="305"/>
      <c r="ES296" s="305"/>
      <c r="ET296" s="305"/>
      <c r="EU296" s="305"/>
      <c r="EV296" s="305"/>
      <c r="EW296" s="305"/>
      <c r="EX296" s="305"/>
      <c r="EY296" s="305"/>
      <c r="EZ296" s="305"/>
      <c r="FA296" s="305"/>
      <c r="FB296" s="305"/>
      <c r="FC296" s="305"/>
      <c r="FD296" s="305"/>
      <c r="FE296" s="305"/>
      <c r="FF296" s="305"/>
      <c r="FG296" s="305"/>
      <c r="FH296" s="305"/>
      <c r="FI296" s="305"/>
      <c r="FJ296" s="305"/>
      <c r="FK296" s="305"/>
      <c r="FL296" s="305"/>
      <c r="FM296" s="305"/>
      <c r="FN296" s="305"/>
      <c r="FO296" s="305"/>
      <c r="FP296" s="305"/>
      <c r="FQ296" s="305"/>
      <c r="FR296" s="305"/>
      <c r="FS296" s="305"/>
      <c r="FT296" s="305"/>
      <c r="FU296" s="305"/>
      <c r="FV296" s="305"/>
      <c r="FW296" s="305"/>
      <c r="FX296" s="305"/>
      <c r="FY296" s="305"/>
      <c r="FZ296" s="305"/>
      <c r="GA296" s="305"/>
      <c r="GB296" s="305"/>
      <c r="GC296" s="305"/>
      <c r="GD296" s="305"/>
      <c r="GE296" s="305"/>
      <c r="GF296" s="305"/>
      <c r="GG296" s="305"/>
      <c r="GH296" s="305"/>
      <c r="GI296" s="305"/>
      <c r="GJ296" s="305"/>
      <c r="GK296" s="305"/>
      <c r="GL296" s="305"/>
      <c r="GM296" s="305"/>
      <c r="GN296" s="305"/>
      <c r="GO296" s="305"/>
      <c r="GP296" s="305"/>
      <c r="GQ296" s="305"/>
      <c r="GR296" s="305"/>
    </row>
    <row r="297" spans="3:200" s="318" customFormat="1" ht="12.75" customHeight="1" x14ac:dyDescent="0.2">
      <c r="C297" s="367"/>
      <c r="D297" s="403"/>
      <c r="E297" s="369"/>
      <c r="F297" s="369"/>
      <c r="G297" s="369"/>
      <c r="H297" s="369"/>
      <c r="I297" s="370"/>
      <c r="J297"/>
      <c r="K297" s="371"/>
      <c r="L297" s="371"/>
      <c r="M297" s="371"/>
      <c r="N297" s="371"/>
      <c r="O297" s="305"/>
      <c r="P297" s="305"/>
      <c r="Q297" s="305"/>
      <c r="R297" s="305"/>
      <c r="S297" s="305"/>
      <c r="T297" s="305"/>
      <c r="U297" s="305"/>
      <c r="V297" s="305"/>
      <c r="W297" s="305"/>
      <c r="X297" s="305"/>
      <c r="Y297" s="305"/>
      <c r="Z297" s="305"/>
      <c r="AA297" s="305"/>
      <c r="AB297" s="305"/>
      <c r="AC297" s="305"/>
      <c r="AD297" s="305"/>
      <c r="AE297" s="305"/>
      <c r="AF297" s="305"/>
      <c r="AG297" s="305"/>
      <c r="AH297" s="305"/>
      <c r="AI297" s="305"/>
      <c r="AJ297" s="305"/>
      <c r="AK297" s="305"/>
      <c r="AL297" s="305"/>
      <c r="AM297" s="305"/>
      <c r="AN297" s="305"/>
      <c r="AO297" s="305"/>
      <c r="AP297" s="305"/>
      <c r="AQ297" s="305"/>
      <c r="AR297" s="305"/>
      <c r="AS297" s="305"/>
      <c r="AT297" s="305"/>
      <c r="AU297" s="305"/>
      <c r="AV297" s="305"/>
      <c r="AW297" s="305"/>
      <c r="AX297" s="305"/>
      <c r="AY297" s="305"/>
      <c r="AZ297" s="305"/>
      <c r="BA297" s="305"/>
      <c r="BB297" s="305"/>
      <c r="BC297" s="305"/>
      <c r="BD297" s="305"/>
      <c r="BE297" s="305"/>
      <c r="BF297" s="305"/>
      <c r="BG297" s="305"/>
      <c r="BH297" s="305"/>
      <c r="BI297" s="305"/>
      <c r="BJ297" s="305"/>
      <c r="BK297" s="305"/>
      <c r="BL297" s="305"/>
      <c r="BM297" s="305"/>
      <c r="BN297" s="305"/>
      <c r="BO297" s="305"/>
      <c r="BP297" s="305"/>
      <c r="BQ297" s="305"/>
      <c r="BR297" s="305"/>
      <c r="BS297" s="305"/>
      <c r="BT297" s="305"/>
      <c r="BU297" s="305"/>
      <c r="BV297" s="305"/>
      <c r="BW297" s="305"/>
      <c r="BX297" s="305"/>
      <c r="BY297" s="305"/>
      <c r="BZ297" s="305"/>
      <c r="CA297" s="305"/>
      <c r="CB297" s="305"/>
      <c r="CC297" s="305"/>
      <c r="CD297" s="305"/>
      <c r="CE297" s="305"/>
      <c r="CF297" s="305"/>
      <c r="CG297" s="305"/>
      <c r="CH297" s="305"/>
      <c r="CI297" s="305"/>
      <c r="CJ297" s="305"/>
      <c r="CK297" s="305"/>
      <c r="CL297" s="305"/>
      <c r="CM297" s="305"/>
      <c r="CN297" s="305"/>
      <c r="CO297" s="305"/>
      <c r="CP297" s="305"/>
      <c r="CQ297" s="305"/>
      <c r="CR297" s="305"/>
      <c r="CS297" s="305"/>
      <c r="CT297" s="305"/>
      <c r="CU297" s="305"/>
      <c r="CV297" s="305"/>
      <c r="CW297" s="305"/>
      <c r="CX297" s="305"/>
      <c r="CY297" s="305"/>
      <c r="CZ297" s="305"/>
      <c r="DA297" s="305"/>
      <c r="DB297" s="305"/>
      <c r="DC297" s="305"/>
      <c r="DD297" s="305"/>
      <c r="DE297" s="305"/>
      <c r="DF297" s="305"/>
      <c r="DG297" s="305"/>
      <c r="DH297" s="305"/>
      <c r="DI297" s="305"/>
      <c r="DJ297" s="305"/>
      <c r="DK297" s="305"/>
      <c r="DL297" s="305"/>
      <c r="DM297" s="305"/>
      <c r="DN297" s="305"/>
      <c r="DO297" s="305"/>
      <c r="DP297" s="305"/>
      <c r="DQ297" s="305"/>
      <c r="DR297" s="305"/>
      <c r="DS297" s="305"/>
      <c r="DT297" s="305"/>
      <c r="DU297" s="305"/>
      <c r="DV297" s="305"/>
      <c r="DW297" s="305"/>
      <c r="DX297" s="305"/>
      <c r="DY297" s="305"/>
      <c r="DZ297" s="305"/>
      <c r="EA297" s="305"/>
      <c r="EB297" s="305"/>
      <c r="EC297" s="305"/>
      <c r="ED297" s="305"/>
      <c r="EE297" s="305"/>
      <c r="EF297" s="305"/>
      <c r="EG297" s="305"/>
      <c r="EH297" s="305"/>
      <c r="EI297" s="305"/>
      <c r="EJ297" s="305"/>
      <c r="EK297" s="305"/>
      <c r="EL297" s="305"/>
      <c r="EM297" s="305"/>
      <c r="EN297" s="305"/>
      <c r="EO297" s="305"/>
      <c r="EP297" s="305"/>
      <c r="EQ297" s="305"/>
      <c r="ER297" s="305"/>
      <c r="ES297" s="305"/>
      <c r="ET297" s="305"/>
      <c r="EU297" s="305"/>
      <c r="EV297" s="305"/>
      <c r="EW297" s="305"/>
      <c r="EX297" s="305"/>
      <c r="EY297" s="305"/>
      <c r="EZ297" s="305"/>
      <c r="FA297" s="305"/>
      <c r="FB297" s="305"/>
      <c r="FC297" s="305"/>
      <c r="FD297" s="305"/>
      <c r="FE297" s="305"/>
      <c r="FF297" s="305"/>
      <c r="FG297" s="305"/>
      <c r="FH297" s="305"/>
      <c r="FI297" s="305"/>
      <c r="FJ297" s="305"/>
      <c r="FK297" s="305"/>
      <c r="FL297" s="305"/>
      <c r="FM297" s="305"/>
      <c r="FN297" s="305"/>
      <c r="FO297" s="305"/>
      <c r="FP297" s="305"/>
      <c r="FQ297" s="305"/>
      <c r="FR297" s="305"/>
      <c r="FS297" s="305"/>
      <c r="FT297" s="305"/>
      <c r="FU297" s="305"/>
      <c r="FV297" s="305"/>
      <c r="FW297" s="305"/>
      <c r="FX297" s="305"/>
      <c r="FY297" s="305"/>
      <c r="FZ297" s="305"/>
      <c r="GA297" s="305"/>
      <c r="GB297" s="305"/>
      <c r="GC297" s="305"/>
      <c r="GD297" s="305"/>
      <c r="GE297" s="305"/>
      <c r="GF297" s="305"/>
      <c r="GG297" s="305"/>
      <c r="GH297" s="305"/>
      <c r="GI297" s="305"/>
      <c r="GJ297" s="305"/>
      <c r="GK297" s="305"/>
      <c r="GL297" s="305"/>
      <c r="GM297" s="305"/>
      <c r="GN297" s="305"/>
      <c r="GO297" s="305"/>
      <c r="GP297" s="305"/>
      <c r="GQ297" s="305"/>
      <c r="GR297" s="305"/>
    </row>
    <row r="298" spans="3:200" s="318" customFormat="1" ht="12.75" customHeight="1" x14ac:dyDescent="0.2">
      <c r="C298" s="367"/>
      <c r="D298" s="403"/>
      <c r="E298" s="369"/>
      <c r="F298" s="369"/>
      <c r="G298" s="369"/>
      <c r="H298" s="369"/>
      <c r="I298" s="370"/>
      <c r="J298"/>
      <c r="K298" s="371"/>
      <c r="L298" s="371"/>
      <c r="M298" s="371"/>
      <c r="N298" s="371"/>
      <c r="O298" s="305"/>
      <c r="P298" s="305"/>
      <c r="Q298" s="305"/>
      <c r="R298" s="305"/>
      <c r="S298" s="305"/>
      <c r="T298" s="305"/>
      <c r="U298" s="305"/>
      <c r="V298" s="305"/>
      <c r="W298" s="305"/>
      <c r="X298" s="305"/>
      <c r="Y298" s="305"/>
      <c r="Z298" s="305"/>
      <c r="AA298" s="305"/>
      <c r="AB298" s="305"/>
      <c r="AC298" s="305"/>
      <c r="AD298" s="305"/>
      <c r="AE298" s="305"/>
      <c r="AF298" s="305"/>
      <c r="AG298" s="305"/>
      <c r="AH298" s="305"/>
      <c r="AI298" s="305"/>
      <c r="AJ298" s="305"/>
      <c r="AK298" s="305"/>
      <c r="AL298" s="305"/>
      <c r="AM298" s="305"/>
      <c r="AN298" s="305"/>
      <c r="AO298" s="305"/>
      <c r="AP298" s="305"/>
      <c r="AQ298" s="305"/>
      <c r="AR298" s="305"/>
      <c r="AS298" s="305"/>
      <c r="AT298" s="305"/>
      <c r="AU298" s="305"/>
      <c r="AV298" s="305"/>
      <c r="AW298" s="305"/>
      <c r="AX298" s="305"/>
      <c r="AY298" s="305"/>
      <c r="AZ298" s="305"/>
      <c r="BA298" s="305"/>
      <c r="BB298" s="305"/>
      <c r="BC298" s="305"/>
      <c r="BD298" s="305"/>
      <c r="BE298" s="305"/>
      <c r="BF298" s="305"/>
      <c r="BG298" s="305"/>
      <c r="BH298" s="305"/>
      <c r="BI298" s="305"/>
      <c r="BJ298" s="305"/>
      <c r="BK298" s="305"/>
      <c r="BL298" s="305"/>
      <c r="BM298" s="305"/>
      <c r="BN298" s="305"/>
      <c r="BO298" s="305"/>
      <c r="BP298" s="305"/>
      <c r="BQ298" s="305"/>
      <c r="BR298" s="305"/>
      <c r="BS298" s="305"/>
      <c r="BT298" s="305"/>
      <c r="BU298" s="305"/>
      <c r="BV298" s="305"/>
      <c r="BW298" s="305"/>
      <c r="BX298" s="305"/>
      <c r="BY298" s="305"/>
      <c r="BZ298" s="305"/>
      <c r="CA298" s="305"/>
      <c r="CB298" s="305"/>
      <c r="CC298" s="305"/>
      <c r="CD298" s="305"/>
      <c r="CE298" s="305"/>
      <c r="CF298" s="305"/>
      <c r="CG298" s="305"/>
      <c r="CH298" s="305"/>
      <c r="CI298" s="305"/>
      <c r="CJ298" s="305"/>
      <c r="CK298" s="305"/>
      <c r="CL298" s="305"/>
      <c r="CM298" s="305"/>
      <c r="CN298" s="305"/>
      <c r="CO298" s="305"/>
      <c r="CP298" s="305"/>
      <c r="CQ298" s="305"/>
      <c r="CR298" s="305"/>
      <c r="CS298" s="305"/>
      <c r="CT298" s="305"/>
      <c r="CU298" s="305"/>
      <c r="CV298" s="305"/>
      <c r="CW298" s="305"/>
      <c r="CX298" s="305"/>
      <c r="CY298" s="305"/>
      <c r="CZ298" s="305"/>
      <c r="DA298" s="305"/>
      <c r="DB298" s="305"/>
      <c r="DC298" s="305"/>
      <c r="DD298" s="305"/>
      <c r="DE298" s="305"/>
      <c r="DF298" s="305"/>
      <c r="DG298" s="305"/>
      <c r="DH298" s="305"/>
      <c r="DI298" s="305"/>
      <c r="DJ298" s="305"/>
      <c r="DK298" s="305"/>
      <c r="DL298" s="305"/>
      <c r="DM298" s="305"/>
      <c r="DN298" s="305"/>
      <c r="DO298" s="305"/>
      <c r="DP298" s="305"/>
      <c r="DQ298" s="305"/>
      <c r="DR298" s="305"/>
      <c r="DS298" s="305"/>
      <c r="DT298" s="305"/>
      <c r="DU298" s="305"/>
      <c r="DV298" s="305"/>
      <c r="DW298" s="305"/>
      <c r="DX298" s="305"/>
      <c r="DY298" s="305"/>
      <c r="DZ298" s="305"/>
      <c r="EA298" s="305"/>
      <c r="EB298" s="305"/>
      <c r="EC298" s="305"/>
      <c r="ED298" s="305"/>
      <c r="EE298" s="305"/>
      <c r="EF298" s="305"/>
      <c r="EG298" s="305"/>
      <c r="EH298" s="305"/>
      <c r="EI298" s="305"/>
      <c r="EJ298" s="305"/>
      <c r="EK298" s="305"/>
      <c r="EL298" s="305"/>
      <c r="EM298" s="305"/>
      <c r="EN298" s="305"/>
      <c r="EO298" s="305"/>
      <c r="EP298" s="305"/>
      <c r="EQ298" s="305"/>
      <c r="ER298" s="305"/>
      <c r="ES298" s="305"/>
      <c r="ET298" s="305"/>
      <c r="EU298" s="305"/>
      <c r="EV298" s="305"/>
      <c r="EW298" s="305"/>
      <c r="EX298" s="305"/>
      <c r="EY298" s="305"/>
      <c r="EZ298" s="305"/>
      <c r="FA298" s="305"/>
      <c r="FB298" s="305"/>
      <c r="FC298" s="305"/>
      <c r="FD298" s="305"/>
      <c r="FE298" s="305"/>
      <c r="FF298" s="305"/>
      <c r="FG298" s="305"/>
      <c r="FH298" s="305"/>
      <c r="FI298" s="305"/>
      <c r="FJ298" s="305"/>
      <c r="FK298" s="305"/>
      <c r="FL298" s="305"/>
      <c r="FM298" s="305"/>
      <c r="FN298" s="305"/>
      <c r="FO298" s="305"/>
      <c r="FP298" s="305"/>
      <c r="FQ298" s="305"/>
      <c r="FR298" s="305"/>
      <c r="FS298" s="305"/>
      <c r="FT298" s="305"/>
      <c r="FU298" s="305"/>
      <c r="FV298" s="305"/>
      <c r="FW298" s="305"/>
      <c r="FX298" s="305"/>
      <c r="FY298" s="305"/>
      <c r="FZ298" s="305"/>
      <c r="GA298" s="305"/>
      <c r="GB298" s="305"/>
      <c r="GC298" s="305"/>
      <c r="GD298" s="305"/>
      <c r="GE298" s="305"/>
      <c r="GF298" s="305"/>
      <c r="GG298" s="305"/>
      <c r="GH298" s="305"/>
      <c r="GI298" s="305"/>
      <c r="GJ298" s="305"/>
      <c r="GK298" s="305"/>
      <c r="GL298" s="305"/>
      <c r="GM298" s="305"/>
      <c r="GN298" s="305"/>
      <c r="GO298" s="305"/>
      <c r="GP298" s="305"/>
      <c r="GQ298" s="305"/>
      <c r="GR298" s="305"/>
    </row>
    <row r="299" spans="3:200" s="318" customFormat="1" ht="12.75" customHeight="1" x14ac:dyDescent="0.2">
      <c r="C299" s="367"/>
      <c r="D299" s="403"/>
      <c r="E299" s="369"/>
      <c r="F299" s="369"/>
      <c r="G299" s="369"/>
      <c r="H299" s="369"/>
      <c r="I299" s="370"/>
      <c r="J299"/>
      <c r="K299" s="371"/>
      <c r="L299" s="371"/>
      <c r="M299" s="371"/>
      <c r="N299" s="371"/>
      <c r="O299" s="305"/>
      <c r="P299" s="305"/>
      <c r="Q299" s="305"/>
      <c r="R299" s="305"/>
      <c r="S299" s="305"/>
      <c r="T299" s="305"/>
      <c r="U299" s="305"/>
      <c r="V299" s="305"/>
      <c r="W299" s="305"/>
      <c r="X299" s="305"/>
      <c r="Y299" s="305"/>
      <c r="Z299" s="305"/>
      <c r="AA299" s="305"/>
      <c r="AB299" s="305"/>
      <c r="AC299" s="305"/>
      <c r="AD299" s="305"/>
      <c r="AE299" s="305"/>
      <c r="AF299" s="305"/>
      <c r="AG299" s="305"/>
      <c r="AH299" s="305"/>
      <c r="AI299" s="305"/>
      <c r="AJ299" s="305"/>
      <c r="AK299" s="305"/>
      <c r="AL299" s="305"/>
      <c r="AM299" s="305"/>
      <c r="AN299" s="305"/>
      <c r="AO299" s="305"/>
      <c r="AP299" s="305"/>
      <c r="AQ299" s="305"/>
      <c r="AR299" s="305"/>
      <c r="AS299" s="305"/>
      <c r="AT299" s="305"/>
      <c r="AU299" s="305"/>
      <c r="AV299" s="305"/>
      <c r="AW299" s="305"/>
      <c r="AX299" s="305"/>
      <c r="AY299" s="305"/>
      <c r="AZ299" s="305"/>
      <c r="BA299" s="305"/>
      <c r="BB299" s="305"/>
      <c r="BC299" s="305"/>
      <c r="BD299" s="305"/>
      <c r="BE299" s="305"/>
      <c r="BF299" s="305"/>
      <c r="BG299" s="305"/>
      <c r="BH299" s="305"/>
      <c r="BI299" s="305"/>
      <c r="BJ299" s="305"/>
      <c r="BK299" s="305"/>
      <c r="BL299" s="305"/>
      <c r="BM299" s="305"/>
      <c r="BN299" s="305"/>
      <c r="BO299" s="305"/>
      <c r="BP299" s="305"/>
      <c r="BQ299" s="305"/>
      <c r="BR299" s="305"/>
      <c r="BS299" s="305"/>
      <c r="BT299" s="305"/>
      <c r="BU299" s="305"/>
      <c r="BV299" s="305"/>
      <c r="BW299" s="305"/>
      <c r="BX299" s="305"/>
      <c r="BY299" s="305"/>
      <c r="BZ299" s="305"/>
      <c r="CA299" s="305"/>
      <c r="CB299" s="305"/>
      <c r="CC299" s="305"/>
      <c r="CD299" s="305"/>
      <c r="CE299" s="305"/>
      <c r="CF299" s="305"/>
      <c r="CG299" s="305"/>
      <c r="CH299" s="305"/>
      <c r="CI299" s="305"/>
      <c r="CJ299" s="305"/>
      <c r="CK299" s="305"/>
      <c r="CL299" s="305"/>
      <c r="CM299" s="305"/>
      <c r="CN299" s="305"/>
      <c r="CO299" s="305"/>
      <c r="CP299" s="305"/>
      <c r="CQ299" s="305"/>
      <c r="CR299" s="305"/>
      <c r="CS299" s="305"/>
      <c r="CT299" s="305"/>
      <c r="CU299" s="305"/>
      <c r="CV299" s="305"/>
      <c r="CW299" s="305"/>
      <c r="CX299" s="305"/>
      <c r="CY299" s="305"/>
      <c r="CZ299" s="305"/>
      <c r="DA299" s="305"/>
      <c r="DB299" s="305"/>
      <c r="DC299" s="305"/>
      <c r="DD299" s="305"/>
      <c r="DE299" s="305"/>
      <c r="DF299" s="305"/>
      <c r="DG299" s="305"/>
      <c r="DH299" s="305"/>
      <c r="DI299" s="305"/>
      <c r="DJ299" s="305"/>
      <c r="DK299" s="305"/>
      <c r="DL299" s="305"/>
      <c r="DM299" s="305"/>
      <c r="DN299" s="305"/>
      <c r="DO299" s="305"/>
      <c r="DP299" s="305"/>
      <c r="DQ299" s="305"/>
      <c r="DR299" s="305"/>
      <c r="DS299" s="305"/>
      <c r="DT299" s="305"/>
      <c r="DU299" s="305"/>
      <c r="DV299" s="305"/>
      <c r="DW299" s="305"/>
      <c r="DX299" s="305"/>
      <c r="DY299" s="305"/>
      <c r="DZ299" s="305"/>
      <c r="EA299" s="305"/>
      <c r="EB299" s="305"/>
      <c r="EC299" s="305"/>
      <c r="ED299" s="305"/>
      <c r="EE299" s="305"/>
      <c r="EF299" s="305"/>
      <c r="EG299" s="305"/>
      <c r="EH299" s="305"/>
      <c r="EI299" s="305"/>
      <c r="EJ299" s="305"/>
      <c r="EK299" s="305"/>
      <c r="EL299" s="305"/>
      <c r="EM299" s="305"/>
      <c r="EN299" s="305"/>
      <c r="EO299" s="305"/>
      <c r="EP299" s="305"/>
      <c r="EQ299" s="305"/>
      <c r="ER299" s="305"/>
      <c r="ES299" s="305"/>
      <c r="ET299" s="305"/>
      <c r="EU299" s="305"/>
      <c r="EV299" s="305"/>
      <c r="EW299" s="305"/>
      <c r="EX299" s="305"/>
      <c r="EY299" s="305"/>
      <c r="EZ299" s="305"/>
      <c r="FA299" s="305"/>
      <c r="FB299" s="305"/>
      <c r="FC299" s="305"/>
      <c r="FD299" s="305"/>
      <c r="FE299" s="305"/>
      <c r="FF299" s="305"/>
      <c r="FG299" s="305"/>
      <c r="FH299" s="305"/>
      <c r="FI299" s="305"/>
      <c r="FJ299" s="305"/>
      <c r="FK299" s="305"/>
      <c r="FL299" s="305"/>
      <c r="FM299" s="305"/>
      <c r="FN299" s="305"/>
      <c r="FO299" s="305"/>
      <c r="FP299" s="305"/>
      <c r="FQ299" s="305"/>
      <c r="FR299" s="305"/>
      <c r="FS299" s="305"/>
      <c r="FT299" s="305"/>
      <c r="FU299" s="305"/>
      <c r="FV299" s="305"/>
      <c r="FW299" s="305"/>
      <c r="FX299" s="305"/>
      <c r="FY299" s="305"/>
      <c r="FZ299" s="305"/>
      <c r="GA299" s="305"/>
      <c r="GB299" s="305"/>
      <c r="GC299" s="305"/>
      <c r="GD299" s="305"/>
      <c r="GE299" s="305"/>
      <c r="GF299" s="305"/>
      <c r="GG299" s="305"/>
      <c r="GH299" s="305"/>
      <c r="GI299" s="305"/>
      <c r="GJ299" s="305"/>
      <c r="GK299" s="305"/>
      <c r="GL299" s="305"/>
      <c r="GM299" s="305"/>
      <c r="GN299" s="305"/>
      <c r="GO299" s="305"/>
      <c r="GP299" s="305"/>
      <c r="GQ299" s="305"/>
      <c r="GR299" s="305"/>
    </row>
    <row r="300" spans="3:200" s="318" customFormat="1" ht="12.75" customHeight="1" x14ac:dyDescent="0.2">
      <c r="C300" s="367"/>
      <c r="D300" s="403"/>
      <c r="E300" s="369"/>
      <c r="F300" s="369"/>
      <c r="G300" s="369"/>
      <c r="H300" s="369"/>
      <c r="I300" s="370"/>
      <c r="J300"/>
      <c r="K300" s="371"/>
      <c r="L300" s="371"/>
      <c r="M300" s="371"/>
      <c r="N300" s="371"/>
      <c r="O300" s="305"/>
      <c r="P300" s="305"/>
      <c r="Q300" s="305"/>
      <c r="R300" s="305"/>
      <c r="S300" s="305"/>
      <c r="T300" s="305"/>
      <c r="U300" s="305"/>
      <c r="V300" s="305"/>
      <c r="W300" s="305"/>
      <c r="X300" s="305"/>
      <c r="Y300" s="305"/>
      <c r="Z300" s="305"/>
      <c r="AA300" s="305"/>
      <c r="AB300" s="305"/>
      <c r="AC300" s="305"/>
      <c r="AD300" s="305"/>
      <c r="AE300" s="305"/>
      <c r="AF300" s="305"/>
      <c r="AG300" s="305"/>
      <c r="AH300" s="305"/>
      <c r="AI300" s="305"/>
      <c r="AJ300" s="305"/>
      <c r="AK300" s="305"/>
      <c r="AL300" s="305"/>
      <c r="AM300" s="305"/>
      <c r="AN300" s="305"/>
      <c r="AO300" s="305"/>
      <c r="AP300" s="305"/>
      <c r="AQ300" s="305"/>
      <c r="AR300" s="305"/>
      <c r="AS300" s="305"/>
      <c r="AT300" s="305"/>
      <c r="AU300" s="305"/>
      <c r="AV300" s="305"/>
      <c r="AW300" s="305"/>
      <c r="AX300" s="305"/>
      <c r="AY300" s="305"/>
      <c r="AZ300" s="305"/>
      <c r="BA300" s="305"/>
      <c r="BB300" s="305"/>
      <c r="BC300" s="305"/>
      <c r="BD300" s="305"/>
      <c r="BE300" s="305"/>
      <c r="BF300" s="305"/>
      <c r="BG300" s="305"/>
      <c r="BH300" s="305"/>
      <c r="BI300" s="305"/>
      <c r="BJ300" s="305"/>
      <c r="BK300" s="305"/>
      <c r="BL300" s="305"/>
      <c r="BM300" s="305"/>
      <c r="BN300" s="305"/>
      <c r="BO300" s="305"/>
      <c r="BP300" s="305"/>
      <c r="BQ300" s="305"/>
      <c r="BR300" s="305"/>
      <c r="BS300" s="305"/>
      <c r="BT300" s="305"/>
      <c r="BU300" s="305"/>
      <c r="BV300" s="305"/>
      <c r="BW300" s="305"/>
      <c r="BX300" s="305"/>
      <c r="BY300" s="305"/>
      <c r="BZ300" s="305"/>
      <c r="CA300" s="305"/>
      <c r="CB300" s="305"/>
      <c r="CC300" s="305"/>
      <c r="CD300" s="305"/>
      <c r="CE300" s="305"/>
      <c r="CF300" s="305"/>
      <c r="CG300" s="305"/>
      <c r="CH300" s="305"/>
      <c r="CI300" s="305"/>
      <c r="CJ300" s="305"/>
      <c r="CK300" s="305"/>
      <c r="CL300" s="305"/>
      <c r="CM300" s="305"/>
      <c r="CN300" s="305"/>
      <c r="CO300" s="305"/>
      <c r="CP300" s="305"/>
      <c r="CQ300" s="305"/>
      <c r="CR300" s="305"/>
      <c r="CS300" s="305"/>
      <c r="CT300" s="305"/>
      <c r="CU300" s="305"/>
      <c r="CV300" s="305"/>
      <c r="CW300" s="305"/>
      <c r="CX300" s="305"/>
      <c r="CY300" s="305"/>
      <c r="CZ300" s="305"/>
      <c r="DA300" s="305"/>
      <c r="DB300" s="305"/>
      <c r="DC300" s="305"/>
      <c r="DD300" s="305"/>
      <c r="DE300" s="305"/>
      <c r="DF300" s="305"/>
      <c r="DG300" s="305"/>
      <c r="DH300" s="305"/>
      <c r="DI300" s="305"/>
      <c r="DJ300" s="305"/>
      <c r="DK300" s="305"/>
      <c r="DL300" s="305"/>
      <c r="DM300" s="305"/>
      <c r="DN300" s="305"/>
      <c r="DO300" s="305"/>
      <c r="DP300" s="305"/>
      <c r="DQ300" s="305"/>
      <c r="DR300" s="305"/>
      <c r="DS300" s="305"/>
      <c r="DT300" s="305"/>
      <c r="DU300" s="305"/>
      <c r="DV300" s="305"/>
      <c r="DW300" s="305"/>
      <c r="DX300" s="305"/>
      <c r="DY300" s="305"/>
      <c r="DZ300" s="305"/>
      <c r="EA300" s="305"/>
      <c r="EB300" s="305"/>
      <c r="EC300" s="305"/>
      <c r="ED300" s="305"/>
      <c r="EE300" s="305"/>
      <c r="EF300" s="305"/>
      <c r="EG300" s="305"/>
      <c r="EH300" s="305"/>
      <c r="EI300" s="305"/>
      <c r="EJ300" s="305"/>
      <c r="EK300" s="305"/>
      <c r="EL300" s="305"/>
      <c r="EM300" s="305"/>
      <c r="EN300" s="305"/>
      <c r="EO300" s="305"/>
      <c r="EP300" s="305"/>
      <c r="EQ300" s="305"/>
      <c r="ER300" s="305"/>
      <c r="ES300" s="305"/>
      <c r="ET300" s="305"/>
      <c r="EU300" s="305"/>
      <c r="EV300" s="305"/>
      <c r="EW300" s="305"/>
      <c r="EX300" s="305"/>
      <c r="EY300" s="305"/>
      <c r="EZ300" s="305"/>
      <c r="FA300" s="305"/>
      <c r="FB300" s="305"/>
      <c r="FC300" s="305"/>
      <c r="FD300" s="305"/>
      <c r="FE300" s="305"/>
      <c r="FF300" s="305"/>
      <c r="FG300" s="305"/>
      <c r="FH300" s="305"/>
      <c r="FI300" s="305"/>
      <c r="FJ300" s="305"/>
      <c r="FK300" s="305"/>
      <c r="FL300" s="305"/>
      <c r="FM300" s="305"/>
      <c r="FN300" s="305"/>
      <c r="FO300" s="305"/>
      <c r="FP300" s="305"/>
      <c r="FQ300" s="305"/>
      <c r="FR300" s="305"/>
      <c r="FS300" s="305"/>
      <c r="FT300" s="305"/>
      <c r="FU300" s="305"/>
      <c r="FV300" s="305"/>
      <c r="FW300" s="305"/>
      <c r="FX300" s="305"/>
      <c r="FY300" s="305"/>
      <c r="FZ300" s="305"/>
      <c r="GA300" s="305"/>
      <c r="GB300" s="305"/>
      <c r="GC300" s="305"/>
      <c r="GD300" s="305"/>
      <c r="GE300" s="305"/>
      <c r="GF300" s="305"/>
      <c r="GG300" s="305"/>
      <c r="GH300" s="305"/>
      <c r="GI300" s="305"/>
      <c r="GJ300" s="305"/>
      <c r="GK300" s="305"/>
      <c r="GL300" s="305"/>
      <c r="GM300" s="305"/>
      <c r="GN300" s="305"/>
      <c r="GO300" s="305"/>
      <c r="GP300" s="305"/>
      <c r="GQ300" s="305"/>
      <c r="GR300" s="305"/>
    </row>
    <row r="301" spans="3:200" s="318" customFormat="1" ht="12.75" customHeight="1" x14ac:dyDescent="0.2">
      <c r="C301" s="367"/>
      <c r="D301" s="403"/>
      <c r="E301" s="369"/>
      <c r="F301" s="369"/>
      <c r="G301" s="369"/>
      <c r="H301" s="369"/>
      <c r="I301" s="370"/>
      <c r="J301"/>
      <c r="K301" s="371"/>
      <c r="L301" s="371"/>
      <c r="M301" s="371"/>
      <c r="N301" s="371"/>
      <c r="O301" s="305"/>
      <c r="P301" s="305"/>
      <c r="Q301" s="305"/>
      <c r="R301" s="305"/>
      <c r="S301" s="305"/>
      <c r="T301" s="305"/>
      <c r="U301" s="305"/>
      <c r="V301" s="305"/>
      <c r="W301" s="305"/>
      <c r="X301" s="305"/>
      <c r="Y301" s="305"/>
      <c r="Z301" s="305"/>
      <c r="AA301" s="305"/>
      <c r="AB301" s="305"/>
      <c r="AC301" s="305"/>
      <c r="AD301" s="305"/>
      <c r="AE301" s="305"/>
      <c r="AF301" s="305"/>
      <c r="AG301" s="305"/>
      <c r="AH301" s="305"/>
      <c r="AI301" s="305"/>
      <c r="AJ301" s="305"/>
      <c r="AK301" s="305"/>
      <c r="AL301" s="305"/>
      <c r="AM301" s="305"/>
      <c r="AN301" s="305"/>
      <c r="AO301" s="305"/>
      <c r="AP301" s="305"/>
      <c r="AQ301" s="305"/>
      <c r="AR301" s="305"/>
      <c r="AS301" s="305"/>
      <c r="AT301" s="305"/>
      <c r="AU301" s="305"/>
      <c r="AV301" s="305"/>
      <c r="AW301" s="305"/>
      <c r="AX301" s="305"/>
      <c r="AY301" s="305"/>
      <c r="AZ301" s="305"/>
      <c r="BA301" s="305"/>
      <c r="BB301" s="305"/>
      <c r="BC301" s="305"/>
      <c r="BD301" s="305"/>
      <c r="BE301" s="305"/>
      <c r="BF301" s="305"/>
      <c r="BG301" s="305"/>
      <c r="BH301" s="305"/>
      <c r="BI301" s="305"/>
      <c r="BJ301" s="305"/>
      <c r="BK301" s="305"/>
      <c r="BL301" s="305"/>
      <c r="BM301" s="305"/>
      <c r="BN301" s="305"/>
      <c r="BO301" s="305"/>
      <c r="BP301" s="305"/>
      <c r="BQ301" s="305"/>
      <c r="BR301" s="305"/>
      <c r="BS301" s="305"/>
      <c r="BT301" s="305"/>
      <c r="BU301" s="305"/>
      <c r="BV301" s="305"/>
      <c r="BW301" s="305"/>
      <c r="BX301" s="305"/>
      <c r="BY301" s="305"/>
      <c r="BZ301" s="305"/>
      <c r="CA301" s="305"/>
      <c r="CB301" s="305"/>
      <c r="CC301" s="305"/>
      <c r="CD301" s="305"/>
      <c r="CE301" s="305"/>
      <c r="CF301" s="305"/>
      <c r="CG301" s="305"/>
      <c r="CH301" s="305"/>
      <c r="CI301" s="305"/>
      <c r="CJ301" s="305"/>
      <c r="CK301" s="305"/>
      <c r="CL301" s="305"/>
      <c r="CM301" s="305"/>
      <c r="CN301" s="305"/>
      <c r="CO301" s="305"/>
      <c r="CP301" s="305"/>
      <c r="CQ301" s="305"/>
      <c r="CR301" s="305"/>
      <c r="CS301" s="305"/>
      <c r="CT301" s="305"/>
      <c r="CU301" s="305"/>
      <c r="CV301" s="305"/>
      <c r="CW301" s="305"/>
      <c r="CX301" s="305"/>
      <c r="CY301" s="305"/>
      <c r="CZ301" s="305"/>
      <c r="DA301" s="305"/>
      <c r="DB301" s="305"/>
      <c r="DC301" s="305"/>
      <c r="DD301" s="305"/>
      <c r="DE301" s="305"/>
      <c r="DF301" s="305"/>
      <c r="DG301" s="305"/>
      <c r="DH301" s="305"/>
      <c r="DI301" s="305"/>
      <c r="DJ301" s="305"/>
      <c r="DK301" s="305"/>
      <c r="DL301" s="305"/>
      <c r="DM301" s="305"/>
      <c r="DN301" s="305"/>
      <c r="DO301" s="305"/>
      <c r="DP301" s="305"/>
      <c r="DQ301" s="305"/>
      <c r="DR301" s="305"/>
      <c r="DS301" s="305"/>
      <c r="DT301" s="305"/>
      <c r="DU301" s="305"/>
      <c r="DV301" s="305"/>
      <c r="DW301" s="305"/>
      <c r="DX301" s="305"/>
      <c r="DY301" s="305"/>
      <c r="DZ301" s="305"/>
      <c r="EA301" s="305"/>
      <c r="EB301" s="305"/>
      <c r="EC301" s="305"/>
      <c r="ED301" s="305"/>
      <c r="EE301" s="305"/>
      <c r="EF301" s="305"/>
      <c r="EG301" s="305"/>
      <c r="EH301" s="305"/>
      <c r="EI301" s="305"/>
      <c r="EJ301" s="305"/>
      <c r="EK301" s="305"/>
      <c r="EL301" s="305"/>
      <c r="EM301" s="305"/>
      <c r="EN301" s="305"/>
      <c r="EO301" s="305"/>
      <c r="EP301" s="305"/>
      <c r="EQ301" s="305"/>
      <c r="ER301" s="305"/>
      <c r="ES301" s="305"/>
      <c r="ET301" s="305"/>
      <c r="EU301" s="305"/>
      <c r="EV301" s="305"/>
      <c r="EW301" s="305"/>
      <c r="EX301" s="305"/>
      <c r="EY301" s="305"/>
      <c r="EZ301" s="305"/>
      <c r="FA301" s="305"/>
      <c r="FB301" s="305"/>
      <c r="FC301" s="305"/>
      <c r="FD301" s="305"/>
      <c r="FE301" s="305"/>
      <c r="FF301" s="305"/>
      <c r="FG301" s="305"/>
      <c r="FH301" s="305"/>
      <c r="FI301" s="305"/>
      <c r="FJ301" s="305"/>
      <c r="FK301" s="305"/>
      <c r="FL301" s="305"/>
      <c r="FM301" s="305"/>
      <c r="FN301" s="305"/>
      <c r="FO301" s="305"/>
      <c r="FP301" s="305"/>
      <c r="FQ301" s="305"/>
      <c r="FR301" s="305"/>
      <c r="FS301" s="305"/>
      <c r="FT301" s="305"/>
      <c r="FU301" s="305"/>
      <c r="FV301" s="305"/>
      <c r="FW301" s="305"/>
      <c r="FX301" s="305"/>
      <c r="FY301" s="305"/>
      <c r="FZ301" s="305"/>
      <c r="GA301" s="305"/>
      <c r="GB301" s="305"/>
      <c r="GC301" s="305"/>
      <c r="GD301" s="305"/>
      <c r="GE301" s="305"/>
      <c r="GF301" s="305"/>
      <c r="GG301" s="305"/>
      <c r="GH301" s="305"/>
      <c r="GI301" s="305"/>
      <c r="GJ301" s="305"/>
      <c r="GK301" s="305"/>
      <c r="GL301" s="305"/>
      <c r="GM301" s="305"/>
      <c r="GN301" s="305"/>
      <c r="GO301" s="305"/>
      <c r="GP301" s="305"/>
      <c r="GQ301" s="305"/>
      <c r="GR301" s="305"/>
    </row>
    <row r="302" spans="3:200" s="318" customFormat="1" ht="12.75" customHeight="1" x14ac:dyDescent="0.2">
      <c r="C302" s="367"/>
      <c r="D302" s="403"/>
      <c r="E302" s="369"/>
      <c r="F302" s="369"/>
      <c r="G302" s="369"/>
      <c r="H302" s="369"/>
      <c r="I302" s="370"/>
      <c r="J302"/>
      <c r="K302" s="371"/>
      <c r="L302" s="371"/>
      <c r="M302" s="371"/>
      <c r="N302" s="371"/>
      <c r="O302" s="305"/>
      <c r="P302" s="305"/>
      <c r="Q302" s="305"/>
      <c r="R302" s="305"/>
      <c r="S302" s="305"/>
      <c r="T302" s="305"/>
      <c r="U302" s="305"/>
      <c r="V302" s="305"/>
      <c r="W302" s="305"/>
      <c r="X302" s="305"/>
      <c r="Y302" s="305"/>
      <c r="Z302" s="305"/>
      <c r="AA302" s="305"/>
      <c r="AB302" s="305"/>
      <c r="AC302" s="305"/>
      <c r="AD302" s="305"/>
      <c r="AE302" s="305"/>
      <c r="AF302" s="305"/>
      <c r="AG302" s="305"/>
      <c r="AH302" s="305"/>
      <c r="AI302" s="305"/>
      <c r="AJ302" s="305"/>
      <c r="AK302" s="305"/>
      <c r="AL302" s="305"/>
      <c r="AM302" s="305"/>
      <c r="AN302" s="305"/>
      <c r="AO302" s="305"/>
      <c r="AP302" s="305"/>
      <c r="AQ302" s="305"/>
      <c r="AR302" s="305"/>
      <c r="AS302" s="305"/>
      <c r="AT302" s="305"/>
      <c r="AU302" s="305"/>
      <c r="AV302" s="305"/>
      <c r="AW302" s="305"/>
      <c r="AX302" s="305"/>
      <c r="AY302" s="305"/>
      <c r="AZ302" s="305"/>
      <c r="BA302" s="305"/>
      <c r="BB302" s="305"/>
      <c r="BC302" s="305"/>
      <c r="BD302" s="305"/>
      <c r="BE302" s="305"/>
      <c r="BF302" s="305"/>
      <c r="BG302" s="305"/>
      <c r="BH302" s="305"/>
      <c r="BI302" s="305"/>
      <c r="BJ302" s="305"/>
      <c r="BK302" s="305"/>
      <c r="BL302" s="305"/>
      <c r="BM302" s="305"/>
      <c r="BN302" s="305"/>
      <c r="BO302" s="305"/>
      <c r="BP302" s="305"/>
      <c r="BQ302" s="305"/>
      <c r="BR302" s="305"/>
      <c r="BS302" s="305"/>
      <c r="BT302" s="305"/>
      <c r="BU302" s="305"/>
      <c r="BV302" s="305"/>
      <c r="BW302" s="305"/>
      <c r="BX302" s="305"/>
      <c r="BY302" s="305"/>
      <c r="BZ302" s="305"/>
      <c r="CA302" s="305"/>
      <c r="CB302" s="305"/>
      <c r="CC302" s="305"/>
      <c r="CD302" s="305"/>
      <c r="CE302" s="305"/>
      <c r="CF302" s="305"/>
      <c r="CG302" s="305"/>
      <c r="CH302" s="305"/>
      <c r="CI302" s="305"/>
      <c r="CJ302" s="305"/>
      <c r="CK302" s="305"/>
      <c r="CL302" s="305"/>
      <c r="CM302" s="305"/>
      <c r="CN302" s="305"/>
      <c r="CO302" s="305"/>
      <c r="CP302" s="305"/>
      <c r="CQ302" s="305"/>
      <c r="CR302" s="305"/>
      <c r="CS302" s="305"/>
      <c r="CT302" s="305"/>
      <c r="CU302" s="305"/>
      <c r="CV302" s="305"/>
      <c r="CW302" s="305"/>
      <c r="CX302" s="305"/>
      <c r="CY302" s="305"/>
      <c r="CZ302" s="305"/>
      <c r="DA302" s="305"/>
      <c r="DB302" s="305"/>
      <c r="DC302" s="305"/>
      <c r="DD302" s="305"/>
      <c r="DE302" s="305"/>
      <c r="DF302" s="305"/>
      <c r="DG302" s="305"/>
      <c r="DH302" s="305"/>
      <c r="DI302" s="305"/>
      <c r="DJ302" s="305"/>
      <c r="DK302" s="305"/>
      <c r="DL302" s="305"/>
      <c r="DM302" s="305"/>
      <c r="DN302" s="305"/>
      <c r="DO302" s="305"/>
      <c r="DP302" s="305"/>
      <c r="DQ302" s="305"/>
      <c r="DR302" s="305"/>
      <c r="DS302" s="305"/>
      <c r="DT302" s="305"/>
      <c r="DU302" s="305"/>
      <c r="DV302" s="305"/>
      <c r="DW302" s="305"/>
      <c r="DX302" s="305"/>
      <c r="DY302" s="305"/>
      <c r="DZ302" s="305"/>
      <c r="EA302" s="305"/>
      <c r="EB302" s="305"/>
      <c r="EC302" s="305"/>
      <c r="ED302" s="305"/>
      <c r="EE302" s="305"/>
      <c r="EF302" s="305"/>
      <c r="EG302" s="305"/>
      <c r="EH302" s="305"/>
      <c r="EI302" s="305"/>
      <c r="EJ302" s="305"/>
      <c r="EK302" s="305"/>
      <c r="EL302" s="305"/>
      <c r="EM302" s="305"/>
      <c r="EN302" s="305"/>
      <c r="EO302" s="305"/>
      <c r="EP302" s="305"/>
      <c r="EQ302" s="305"/>
      <c r="ER302" s="305"/>
      <c r="ES302" s="305"/>
      <c r="ET302" s="305"/>
      <c r="EU302" s="305"/>
      <c r="EV302" s="305"/>
      <c r="EW302" s="305"/>
      <c r="EX302" s="305"/>
      <c r="EY302" s="305"/>
      <c r="EZ302" s="305"/>
      <c r="FA302" s="305"/>
      <c r="FB302" s="305"/>
      <c r="FC302" s="305"/>
      <c r="FD302" s="305"/>
      <c r="FE302" s="305"/>
      <c r="FF302" s="305"/>
      <c r="FG302" s="305"/>
      <c r="FH302" s="305"/>
      <c r="FI302" s="305"/>
      <c r="FJ302" s="305"/>
      <c r="FK302" s="305"/>
      <c r="FL302" s="305"/>
      <c r="FM302" s="305"/>
      <c r="FN302" s="305"/>
      <c r="FO302" s="305"/>
      <c r="FP302" s="305"/>
      <c r="FQ302" s="305"/>
      <c r="FR302" s="305"/>
      <c r="FS302" s="305"/>
      <c r="FT302" s="305"/>
      <c r="FU302" s="305"/>
      <c r="FV302" s="305"/>
      <c r="FW302" s="305"/>
      <c r="FX302" s="305"/>
      <c r="FY302" s="305"/>
      <c r="FZ302" s="305"/>
      <c r="GA302" s="305"/>
      <c r="GB302" s="305"/>
      <c r="GC302" s="305"/>
      <c r="GD302" s="305"/>
      <c r="GE302" s="305"/>
      <c r="GF302" s="305"/>
      <c r="GG302" s="305"/>
      <c r="GH302" s="305"/>
      <c r="GI302" s="305"/>
      <c r="GJ302" s="305"/>
      <c r="GK302" s="305"/>
      <c r="GL302" s="305"/>
      <c r="GM302" s="305"/>
      <c r="GN302" s="305"/>
      <c r="GO302" s="305"/>
      <c r="GP302" s="305"/>
      <c r="GQ302" s="305"/>
      <c r="GR302" s="305"/>
    </row>
    <row r="303" spans="3:200" s="318" customFormat="1" ht="12.75" customHeight="1" x14ac:dyDescent="0.2">
      <c r="C303" s="367"/>
      <c r="D303" s="403"/>
      <c r="E303" s="369"/>
      <c r="F303" s="369"/>
      <c r="G303" s="369"/>
      <c r="H303" s="369"/>
      <c r="I303" s="370"/>
      <c r="J303"/>
      <c r="K303" s="371"/>
      <c r="L303" s="371"/>
      <c r="M303" s="371"/>
      <c r="N303" s="371"/>
      <c r="O303" s="305"/>
      <c r="P303" s="305"/>
      <c r="Q303" s="305"/>
      <c r="R303" s="305"/>
      <c r="S303" s="305"/>
      <c r="T303" s="305"/>
      <c r="U303" s="305"/>
      <c r="V303" s="305"/>
      <c r="W303" s="305"/>
      <c r="X303" s="305"/>
      <c r="Y303" s="305"/>
      <c r="Z303" s="305"/>
      <c r="AA303" s="305"/>
      <c r="AB303" s="305"/>
      <c r="AC303" s="305"/>
      <c r="AD303" s="305"/>
      <c r="AE303" s="305"/>
      <c r="AF303" s="305"/>
      <c r="AG303" s="305"/>
      <c r="AH303" s="305"/>
      <c r="AI303" s="305"/>
      <c r="AJ303" s="305"/>
      <c r="AK303" s="305"/>
      <c r="AL303" s="305"/>
      <c r="AM303" s="305"/>
      <c r="AN303" s="305"/>
      <c r="AO303" s="305"/>
      <c r="AP303" s="305"/>
      <c r="AQ303" s="305"/>
      <c r="AR303" s="305"/>
      <c r="AS303" s="305"/>
      <c r="AT303" s="305"/>
      <c r="AU303" s="305"/>
      <c r="AV303" s="305"/>
      <c r="AW303" s="305"/>
      <c r="AX303" s="305"/>
      <c r="AY303" s="305"/>
      <c r="AZ303" s="305"/>
      <c r="BA303" s="305"/>
      <c r="BB303" s="305"/>
      <c r="BC303" s="305"/>
      <c r="BD303" s="305"/>
      <c r="BE303" s="305"/>
      <c r="BF303" s="305"/>
      <c r="BG303" s="305"/>
      <c r="BH303" s="305"/>
      <c r="BI303" s="305"/>
      <c r="BJ303" s="305"/>
      <c r="BK303" s="305"/>
      <c r="BL303" s="305"/>
      <c r="BM303" s="305"/>
      <c r="BN303" s="305"/>
      <c r="BO303" s="305"/>
      <c r="BP303" s="305"/>
      <c r="BQ303" s="305"/>
      <c r="BR303" s="305"/>
      <c r="BS303" s="305"/>
      <c r="BT303" s="305"/>
      <c r="BU303" s="305"/>
      <c r="BV303" s="305"/>
      <c r="BW303" s="305"/>
      <c r="BX303" s="305"/>
      <c r="BY303" s="305"/>
      <c r="BZ303" s="305"/>
      <c r="CA303" s="305"/>
      <c r="CB303" s="305"/>
      <c r="CC303" s="305"/>
      <c r="CD303" s="305"/>
      <c r="CE303" s="305"/>
      <c r="CF303" s="305"/>
      <c r="CG303" s="305"/>
      <c r="CH303" s="305"/>
      <c r="CI303" s="305"/>
      <c r="CJ303" s="305"/>
      <c r="CK303" s="305"/>
      <c r="CL303" s="305"/>
      <c r="CM303" s="305"/>
      <c r="CN303" s="305"/>
      <c r="CO303" s="305"/>
      <c r="CP303" s="305"/>
      <c r="CQ303" s="305"/>
      <c r="CR303" s="305"/>
      <c r="CS303" s="305"/>
      <c r="CT303" s="305"/>
      <c r="CU303" s="305"/>
      <c r="CV303" s="305"/>
      <c r="CW303" s="305"/>
      <c r="CX303" s="305"/>
      <c r="CY303" s="305"/>
      <c r="CZ303" s="305"/>
      <c r="DA303" s="305"/>
      <c r="DB303" s="305"/>
      <c r="DC303" s="305"/>
      <c r="DD303" s="305"/>
      <c r="DE303" s="305"/>
      <c r="DF303" s="305"/>
      <c r="DG303" s="305"/>
      <c r="DH303" s="305"/>
      <c r="DI303" s="305"/>
      <c r="DJ303" s="305"/>
      <c r="DK303" s="305"/>
      <c r="DL303" s="305"/>
      <c r="DM303" s="305"/>
      <c r="DN303" s="305"/>
      <c r="DO303" s="305"/>
      <c r="DP303" s="305"/>
      <c r="DQ303" s="305"/>
      <c r="DR303" s="305"/>
      <c r="DS303" s="305"/>
      <c r="DT303" s="305"/>
      <c r="DU303" s="305"/>
      <c r="DV303" s="305"/>
      <c r="DW303" s="305"/>
      <c r="DX303" s="305"/>
      <c r="DY303" s="305"/>
      <c r="DZ303" s="305"/>
      <c r="EA303" s="305"/>
      <c r="EB303" s="305"/>
      <c r="EC303" s="305"/>
      <c r="ED303" s="305"/>
      <c r="EE303" s="305"/>
      <c r="EF303" s="305"/>
      <c r="EG303" s="305"/>
      <c r="EH303" s="305"/>
      <c r="EI303" s="305"/>
      <c r="EJ303" s="305"/>
      <c r="EK303" s="305"/>
      <c r="EL303" s="305"/>
      <c r="EM303" s="305"/>
      <c r="EN303" s="305"/>
      <c r="EO303" s="305"/>
      <c r="EP303" s="305"/>
      <c r="EQ303" s="305"/>
      <c r="ER303" s="305"/>
      <c r="ES303" s="305"/>
      <c r="ET303" s="305"/>
      <c r="EU303" s="305"/>
      <c r="EV303" s="305"/>
      <c r="EW303" s="305"/>
      <c r="EX303" s="305"/>
      <c r="EY303" s="305"/>
      <c r="EZ303" s="305"/>
      <c r="FA303" s="305"/>
      <c r="FB303" s="305"/>
      <c r="FC303" s="305"/>
      <c r="FD303" s="305"/>
      <c r="FE303" s="305"/>
      <c r="FF303" s="305"/>
      <c r="FG303" s="305"/>
      <c r="FH303" s="305"/>
      <c r="FI303" s="305"/>
      <c r="FJ303" s="305"/>
      <c r="FK303" s="305"/>
      <c r="FL303" s="305"/>
      <c r="FM303" s="305"/>
      <c r="FN303" s="305"/>
      <c r="FO303" s="305"/>
      <c r="FP303" s="305"/>
      <c r="FQ303" s="305"/>
      <c r="FR303" s="305"/>
      <c r="FS303" s="305"/>
      <c r="FT303" s="305"/>
      <c r="FU303" s="305"/>
      <c r="FV303" s="305"/>
      <c r="FW303" s="305"/>
      <c r="FX303" s="305"/>
      <c r="FY303" s="305"/>
      <c r="FZ303" s="305"/>
      <c r="GA303" s="305"/>
      <c r="GB303" s="305"/>
      <c r="GC303" s="305"/>
      <c r="GD303" s="305"/>
      <c r="GE303" s="305"/>
      <c r="GF303" s="305"/>
      <c r="GG303" s="305"/>
      <c r="GH303" s="305"/>
      <c r="GI303" s="305"/>
      <c r="GJ303" s="305"/>
      <c r="GK303" s="305"/>
      <c r="GL303" s="305"/>
      <c r="GM303" s="305"/>
      <c r="GN303" s="305"/>
      <c r="GO303" s="305"/>
      <c r="GP303" s="305"/>
      <c r="GQ303" s="305"/>
      <c r="GR303" s="305"/>
    </row>
    <row r="304" spans="3:200" s="318" customFormat="1" ht="12.75" customHeight="1" x14ac:dyDescent="0.2">
      <c r="C304" s="367"/>
      <c r="D304" s="403"/>
      <c r="E304" s="369"/>
      <c r="F304" s="369"/>
      <c r="G304" s="369"/>
      <c r="H304" s="369"/>
      <c r="I304" s="370"/>
      <c r="J304"/>
      <c r="K304" s="371"/>
      <c r="L304" s="371"/>
      <c r="M304" s="371"/>
      <c r="N304" s="371"/>
      <c r="O304" s="305"/>
      <c r="P304" s="305"/>
      <c r="Q304" s="305"/>
      <c r="R304" s="305"/>
      <c r="S304" s="305"/>
      <c r="T304" s="305"/>
      <c r="U304" s="305"/>
      <c r="V304" s="305"/>
      <c r="W304" s="305"/>
      <c r="X304" s="305"/>
      <c r="Y304" s="305"/>
      <c r="Z304" s="305"/>
      <c r="AA304" s="305"/>
      <c r="AB304" s="305"/>
      <c r="AC304" s="305"/>
      <c r="AD304" s="305"/>
      <c r="AE304" s="305"/>
      <c r="AF304" s="305"/>
      <c r="AG304" s="305"/>
      <c r="AH304" s="305"/>
      <c r="AI304" s="305"/>
      <c r="AJ304" s="305"/>
      <c r="AK304" s="305"/>
      <c r="AL304" s="305"/>
      <c r="AM304" s="305"/>
      <c r="AN304" s="305"/>
      <c r="AO304" s="305"/>
      <c r="AP304" s="305"/>
      <c r="AQ304" s="305"/>
      <c r="AR304" s="305"/>
      <c r="AS304" s="305"/>
      <c r="AT304" s="305"/>
      <c r="AU304" s="305"/>
      <c r="AV304" s="305"/>
      <c r="AW304" s="305"/>
      <c r="AX304" s="305"/>
      <c r="AY304" s="305"/>
      <c r="AZ304" s="305"/>
      <c r="BA304" s="305"/>
      <c r="BB304" s="305"/>
      <c r="BC304" s="305"/>
      <c r="BD304" s="305"/>
      <c r="BE304" s="305"/>
      <c r="BF304" s="305"/>
      <c r="BG304" s="305"/>
      <c r="BH304" s="305"/>
      <c r="BI304" s="305"/>
      <c r="BJ304" s="305"/>
      <c r="BK304" s="305"/>
      <c r="BL304" s="305"/>
      <c r="BM304" s="305"/>
      <c r="BN304" s="305"/>
      <c r="BO304" s="305"/>
      <c r="BP304" s="305"/>
      <c r="BQ304" s="305"/>
      <c r="BR304" s="305"/>
      <c r="BS304" s="305"/>
      <c r="BT304" s="305"/>
      <c r="BU304" s="305"/>
      <c r="BV304" s="305"/>
      <c r="BW304" s="305"/>
      <c r="BX304" s="305"/>
      <c r="BY304" s="305"/>
      <c r="BZ304" s="305"/>
      <c r="CA304" s="305"/>
      <c r="CB304" s="305"/>
      <c r="CC304" s="305"/>
      <c r="CD304" s="305"/>
      <c r="CE304" s="305"/>
      <c r="CF304" s="305"/>
      <c r="CG304" s="305"/>
      <c r="CH304" s="305"/>
      <c r="CI304" s="305"/>
      <c r="CJ304" s="305"/>
      <c r="CK304" s="305"/>
      <c r="CL304" s="305"/>
      <c r="CM304" s="305"/>
      <c r="CN304" s="305"/>
      <c r="CO304" s="305"/>
      <c r="CP304" s="305"/>
      <c r="CQ304" s="305"/>
      <c r="CR304" s="305"/>
      <c r="CS304" s="305"/>
      <c r="CT304" s="305"/>
      <c r="CU304" s="305"/>
      <c r="CV304" s="305"/>
      <c r="CW304" s="305"/>
      <c r="CX304" s="305"/>
      <c r="CY304" s="305"/>
      <c r="CZ304" s="305"/>
      <c r="DA304" s="305"/>
      <c r="DB304" s="305"/>
      <c r="DC304" s="305"/>
      <c r="DD304" s="305"/>
      <c r="DE304" s="305"/>
      <c r="DF304" s="305"/>
      <c r="DG304" s="305"/>
      <c r="DH304" s="305"/>
      <c r="DI304" s="305"/>
      <c r="DJ304" s="305"/>
      <c r="DK304" s="305"/>
      <c r="DL304" s="305"/>
      <c r="DM304" s="305"/>
      <c r="DN304" s="305"/>
      <c r="DO304" s="305"/>
      <c r="DP304" s="305"/>
      <c r="DQ304" s="305"/>
      <c r="DR304" s="305"/>
      <c r="DS304" s="305"/>
      <c r="DT304" s="305"/>
      <c r="DU304" s="305"/>
      <c r="DV304" s="305"/>
      <c r="DW304" s="305"/>
      <c r="DX304" s="305"/>
      <c r="DY304" s="305"/>
      <c r="DZ304" s="305"/>
      <c r="EA304" s="305"/>
      <c r="EB304" s="305"/>
      <c r="EC304" s="305"/>
      <c r="ED304" s="305"/>
      <c r="EE304" s="305"/>
      <c r="EF304" s="305"/>
      <c r="EG304" s="305"/>
      <c r="EH304" s="305"/>
      <c r="EI304" s="305"/>
      <c r="EJ304" s="305"/>
      <c r="EK304" s="305"/>
      <c r="EL304" s="305"/>
      <c r="EM304" s="305"/>
      <c r="EN304" s="305"/>
      <c r="EO304" s="305"/>
      <c r="EP304" s="305"/>
      <c r="EQ304" s="305"/>
      <c r="ER304" s="305"/>
      <c r="ES304" s="305"/>
      <c r="ET304" s="305"/>
      <c r="EU304" s="305"/>
      <c r="EV304" s="305"/>
      <c r="EW304" s="305"/>
      <c r="EX304" s="305"/>
      <c r="EY304" s="305"/>
      <c r="EZ304" s="305"/>
      <c r="FA304" s="305"/>
      <c r="FB304" s="305"/>
      <c r="FC304" s="305"/>
      <c r="FD304" s="305"/>
      <c r="FE304" s="305"/>
      <c r="FF304" s="305"/>
      <c r="FG304" s="305"/>
      <c r="FH304" s="305"/>
      <c r="FI304" s="305"/>
      <c r="FJ304" s="305"/>
      <c r="FK304" s="305"/>
      <c r="FL304" s="305"/>
      <c r="FM304" s="305"/>
      <c r="FN304" s="305"/>
      <c r="FO304" s="305"/>
      <c r="FP304" s="305"/>
      <c r="FQ304" s="305"/>
      <c r="FR304" s="305"/>
      <c r="FS304" s="305"/>
      <c r="FT304" s="305"/>
      <c r="FU304" s="305"/>
      <c r="FV304" s="305"/>
      <c r="FW304" s="305"/>
      <c r="FX304" s="305"/>
      <c r="FY304" s="305"/>
      <c r="FZ304" s="305"/>
      <c r="GA304" s="305"/>
      <c r="GB304" s="305"/>
      <c r="GC304" s="305"/>
      <c r="GD304" s="305"/>
      <c r="GE304" s="305"/>
      <c r="GF304" s="305"/>
      <c r="GG304" s="305"/>
      <c r="GH304" s="305"/>
      <c r="GI304" s="305"/>
      <c r="GJ304" s="305"/>
      <c r="GK304" s="305"/>
      <c r="GL304" s="305"/>
      <c r="GM304" s="305"/>
      <c r="GN304" s="305"/>
      <c r="GO304" s="305"/>
      <c r="GP304" s="305"/>
      <c r="GQ304" s="305"/>
      <c r="GR304" s="305"/>
    </row>
    <row r="305" spans="3:200" s="318" customFormat="1" ht="12.75" customHeight="1" x14ac:dyDescent="0.2">
      <c r="C305" s="367"/>
      <c r="D305" s="403"/>
      <c r="E305" s="369"/>
      <c r="F305" s="369"/>
      <c r="G305" s="369"/>
      <c r="H305" s="369"/>
      <c r="I305" s="370"/>
      <c r="J305"/>
      <c r="K305" s="371"/>
      <c r="L305" s="371"/>
      <c r="M305" s="371"/>
      <c r="N305" s="371"/>
      <c r="O305" s="305"/>
      <c r="P305" s="305"/>
      <c r="Q305" s="305"/>
      <c r="R305" s="305"/>
      <c r="S305" s="305"/>
      <c r="T305" s="305"/>
      <c r="U305" s="305"/>
      <c r="V305" s="305"/>
      <c r="W305" s="305"/>
      <c r="X305" s="305"/>
      <c r="Y305" s="305"/>
      <c r="Z305" s="305"/>
      <c r="AA305" s="305"/>
      <c r="AB305" s="305"/>
      <c r="AC305" s="305"/>
      <c r="AD305" s="305"/>
      <c r="AE305" s="305"/>
      <c r="AF305" s="305"/>
      <c r="AG305" s="305"/>
      <c r="AH305" s="305"/>
      <c r="AI305" s="305"/>
      <c r="AJ305" s="305"/>
      <c r="AK305" s="305"/>
      <c r="AL305" s="305"/>
      <c r="AM305" s="305"/>
      <c r="AN305" s="305"/>
      <c r="AO305" s="305"/>
      <c r="AP305" s="305"/>
      <c r="AQ305" s="305"/>
      <c r="AR305" s="305"/>
      <c r="AS305" s="305"/>
      <c r="AT305" s="305"/>
      <c r="AU305" s="305"/>
      <c r="AV305" s="305"/>
      <c r="AW305" s="305"/>
      <c r="AX305" s="305"/>
      <c r="AY305" s="305"/>
      <c r="AZ305" s="305"/>
      <c r="BA305" s="305"/>
      <c r="BB305" s="305"/>
      <c r="BC305" s="305"/>
      <c r="BD305" s="305"/>
      <c r="BE305" s="305"/>
      <c r="BF305" s="305"/>
      <c r="BG305" s="305"/>
      <c r="BH305" s="305"/>
      <c r="BI305" s="305"/>
      <c r="BJ305" s="305"/>
      <c r="BK305" s="305"/>
      <c r="BL305" s="305"/>
      <c r="BM305" s="305"/>
      <c r="BN305" s="305"/>
      <c r="BO305" s="305"/>
      <c r="BP305" s="305"/>
      <c r="BQ305" s="305"/>
      <c r="BR305" s="305"/>
      <c r="BS305" s="305"/>
      <c r="BT305" s="305"/>
      <c r="BU305" s="305"/>
      <c r="BV305" s="305"/>
      <c r="BW305" s="305"/>
      <c r="BX305" s="305"/>
      <c r="BY305" s="305"/>
      <c r="BZ305" s="305"/>
      <c r="CA305" s="305"/>
      <c r="CB305" s="305"/>
      <c r="CC305" s="305"/>
      <c r="CD305" s="305"/>
      <c r="CE305" s="305"/>
      <c r="CF305" s="305"/>
      <c r="CG305" s="305"/>
      <c r="CH305" s="305"/>
      <c r="CI305" s="305"/>
      <c r="CJ305" s="305"/>
      <c r="CK305" s="305"/>
      <c r="CL305" s="305"/>
      <c r="CM305" s="305"/>
      <c r="CN305" s="305"/>
      <c r="CO305" s="305"/>
      <c r="CP305" s="305"/>
      <c r="CQ305" s="305"/>
      <c r="CR305" s="305"/>
      <c r="CS305" s="305"/>
      <c r="CT305" s="305"/>
      <c r="CU305" s="305"/>
      <c r="CV305" s="305"/>
      <c r="CW305" s="305"/>
      <c r="CX305" s="305"/>
      <c r="CY305" s="305"/>
      <c r="CZ305" s="305"/>
      <c r="DA305" s="305"/>
      <c r="DB305" s="305"/>
      <c r="DC305" s="305"/>
      <c r="DD305" s="305"/>
      <c r="DE305" s="305"/>
      <c r="DF305" s="305"/>
      <c r="DG305" s="305"/>
      <c r="DH305" s="305"/>
      <c r="DI305" s="305"/>
      <c r="DJ305" s="305"/>
      <c r="DK305" s="305"/>
      <c r="DL305" s="305"/>
      <c r="DM305" s="305"/>
      <c r="DN305" s="305"/>
      <c r="DO305" s="305"/>
      <c r="DP305" s="305"/>
      <c r="DQ305" s="305"/>
      <c r="DR305" s="305"/>
      <c r="DS305" s="305"/>
      <c r="DT305" s="305"/>
      <c r="DU305" s="305"/>
      <c r="DV305" s="305"/>
      <c r="DW305" s="305"/>
      <c r="DX305" s="305"/>
      <c r="DY305" s="305"/>
      <c r="DZ305" s="305"/>
      <c r="EA305" s="305"/>
      <c r="EB305" s="305"/>
      <c r="EC305" s="305"/>
      <c r="ED305" s="305"/>
      <c r="EE305" s="305"/>
      <c r="EF305" s="305"/>
      <c r="EG305" s="305"/>
      <c r="EH305" s="305"/>
      <c r="EI305" s="305"/>
      <c r="EJ305" s="305"/>
      <c r="EK305" s="305"/>
      <c r="EL305" s="305"/>
      <c r="EM305" s="305"/>
      <c r="EN305" s="305"/>
      <c r="EO305" s="305"/>
      <c r="EP305" s="305"/>
      <c r="EQ305" s="305"/>
      <c r="ER305" s="305"/>
      <c r="ES305" s="305"/>
      <c r="ET305" s="305"/>
      <c r="EU305" s="305"/>
      <c r="EV305" s="305"/>
      <c r="EW305" s="305"/>
      <c r="EX305" s="305"/>
      <c r="EY305" s="305"/>
      <c r="EZ305" s="305"/>
      <c r="FA305" s="305"/>
      <c r="FB305" s="305"/>
      <c r="FC305" s="305"/>
      <c r="FD305" s="305"/>
      <c r="FE305" s="305"/>
      <c r="FF305" s="305"/>
      <c r="FG305" s="305"/>
      <c r="FH305" s="305"/>
      <c r="FI305" s="305"/>
      <c r="FJ305" s="305"/>
      <c r="FK305" s="305"/>
      <c r="FL305" s="305"/>
      <c r="FM305" s="305"/>
      <c r="FN305" s="305"/>
      <c r="FO305" s="305"/>
      <c r="FP305" s="305"/>
      <c r="FQ305" s="305"/>
      <c r="FR305" s="305"/>
      <c r="FS305" s="305"/>
      <c r="FT305" s="305"/>
      <c r="FU305" s="305"/>
      <c r="FV305" s="305"/>
      <c r="FW305" s="305"/>
      <c r="FX305" s="305"/>
      <c r="FY305" s="305"/>
      <c r="FZ305" s="305"/>
      <c r="GA305" s="305"/>
      <c r="GB305" s="305"/>
      <c r="GC305" s="305"/>
      <c r="GD305" s="305"/>
      <c r="GE305" s="305"/>
      <c r="GF305" s="305"/>
      <c r="GG305" s="305"/>
      <c r="GH305" s="305"/>
      <c r="GI305" s="305"/>
      <c r="GJ305" s="305"/>
      <c r="GK305" s="305"/>
      <c r="GL305" s="305"/>
      <c r="GM305" s="305"/>
      <c r="GN305" s="305"/>
      <c r="GO305" s="305"/>
      <c r="GP305" s="305"/>
      <c r="GQ305" s="305"/>
      <c r="GR305" s="305"/>
    </row>
    <row r="306" spans="3:200" s="318" customFormat="1" ht="12.75" customHeight="1" x14ac:dyDescent="0.2">
      <c r="C306" s="367"/>
      <c r="D306" s="403"/>
      <c r="E306" s="369"/>
      <c r="F306" s="369"/>
      <c r="G306" s="369"/>
      <c r="H306" s="369"/>
      <c r="I306" s="370"/>
      <c r="J306"/>
      <c r="K306" s="371"/>
      <c r="L306" s="371"/>
      <c r="M306" s="371"/>
      <c r="N306" s="371"/>
      <c r="O306" s="305"/>
      <c r="P306" s="305"/>
      <c r="Q306" s="305"/>
      <c r="R306" s="305"/>
      <c r="S306" s="305"/>
      <c r="T306" s="305"/>
      <c r="U306" s="305"/>
      <c r="V306" s="305"/>
      <c r="W306" s="305"/>
      <c r="X306" s="305"/>
      <c r="Y306" s="305"/>
      <c r="Z306" s="305"/>
      <c r="AA306" s="305"/>
      <c r="AB306" s="305"/>
      <c r="AC306" s="305"/>
      <c r="AD306" s="305"/>
      <c r="AE306" s="305"/>
      <c r="AF306" s="305"/>
      <c r="AG306" s="305"/>
      <c r="AH306" s="305"/>
      <c r="AI306" s="305"/>
      <c r="AJ306" s="305"/>
      <c r="AK306" s="305"/>
      <c r="AL306" s="305"/>
      <c r="AM306" s="305"/>
      <c r="AN306" s="305"/>
      <c r="AO306" s="305"/>
      <c r="AP306" s="305"/>
      <c r="AQ306" s="305"/>
      <c r="AR306" s="305"/>
      <c r="AS306" s="305"/>
      <c r="AT306" s="305"/>
      <c r="AU306" s="305"/>
      <c r="AV306" s="305"/>
      <c r="AW306" s="305"/>
      <c r="AX306" s="305"/>
      <c r="AY306" s="305"/>
      <c r="AZ306" s="305"/>
      <c r="BA306" s="305"/>
      <c r="BB306" s="305"/>
      <c r="BC306" s="305"/>
      <c r="BD306" s="305"/>
      <c r="BE306" s="305"/>
      <c r="BF306" s="305"/>
      <c r="BG306" s="305"/>
      <c r="BH306" s="305"/>
      <c r="BI306" s="305"/>
      <c r="BJ306" s="305"/>
      <c r="BK306" s="305"/>
      <c r="BL306" s="305"/>
      <c r="BM306" s="305"/>
      <c r="BN306" s="305"/>
      <c r="BO306" s="305"/>
      <c r="BP306" s="305"/>
      <c r="BQ306" s="305"/>
      <c r="BR306" s="305"/>
      <c r="BS306" s="305"/>
      <c r="BT306" s="305"/>
      <c r="BU306" s="305"/>
      <c r="BV306" s="305"/>
      <c r="BW306" s="305"/>
      <c r="BX306" s="305"/>
      <c r="BY306" s="305"/>
      <c r="BZ306" s="305"/>
      <c r="CA306" s="305"/>
      <c r="CB306" s="305"/>
      <c r="CC306" s="305"/>
      <c r="CD306" s="305"/>
      <c r="CE306" s="305"/>
      <c r="CF306" s="305"/>
      <c r="CG306" s="305"/>
      <c r="CH306" s="305"/>
      <c r="CI306" s="305"/>
      <c r="CJ306" s="305"/>
      <c r="CK306" s="305"/>
      <c r="CL306" s="305"/>
      <c r="CM306" s="305"/>
      <c r="CN306" s="305"/>
      <c r="CO306" s="305"/>
      <c r="CP306" s="305"/>
      <c r="CQ306" s="305"/>
      <c r="CR306" s="305"/>
      <c r="CS306" s="305"/>
      <c r="CT306" s="305"/>
      <c r="CU306" s="305"/>
      <c r="CV306" s="305"/>
      <c r="CW306" s="305"/>
      <c r="CX306" s="305"/>
      <c r="CY306" s="305"/>
      <c r="CZ306" s="305"/>
      <c r="DA306" s="305"/>
      <c r="DB306" s="305"/>
      <c r="DC306" s="305"/>
      <c r="DD306" s="305"/>
      <c r="DE306" s="305"/>
      <c r="DF306" s="305"/>
      <c r="DG306" s="305"/>
      <c r="DH306" s="305"/>
      <c r="DI306" s="305"/>
      <c r="DJ306" s="305"/>
      <c r="DK306" s="305"/>
      <c r="DL306" s="305"/>
      <c r="DM306" s="305"/>
      <c r="DN306" s="305"/>
      <c r="DO306" s="305"/>
      <c r="DP306" s="305"/>
      <c r="DQ306" s="305"/>
      <c r="DR306" s="305"/>
      <c r="DS306" s="305"/>
      <c r="DT306" s="305"/>
      <c r="DU306" s="305"/>
      <c r="DV306" s="305"/>
      <c r="DW306" s="305"/>
      <c r="DX306" s="305"/>
      <c r="DY306" s="305"/>
      <c r="DZ306" s="305"/>
      <c r="EA306" s="305"/>
      <c r="EB306" s="305"/>
      <c r="EC306" s="305"/>
      <c r="ED306" s="305"/>
      <c r="EE306" s="305"/>
      <c r="EF306" s="305"/>
      <c r="EG306" s="305"/>
      <c r="EH306" s="305"/>
      <c r="EI306" s="305"/>
      <c r="EJ306" s="305"/>
      <c r="EK306" s="305"/>
      <c r="EL306" s="305"/>
      <c r="EM306" s="305"/>
      <c r="EN306" s="305"/>
      <c r="EO306" s="305"/>
      <c r="EP306" s="305"/>
      <c r="EQ306" s="305"/>
      <c r="ER306" s="305"/>
      <c r="ES306" s="305"/>
      <c r="ET306" s="305"/>
      <c r="EU306" s="305"/>
      <c r="EV306" s="305"/>
      <c r="EW306" s="305"/>
      <c r="EX306" s="305"/>
      <c r="EY306" s="305"/>
      <c r="EZ306" s="305"/>
      <c r="FA306" s="305"/>
      <c r="FB306" s="305"/>
      <c r="FC306" s="305"/>
      <c r="FD306" s="305"/>
      <c r="FE306" s="305"/>
      <c r="FF306" s="305"/>
      <c r="FG306" s="305"/>
      <c r="FH306" s="305"/>
      <c r="FI306" s="305"/>
      <c r="FJ306" s="305"/>
      <c r="FK306" s="305"/>
      <c r="FL306" s="305"/>
      <c r="FM306" s="305"/>
      <c r="FN306" s="305"/>
      <c r="FO306" s="305"/>
      <c r="FP306" s="305"/>
      <c r="FQ306" s="305"/>
      <c r="FR306" s="305"/>
      <c r="FS306" s="305"/>
      <c r="FT306" s="305"/>
      <c r="FU306" s="305"/>
      <c r="FV306" s="305"/>
      <c r="FW306" s="305"/>
      <c r="FX306" s="305"/>
      <c r="FY306" s="305"/>
      <c r="FZ306" s="305"/>
      <c r="GA306" s="305"/>
      <c r="GB306" s="305"/>
      <c r="GC306" s="305"/>
      <c r="GD306" s="305"/>
      <c r="GE306" s="305"/>
      <c r="GF306" s="305"/>
      <c r="GG306" s="305"/>
      <c r="GH306" s="305"/>
      <c r="GI306" s="305"/>
      <c r="GJ306" s="305"/>
      <c r="GK306" s="305"/>
      <c r="GL306" s="305"/>
      <c r="GM306" s="305"/>
      <c r="GN306" s="305"/>
      <c r="GO306" s="305"/>
      <c r="GP306" s="305"/>
      <c r="GQ306" s="305"/>
      <c r="GR306" s="305"/>
    </row>
    <row r="307" spans="3:200" s="318" customFormat="1" ht="12.75" customHeight="1" x14ac:dyDescent="0.2">
      <c r="C307" s="367"/>
      <c r="D307" s="403"/>
      <c r="E307" s="369"/>
      <c r="F307" s="369"/>
      <c r="G307" s="369"/>
      <c r="H307" s="369"/>
      <c r="I307" s="370"/>
      <c r="J307"/>
      <c r="K307" s="371"/>
      <c r="L307" s="371"/>
      <c r="M307" s="371"/>
      <c r="N307" s="371"/>
      <c r="O307" s="305"/>
      <c r="P307" s="305"/>
      <c r="Q307" s="305"/>
      <c r="R307" s="305"/>
      <c r="S307" s="305"/>
      <c r="T307" s="305"/>
      <c r="U307" s="305"/>
      <c r="V307" s="305"/>
      <c r="W307" s="305"/>
      <c r="X307" s="305"/>
      <c r="Y307" s="305"/>
      <c r="Z307" s="305"/>
      <c r="AA307" s="305"/>
      <c r="AB307" s="305"/>
      <c r="AC307" s="305"/>
      <c r="AD307" s="305"/>
      <c r="AE307" s="305"/>
      <c r="AF307" s="305"/>
      <c r="AG307" s="305"/>
      <c r="AH307" s="305"/>
      <c r="AI307" s="305"/>
      <c r="AJ307" s="305"/>
      <c r="AK307" s="305"/>
      <c r="AL307" s="305"/>
      <c r="AM307" s="305"/>
      <c r="AN307" s="305"/>
      <c r="AO307" s="305"/>
      <c r="AP307" s="305"/>
      <c r="AQ307" s="305"/>
      <c r="AR307" s="305"/>
      <c r="AS307" s="305"/>
      <c r="AT307" s="305"/>
      <c r="AU307" s="305"/>
      <c r="AV307" s="305"/>
      <c r="AW307" s="305"/>
      <c r="AX307" s="305"/>
      <c r="AY307" s="305"/>
      <c r="AZ307" s="305"/>
      <c r="BA307" s="305"/>
      <c r="BB307" s="305"/>
      <c r="BC307" s="305"/>
      <c r="BD307" s="305"/>
      <c r="BE307" s="305"/>
      <c r="BF307" s="305"/>
      <c r="BG307" s="305"/>
      <c r="BH307" s="305"/>
      <c r="BI307" s="305"/>
      <c r="BJ307" s="305"/>
      <c r="BK307" s="305"/>
      <c r="BL307" s="305"/>
      <c r="BM307" s="305"/>
      <c r="BN307" s="305"/>
      <c r="BO307" s="305"/>
      <c r="BP307" s="305"/>
      <c r="BQ307" s="305"/>
      <c r="BR307" s="305"/>
      <c r="BS307" s="305"/>
      <c r="BT307" s="305"/>
      <c r="BU307" s="305"/>
      <c r="BV307" s="305"/>
      <c r="BW307" s="305"/>
      <c r="BX307" s="305"/>
      <c r="BY307" s="305"/>
      <c r="BZ307" s="305"/>
      <c r="CA307" s="305"/>
      <c r="CB307" s="305"/>
      <c r="CC307" s="305"/>
      <c r="CD307" s="305"/>
      <c r="CE307" s="305"/>
      <c r="CF307" s="305"/>
      <c r="CG307" s="305"/>
      <c r="CH307" s="305"/>
      <c r="CI307" s="305"/>
      <c r="CJ307" s="305"/>
      <c r="CK307" s="305"/>
      <c r="CL307" s="305"/>
      <c r="CM307" s="305"/>
      <c r="CN307" s="305"/>
      <c r="CO307" s="305"/>
      <c r="CP307" s="305"/>
      <c r="CQ307" s="305"/>
      <c r="CR307" s="305"/>
      <c r="CS307" s="305"/>
      <c r="CT307" s="305"/>
      <c r="CU307" s="305"/>
      <c r="CV307" s="305"/>
      <c r="CW307" s="305"/>
      <c r="CX307" s="305"/>
      <c r="CY307" s="305"/>
      <c r="CZ307" s="305"/>
      <c r="DA307" s="305"/>
      <c r="DB307" s="305"/>
      <c r="DC307" s="305"/>
      <c r="DD307" s="305"/>
      <c r="DE307" s="305"/>
      <c r="DF307" s="305"/>
      <c r="DG307" s="305"/>
      <c r="DH307" s="305"/>
      <c r="DI307" s="305"/>
      <c r="DJ307" s="305"/>
      <c r="DK307" s="305"/>
      <c r="DL307" s="305"/>
      <c r="DM307" s="305"/>
      <c r="DN307" s="305"/>
      <c r="DO307" s="305"/>
      <c r="DP307" s="305"/>
      <c r="DQ307" s="305"/>
      <c r="DR307" s="305"/>
      <c r="DS307" s="305"/>
      <c r="DT307" s="305"/>
      <c r="DU307" s="305"/>
      <c r="DV307" s="305"/>
      <c r="DW307" s="305"/>
      <c r="DX307" s="305"/>
      <c r="DY307" s="305"/>
      <c r="DZ307" s="305"/>
      <c r="EA307" s="305"/>
      <c r="EB307" s="305"/>
      <c r="EC307" s="305"/>
      <c r="ED307" s="305"/>
      <c r="EE307" s="305"/>
      <c r="EF307" s="305"/>
      <c r="EG307" s="305"/>
      <c r="EH307" s="305"/>
      <c r="EI307" s="305"/>
      <c r="EJ307" s="305"/>
      <c r="EK307" s="305"/>
      <c r="EL307" s="305"/>
      <c r="EM307" s="305"/>
      <c r="EN307" s="305"/>
      <c r="EO307" s="305"/>
      <c r="EP307" s="305"/>
      <c r="EQ307" s="305"/>
      <c r="ER307" s="305"/>
      <c r="ES307" s="305"/>
      <c r="ET307" s="305"/>
      <c r="EU307" s="305"/>
      <c r="EV307" s="305"/>
      <c r="EW307" s="305"/>
      <c r="EX307" s="305"/>
      <c r="EY307" s="305"/>
      <c r="EZ307" s="305"/>
      <c r="FA307" s="305"/>
      <c r="FB307" s="305"/>
      <c r="FC307" s="305"/>
      <c r="FD307" s="305"/>
      <c r="FE307" s="305"/>
      <c r="FF307" s="305"/>
      <c r="FG307" s="305"/>
      <c r="FH307" s="305"/>
      <c r="FI307" s="305"/>
      <c r="FJ307" s="305"/>
      <c r="FK307" s="305"/>
      <c r="FL307" s="305"/>
      <c r="FM307" s="305"/>
      <c r="FN307" s="305"/>
      <c r="FO307" s="305"/>
      <c r="FP307" s="305"/>
      <c r="FQ307" s="305"/>
      <c r="FR307" s="305"/>
      <c r="FS307" s="305"/>
      <c r="FT307" s="305"/>
      <c r="FU307" s="305"/>
      <c r="FV307" s="305"/>
      <c r="FW307" s="305"/>
      <c r="FX307" s="305"/>
      <c r="FY307" s="305"/>
      <c r="FZ307" s="305"/>
      <c r="GA307" s="305"/>
      <c r="GB307" s="305"/>
      <c r="GC307" s="305"/>
      <c r="GD307" s="305"/>
      <c r="GE307" s="305"/>
      <c r="GF307" s="305"/>
      <c r="GG307" s="305"/>
      <c r="GH307" s="305"/>
      <c r="GI307" s="305"/>
      <c r="GJ307" s="305"/>
      <c r="GK307" s="305"/>
      <c r="GL307" s="305"/>
      <c r="GM307" s="305"/>
      <c r="GN307" s="305"/>
      <c r="GO307" s="305"/>
      <c r="GP307" s="305"/>
      <c r="GQ307" s="305"/>
      <c r="GR307" s="305"/>
    </row>
    <row r="308" spans="3:200" s="318" customFormat="1" ht="12.75" customHeight="1" x14ac:dyDescent="0.2">
      <c r="C308" s="367"/>
      <c r="D308" s="403"/>
      <c r="E308" s="369"/>
      <c r="F308" s="369"/>
      <c r="G308" s="369"/>
      <c r="H308" s="369"/>
      <c r="I308" s="370"/>
      <c r="J308"/>
      <c r="K308" s="371"/>
      <c r="L308" s="371"/>
      <c r="M308" s="371"/>
      <c r="N308" s="371"/>
      <c r="O308" s="305"/>
      <c r="P308" s="305"/>
      <c r="Q308" s="305"/>
      <c r="R308" s="305"/>
      <c r="S308" s="305"/>
      <c r="T308" s="305"/>
      <c r="U308" s="305"/>
      <c r="V308" s="305"/>
      <c r="W308" s="305"/>
      <c r="X308" s="305"/>
      <c r="Y308" s="305"/>
      <c r="Z308" s="305"/>
      <c r="AA308" s="305"/>
      <c r="AB308" s="305"/>
      <c r="AC308" s="305"/>
      <c r="AD308" s="305"/>
      <c r="AE308" s="305"/>
      <c r="AF308" s="305"/>
      <c r="AG308" s="305"/>
      <c r="AH308" s="305"/>
      <c r="AI308" s="305"/>
      <c r="AJ308" s="305"/>
      <c r="AK308" s="305"/>
      <c r="AL308" s="305"/>
      <c r="AM308" s="305"/>
      <c r="AN308" s="305"/>
      <c r="AO308" s="305"/>
      <c r="AP308" s="305"/>
      <c r="AQ308" s="305"/>
      <c r="AR308" s="305"/>
      <c r="AS308" s="305"/>
      <c r="AT308" s="305"/>
      <c r="AU308" s="305"/>
      <c r="AV308" s="305"/>
      <c r="AW308" s="305"/>
      <c r="AX308" s="305"/>
      <c r="AY308" s="305"/>
      <c r="AZ308" s="305"/>
      <c r="BA308" s="305"/>
      <c r="BB308" s="305"/>
      <c r="BC308" s="305"/>
      <c r="BD308" s="305"/>
      <c r="BE308" s="305"/>
      <c r="BF308" s="305"/>
      <c r="BG308" s="305"/>
      <c r="BH308" s="305"/>
      <c r="BI308" s="305"/>
      <c r="BJ308" s="305"/>
      <c r="BK308" s="305"/>
      <c r="BL308" s="305"/>
      <c r="BM308" s="305"/>
      <c r="BN308" s="305"/>
      <c r="BO308" s="305"/>
      <c r="BP308" s="305"/>
      <c r="BQ308" s="305"/>
      <c r="BR308" s="305"/>
      <c r="BS308" s="305"/>
      <c r="BT308" s="305"/>
      <c r="BU308" s="305"/>
      <c r="BV308" s="305"/>
      <c r="BW308" s="305"/>
      <c r="BX308" s="305"/>
      <c r="BY308" s="305"/>
      <c r="BZ308" s="305"/>
      <c r="CA308" s="305"/>
      <c r="CB308" s="305"/>
      <c r="CC308" s="305"/>
      <c r="CD308" s="305"/>
      <c r="CE308" s="305"/>
      <c r="CF308" s="305"/>
      <c r="CG308" s="305"/>
      <c r="CH308" s="305"/>
      <c r="CI308" s="305"/>
      <c r="CJ308" s="305"/>
      <c r="CK308" s="305"/>
      <c r="CL308" s="305"/>
      <c r="CM308" s="305"/>
      <c r="CN308" s="305"/>
      <c r="CO308" s="305"/>
      <c r="CP308" s="305"/>
      <c r="CQ308" s="305"/>
      <c r="CR308" s="305"/>
      <c r="CS308" s="305"/>
      <c r="CT308" s="305"/>
      <c r="CU308" s="305"/>
      <c r="CV308" s="305"/>
      <c r="CW308" s="305"/>
      <c r="CX308" s="305"/>
      <c r="CY308" s="305"/>
      <c r="CZ308" s="305"/>
      <c r="DA308" s="305"/>
      <c r="DB308" s="305"/>
      <c r="DC308" s="305"/>
      <c r="DD308" s="305"/>
      <c r="DE308" s="305"/>
      <c r="DF308" s="305"/>
      <c r="DG308" s="305"/>
      <c r="DH308" s="305"/>
      <c r="DI308" s="305"/>
      <c r="DJ308" s="305"/>
      <c r="DK308" s="305"/>
      <c r="DL308" s="305"/>
      <c r="DM308" s="305"/>
      <c r="DN308" s="305"/>
      <c r="DO308" s="305"/>
      <c r="DP308" s="305"/>
      <c r="DQ308" s="305"/>
      <c r="DR308" s="305"/>
      <c r="DS308" s="305"/>
      <c r="DT308" s="305"/>
      <c r="DU308" s="305"/>
      <c r="DV308" s="305"/>
      <c r="DW308" s="305"/>
      <c r="DX308" s="305"/>
      <c r="DY308" s="305"/>
      <c r="DZ308" s="305"/>
      <c r="EA308" s="305"/>
      <c r="EB308" s="305"/>
      <c r="EC308" s="305"/>
      <c r="ED308" s="305"/>
      <c r="EE308" s="305"/>
      <c r="EF308" s="305"/>
      <c r="EG308" s="305"/>
      <c r="EH308" s="305"/>
      <c r="EI308" s="305"/>
      <c r="EJ308" s="305"/>
      <c r="EK308" s="305"/>
      <c r="EL308" s="305"/>
      <c r="EM308" s="305"/>
      <c r="EN308" s="305"/>
      <c r="EO308" s="305"/>
      <c r="EP308" s="305"/>
      <c r="EQ308" s="305"/>
      <c r="ER308" s="305"/>
      <c r="ES308" s="305"/>
      <c r="ET308" s="305"/>
      <c r="EU308" s="305"/>
      <c r="EV308" s="305"/>
      <c r="EW308" s="305"/>
      <c r="EX308" s="305"/>
      <c r="EY308" s="305"/>
      <c r="EZ308" s="305"/>
      <c r="FA308" s="305"/>
      <c r="FB308" s="305"/>
      <c r="FC308" s="305"/>
      <c r="FD308" s="305"/>
      <c r="FE308" s="305"/>
      <c r="FF308" s="305"/>
      <c r="FG308" s="305"/>
      <c r="FH308" s="305"/>
      <c r="FI308" s="305"/>
      <c r="FJ308" s="305"/>
      <c r="FK308" s="305"/>
      <c r="FL308" s="305"/>
      <c r="FM308" s="305"/>
      <c r="FN308" s="305"/>
      <c r="FO308" s="305"/>
      <c r="FP308" s="305"/>
      <c r="FQ308" s="305"/>
      <c r="FR308" s="305"/>
      <c r="FS308" s="305"/>
      <c r="FT308" s="305"/>
      <c r="FU308" s="305"/>
      <c r="FV308" s="305"/>
      <c r="FW308" s="305"/>
      <c r="FX308" s="305"/>
      <c r="FY308" s="305"/>
      <c r="FZ308" s="305"/>
      <c r="GA308" s="305"/>
      <c r="GB308" s="305"/>
      <c r="GC308" s="305"/>
      <c r="GD308" s="305"/>
      <c r="GE308" s="305"/>
      <c r="GF308" s="305"/>
      <c r="GG308" s="305"/>
      <c r="GH308" s="305"/>
      <c r="GI308" s="305"/>
      <c r="GJ308" s="305"/>
      <c r="GK308" s="305"/>
      <c r="GL308" s="305"/>
      <c r="GM308" s="305"/>
      <c r="GN308" s="305"/>
      <c r="GO308" s="305"/>
      <c r="GP308" s="305"/>
      <c r="GQ308" s="305"/>
      <c r="GR308" s="305"/>
    </row>
    <row r="309" spans="3:200" s="318" customFormat="1" ht="12.75" customHeight="1" x14ac:dyDescent="0.2">
      <c r="C309" s="367"/>
      <c r="D309" s="403"/>
      <c r="E309" s="369"/>
      <c r="F309" s="369"/>
      <c r="G309" s="369"/>
      <c r="H309" s="369"/>
      <c r="I309" s="370"/>
      <c r="J309"/>
      <c r="K309" s="371"/>
      <c r="L309" s="371"/>
      <c r="M309" s="371"/>
      <c r="N309" s="371"/>
      <c r="O309" s="305"/>
      <c r="P309" s="305"/>
      <c r="Q309" s="305"/>
      <c r="R309" s="305"/>
      <c r="S309" s="305"/>
      <c r="T309" s="305"/>
      <c r="U309" s="305"/>
      <c r="V309" s="305"/>
      <c r="W309" s="305"/>
      <c r="X309" s="305"/>
      <c r="Y309" s="305"/>
      <c r="Z309" s="305"/>
      <c r="AA309" s="305"/>
      <c r="AB309" s="305"/>
      <c r="AC309" s="305"/>
      <c r="AD309" s="305"/>
      <c r="AE309" s="305"/>
      <c r="AF309" s="305"/>
      <c r="AG309" s="305"/>
      <c r="AH309" s="305"/>
      <c r="AI309" s="305"/>
      <c r="AJ309" s="305"/>
      <c r="AK309" s="305"/>
      <c r="AL309" s="305"/>
      <c r="AM309" s="305"/>
      <c r="AN309" s="305"/>
      <c r="AO309" s="305"/>
      <c r="AP309" s="305"/>
      <c r="AQ309" s="305"/>
      <c r="AR309" s="305"/>
      <c r="AS309" s="305"/>
      <c r="AT309" s="305"/>
      <c r="AU309" s="305"/>
      <c r="AV309" s="305"/>
      <c r="AW309" s="305"/>
      <c r="AX309" s="305"/>
      <c r="AY309" s="305"/>
      <c r="AZ309" s="305"/>
      <c r="BA309" s="305"/>
      <c r="BB309" s="305"/>
      <c r="BC309" s="305"/>
      <c r="BD309" s="305"/>
      <c r="BE309" s="305"/>
      <c r="BF309" s="305"/>
      <c r="BG309" s="305"/>
      <c r="BH309" s="305"/>
      <c r="BI309" s="305"/>
      <c r="BJ309" s="305"/>
      <c r="BK309" s="305"/>
      <c r="BL309" s="305"/>
      <c r="BM309" s="305"/>
      <c r="BN309" s="305"/>
      <c r="BO309" s="305"/>
      <c r="BP309" s="305"/>
      <c r="BQ309" s="305"/>
      <c r="BR309" s="305"/>
      <c r="BS309" s="305"/>
      <c r="BT309" s="305"/>
      <c r="BU309" s="305"/>
      <c r="BV309" s="305"/>
      <c r="BW309" s="305"/>
      <c r="BX309" s="305"/>
      <c r="BY309" s="305"/>
      <c r="BZ309" s="305"/>
      <c r="CA309" s="305"/>
      <c r="CB309" s="305"/>
      <c r="CC309" s="305"/>
      <c r="CD309" s="305"/>
      <c r="CE309" s="305"/>
      <c r="CF309" s="305"/>
      <c r="CG309" s="305"/>
      <c r="CH309" s="305"/>
      <c r="CI309" s="305"/>
      <c r="CJ309" s="305"/>
      <c r="CK309" s="305"/>
      <c r="CL309" s="305"/>
      <c r="CM309" s="305"/>
      <c r="CN309" s="305"/>
      <c r="CO309" s="305"/>
      <c r="CP309" s="305"/>
      <c r="CQ309" s="305"/>
      <c r="CR309" s="305"/>
      <c r="CS309" s="305"/>
      <c r="CT309" s="305"/>
      <c r="CU309" s="305"/>
      <c r="CV309" s="305"/>
      <c r="CW309" s="305"/>
      <c r="CX309" s="305"/>
      <c r="CY309" s="305"/>
      <c r="CZ309" s="305"/>
      <c r="DA309" s="305"/>
      <c r="DB309" s="305"/>
      <c r="DC309" s="305"/>
      <c r="DD309" s="305"/>
      <c r="DE309" s="305"/>
      <c r="DF309" s="305"/>
      <c r="DG309" s="305"/>
      <c r="DH309" s="305"/>
      <c r="DI309" s="305"/>
      <c r="DJ309" s="305"/>
      <c r="DK309" s="305"/>
      <c r="DL309" s="305"/>
      <c r="DM309" s="305"/>
      <c r="DN309" s="305"/>
      <c r="DO309" s="305"/>
      <c r="DP309" s="305"/>
      <c r="DQ309" s="305"/>
      <c r="DR309" s="305"/>
      <c r="DS309" s="305"/>
      <c r="DT309" s="305"/>
      <c r="DU309" s="305"/>
      <c r="DV309" s="305"/>
      <c r="DW309" s="305"/>
      <c r="DX309" s="305"/>
      <c r="DY309" s="305"/>
      <c r="DZ309" s="305"/>
      <c r="EA309" s="305"/>
      <c r="EB309" s="305"/>
      <c r="EC309" s="305"/>
      <c r="ED309" s="305"/>
      <c r="EE309" s="305"/>
      <c r="EF309" s="305"/>
      <c r="EG309" s="305"/>
      <c r="EH309" s="305"/>
      <c r="EI309" s="305"/>
      <c r="EJ309" s="305"/>
      <c r="EK309" s="305"/>
      <c r="EL309" s="305"/>
      <c r="EM309" s="305"/>
      <c r="EN309" s="305"/>
      <c r="EO309" s="305"/>
      <c r="EP309" s="305"/>
      <c r="EQ309" s="305"/>
      <c r="ER309" s="305"/>
      <c r="ES309" s="305"/>
      <c r="ET309" s="305"/>
      <c r="EU309" s="305"/>
      <c r="EV309" s="305"/>
      <c r="EW309" s="305"/>
      <c r="EX309" s="305"/>
      <c r="EY309" s="305"/>
      <c r="EZ309" s="305"/>
      <c r="FA309" s="305"/>
      <c r="FB309" s="305"/>
      <c r="FC309" s="305"/>
      <c r="FD309" s="305"/>
      <c r="FE309" s="305"/>
      <c r="FF309" s="305"/>
      <c r="FG309" s="305"/>
      <c r="FH309" s="305"/>
      <c r="FI309" s="305"/>
      <c r="FJ309" s="305"/>
      <c r="FK309" s="305"/>
      <c r="FL309" s="305"/>
      <c r="FM309" s="305"/>
      <c r="FN309" s="305"/>
      <c r="FO309" s="305"/>
      <c r="FP309" s="305"/>
      <c r="FQ309" s="305"/>
      <c r="FR309" s="305"/>
      <c r="FS309" s="305"/>
      <c r="FT309" s="305"/>
      <c r="FU309" s="305"/>
      <c r="FV309" s="305"/>
      <c r="FW309" s="305"/>
      <c r="FX309" s="305"/>
      <c r="FY309" s="305"/>
      <c r="FZ309" s="305"/>
      <c r="GA309" s="305"/>
      <c r="GB309" s="305"/>
      <c r="GC309" s="305"/>
      <c r="GD309" s="305"/>
      <c r="GE309" s="305"/>
      <c r="GF309" s="305"/>
      <c r="GG309" s="305"/>
      <c r="GH309" s="305"/>
      <c r="GI309" s="305"/>
      <c r="GJ309" s="305"/>
      <c r="GK309" s="305"/>
      <c r="GL309" s="305"/>
      <c r="GM309" s="305"/>
      <c r="GN309" s="305"/>
      <c r="GO309" s="305"/>
      <c r="GP309" s="305"/>
      <c r="GQ309" s="305"/>
      <c r="GR309" s="305"/>
    </row>
    <row r="310" spans="3:200" s="318" customFormat="1" ht="12.75" customHeight="1" x14ac:dyDescent="0.2">
      <c r="C310" s="367"/>
      <c r="D310" s="403"/>
      <c r="E310" s="369"/>
      <c r="F310" s="369"/>
      <c r="G310" s="369"/>
      <c r="H310" s="369"/>
      <c r="I310" s="370"/>
      <c r="J310"/>
      <c r="K310" s="371"/>
      <c r="L310" s="371"/>
      <c r="M310" s="371"/>
      <c r="N310" s="371"/>
      <c r="O310" s="305"/>
      <c r="P310" s="305"/>
      <c r="Q310" s="305"/>
      <c r="R310" s="305"/>
      <c r="S310" s="305"/>
      <c r="T310" s="305"/>
      <c r="U310" s="305"/>
      <c r="V310" s="305"/>
      <c r="W310" s="305"/>
      <c r="X310" s="305"/>
      <c r="Y310" s="305"/>
      <c r="Z310" s="305"/>
      <c r="AA310" s="305"/>
      <c r="AB310" s="305"/>
      <c r="AC310" s="305"/>
      <c r="AD310" s="305"/>
      <c r="AE310" s="305"/>
      <c r="AF310" s="305"/>
      <c r="AG310" s="305"/>
      <c r="AH310" s="305"/>
      <c r="AI310" s="305"/>
      <c r="AJ310" s="305"/>
      <c r="AK310" s="305"/>
      <c r="AL310" s="305"/>
      <c r="AM310" s="305"/>
      <c r="AN310" s="305"/>
      <c r="AO310" s="305"/>
      <c r="AP310" s="305"/>
      <c r="AQ310" s="305"/>
      <c r="AR310" s="305"/>
      <c r="AS310" s="305"/>
      <c r="AT310" s="305"/>
      <c r="AU310" s="305"/>
      <c r="AV310" s="305"/>
      <c r="AW310" s="305"/>
      <c r="AX310" s="305"/>
      <c r="AY310" s="305"/>
      <c r="AZ310" s="305"/>
      <c r="BA310" s="305"/>
      <c r="BB310" s="305"/>
      <c r="BC310" s="305"/>
      <c r="BD310" s="305"/>
      <c r="BE310" s="305"/>
      <c r="BF310" s="305"/>
      <c r="BG310" s="305"/>
      <c r="BH310" s="305"/>
      <c r="BI310" s="305"/>
      <c r="BJ310" s="305"/>
      <c r="BK310" s="305"/>
      <c r="BL310" s="305"/>
      <c r="BM310" s="305"/>
      <c r="BN310" s="305"/>
      <c r="BO310" s="305"/>
      <c r="BP310" s="305"/>
      <c r="BQ310" s="305"/>
      <c r="BR310" s="305"/>
      <c r="BS310" s="305"/>
      <c r="BT310" s="305"/>
      <c r="BU310" s="305"/>
      <c r="BV310" s="305"/>
      <c r="BW310" s="305"/>
      <c r="BX310" s="305"/>
      <c r="BY310" s="305"/>
      <c r="BZ310" s="305"/>
      <c r="CA310" s="305"/>
      <c r="CB310" s="305"/>
      <c r="CC310" s="305"/>
      <c r="CD310" s="305"/>
      <c r="CE310" s="305"/>
      <c r="CF310" s="305"/>
      <c r="CG310" s="305"/>
      <c r="CH310" s="305"/>
      <c r="CI310" s="305"/>
      <c r="CJ310" s="305"/>
      <c r="CK310" s="305"/>
      <c r="CL310" s="305"/>
      <c r="CM310" s="305"/>
      <c r="CN310" s="305"/>
      <c r="CO310" s="305"/>
      <c r="CP310" s="305"/>
      <c r="CQ310" s="305"/>
      <c r="CR310" s="305"/>
      <c r="CS310" s="305"/>
      <c r="CT310" s="305"/>
      <c r="CU310" s="305"/>
      <c r="CV310" s="305"/>
      <c r="CW310" s="305"/>
      <c r="CX310" s="305"/>
      <c r="CY310" s="305"/>
      <c r="CZ310" s="305"/>
      <c r="DA310" s="305"/>
      <c r="DB310" s="305"/>
      <c r="DC310" s="305"/>
      <c r="DD310" s="305"/>
      <c r="DE310" s="305"/>
      <c r="DF310" s="305"/>
      <c r="DG310" s="305"/>
      <c r="DH310" s="305"/>
      <c r="DI310" s="305"/>
      <c r="DJ310" s="305"/>
      <c r="DK310" s="305"/>
      <c r="DL310" s="305"/>
      <c r="DM310" s="305"/>
      <c r="DN310" s="305"/>
      <c r="DO310" s="305"/>
      <c r="DP310" s="305"/>
      <c r="DQ310" s="305"/>
      <c r="DR310" s="305"/>
      <c r="DS310" s="305"/>
      <c r="DT310" s="305"/>
      <c r="DU310" s="305"/>
      <c r="DV310" s="305"/>
      <c r="DW310" s="305"/>
      <c r="DX310" s="305"/>
      <c r="DY310" s="305"/>
      <c r="DZ310" s="305"/>
      <c r="EA310" s="305"/>
      <c r="EB310" s="305"/>
      <c r="EC310" s="305"/>
      <c r="ED310" s="305"/>
      <c r="EE310" s="305"/>
      <c r="EF310" s="305"/>
      <c r="EG310" s="305"/>
      <c r="EH310" s="305"/>
      <c r="EI310" s="305"/>
      <c r="EJ310" s="305"/>
      <c r="EK310" s="305"/>
      <c r="EL310" s="305"/>
      <c r="EM310" s="305"/>
      <c r="EN310" s="305"/>
      <c r="EO310" s="305"/>
      <c r="EP310" s="305"/>
      <c r="EQ310" s="305"/>
      <c r="ER310" s="305"/>
      <c r="ES310" s="305"/>
      <c r="ET310" s="305"/>
      <c r="EU310" s="305"/>
      <c r="EV310" s="305"/>
      <c r="EW310" s="305"/>
      <c r="EX310" s="305"/>
      <c r="EY310" s="305"/>
      <c r="EZ310" s="305"/>
      <c r="FA310" s="305"/>
      <c r="FB310" s="305"/>
      <c r="FC310" s="305"/>
      <c r="FD310" s="305"/>
      <c r="FE310" s="305"/>
      <c r="FF310" s="305"/>
      <c r="FG310" s="305"/>
      <c r="FH310" s="305"/>
      <c r="FI310" s="305"/>
      <c r="FJ310" s="305"/>
      <c r="FK310" s="305"/>
      <c r="FL310" s="305"/>
      <c r="FM310" s="305"/>
      <c r="FN310" s="305"/>
      <c r="FO310" s="305"/>
      <c r="FP310" s="305"/>
      <c r="FQ310" s="305"/>
      <c r="FR310" s="305"/>
      <c r="FS310" s="305"/>
      <c r="FT310" s="305"/>
      <c r="FU310" s="305"/>
      <c r="FV310" s="305"/>
      <c r="FW310" s="305"/>
      <c r="FX310" s="305"/>
      <c r="FY310" s="305"/>
      <c r="FZ310" s="305"/>
      <c r="GA310" s="305"/>
      <c r="GB310" s="305"/>
      <c r="GC310" s="305"/>
      <c r="GD310" s="305"/>
      <c r="GE310" s="305"/>
      <c r="GF310" s="305"/>
      <c r="GG310" s="305"/>
      <c r="GH310" s="305"/>
      <c r="GI310" s="305"/>
      <c r="GJ310" s="305"/>
      <c r="GK310" s="305"/>
      <c r="GL310" s="305"/>
      <c r="GM310" s="305"/>
      <c r="GN310" s="305"/>
      <c r="GO310" s="305"/>
      <c r="GP310" s="305"/>
      <c r="GQ310" s="305"/>
      <c r="GR310" s="305"/>
    </row>
    <row r="311" spans="3:200" s="318" customFormat="1" ht="12.75" customHeight="1" x14ac:dyDescent="0.2">
      <c r="C311" s="367"/>
      <c r="D311" s="403"/>
      <c r="E311" s="369"/>
      <c r="F311" s="369"/>
      <c r="G311" s="369"/>
      <c r="H311" s="369"/>
      <c r="I311" s="370"/>
      <c r="J311"/>
      <c r="K311" s="371"/>
      <c r="L311" s="371"/>
      <c r="M311" s="371"/>
      <c r="N311" s="371"/>
      <c r="O311" s="305"/>
      <c r="P311" s="305"/>
      <c r="Q311" s="305"/>
      <c r="R311" s="305"/>
      <c r="S311" s="305"/>
      <c r="T311" s="305"/>
      <c r="U311" s="305"/>
      <c r="V311" s="305"/>
      <c r="W311" s="305"/>
      <c r="X311" s="305"/>
      <c r="Y311" s="305"/>
      <c r="Z311" s="305"/>
      <c r="AA311" s="305"/>
      <c r="AB311" s="305"/>
      <c r="AC311" s="305"/>
      <c r="AD311" s="305"/>
      <c r="AE311" s="305"/>
      <c r="AF311" s="305"/>
      <c r="AG311" s="305"/>
      <c r="AH311" s="305"/>
      <c r="AI311" s="305"/>
      <c r="AJ311" s="305"/>
      <c r="AK311" s="305"/>
      <c r="AL311" s="305"/>
      <c r="AM311" s="305"/>
      <c r="AN311" s="305"/>
      <c r="AO311" s="305"/>
      <c r="AP311" s="305"/>
      <c r="AQ311" s="305"/>
      <c r="AR311" s="305"/>
      <c r="AS311" s="305"/>
      <c r="AT311" s="305"/>
      <c r="AU311" s="305"/>
      <c r="AV311" s="305"/>
      <c r="AW311" s="305"/>
      <c r="AX311" s="305"/>
      <c r="AY311" s="305"/>
      <c r="AZ311" s="305"/>
      <c r="BA311" s="305"/>
      <c r="BB311" s="305"/>
      <c r="BC311" s="305"/>
      <c r="BD311" s="305"/>
      <c r="BE311" s="305"/>
      <c r="BF311" s="305"/>
      <c r="BG311" s="305"/>
      <c r="BH311" s="305"/>
      <c r="BI311" s="305"/>
      <c r="BJ311" s="305"/>
      <c r="BK311" s="305"/>
      <c r="BL311" s="305"/>
      <c r="BM311" s="305"/>
      <c r="BN311" s="305"/>
      <c r="BO311" s="305"/>
      <c r="BP311" s="305"/>
      <c r="BQ311" s="305"/>
      <c r="BR311" s="305"/>
      <c r="BS311" s="305"/>
      <c r="BT311" s="305"/>
      <c r="BU311" s="305"/>
      <c r="BV311" s="305"/>
      <c r="BW311" s="305"/>
      <c r="BX311" s="305"/>
      <c r="BY311" s="305"/>
      <c r="BZ311" s="305"/>
      <c r="CA311" s="305"/>
      <c r="CB311" s="305"/>
      <c r="CC311" s="305"/>
      <c r="CD311" s="305"/>
      <c r="CE311" s="305"/>
      <c r="CF311" s="305"/>
      <c r="CG311" s="305"/>
      <c r="CH311" s="305"/>
      <c r="CI311" s="305"/>
      <c r="CJ311" s="305"/>
      <c r="CK311" s="305"/>
      <c r="CL311" s="305"/>
      <c r="CM311" s="305"/>
      <c r="CN311" s="305"/>
      <c r="CO311" s="305"/>
      <c r="CP311" s="305"/>
      <c r="CQ311" s="305"/>
      <c r="CR311" s="305"/>
      <c r="CS311" s="305"/>
      <c r="CT311" s="305"/>
      <c r="CU311" s="305"/>
      <c r="CV311" s="305"/>
      <c r="CW311" s="305"/>
      <c r="CX311" s="305"/>
      <c r="CY311" s="305"/>
      <c r="CZ311" s="305"/>
      <c r="DA311" s="305"/>
      <c r="DB311" s="305"/>
      <c r="DC311" s="305"/>
      <c r="DD311" s="305"/>
      <c r="DE311" s="305"/>
      <c r="DF311" s="305"/>
      <c r="DG311" s="305"/>
      <c r="DH311" s="305"/>
      <c r="DI311" s="305"/>
      <c r="DJ311" s="305"/>
      <c r="DK311" s="305"/>
      <c r="DL311" s="305"/>
      <c r="DM311" s="305"/>
      <c r="DN311" s="305"/>
      <c r="DO311" s="305"/>
      <c r="DP311" s="305"/>
      <c r="DQ311" s="305"/>
      <c r="DR311" s="305"/>
      <c r="DS311" s="305"/>
      <c r="DT311" s="305"/>
      <c r="DU311" s="305"/>
      <c r="DV311" s="305"/>
      <c r="DW311" s="305"/>
      <c r="DX311" s="305"/>
      <c r="DY311" s="305"/>
      <c r="DZ311" s="305"/>
      <c r="EA311" s="305"/>
      <c r="EB311" s="305"/>
      <c r="EC311" s="305"/>
      <c r="ED311" s="305"/>
      <c r="EE311" s="305"/>
      <c r="EF311" s="305"/>
      <c r="EG311" s="305"/>
      <c r="EH311" s="305"/>
      <c r="EI311" s="305"/>
      <c r="EJ311" s="305"/>
      <c r="EK311" s="305"/>
      <c r="EL311" s="305"/>
      <c r="EM311" s="305"/>
      <c r="EN311" s="305"/>
      <c r="EO311" s="305"/>
      <c r="EP311" s="305"/>
      <c r="EQ311" s="305"/>
      <c r="ER311" s="305"/>
      <c r="ES311" s="305"/>
      <c r="ET311" s="305"/>
      <c r="EU311" s="305"/>
      <c r="EV311" s="305"/>
      <c r="EW311" s="305"/>
      <c r="EX311" s="305"/>
      <c r="EY311" s="305"/>
      <c r="EZ311" s="305"/>
      <c r="FA311" s="305"/>
      <c r="FB311" s="305"/>
      <c r="FC311" s="305"/>
      <c r="FD311" s="305"/>
      <c r="FE311" s="305"/>
      <c r="FF311" s="305"/>
      <c r="FG311" s="305"/>
      <c r="FH311" s="305"/>
      <c r="FI311" s="305"/>
      <c r="FJ311" s="305"/>
      <c r="FK311" s="305"/>
      <c r="FL311" s="305"/>
      <c r="FM311" s="305"/>
      <c r="FN311" s="305"/>
      <c r="FO311" s="305"/>
      <c r="FP311" s="305"/>
      <c r="FQ311" s="305"/>
      <c r="FR311" s="305"/>
      <c r="FS311" s="305"/>
      <c r="FT311" s="305"/>
      <c r="FU311" s="305"/>
      <c r="FV311" s="305"/>
      <c r="FW311" s="305"/>
      <c r="FX311" s="305"/>
      <c r="FY311" s="305"/>
      <c r="FZ311" s="305"/>
      <c r="GA311" s="305"/>
      <c r="GB311" s="305"/>
      <c r="GC311" s="305"/>
      <c r="GD311" s="305"/>
      <c r="GE311" s="305"/>
      <c r="GF311" s="305"/>
      <c r="GG311" s="305"/>
      <c r="GH311" s="305"/>
      <c r="GI311" s="305"/>
      <c r="GJ311" s="305"/>
      <c r="GK311" s="305"/>
      <c r="GL311" s="305"/>
      <c r="GM311" s="305"/>
      <c r="GN311" s="305"/>
      <c r="GO311" s="305"/>
      <c r="GP311" s="305"/>
      <c r="GQ311" s="305"/>
      <c r="GR311" s="305"/>
    </row>
    <row r="312" spans="3:200" s="318" customFormat="1" ht="12.75" customHeight="1" x14ac:dyDescent="0.2">
      <c r="C312" s="367"/>
      <c r="D312" s="403"/>
      <c r="E312" s="369"/>
      <c r="F312" s="369"/>
      <c r="G312" s="369"/>
      <c r="H312" s="369"/>
      <c r="I312" s="370"/>
      <c r="J312"/>
      <c r="K312" s="371"/>
      <c r="L312" s="371"/>
      <c r="M312" s="371"/>
      <c r="N312" s="371"/>
      <c r="O312" s="305"/>
      <c r="P312" s="305"/>
      <c r="Q312" s="305"/>
      <c r="R312" s="305"/>
      <c r="S312" s="305"/>
      <c r="T312" s="305"/>
      <c r="U312" s="305"/>
      <c r="V312" s="305"/>
      <c r="W312" s="305"/>
      <c r="X312" s="305"/>
      <c r="Y312" s="305"/>
      <c r="Z312" s="305"/>
      <c r="AA312" s="305"/>
      <c r="AB312" s="305"/>
      <c r="AC312" s="305"/>
      <c r="AD312" s="305"/>
      <c r="AE312" s="305"/>
      <c r="AF312" s="305"/>
      <c r="AG312" s="305"/>
      <c r="AH312" s="305"/>
      <c r="AI312" s="305"/>
      <c r="AJ312" s="305"/>
      <c r="AK312" s="305"/>
      <c r="AL312" s="305"/>
      <c r="AM312" s="305"/>
      <c r="AN312" s="305"/>
      <c r="AO312" s="305"/>
      <c r="AP312" s="305"/>
      <c r="AQ312" s="305"/>
      <c r="AR312" s="305"/>
      <c r="AS312" s="305"/>
      <c r="AT312" s="305"/>
      <c r="AU312" s="305"/>
      <c r="AV312" s="305"/>
      <c r="AW312" s="305"/>
      <c r="AX312" s="305"/>
      <c r="AY312" s="305"/>
      <c r="AZ312" s="305"/>
      <c r="BA312" s="305"/>
      <c r="BB312" s="305"/>
      <c r="BC312" s="305"/>
      <c r="BD312" s="305"/>
      <c r="BE312" s="305"/>
      <c r="BF312" s="305"/>
      <c r="BG312" s="305"/>
      <c r="BH312" s="305"/>
      <c r="BI312" s="305"/>
      <c r="BJ312" s="305"/>
      <c r="BK312" s="305"/>
      <c r="BL312" s="305"/>
      <c r="BM312" s="305"/>
      <c r="BN312" s="305"/>
      <c r="BO312" s="305"/>
      <c r="BP312" s="305"/>
      <c r="BQ312" s="305"/>
      <c r="BR312" s="305"/>
      <c r="BS312" s="305"/>
      <c r="BT312" s="305"/>
      <c r="BU312" s="305"/>
      <c r="BV312" s="305"/>
      <c r="BW312" s="305"/>
      <c r="BX312" s="305"/>
      <c r="BY312" s="305"/>
      <c r="BZ312" s="305"/>
      <c r="CA312" s="305"/>
      <c r="CB312" s="305"/>
      <c r="CC312" s="305"/>
      <c r="CD312" s="305"/>
      <c r="CE312" s="305"/>
      <c r="CF312" s="305"/>
      <c r="CG312" s="305"/>
      <c r="CH312" s="305"/>
      <c r="CI312" s="305"/>
      <c r="CJ312" s="305"/>
      <c r="CK312" s="305"/>
      <c r="CL312" s="305"/>
      <c r="CM312" s="305"/>
      <c r="CN312" s="305"/>
      <c r="CO312" s="305"/>
      <c r="CP312" s="305"/>
      <c r="CQ312" s="305"/>
      <c r="CR312" s="305"/>
      <c r="CS312" s="305"/>
      <c r="CT312" s="305"/>
      <c r="CU312" s="305"/>
      <c r="CV312" s="305"/>
      <c r="CW312" s="305"/>
      <c r="CX312" s="305"/>
      <c r="CY312" s="305"/>
      <c r="CZ312" s="305"/>
      <c r="DA312" s="305"/>
      <c r="DB312" s="305"/>
      <c r="DC312" s="305"/>
      <c r="DD312" s="305"/>
      <c r="DE312" s="305"/>
      <c r="DF312" s="305"/>
      <c r="DG312" s="305"/>
      <c r="DH312" s="305"/>
      <c r="DI312" s="305"/>
      <c r="DJ312" s="305"/>
      <c r="DK312" s="305"/>
      <c r="DL312" s="305"/>
      <c r="DM312" s="305"/>
      <c r="DN312" s="305"/>
      <c r="DO312" s="305"/>
      <c r="DP312" s="305"/>
      <c r="DQ312" s="305"/>
      <c r="DR312" s="305"/>
      <c r="DS312" s="305"/>
      <c r="DT312" s="305"/>
      <c r="DU312" s="305"/>
      <c r="DV312" s="305"/>
      <c r="DW312" s="305"/>
      <c r="DX312" s="305"/>
      <c r="DY312" s="305"/>
      <c r="DZ312" s="305"/>
      <c r="EA312" s="305"/>
      <c r="EB312" s="305"/>
      <c r="EC312" s="305"/>
      <c r="ED312" s="305"/>
      <c r="EE312" s="305"/>
      <c r="EF312" s="305"/>
      <c r="EG312" s="305"/>
      <c r="EH312" s="305"/>
      <c r="EI312" s="305"/>
      <c r="EJ312" s="305"/>
      <c r="EK312" s="305"/>
      <c r="EL312" s="305"/>
      <c r="EM312" s="305"/>
      <c r="EN312" s="305"/>
      <c r="EO312" s="305"/>
      <c r="EP312" s="305"/>
      <c r="EQ312" s="305"/>
      <c r="ER312" s="305"/>
      <c r="ES312" s="305"/>
      <c r="ET312" s="305"/>
      <c r="EU312" s="305"/>
      <c r="EV312" s="305"/>
      <c r="EW312" s="305"/>
      <c r="EX312" s="305"/>
      <c r="EY312" s="305"/>
      <c r="EZ312" s="305"/>
      <c r="FA312" s="305"/>
      <c r="FB312" s="305"/>
      <c r="FC312" s="305"/>
      <c r="FD312" s="305"/>
      <c r="FE312" s="305"/>
      <c r="FF312" s="305"/>
      <c r="FG312" s="305"/>
      <c r="FH312" s="305"/>
      <c r="FI312" s="305"/>
      <c r="FJ312" s="305"/>
      <c r="FK312" s="305"/>
      <c r="FL312" s="305"/>
      <c r="FM312" s="305"/>
      <c r="FN312" s="305"/>
      <c r="FO312" s="305"/>
      <c r="FP312" s="305"/>
      <c r="FQ312" s="305"/>
      <c r="FR312" s="305"/>
      <c r="FS312" s="305"/>
      <c r="FT312" s="305"/>
      <c r="FU312" s="305"/>
      <c r="FV312" s="305"/>
      <c r="FW312" s="305"/>
      <c r="FX312" s="305"/>
      <c r="FY312" s="305"/>
      <c r="FZ312" s="305"/>
      <c r="GA312" s="305"/>
      <c r="GB312" s="305"/>
      <c r="GC312" s="305"/>
      <c r="GD312" s="305"/>
      <c r="GE312" s="305"/>
      <c r="GF312" s="305"/>
      <c r="GG312" s="305"/>
      <c r="GH312" s="305"/>
      <c r="GI312" s="305"/>
      <c r="GJ312" s="305"/>
      <c r="GK312" s="305"/>
      <c r="GL312" s="305"/>
      <c r="GM312" s="305"/>
      <c r="GN312" s="305"/>
      <c r="GO312" s="305"/>
      <c r="GP312" s="305"/>
      <c r="GQ312" s="305"/>
      <c r="GR312" s="305"/>
    </row>
    <row r="313" spans="3:200" s="318" customFormat="1" ht="12.75" customHeight="1" x14ac:dyDescent="0.2">
      <c r="C313" s="367"/>
      <c r="D313" s="403"/>
      <c r="E313" s="369"/>
      <c r="F313" s="369"/>
      <c r="G313" s="369"/>
      <c r="H313" s="369"/>
      <c r="I313" s="370"/>
      <c r="J313"/>
      <c r="K313" s="371"/>
      <c r="L313" s="371"/>
      <c r="M313" s="371"/>
      <c r="N313" s="371"/>
      <c r="O313" s="305"/>
      <c r="P313" s="305"/>
      <c r="Q313" s="305"/>
      <c r="R313" s="305"/>
      <c r="S313" s="305"/>
      <c r="T313" s="305"/>
      <c r="U313" s="305"/>
      <c r="V313" s="305"/>
      <c r="W313" s="305"/>
      <c r="X313" s="305"/>
      <c r="Y313" s="305"/>
      <c r="Z313" s="305"/>
      <c r="AA313" s="305"/>
      <c r="AB313" s="305"/>
      <c r="AC313" s="305"/>
      <c r="AD313" s="305"/>
      <c r="AE313" s="305"/>
      <c r="AF313" s="305"/>
      <c r="AG313" s="305"/>
      <c r="AH313" s="305"/>
      <c r="AI313" s="305"/>
      <c r="AJ313" s="305"/>
      <c r="AK313" s="305"/>
      <c r="AL313" s="305"/>
      <c r="AM313" s="305"/>
      <c r="AN313" s="305"/>
      <c r="AO313" s="305"/>
      <c r="AP313" s="305"/>
      <c r="AQ313" s="305"/>
      <c r="AR313" s="305"/>
      <c r="AS313" s="305"/>
      <c r="AT313" s="305"/>
      <c r="AU313" s="305"/>
      <c r="AV313" s="305"/>
      <c r="AW313" s="305"/>
      <c r="AX313" s="305"/>
      <c r="AY313" s="305"/>
      <c r="AZ313" s="305"/>
      <c r="BA313" s="305"/>
      <c r="BB313" s="305"/>
      <c r="BC313" s="305"/>
      <c r="BD313" s="305"/>
      <c r="BE313" s="305"/>
      <c r="BF313" s="305"/>
      <c r="BG313" s="305"/>
      <c r="BH313" s="305"/>
      <c r="BI313" s="305"/>
      <c r="BJ313" s="305"/>
      <c r="BK313" s="305"/>
      <c r="BL313" s="305"/>
      <c r="BM313" s="305"/>
      <c r="BN313" s="305"/>
      <c r="BO313" s="305"/>
      <c r="BP313" s="305"/>
      <c r="BQ313" s="305"/>
      <c r="BR313" s="305"/>
      <c r="BS313" s="305"/>
      <c r="BT313" s="305"/>
      <c r="BU313" s="305"/>
      <c r="BV313" s="305"/>
      <c r="BW313" s="305"/>
      <c r="BX313" s="305"/>
      <c r="BY313" s="305"/>
      <c r="BZ313" s="305"/>
      <c r="CA313" s="305"/>
      <c r="CB313" s="305"/>
      <c r="CC313" s="305"/>
      <c r="CD313" s="305"/>
      <c r="CE313" s="305"/>
      <c r="CF313" s="305"/>
      <c r="CG313" s="305"/>
      <c r="CH313" s="305"/>
      <c r="CI313" s="305"/>
      <c r="CJ313" s="305"/>
      <c r="CK313" s="305"/>
      <c r="CL313" s="305"/>
      <c r="CM313" s="305"/>
      <c r="CN313" s="305"/>
      <c r="CO313" s="305"/>
      <c r="CP313" s="305"/>
      <c r="CQ313" s="305"/>
      <c r="CR313" s="305"/>
      <c r="CS313" s="305"/>
      <c r="CT313" s="305"/>
      <c r="CU313" s="305"/>
      <c r="CV313" s="305"/>
      <c r="CW313" s="305"/>
      <c r="CX313" s="305"/>
      <c r="CY313" s="305"/>
      <c r="CZ313" s="305"/>
      <c r="DA313" s="305"/>
      <c r="DB313" s="305"/>
      <c r="DC313" s="305"/>
      <c r="DD313" s="305"/>
      <c r="DE313" s="305"/>
      <c r="DF313" s="305"/>
      <c r="DG313" s="305"/>
      <c r="DH313" s="305"/>
      <c r="DI313" s="305"/>
      <c r="DJ313" s="305"/>
      <c r="DK313" s="305"/>
      <c r="DL313" s="305"/>
      <c r="DM313" s="305"/>
      <c r="DN313" s="305"/>
      <c r="DO313" s="305"/>
      <c r="DP313" s="305"/>
      <c r="DQ313" s="305"/>
      <c r="DR313" s="305"/>
      <c r="DS313" s="305"/>
      <c r="DT313" s="305"/>
      <c r="DU313" s="305"/>
      <c r="DV313" s="305"/>
      <c r="DW313" s="305"/>
      <c r="DX313" s="305"/>
      <c r="DY313" s="305"/>
      <c r="DZ313" s="305"/>
      <c r="EA313" s="305"/>
      <c r="EB313" s="305"/>
      <c r="EC313" s="305"/>
      <c r="ED313" s="305"/>
      <c r="EE313" s="305"/>
      <c r="EF313" s="305"/>
      <c r="EG313" s="305"/>
      <c r="EH313" s="305"/>
      <c r="EI313" s="305"/>
      <c r="EJ313" s="305"/>
      <c r="EK313" s="305"/>
      <c r="EL313" s="305"/>
      <c r="EM313" s="305"/>
      <c r="EN313" s="305"/>
      <c r="EO313" s="305"/>
      <c r="EP313" s="305"/>
      <c r="EQ313" s="305"/>
      <c r="ER313" s="305"/>
      <c r="ES313" s="305"/>
      <c r="ET313" s="305"/>
      <c r="EU313" s="305"/>
      <c r="EV313" s="305"/>
      <c r="EW313" s="305"/>
      <c r="EX313" s="305"/>
      <c r="EY313" s="305"/>
      <c r="EZ313" s="305"/>
      <c r="FA313" s="305"/>
      <c r="FB313" s="305"/>
      <c r="FC313" s="305"/>
      <c r="FD313" s="305"/>
      <c r="FE313" s="305"/>
      <c r="FF313" s="305"/>
      <c r="FG313" s="305"/>
      <c r="FH313" s="305"/>
      <c r="FI313" s="305"/>
      <c r="FJ313" s="305"/>
      <c r="FK313" s="305"/>
      <c r="FL313" s="305"/>
      <c r="FM313" s="305"/>
      <c r="FN313" s="305"/>
      <c r="FO313" s="305"/>
      <c r="FP313" s="305"/>
      <c r="FQ313" s="305"/>
      <c r="FR313" s="305"/>
      <c r="FS313" s="305"/>
      <c r="FT313" s="305"/>
      <c r="FU313" s="305"/>
      <c r="FV313" s="305"/>
      <c r="FW313" s="305"/>
      <c r="FX313" s="305"/>
      <c r="FY313" s="305"/>
      <c r="FZ313" s="305"/>
      <c r="GA313" s="305"/>
      <c r="GB313" s="305"/>
      <c r="GC313" s="305"/>
      <c r="GD313" s="305"/>
      <c r="GE313" s="305"/>
      <c r="GF313" s="305"/>
      <c r="GG313" s="305"/>
      <c r="GH313" s="305"/>
      <c r="GI313" s="305"/>
      <c r="GJ313" s="305"/>
      <c r="GK313" s="305"/>
      <c r="GL313" s="305"/>
      <c r="GM313" s="305"/>
      <c r="GN313" s="305"/>
      <c r="GO313" s="305"/>
      <c r="GP313" s="305"/>
      <c r="GQ313" s="305"/>
      <c r="GR313" s="305"/>
    </row>
    <row r="314" spans="3:200" s="318" customFormat="1" ht="12.75" customHeight="1" x14ac:dyDescent="0.2">
      <c r="C314" s="367"/>
      <c r="D314" s="403"/>
      <c r="E314" s="369"/>
      <c r="F314" s="369"/>
      <c r="G314" s="369"/>
      <c r="H314" s="369"/>
      <c r="I314" s="370"/>
      <c r="J314"/>
      <c r="K314" s="371"/>
      <c r="L314" s="371"/>
      <c r="M314" s="371"/>
      <c r="N314" s="371"/>
      <c r="O314" s="305"/>
      <c r="P314" s="305"/>
      <c r="Q314" s="305"/>
      <c r="R314" s="305"/>
      <c r="S314" s="305"/>
      <c r="T314" s="305"/>
      <c r="U314" s="305"/>
      <c r="V314" s="305"/>
      <c r="W314" s="305"/>
      <c r="X314" s="305"/>
      <c r="Y314" s="305"/>
      <c r="Z314" s="305"/>
      <c r="AA314" s="305"/>
      <c r="AB314" s="305"/>
      <c r="AC314" s="305"/>
      <c r="AD314" s="305"/>
      <c r="AE314" s="305"/>
      <c r="AF314" s="305"/>
      <c r="AG314" s="305"/>
      <c r="AH314" s="305"/>
      <c r="AI314" s="305"/>
      <c r="AJ314" s="305"/>
      <c r="AK314" s="305"/>
      <c r="AL314" s="305"/>
      <c r="AM314" s="305"/>
      <c r="AN314" s="305"/>
      <c r="AO314" s="305"/>
      <c r="AP314" s="305"/>
      <c r="AQ314" s="305"/>
      <c r="AR314" s="305"/>
      <c r="AS314" s="305"/>
      <c r="AT314" s="305"/>
      <c r="AU314" s="305"/>
      <c r="AV314" s="305"/>
      <c r="AW314" s="305"/>
      <c r="AX314" s="305"/>
      <c r="AY314" s="305"/>
      <c r="AZ314" s="305"/>
      <c r="BA314" s="305"/>
      <c r="BB314" s="305"/>
      <c r="BC314" s="305"/>
      <c r="BD314" s="305"/>
      <c r="BE314" s="305"/>
      <c r="BF314" s="305"/>
      <c r="BG314" s="305"/>
      <c r="BH314" s="305"/>
      <c r="BI314" s="305"/>
      <c r="BJ314" s="305"/>
      <c r="BK314" s="305"/>
      <c r="BL314" s="305"/>
      <c r="BM314" s="305"/>
      <c r="BN314" s="305"/>
      <c r="BO314" s="305"/>
      <c r="BP314" s="305"/>
      <c r="BQ314" s="305"/>
      <c r="BR314" s="305"/>
      <c r="BS314" s="305"/>
      <c r="BT314" s="305"/>
      <c r="BU314" s="305"/>
      <c r="BV314" s="305"/>
      <c r="BW314" s="305"/>
      <c r="BX314" s="305"/>
      <c r="BY314" s="305"/>
      <c r="BZ314" s="305"/>
      <c r="CA314" s="305"/>
      <c r="CB314" s="305"/>
      <c r="CC314" s="305"/>
      <c r="CD314" s="305"/>
      <c r="CE314" s="305"/>
      <c r="CF314" s="305"/>
      <c r="CG314" s="305"/>
      <c r="CH314" s="305"/>
      <c r="CI314" s="305"/>
      <c r="CJ314" s="305"/>
      <c r="CK314" s="305"/>
      <c r="CL314" s="305"/>
      <c r="CM314" s="305"/>
      <c r="CN314" s="305"/>
      <c r="CO314" s="305"/>
      <c r="CP314" s="305"/>
      <c r="CQ314" s="305"/>
      <c r="CR314" s="305"/>
      <c r="CS314" s="305"/>
      <c r="CT314" s="305"/>
      <c r="CU314" s="305"/>
      <c r="CV314" s="305"/>
      <c r="CW314" s="305"/>
      <c r="CX314" s="305"/>
      <c r="CY314" s="305"/>
      <c r="CZ314" s="305"/>
      <c r="DA314" s="305"/>
      <c r="DB314" s="305"/>
      <c r="DC314" s="305"/>
      <c r="DD314" s="305"/>
      <c r="DE314" s="305"/>
      <c r="DF314" s="305"/>
      <c r="DG314" s="305"/>
      <c r="DH314" s="305"/>
      <c r="DI314" s="305"/>
      <c r="DJ314" s="305"/>
      <c r="DK314" s="305"/>
      <c r="DL314" s="305"/>
      <c r="DM314" s="305"/>
      <c r="DN314" s="305"/>
      <c r="DO314" s="305"/>
      <c r="DP314" s="305"/>
      <c r="DQ314" s="305"/>
      <c r="DR314" s="305"/>
      <c r="DS314" s="305"/>
      <c r="DT314" s="305"/>
      <c r="DU314" s="305"/>
      <c r="DV314" s="305"/>
      <c r="DW314" s="305"/>
      <c r="DX314" s="305"/>
      <c r="DY314" s="305"/>
      <c r="DZ314" s="305"/>
      <c r="EA314" s="305"/>
      <c r="EB314" s="305"/>
      <c r="EC314" s="305"/>
      <c r="ED314" s="305"/>
      <c r="EE314" s="305"/>
      <c r="EF314" s="305"/>
      <c r="EG314" s="305"/>
      <c r="EH314" s="305"/>
      <c r="EI314" s="305"/>
      <c r="EJ314" s="305"/>
      <c r="EK314" s="305"/>
      <c r="EL314" s="305"/>
      <c r="EM314" s="305"/>
      <c r="EN314" s="305"/>
      <c r="EO314" s="305"/>
      <c r="EP314" s="305"/>
      <c r="EQ314" s="305"/>
      <c r="ER314" s="305"/>
      <c r="ES314" s="305"/>
      <c r="ET314" s="305"/>
      <c r="EU314" s="305"/>
      <c r="EV314" s="305"/>
      <c r="EW314" s="305"/>
      <c r="EX314" s="305"/>
      <c r="EY314" s="305"/>
      <c r="EZ314" s="305"/>
      <c r="FA314" s="305"/>
      <c r="FB314" s="305"/>
      <c r="FC314" s="305"/>
      <c r="FD314" s="305"/>
      <c r="FE314" s="305"/>
      <c r="FF314" s="305"/>
      <c r="FG314" s="305"/>
      <c r="FH314" s="305"/>
      <c r="FI314" s="305"/>
      <c r="FJ314" s="305"/>
      <c r="FK314" s="305"/>
      <c r="FL314" s="305"/>
      <c r="FM314" s="305"/>
      <c r="FN314" s="305"/>
      <c r="FO314" s="305"/>
      <c r="FP314" s="305"/>
      <c r="FQ314" s="305"/>
      <c r="FR314" s="305"/>
      <c r="FS314" s="305"/>
      <c r="FT314" s="305"/>
      <c r="FU314" s="305"/>
      <c r="FV314" s="305"/>
      <c r="FW314" s="305"/>
      <c r="FX314" s="305"/>
      <c r="FY314" s="305"/>
      <c r="FZ314" s="305"/>
      <c r="GA314" s="305"/>
      <c r="GB314" s="305"/>
      <c r="GC314" s="305"/>
      <c r="GD314" s="305"/>
      <c r="GE314" s="305"/>
      <c r="GF314" s="305"/>
      <c r="GG314" s="305"/>
      <c r="GH314" s="305"/>
      <c r="GI314" s="305"/>
      <c r="GJ314" s="305"/>
      <c r="GK314" s="305"/>
      <c r="GL314" s="305"/>
      <c r="GM314" s="305"/>
      <c r="GN314" s="305"/>
      <c r="GO314" s="305"/>
      <c r="GP314" s="305"/>
      <c r="GQ314" s="305"/>
      <c r="GR314" s="305"/>
    </row>
    <row r="315" spans="3:200" s="318" customFormat="1" ht="12.75" customHeight="1" x14ac:dyDescent="0.2">
      <c r="C315" s="367"/>
      <c r="D315" s="403"/>
      <c r="E315" s="369"/>
      <c r="F315" s="369"/>
      <c r="G315" s="369"/>
      <c r="H315" s="369"/>
      <c r="I315" s="370"/>
      <c r="J315"/>
      <c r="K315" s="371"/>
      <c r="L315" s="371"/>
      <c r="M315" s="371"/>
      <c r="N315" s="371"/>
      <c r="O315" s="305"/>
      <c r="P315" s="305"/>
      <c r="Q315" s="305"/>
      <c r="R315" s="305"/>
      <c r="S315" s="305"/>
      <c r="T315" s="305"/>
      <c r="U315" s="305"/>
      <c r="V315" s="305"/>
      <c r="W315" s="305"/>
      <c r="X315" s="305"/>
      <c r="Y315" s="305"/>
      <c r="Z315" s="305"/>
      <c r="AA315" s="305"/>
      <c r="AB315" s="305"/>
      <c r="AC315" s="305"/>
      <c r="AD315" s="305"/>
      <c r="AE315" s="305"/>
      <c r="AF315" s="305"/>
      <c r="AG315" s="305"/>
      <c r="AH315" s="305"/>
      <c r="AI315" s="305"/>
      <c r="AJ315" s="305"/>
      <c r="AK315" s="305"/>
      <c r="AL315" s="305"/>
      <c r="AM315" s="305"/>
      <c r="AN315" s="305"/>
      <c r="AO315" s="305"/>
      <c r="AP315" s="305"/>
      <c r="AQ315" s="305"/>
      <c r="AR315" s="305"/>
      <c r="AS315" s="305"/>
      <c r="AT315" s="305"/>
      <c r="AU315" s="305"/>
      <c r="AV315" s="305"/>
      <c r="AW315" s="305"/>
      <c r="AX315" s="305"/>
      <c r="AY315" s="305"/>
      <c r="AZ315" s="305"/>
      <c r="BA315" s="305"/>
      <c r="BB315" s="305"/>
      <c r="BC315" s="305"/>
      <c r="BD315" s="305"/>
      <c r="BE315" s="305"/>
      <c r="BF315" s="305"/>
      <c r="BG315" s="305"/>
      <c r="BH315" s="305"/>
      <c r="BI315" s="305"/>
      <c r="BJ315" s="305"/>
      <c r="BK315" s="305"/>
      <c r="BL315" s="305"/>
      <c r="BM315" s="305"/>
      <c r="BN315" s="305"/>
      <c r="BO315" s="305"/>
      <c r="BP315" s="305"/>
      <c r="BQ315" s="305"/>
      <c r="BR315" s="305"/>
      <c r="BS315" s="305"/>
      <c r="BT315" s="305"/>
      <c r="BU315" s="305"/>
      <c r="BV315" s="305"/>
      <c r="BW315" s="305"/>
      <c r="BX315" s="305"/>
      <c r="BY315" s="305"/>
      <c r="BZ315" s="305"/>
      <c r="CA315" s="305"/>
      <c r="CB315" s="305"/>
      <c r="CC315" s="305"/>
      <c r="CD315" s="305"/>
      <c r="CE315" s="305"/>
      <c r="CF315" s="305"/>
      <c r="CG315" s="305"/>
      <c r="CH315" s="305"/>
      <c r="CI315" s="305"/>
      <c r="CJ315" s="305"/>
      <c r="CK315" s="305"/>
      <c r="CL315" s="305"/>
      <c r="CM315" s="305"/>
      <c r="CN315" s="305"/>
      <c r="CO315" s="305"/>
      <c r="CP315" s="305"/>
      <c r="CQ315" s="305"/>
      <c r="CR315" s="305"/>
      <c r="CS315" s="305"/>
      <c r="CT315" s="305"/>
      <c r="CU315" s="305"/>
      <c r="CV315" s="305"/>
      <c r="CW315" s="305"/>
      <c r="CX315" s="305"/>
      <c r="CY315" s="305"/>
      <c r="CZ315" s="305"/>
      <c r="DA315" s="305"/>
      <c r="DB315" s="305"/>
      <c r="DC315" s="305"/>
      <c r="DD315" s="305"/>
      <c r="DE315" s="305"/>
      <c r="DF315" s="305"/>
      <c r="DG315" s="305"/>
      <c r="DH315" s="305"/>
      <c r="DI315" s="305"/>
      <c r="DJ315" s="305"/>
      <c r="DK315" s="305"/>
      <c r="DL315" s="305"/>
      <c r="DM315" s="305"/>
      <c r="DN315" s="305"/>
      <c r="DO315" s="305"/>
      <c r="DP315" s="305"/>
      <c r="DQ315" s="305"/>
      <c r="DR315" s="305"/>
      <c r="DS315" s="305"/>
      <c r="DT315" s="305"/>
      <c r="DU315" s="305"/>
      <c r="DV315" s="305"/>
      <c r="DW315" s="305"/>
      <c r="DX315" s="305"/>
      <c r="DY315" s="305"/>
      <c r="DZ315" s="305"/>
      <c r="EA315" s="305"/>
      <c r="EB315" s="305"/>
      <c r="EC315" s="305"/>
      <c r="ED315" s="305"/>
      <c r="EE315" s="305"/>
      <c r="EF315" s="305"/>
      <c r="EG315" s="305"/>
      <c r="EH315" s="305"/>
      <c r="EI315" s="305"/>
      <c r="EJ315" s="305"/>
      <c r="EK315" s="305"/>
      <c r="EL315" s="305"/>
      <c r="EM315" s="305"/>
      <c r="EN315" s="305"/>
      <c r="EO315" s="305"/>
      <c r="EP315" s="305"/>
      <c r="EQ315" s="305"/>
      <c r="ER315" s="305"/>
      <c r="ES315" s="305"/>
      <c r="ET315" s="305"/>
      <c r="EU315" s="305"/>
      <c r="EV315" s="305"/>
      <c r="EW315" s="305"/>
      <c r="EX315" s="305"/>
      <c r="EY315" s="305"/>
      <c r="EZ315" s="305"/>
      <c r="FA315" s="305"/>
      <c r="FB315" s="305"/>
      <c r="FC315" s="305"/>
      <c r="FD315" s="305"/>
      <c r="FE315" s="305"/>
      <c r="FF315" s="305"/>
      <c r="FG315" s="305"/>
      <c r="FH315" s="305"/>
      <c r="FI315" s="305"/>
      <c r="FJ315" s="305"/>
      <c r="FK315" s="305"/>
      <c r="FL315" s="305"/>
      <c r="FM315" s="305"/>
      <c r="FN315" s="305"/>
      <c r="FO315" s="305"/>
      <c r="FP315" s="305"/>
      <c r="FQ315" s="305"/>
      <c r="FR315" s="305"/>
      <c r="FS315" s="305"/>
      <c r="FT315" s="305"/>
      <c r="FU315" s="305"/>
      <c r="FV315" s="305"/>
      <c r="FW315" s="305"/>
      <c r="FX315" s="305"/>
      <c r="FY315" s="305"/>
      <c r="FZ315" s="305"/>
      <c r="GA315" s="305"/>
      <c r="GB315" s="305"/>
      <c r="GC315" s="305"/>
      <c r="GD315" s="305"/>
      <c r="GE315" s="305"/>
      <c r="GF315" s="305"/>
      <c r="GG315" s="305"/>
      <c r="GH315" s="305"/>
      <c r="GI315" s="305"/>
      <c r="GJ315" s="305"/>
      <c r="GK315" s="305"/>
      <c r="GL315" s="305"/>
      <c r="GM315" s="305"/>
      <c r="GN315" s="305"/>
      <c r="GO315" s="305"/>
      <c r="GP315" s="305"/>
      <c r="GQ315" s="305"/>
      <c r="GR315" s="305"/>
    </row>
    <row r="316" spans="3:200" s="318" customFormat="1" ht="12.75" customHeight="1" x14ac:dyDescent="0.2">
      <c r="C316" s="367"/>
      <c r="D316" s="403"/>
      <c r="E316" s="369"/>
      <c r="F316" s="369"/>
      <c r="G316" s="369"/>
      <c r="H316" s="369"/>
      <c r="I316" s="370"/>
      <c r="J316"/>
      <c r="K316" s="371"/>
      <c r="L316" s="371"/>
      <c r="M316" s="371"/>
      <c r="N316" s="371"/>
      <c r="O316" s="305"/>
      <c r="P316" s="305"/>
      <c r="Q316" s="305"/>
      <c r="R316" s="305"/>
      <c r="S316" s="305"/>
      <c r="T316" s="305"/>
      <c r="U316" s="305"/>
      <c r="V316" s="305"/>
      <c r="W316" s="305"/>
      <c r="X316" s="305"/>
      <c r="Y316" s="305"/>
      <c r="Z316" s="305"/>
      <c r="AA316" s="305"/>
      <c r="AB316" s="305"/>
      <c r="AC316" s="305"/>
      <c r="AD316" s="305"/>
      <c r="AE316" s="305"/>
      <c r="AF316" s="305"/>
      <c r="AG316" s="305"/>
      <c r="AH316" s="305"/>
      <c r="AI316" s="305"/>
      <c r="AJ316" s="305"/>
      <c r="AK316" s="305"/>
      <c r="AL316" s="305"/>
      <c r="AM316" s="305"/>
      <c r="AN316" s="305"/>
      <c r="AO316" s="305"/>
      <c r="AP316" s="305"/>
      <c r="AQ316" s="305"/>
      <c r="AR316" s="305"/>
      <c r="AS316" s="305"/>
      <c r="AT316" s="305"/>
      <c r="AU316" s="305"/>
      <c r="AV316" s="305"/>
      <c r="AW316" s="305"/>
      <c r="AX316" s="305"/>
      <c r="AY316" s="305"/>
      <c r="AZ316" s="305"/>
      <c r="BA316" s="305"/>
      <c r="BB316" s="305"/>
      <c r="BC316" s="305"/>
      <c r="BD316" s="305"/>
      <c r="BE316" s="305"/>
      <c r="BF316" s="305"/>
      <c r="BG316" s="305"/>
      <c r="BH316" s="305"/>
      <c r="BI316" s="305"/>
      <c r="BJ316" s="305"/>
      <c r="BK316" s="305"/>
      <c r="BL316" s="305"/>
      <c r="BM316" s="305"/>
      <c r="BN316" s="305"/>
      <c r="BO316" s="305"/>
      <c r="BP316" s="305"/>
      <c r="BQ316" s="305"/>
      <c r="BR316" s="305"/>
      <c r="BS316" s="305"/>
      <c r="BT316" s="305"/>
      <c r="BU316" s="305"/>
      <c r="BV316" s="305"/>
      <c r="BW316" s="305"/>
      <c r="BX316" s="305"/>
      <c r="BY316" s="305"/>
      <c r="BZ316" s="305"/>
      <c r="CA316" s="305"/>
      <c r="CB316" s="305"/>
      <c r="CC316" s="305"/>
      <c r="CD316" s="305"/>
      <c r="CE316" s="305"/>
      <c r="CF316" s="305"/>
      <c r="CG316" s="305"/>
      <c r="CH316" s="305"/>
      <c r="CI316" s="305"/>
      <c r="CJ316" s="305"/>
      <c r="CK316" s="305"/>
      <c r="CL316" s="305"/>
      <c r="CM316" s="305"/>
      <c r="CN316" s="305"/>
      <c r="CO316" s="305"/>
      <c r="CP316" s="305"/>
      <c r="CQ316" s="305"/>
      <c r="CR316" s="305"/>
      <c r="CS316" s="305"/>
      <c r="CT316" s="305"/>
      <c r="CU316" s="305"/>
      <c r="CV316" s="305"/>
      <c r="CW316" s="305"/>
      <c r="CX316" s="305"/>
      <c r="CY316" s="305"/>
      <c r="CZ316" s="305"/>
      <c r="DA316" s="305"/>
      <c r="DB316" s="305"/>
      <c r="DC316" s="305"/>
      <c r="DD316" s="305"/>
      <c r="DE316" s="305"/>
      <c r="DF316" s="305"/>
      <c r="DG316" s="305"/>
      <c r="DH316" s="305"/>
      <c r="DI316" s="305"/>
      <c r="DJ316" s="305"/>
      <c r="DK316" s="305"/>
      <c r="DL316" s="305"/>
      <c r="DM316" s="305"/>
      <c r="DN316" s="305"/>
      <c r="DO316" s="305"/>
      <c r="DP316" s="305"/>
      <c r="DQ316" s="305"/>
      <c r="DR316" s="305"/>
      <c r="DS316" s="305"/>
      <c r="DT316" s="305"/>
      <c r="DU316" s="305"/>
      <c r="DV316" s="305"/>
      <c r="DW316" s="305"/>
      <c r="DX316" s="305"/>
      <c r="DY316" s="305"/>
      <c r="DZ316" s="305"/>
      <c r="EA316" s="305"/>
      <c r="EB316" s="305"/>
      <c r="EC316" s="305"/>
      <c r="ED316" s="305"/>
      <c r="EE316" s="305"/>
      <c r="EF316" s="305"/>
      <c r="EG316" s="305"/>
      <c r="EH316" s="305"/>
      <c r="EI316" s="305"/>
      <c r="EJ316" s="305"/>
      <c r="EK316" s="305"/>
      <c r="EL316" s="305"/>
      <c r="EM316" s="305"/>
      <c r="EN316" s="305"/>
      <c r="EO316" s="305"/>
      <c r="EP316" s="305"/>
      <c r="EQ316" s="305"/>
      <c r="ER316" s="305"/>
      <c r="ES316" s="305"/>
      <c r="ET316" s="305"/>
      <c r="EU316" s="305"/>
      <c r="EV316" s="305"/>
      <c r="EW316" s="305"/>
      <c r="EX316" s="305"/>
      <c r="EY316" s="305"/>
      <c r="EZ316" s="305"/>
      <c r="FA316" s="305"/>
      <c r="FB316" s="305"/>
      <c r="FC316" s="305"/>
      <c r="FD316" s="305"/>
      <c r="FE316" s="305"/>
      <c r="FF316" s="305"/>
      <c r="FG316" s="305"/>
      <c r="FH316" s="305"/>
      <c r="FI316" s="305"/>
      <c r="FJ316" s="305"/>
      <c r="FK316" s="305"/>
      <c r="FL316" s="305"/>
      <c r="FM316" s="305"/>
      <c r="FN316" s="305"/>
      <c r="FO316" s="305"/>
      <c r="FP316" s="305"/>
      <c r="FQ316" s="305"/>
      <c r="FR316" s="305"/>
      <c r="FS316" s="305"/>
      <c r="FT316" s="305"/>
      <c r="FU316" s="305"/>
      <c r="FV316" s="305"/>
      <c r="FW316" s="305"/>
      <c r="FX316" s="305"/>
      <c r="FY316" s="305"/>
      <c r="FZ316" s="305"/>
      <c r="GA316" s="305"/>
      <c r="GB316" s="305"/>
      <c r="GC316" s="305"/>
      <c r="GD316" s="305"/>
      <c r="GE316" s="305"/>
      <c r="GF316" s="305"/>
      <c r="GG316" s="305"/>
      <c r="GH316" s="305"/>
      <c r="GI316" s="305"/>
      <c r="GJ316" s="305"/>
      <c r="GK316" s="305"/>
      <c r="GL316" s="305"/>
      <c r="GM316" s="305"/>
      <c r="GN316" s="305"/>
      <c r="GO316" s="305"/>
      <c r="GP316" s="305"/>
      <c r="GQ316" s="305"/>
      <c r="GR316" s="305"/>
    </row>
    <row r="317" spans="3:200" s="318" customFormat="1" ht="12.75" customHeight="1" x14ac:dyDescent="0.2">
      <c r="C317" s="367"/>
      <c r="D317" s="403"/>
      <c r="E317" s="369"/>
      <c r="F317" s="369"/>
      <c r="G317" s="369"/>
      <c r="H317" s="369"/>
      <c r="I317" s="370"/>
      <c r="J317"/>
      <c r="K317" s="371"/>
      <c r="L317" s="371"/>
      <c r="M317" s="371"/>
      <c r="N317" s="371"/>
      <c r="O317" s="305"/>
      <c r="P317" s="305"/>
      <c r="Q317" s="305"/>
      <c r="R317" s="305"/>
      <c r="S317" s="305"/>
      <c r="T317" s="305"/>
      <c r="U317" s="305"/>
      <c r="V317" s="305"/>
      <c r="W317" s="305"/>
      <c r="X317" s="305"/>
      <c r="Y317" s="305"/>
      <c r="Z317" s="305"/>
      <c r="AA317" s="305"/>
      <c r="AB317" s="305"/>
      <c r="AC317" s="305"/>
      <c r="AD317" s="305"/>
      <c r="AE317" s="305"/>
      <c r="AF317" s="305"/>
      <c r="AG317" s="305"/>
      <c r="AH317" s="305"/>
      <c r="AI317" s="305"/>
      <c r="AJ317" s="305"/>
      <c r="AK317" s="305"/>
      <c r="AL317" s="305"/>
      <c r="AM317" s="305"/>
      <c r="AN317" s="305"/>
      <c r="AO317" s="305"/>
      <c r="AP317" s="305"/>
      <c r="AQ317" s="305"/>
      <c r="AR317" s="305"/>
      <c r="AS317" s="305"/>
      <c r="AT317" s="305"/>
      <c r="AU317" s="305"/>
      <c r="AV317" s="305"/>
      <c r="AW317" s="305"/>
      <c r="AX317" s="305"/>
      <c r="AY317" s="305"/>
      <c r="AZ317" s="305"/>
      <c r="BA317" s="305"/>
      <c r="BB317" s="305"/>
      <c r="BC317" s="305"/>
      <c r="BD317" s="305"/>
      <c r="BE317" s="305"/>
      <c r="BF317" s="305"/>
      <c r="BG317" s="305"/>
      <c r="BH317" s="305"/>
      <c r="BI317" s="305"/>
      <c r="BJ317" s="305"/>
      <c r="BK317" s="305"/>
      <c r="BL317" s="305"/>
      <c r="BM317" s="305"/>
      <c r="BN317" s="305"/>
      <c r="BO317" s="305"/>
      <c r="BP317" s="305"/>
      <c r="BQ317" s="305"/>
      <c r="BR317" s="305"/>
      <c r="BS317" s="305"/>
      <c r="BT317" s="305"/>
      <c r="BU317" s="305"/>
      <c r="BV317" s="305"/>
      <c r="BW317" s="305"/>
      <c r="BX317" s="305"/>
      <c r="BY317" s="305"/>
      <c r="BZ317" s="305"/>
      <c r="CA317" s="305"/>
      <c r="CB317" s="305"/>
      <c r="CC317" s="305"/>
      <c r="CD317" s="305"/>
      <c r="CE317" s="305"/>
      <c r="CF317" s="305"/>
      <c r="CG317" s="305"/>
      <c r="CH317" s="305"/>
      <c r="CI317" s="305"/>
      <c r="CJ317" s="305"/>
      <c r="CK317" s="305"/>
      <c r="CL317" s="305"/>
      <c r="CM317" s="305"/>
      <c r="CN317" s="305"/>
      <c r="CO317" s="305"/>
      <c r="CP317" s="305"/>
      <c r="CQ317" s="305"/>
      <c r="CR317" s="305"/>
      <c r="CS317" s="305"/>
      <c r="CT317" s="305"/>
      <c r="CU317" s="305"/>
      <c r="CV317" s="305"/>
      <c r="CW317" s="305"/>
      <c r="CX317" s="305"/>
      <c r="CY317" s="305"/>
      <c r="CZ317" s="305"/>
      <c r="DA317" s="305"/>
      <c r="DB317" s="305"/>
      <c r="DC317" s="305"/>
      <c r="DD317" s="305"/>
      <c r="DE317" s="305"/>
      <c r="DF317" s="305"/>
      <c r="DG317" s="305"/>
      <c r="DH317" s="305"/>
      <c r="DI317" s="305"/>
      <c r="DJ317" s="305"/>
      <c r="DK317" s="305"/>
      <c r="DL317" s="305"/>
      <c r="DM317" s="305"/>
      <c r="DN317" s="305"/>
      <c r="DO317" s="305"/>
      <c r="DP317" s="305"/>
      <c r="DQ317" s="305"/>
      <c r="DR317" s="305"/>
      <c r="DS317" s="305"/>
      <c r="DT317" s="305"/>
      <c r="DU317" s="305"/>
      <c r="DV317" s="305"/>
      <c r="DW317" s="305"/>
      <c r="DX317" s="305"/>
      <c r="DY317" s="305"/>
      <c r="DZ317" s="305"/>
      <c r="EA317" s="305"/>
      <c r="EB317" s="305"/>
      <c r="EC317" s="305"/>
      <c r="ED317" s="305"/>
      <c r="EE317" s="305"/>
      <c r="EF317" s="305"/>
      <c r="EG317" s="305"/>
      <c r="EH317" s="305"/>
      <c r="EI317" s="305"/>
      <c r="EJ317" s="305"/>
      <c r="EK317" s="305"/>
      <c r="EL317" s="305"/>
      <c r="EM317" s="305"/>
      <c r="EN317" s="305"/>
      <c r="EO317" s="305"/>
      <c r="EP317" s="305"/>
      <c r="EQ317" s="305"/>
      <c r="ER317" s="305"/>
      <c r="ES317" s="305"/>
      <c r="ET317" s="305"/>
      <c r="EU317" s="305"/>
      <c r="EV317" s="305"/>
      <c r="EW317" s="305"/>
      <c r="EX317" s="305"/>
      <c r="EY317" s="305"/>
      <c r="EZ317" s="305"/>
      <c r="FA317" s="305"/>
      <c r="FB317" s="305"/>
      <c r="FC317" s="305"/>
      <c r="FD317" s="305"/>
      <c r="FE317" s="305"/>
      <c r="FF317" s="305"/>
      <c r="FG317" s="305"/>
      <c r="FH317" s="305"/>
      <c r="FI317" s="305"/>
      <c r="FJ317" s="305"/>
      <c r="FK317" s="305"/>
      <c r="FL317" s="305"/>
      <c r="FM317" s="305"/>
      <c r="FN317" s="305"/>
      <c r="FO317" s="305"/>
      <c r="FP317" s="305"/>
      <c r="FQ317" s="305"/>
      <c r="FR317" s="305"/>
      <c r="FS317" s="305"/>
      <c r="FT317" s="305"/>
      <c r="FU317" s="305"/>
      <c r="FV317" s="305"/>
      <c r="FW317" s="305"/>
      <c r="FX317" s="305"/>
      <c r="FY317" s="305"/>
      <c r="FZ317" s="305"/>
      <c r="GA317" s="305"/>
      <c r="GB317" s="305"/>
      <c r="GC317" s="305"/>
      <c r="GD317" s="305"/>
      <c r="GE317" s="305"/>
      <c r="GF317" s="305"/>
      <c r="GG317" s="305"/>
      <c r="GH317" s="305"/>
      <c r="GI317" s="305"/>
      <c r="GJ317" s="305"/>
      <c r="GK317" s="305"/>
      <c r="GL317" s="305"/>
      <c r="GM317" s="305"/>
      <c r="GN317" s="305"/>
      <c r="GO317" s="305"/>
      <c r="GP317" s="305"/>
      <c r="GQ317" s="305"/>
      <c r="GR317" s="305"/>
    </row>
    <row r="318" spans="3:200" s="318" customFormat="1" ht="12.75" customHeight="1" x14ac:dyDescent="0.2">
      <c r="C318" s="367"/>
      <c r="D318" s="403"/>
      <c r="E318" s="369"/>
      <c r="F318" s="369"/>
      <c r="G318" s="369"/>
      <c r="H318" s="369"/>
      <c r="I318" s="370"/>
      <c r="J318"/>
      <c r="K318" s="371"/>
      <c r="L318" s="371"/>
      <c r="M318" s="371"/>
      <c r="N318" s="371"/>
      <c r="O318" s="305"/>
      <c r="P318" s="305"/>
      <c r="Q318" s="305"/>
      <c r="R318" s="305"/>
      <c r="S318" s="305"/>
      <c r="T318" s="305"/>
      <c r="U318" s="305"/>
      <c r="V318" s="305"/>
      <c r="W318" s="305"/>
      <c r="X318" s="305"/>
      <c r="Y318" s="305"/>
      <c r="Z318" s="305"/>
      <c r="AA318" s="305"/>
      <c r="AB318" s="305"/>
      <c r="AC318" s="305"/>
      <c r="AD318" s="305"/>
      <c r="AE318" s="305"/>
      <c r="AF318" s="305"/>
      <c r="AG318" s="305"/>
      <c r="AH318" s="305"/>
      <c r="AI318" s="305"/>
      <c r="AJ318" s="305"/>
      <c r="AK318" s="305"/>
      <c r="AL318" s="305"/>
      <c r="AM318" s="305"/>
      <c r="AN318" s="305"/>
      <c r="AO318" s="305"/>
      <c r="AP318" s="305"/>
      <c r="AQ318" s="305"/>
      <c r="AR318" s="305"/>
      <c r="AS318" s="305"/>
      <c r="AT318" s="305"/>
      <c r="AU318" s="305"/>
      <c r="AV318" s="305"/>
      <c r="AW318" s="305"/>
      <c r="AX318" s="305"/>
      <c r="AY318" s="305"/>
      <c r="AZ318" s="305"/>
      <c r="BA318" s="305"/>
      <c r="BB318" s="305"/>
      <c r="BC318" s="305"/>
      <c r="BD318" s="305"/>
      <c r="BE318" s="305"/>
      <c r="BF318" s="305"/>
      <c r="BG318" s="305"/>
      <c r="BH318" s="305"/>
      <c r="BI318" s="305"/>
      <c r="BJ318" s="305"/>
      <c r="BK318" s="305"/>
      <c r="BL318" s="305"/>
      <c r="BM318" s="305"/>
      <c r="BN318" s="305"/>
      <c r="BO318" s="305"/>
      <c r="BP318" s="305"/>
      <c r="BQ318" s="305"/>
      <c r="BR318" s="305"/>
      <c r="BS318" s="305"/>
      <c r="BT318" s="305"/>
      <c r="BU318" s="305"/>
      <c r="BV318" s="305"/>
      <c r="BW318" s="305"/>
      <c r="BX318" s="305"/>
      <c r="BY318" s="305"/>
      <c r="BZ318" s="305"/>
      <c r="CA318" s="305"/>
      <c r="CB318" s="305"/>
      <c r="CC318" s="305"/>
      <c r="CD318" s="305"/>
      <c r="CE318" s="305"/>
      <c r="CF318" s="305"/>
      <c r="CG318" s="305"/>
      <c r="CH318" s="305"/>
      <c r="CI318" s="305"/>
      <c r="CJ318" s="305"/>
      <c r="CK318" s="305"/>
      <c r="CL318" s="305"/>
      <c r="CM318" s="305"/>
      <c r="CN318" s="305"/>
      <c r="CO318" s="305"/>
      <c r="CP318" s="305"/>
      <c r="CQ318" s="305"/>
      <c r="CR318" s="305"/>
      <c r="CS318" s="305"/>
      <c r="CT318" s="305"/>
      <c r="CU318" s="305"/>
      <c r="CV318" s="305"/>
      <c r="CW318" s="305"/>
      <c r="CX318" s="305"/>
      <c r="CY318" s="305"/>
      <c r="CZ318" s="305"/>
      <c r="DA318" s="305"/>
      <c r="DB318" s="305"/>
      <c r="DC318" s="305"/>
      <c r="DD318" s="305"/>
      <c r="DE318" s="305"/>
      <c r="DF318" s="305"/>
      <c r="DG318" s="305"/>
      <c r="DH318" s="305"/>
      <c r="DI318" s="305"/>
      <c r="DJ318" s="305"/>
      <c r="DK318" s="305"/>
      <c r="DL318" s="305"/>
      <c r="DM318" s="305"/>
      <c r="DN318" s="305"/>
      <c r="DO318" s="305"/>
      <c r="DP318" s="305"/>
      <c r="DQ318" s="305"/>
      <c r="DR318" s="305"/>
      <c r="DS318" s="305"/>
      <c r="DT318" s="305"/>
      <c r="DU318" s="305"/>
      <c r="DV318" s="305"/>
      <c r="DW318" s="305"/>
      <c r="DX318" s="305"/>
      <c r="DY318" s="305"/>
      <c r="DZ318" s="305"/>
      <c r="EA318" s="305"/>
      <c r="EB318" s="305"/>
      <c r="EC318" s="305"/>
      <c r="ED318" s="305"/>
      <c r="EE318" s="305"/>
      <c r="EF318" s="305"/>
      <c r="EG318" s="305"/>
      <c r="EH318" s="305"/>
      <c r="EI318" s="305"/>
      <c r="EJ318" s="305"/>
      <c r="EK318" s="305"/>
      <c r="EL318" s="305"/>
      <c r="EM318" s="305"/>
      <c r="EN318" s="305"/>
      <c r="EO318" s="305"/>
      <c r="EP318" s="305"/>
      <c r="EQ318" s="305"/>
      <c r="ER318" s="305"/>
      <c r="ES318" s="305"/>
      <c r="ET318" s="305"/>
      <c r="EU318" s="305"/>
      <c r="EV318" s="305"/>
      <c r="EW318" s="305"/>
      <c r="EX318" s="305"/>
      <c r="EY318" s="305"/>
      <c r="EZ318" s="305"/>
      <c r="FA318" s="305"/>
      <c r="FB318" s="305"/>
      <c r="FC318" s="305"/>
      <c r="FD318" s="305"/>
      <c r="FE318" s="305"/>
      <c r="FF318" s="305"/>
      <c r="FG318" s="305"/>
      <c r="FH318" s="305"/>
      <c r="FI318" s="305"/>
      <c r="FJ318" s="305"/>
      <c r="FK318" s="305"/>
      <c r="FL318" s="305"/>
      <c r="FM318" s="305"/>
      <c r="FN318" s="305"/>
      <c r="FO318" s="305"/>
      <c r="FP318" s="305"/>
      <c r="FQ318" s="305"/>
      <c r="FR318" s="305"/>
      <c r="FS318" s="305"/>
      <c r="FT318" s="305"/>
      <c r="FU318" s="305"/>
      <c r="FV318" s="305"/>
      <c r="FW318" s="305"/>
      <c r="FX318" s="305"/>
      <c r="FY318" s="305"/>
      <c r="FZ318" s="305"/>
      <c r="GA318" s="305"/>
      <c r="GB318" s="305"/>
      <c r="GC318" s="305"/>
      <c r="GD318" s="305"/>
      <c r="GE318" s="305"/>
      <c r="GF318" s="305"/>
      <c r="GG318" s="305"/>
      <c r="GH318" s="305"/>
      <c r="GI318" s="305"/>
      <c r="GJ318" s="305"/>
      <c r="GK318" s="305"/>
      <c r="GL318" s="305"/>
      <c r="GM318" s="305"/>
      <c r="GN318" s="305"/>
      <c r="GO318" s="305"/>
      <c r="GP318" s="305"/>
      <c r="GQ318" s="305"/>
      <c r="GR318" s="305"/>
    </row>
    <row r="319" spans="3:200" s="318" customFormat="1" ht="12.75" customHeight="1" x14ac:dyDescent="0.2">
      <c r="C319" s="367"/>
      <c r="D319" s="403"/>
      <c r="E319" s="369"/>
      <c r="F319" s="369"/>
      <c r="G319" s="369"/>
      <c r="H319" s="369"/>
      <c r="I319" s="370"/>
      <c r="J319"/>
      <c r="K319" s="371"/>
      <c r="L319" s="371"/>
      <c r="M319" s="371"/>
      <c r="N319" s="371"/>
      <c r="O319" s="305"/>
      <c r="P319" s="305"/>
      <c r="Q319" s="305"/>
      <c r="R319" s="305"/>
      <c r="S319" s="305"/>
      <c r="T319" s="305"/>
      <c r="U319" s="305"/>
      <c r="V319" s="305"/>
      <c r="W319" s="305"/>
      <c r="X319" s="305"/>
      <c r="Y319" s="305"/>
      <c r="Z319" s="305"/>
      <c r="AA319" s="305"/>
      <c r="AB319" s="305"/>
      <c r="AC319" s="305"/>
      <c r="AD319" s="305"/>
      <c r="AE319" s="305"/>
      <c r="AF319" s="305"/>
      <c r="AG319" s="305"/>
      <c r="AH319" s="305"/>
      <c r="AI319" s="305"/>
      <c r="AJ319" s="305"/>
      <c r="AK319" s="305"/>
      <c r="AL319" s="305"/>
      <c r="AM319" s="305"/>
      <c r="AN319" s="305"/>
      <c r="AO319" s="305"/>
      <c r="AP319" s="305"/>
      <c r="AQ319" s="305"/>
      <c r="AR319" s="305"/>
      <c r="AS319" s="305"/>
      <c r="AT319" s="305"/>
      <c r="AU319" s="305"/>
      <c r="AV319" s="305"/>
      <c r="AW319" s="305"/>
      <c r="AX319" s="305"/>
      <c r="AY319" s="305"/>
      <c r="AZ319" s="305"/>
      <c r="BA319" s="305"/>
      <c r="BB319" s="305"/>
      <c r="BC319" s="305"/>
      <c r="BD319" s="305"/>
      <c r="BE319" s="305"/>
      <c r="BF319" s="305"/>
      <c r="BG319" s="305"/>
      <c r="BH319" s="305"/>
      <c r="BI319" s="305"/>
      <c r="BJ319" s="305"/>
      <c r="BK319" s="305"/>
      <c r="BL319" s="305"/>
      <c r="BM319" s="305"/>
      <c r="BN319" s="305"/>
      <c r="BO319" s="305"/>
      <c r="BP319" s="305"/>
      <c r="BQ319" s="305"/>
      <c r="BR319" s="305"/>
      <c r="BS319" s="305"/>
      <c r="BT319" s="305"/>
      <c r="BU319" s="305"/>
      <c r="BV319" s="305"/>
      <c r="BW319" s="305"/>
      <c r="BX319" s="305"/>
      <c r="BY319" s="305"/>
      <c r="BZ319" s="305"/>
      <c r="CA319" s="305"/>
      <c r="CB319" s="305"/>
      <c r="CC319" s="305"/>
      <c r="CD319" s="305"/>
      <c r="CE319" s="305"/>
      <c r="CF319" s="305"/>
      <c r="CG319" s="305"/>
      <c r="CH319" s="305"/>
      <c r="CI319" s="305"/>
      <c r="CJ319" s="305"/>
      <c r="CK319" s="305"/>
      <c r="CL319" s="305"/>
      <c r="CM319" s="305"/>
      <c r="CN319" s="305"/>
      <c r="CO319" s="305"/>
      <c r="CP319" s="305"/>
      <c r="CQ319" s="305"/>
      <c r="CR319" s="305"/>
      <c r="CS319" s="305"/>
      <c r="CT319" s="305"/>
      <c r="CU319" s="305"/>
      <c r="CV319" s="305"/>
      <c r="CW319" s="305"/>
      <c r="CX319" s="305"/>
      <c r="CY319" s="305"/>
      <c r="CZ319" s="305"/>
      <c r="DA319" s="305"/>
      <c r="DB319" s="305"/>
      <c r="DC319" s="305"/>
      <c r="DD319" s="305"/>
      <c r="DE319" s="305"/>
      <c r="DF319" s="305"/>
      <c r="DG319" s="305"/>
      <c r="DH319" s="305"/>
      <c r="DI319" s="305"/>
      <c r="DJ319" s="305"/>
      <c r="DK319" s="305"/>
      <c r="DL319" s="305"/>
      <c r="DM319" s="305"/>
      <c r="DN319" s="305"/>
      <c r="DO319" s="305"/>
      <c r="DP319" s="305"/>
      <c r="DQ319" s="305"/>
      <c r="DR319" s="305"/>
      <c r="DS319" s="305"/>
      <c r="DT319" s="305"/>
      <c r="DU319" s="305"/>
      <c r="DV319" s="305"/>
      <c r="DW319" s="305"/>
      <c r="DX319" s="305"/>
      <c r="DY319" s="305"/>
      <c r="DZ319" s="305"/>
      <c r="EA319" s="305"/>
      <c r="EB319" s="305"/>
      <c r="EC319" s="305"/>
      <c r="ED319" s="305"/>
      <c r="EE319" s="305"/>
      <c r="EF319" s="305"/>
      <c r="EG319" s="305"/>
      <c r="EH319" s="305"/>
      <c r="EI319" s="305"/>
      <c r="EJ319" s="305"/>
      <c r="EK319" s="305"/>
      <c r="EL319" s="305"/>
      <c r="EM319" s="305"/>
      <c r="EN319" s="305"/>
      <c r="EO319" s="305"/>
      <c r="EP319" s="305"/>
      <c r="EQ319" s="305"/>
      <c r="ER319" s="305"/>
      <c r="ES319" s="305"/>
      <c r="ET319" s="305"/>
      <c r="EU319" s="305"/>
      <c r="EV319" s="305"/>
      <c r="EW319" s="305"/>
      <c r="EX319" s="305"/>
      <c r="EY319" s="305"/>
      <c r="EZ319" s="305"/>
      <c r="FA319" s="305"/>
      <c r="FB319" s="305"/>
      <c r="FC319" s="305"/>
      <c r="FD319" s="305"/>
      <c r="FE319" s="305"/>
      <c r="FF319" s="305"/>
      <c r="FG319" s="305"/>
      <c r="FH319" s="305"/>
      <c r="FI319" s="305"/>
      <c r="FJ319" s="305"/>
      <c r="FK319" s="305"/>
      <c r="FL319" s="305"/>
      <c r="FM319" s="305"/>
      <c r="FN319" s="305"/>
      <c r="FO319" s="305"/>
      <c r="FP319" s="305"/>
      <c r="FQ319" s="305"/>
      <c r="FR319" s="305"/>
      <c r="FS319" s="305"/>
      <c r="FT319" s="305"/>
      <c r="FU319" s="305"/>
      <c r="FV319" s="305"/>
      <c r="FW319" s="305"/>
      <c r="FX319" s="305"/>
      <c r="FY319" s="305"/>
      <c r="FZ319" s="305"/>
      <c r="GA319" s="305"/>
      <c r="GB319" s="305"/>
      <c r="GC319" s="305"/>
      <c r="GD319" s="305"/>
      <c r="GE319" s="305"/>
      <c r="GF319" s="305"/>
      <c r="GG319" s="305"/>
      <c r="GH319" s="305"/>
      <c r="GI319" s="305"/>
      <c r="GJ319" s="305"/>
      <c r="GK319" s="305"/>
      <c r="GL319" s="305"/>
      <c r="GM319" s="305"/>
      <c r="GN319" s="305"/>
      <c r="GO319" s="305"/>
      <c r="GP319" s="305"/>
      <c r="GQ319" s="305"/>
      <c r="GR319" s="305"/>
    </row>
    <row r="320" spans="3:200" s="318" customFormat="1" ht="12.75" customHeight="1" x14ac:dyDescent="0.2">
      <c r="C320" s="367"/>
      <c r="D320" s="403"/>
      <c r="E320" s="369"/>
      <c r="F320" s="369"/>
      <c r="G320" s="369"/>
      <c r="H320" s="369"/>
      <c r="I320" s="370"/>
      <c r="J320"/>
      <c r="K320" s="371"/>
      <c r="L320" s="371"/>
      <c r="M320" s="371"/>
      <c r="N320" s="371"/>
      <c r="O320" s="305"/>
      <c r="P320" s="305"/>
      <c r="Q320" s="305"/>
      <c r="R320" s="305"/>
      <c r="S320" s="305"/>
      <c r="T320" s="305"/>
      <c r="U320" s="305"/>
      <c r="V320" s="305"/>
      <c r="W320" s="305"/>
      <c r="X320" s="305"/>
      <c r="Y320" s="305"/>
      <c r="Z320" s="305"/>
      <c r="AA320" s="305"/>
      <c r="AB320" s="305"/>
      <c r="AC320" s="305"/>
      <c r="AD320" s="305"/>
      <c r="AE320" s="305"/>
      <c r="AF320" s="305"/>
      <c r="AG320" s="305"/>
      <c r="AH320" s="305"/>
      <c r="AI320" s="305"/>
      <c r="AJ320" s="305"/>
      <c r="AK320" s="305"/>
      <c r="AL320" s="305"/>
      <c r="AM320" s="305"/>
      <c r="AN320" s="305"/>
      <c r="AO320" s="305"/>
      <c r="AP320" s="305"/>
      <c r="AQ320" s="305"/>
      <c r="AR320" s="305"/>
      <c r="AS320" s="305"/>
      <c r="AT320" s="305"/>
      <c r="AU320" s="305"/>
      <c r="AV320" s="305"/>
      <c r="AW320" s="305"/>
      <c r="AX320" s="305"/>
      <c r="AY320" s="305"/>
      <c r="AZ320" s="305"/>
      <c r="BA320" s="305"/>
      <c r="BB320" s="305"/>
      <c r="BC320" s="305"/>
      <c r="BD320" s="305"/>
      <c r="BE320" s="305"/>
      <c r="BF320" s="305"/>
      <c r="BG320" s="305"/>
      <c r="BH320" s="305"/>
      <c r="BI320" s="305"/>
      <c r="BJ320" s="305"/>
      <c r="BK320" s="305"/>
      <c r="BL320" s="305"/>
      <c r="BM320" s="305"/>
      <c r="BN320" s="305"/>
      <c r="BO320" s="305"/>
      <c r="BP320" s="305"/>
      <c r="BQ320" s="305"/>
      <c r="BR320" s="305"/>
      <c r="BS320" s="305"/>
      <c r="BT320" s="305"/>
      <c r="BU320" s="305"/>
      <c r="BV320" s="305"/>
      <c r="BW320" s="305"/>
      <c r="BX320" s="305"/>
      <c r="BY320" s="305"/>
      <c r="BZ320" s="305"/>
      <c r="CA320" s="305"/>
      <c r="CB320" s="305"/>
      <c r="CC320" s="305"/>
      <c r="CD320" s="305"/>
      <c r="CE320" s="305"/>
      <c r="CF320" s="305"/>
      <c r="CG320" s="305"/>
      <c r="CH320" s="305"/>
      <c r="CI320" s="305"/>
      <c r="CJ320" s="305"/>
      <c r="CK320" s="305"/>
      <c r="CL320" s="305"/>
      <c r="CM320" s="305"/>
      <c r="CN320" s="305"/>
      <c r="CO320" s="305"/>
      <c r="CP320" s="305"/>
      <c r="CQ320" s="305"/>
      <c r="CR320" s="305"/>
      <c r="CS320" s="305"/>
      <c r="CT320" s="305"/>
      <c r="CU320" s="305"/>
      <c r="CV320" s="305"/>
      <c r="CW320" s="305"/>
      <c r="CX320" s="305"/>
      <c r="CY320" s="305"/>
      <c r="CZ320" s="305"/>
      <c r="DA320" s="305"/>
      <c r="DB320" s="305"/>
      <c r="DC320" s="305"/>
      <c r="DD320" s="305"/>
      <c r="DE320" s="305"/>
      <c r="DF320" s="305"/>
      <c r="DG320" s="305"/>
      <c r="DH320" s="305"/>
      <c r="DI320" s="305"/>
      <c r="DJ320" s="305"/>
      <c r="DK320" s="305"/>
      <c r="DL320" s="305"/>
      <c r="DM320" s="305"/>
      <c r="DN320" s="305"/>
      <c r="DO320" s="305"/>
      <c r="DP320" s="305"/>
      <c r="DQ320" s="305"/>
      <c r="DR320" s="305"/>
      <c r="DS320" s="305"/>
      <c r="DT320" s="305"/>
      <c r="DU320" s="305"/>
      <c r="DV320" s="305"/>
      <c r="DW320" s="305"/>
      <c r="DX320" s="305"/>
      <c r="DY320" s="305"/>
      <c r="DZ320" s="305"/>
      <c r="EA320" s="305"/>
      <c r="EB320" s="305"/>
      <c r="EC320" s="305"/>
      <c r="ED320" s="305"/>
      <c r="EE320" s="305"/>
      <c r="EF320" s="305"/>
      <c r="EG320" s="305"/>
      <c r="EH320" s="305"/>
      <c r="EI320" s="305"/>
      <c r="EJ320" s="305"/>
      <c r="EK320" s="305"/>
      <c r="EL320" s="305"/>
      <c r="EM320" s="305"/>
      <c r="EN320" s="305"/>
      <c r="EO320" s="305"/>
      <c r="EP320" s="305"/>
      <c r="EQ320" s="305"/>
      <c r="ER320" s="305"/>
      <c r="ES320" s="305"/>
      <c r="ET320" s="305"/>
      <c r="EU320" s="305"/>
      <c r="EV320" s="305"/>
      <c r="EW320" s="305"/>
      <c r="EX320" s="305"/>
      <c r="EY320" s="305"/>
      <c r="EZ320" s="305"/>
      <c r="FA320" s="305"/>
      <c r="FB320" s="305"/>
      <c r="FC320" s="305"/>
      <c r="FD320" s="305"/>
      <c r="FE320" s="305"/>
      <c r="FF320" s="305"/>
      <c r="FG320" s="305"/>
      <c r="FH320" s="305"/>
      <c r="FI320" s="305"/>
      <c r="FJ320" s="305"/>
      <c r="FK320" s="305"/>
      <c r="FL320" s="305"/>
      <c r="FM320" s="305"/>
      <c r="FN320" s="305"/>
      <c r="FO320" s="305"/>
      <c r="FP320" s="305"/>
      <c r="FQ320" s="305"/>
      <c r="FR320" s="305"/>
      <c r="FS320" s="305"/>
      <c r="FT320" s="305"/>
      <c r="FU320" s="305"/>
      <c r="FV320" s="305"/>
      <c r="FW320" s="305"/>
      <c r="FX320" s="305"/>
      <c r="FY320" s="305"/>
      <c r="FZ320" s="305"/>
      <c r="GA320" s="305"/>
      <c r="GB320" s="305"/>
      <c r="GC320" s="305"/>
      <c r="GD320" s="305"/>
      <c r="GE320" s="305"/>
      <c r="GF320" s="305"/>
      <c r="GG320" s="305"/>
      <c r="GH320" s="305"/>
      <c r="GI320" s="305"/>
      <c r="GJ320" s="305"/>
      <c r="GK320" s="305"/>
      <c r="GL320" s="305"/>
      <c r="GM320" s="305"/>
      <c r="GN320" s="305"/>
      <c r="GO320" s="305"/>
      <c r="GP320" s="305"/>
      <c r="GQ320" s="305"/>
      <c r="GR320" s="305"/>
    </row>
    <row r="321" spans="3:200" s="318" customFormat="1" ht="12.75" customHeight="1" x14ac:dyDescent="0.2">
      <c r="C321" s="367"/>
      <c r="D321" s="403"/>
      <c r="E321" s="369"/>
      <c r="F321" s="369"/>
      <c r="G321" s="369"/>
      <c r="H321" s="369"/>
      <c r="I321" s="370"/>
      <c r="J321"/>
      <c r="K321" s="371"/>
      <c r="L321" s="371"/>
      <c r="M321" s="371"/>
      <c r="N321" s="371"/>
      <c r="O321" s="305"/>
      <c r="P321" s="305"/>
      <c r="Q321" s="305"/>
      <c r="R321" s="305"/>
      <c r="S321" s="305"/>
      <c r="T321" s="305"/>
      <c r="U321" s="305"/>
      <c r="V321" s="305"/>
      <c r="W321" s="305"/>
      <c r="X321" s="305"/>
      <c r="Y321" s="305"/>
      <c r="Z321" s="305"/>
      <c r="AA321" s="305"/>
      <c r="AB321" s="305"/>
      <c r="AC321" s="305"/>
      <c r="AD321" s="305"/>
      <c r="AE321" s="305"/>
      <c r="AF321" s="305"/>
      <c r="AG321" s="305"/>
      <c r="AH321" s="305"/>
      <c r="AI321" s="305"/>
      <c r="AJ321" s="305"/>
      <c r="AK321" s="305"/>
      <c r="AL321" s="305"/>
      <c r="AM321" s="305"/>
      <c r="AN321" s="305"/>
      <c r="AO321" s="305"/>
      <c r="AP321" s="305"/>
      <c r="AQ321" s="305"/>
      <c r="AR321" s="305"/>
      <c r="AS321" s="305"/>
      <c r="AT321" s="305"/>
      <c r="AU321" s="305"/>
      <c r="AV321" s="305"/>
      <c r="AW321" s="305"/>
      <c r="AX321" s="305"/>
      <c r="AY321" s="305"/>
      <c r="AZ321" s="305"/>
      <c r="BA321" s="305"/>
      <c r="BB321" s="305"/>
      <c r="BC321" s="305"/>
      <c r="BD321" s="305"/>
      <c r="BE321" s="305"/>
      <c r="BF321" s="305"/>
      <c r="BG321" s="305"/>
      <c r="BH321" s="305"/>
      <c r="BI321" s="305"/>
      <c r="BJ321" s="305"/>
      <c r="BK321" s="305"/>
      <c r="BL321" s="305"/>
      <c r="BM321" s="305"/>
      <c r="BN321" s="305"/>
      <c r="BO321" s="305"/>
      <c r="BP321" s="305"/>
      <c r="BQ321" s="305"/>
      <c r="BR321" s="305"/>
      <c r="BS321" s="305"/>
      <c r="BT321" s="305"/>
      <c r="BU321" s="305"/>
      <c r="BV321" s="305"/>
      <c r="BW321" s="305"/>
      <c r="BX321" s="305"/>
      <c r="BY321" s="305"/>
      <c r="BZ321" s="305"/>
      <c r="CA321" s="305"/>
      <c r="CB321" s="305"/>
      <c r="CC321" s="305"/>
      <c r="CD321" s="305"/>
      <c r="CE321" s="305"/>
      <c r="CF321" s="305"/>
      <c r="CG321" s="305"/>
      <c r="CH321" s="305"/>
      <c r="CI321" s="305"/>
      <c r="CJ321" s="305"/>
      <c r="CK321" s="305"/>
      <c r="CL321" s="305"/>
      <c r="CM321" s="305"/>
      <c r="CN321" s="305"/>
      <c r="CO321" s="305"/>
      <c r="CP321" s="305"/>
      <c r="CQ321" s="305"/>
      <c r="CR321" s="305"/>
      <c r="CS321" s="305"/>
      <c r="CT321" s="305"/>
      <c r="CU321" s="305"/>
      <c r="CV321" s="305"/>
      <c r="CW321" s="305"/>
      <c r="CX321" s="305"/>
      <c r="CY321" s="305"/>
      <c r="CZ321" s="305"/>
      <c r="DA321" s="305"/>
      <c r="DB321" s="305"/>
      <c r="DC321" s="305"/>
      <c r="DD321" s="305"/>
      <c r="DE321" s="305"/>
      <c r="DF321" s="305"/>
      <c r="DG321" s="305"/>
      <c r="DH321" s="305"/>
      <c r="DI321" s="305"/>
      <c r="DJ321" s="305"/>
      <c r="DK321" s="305"/>
      <c r="DL321" s="305"/>
      <c r="DM321" s="305"/>
      <c r="DN321" s="305"/>
      <c r="DO321" s="305"/>
      <c r="DP321" s="305"/>
      <c r="DQ321" s="305"/>
      <c r="DR321" s="305"/>
      <c r="DS321" s="305"/>
      <c r="DT321" s="305"/>
      <c r="DU321" s="305"/>
      <c r="DV321" s="305"/>
      <c r="DW321" s="305"/>
      <c r="DX321" s="305"/>
      <c r="DY321" s="305"/>
      <c r="DZ321" s="305"/>
      <c r="EA321" s="305"/>
      <c r="EB321" s="305"/>
      <c r="EC321" s="305"/>
      <c r="ED321" s="305"/>
      <c r="EE321" s="305"/>
      <c r="EF321" s="305"/>
      <c r="EG321" s="305"/>
      <c r="EH321" s="305"/>
      <c r="EI321" s="305"/>
      <c r="EJ321" s="305"/>
      <c r="EK321" s="305"/>
      <c r="EL321" s="305"/>
      <c r="EM321" s="305"/>
      <c r="EN321" s="305"/>
      <c r="EO321" s="305"/>
      <c r="EP321" s="305"/>
      <c r="EQ321" s="305"/>
      <c r="ER321" s="305"/>
      <c r="ES321" s="305"/>
      <c r="ET321" s="305"/>
      <c r="EU321" s="305"/>
      <c r="EV321" s="305"/>
      <c r="EW321" s="305"/>
      <c r="EX321" s="305"/>
      <c r="EY321" s="305"/>
      <c r="EZ321" s="305"/>
      <c r="FA321" s="305"/>
      <c r="FB321" s="305"/>
      <c r="FC321" s="305"/>
      <c r="FD321" s="305"/>
      <c r="FE321" s="305"/>
      <c r="FF321" s="305"/>
      <c r="FG321" s="305"/>
      <c r="FH321" s="305"/>
      <c r="FI321" s="305"/>
      <c r="FJ321" s="305"/>
      <c r="FK321" s="305"/>
      <c r="FL321" s="305"/>
      <c r="FM321" s="305"/>
      <c r="FN321" s="305"/>
      <c r="FO321" s="305"/>
      <c r="FP321" s="305"/>
      <c r="FQ321" s="305"/>
      <c r="FR321" s="305"/>
      <c r="FS321" s="305"/>
      <c r="FT321" s="305"/>
      <c r="FU321" s="305"/>
      <c r="FV321" s="305"/>
      <c r="FW321" s="305"/>
      <c r="FX321" s="305"/>
      <c r="FY321" s="305"/>
      <c r="FZ321" s="305"/>
      <c r="GA321" s="305"/>
      <c r="GB321" s="305"/>
      <c r="GC321" s="305"/>
      <c r="GD321" s="305"/>
      <c r="GE321" s="305"/>
      <c r="GF321" s="305"/>
      <c r="GG321" s="305"/>
      <c r="GH321" s="305"/>
      <c r="GI321" s="305"/>
      <c r="GJ321" s="305"/>
      <c r="GK321" s="305"/>
      <c r="GL321" s="305"/>
      <c r="GM321" s="305"/>
      <c r="GN321" s="305"/>
      <c r="GO321" s="305"/>
      <c r="GP321" s="305"/>
      <c r="GQ321" s="305"/>
      <c r="GR321" s="305"/>
    </row>
    <row r="322" spans="3:200" s="318" customFormat="1" ht="12.75" customHeight="1" x14ac:dyDescent="0.2">
      <c r="C322" s="367"/>
      <c r="D322" s="403"/>
      <c r="E322" s="369"/>
      <c r="F322" s="369"/>
      <c r="G322" s="369"/>
      <c r="H322" s="369"/>
      <c r="I322" s="370"/>
      <c r="J322"/>
      <c r="K322" s="371"/>
      <c r="L322" s="371"/>
      <c r="M322" s="371"/>
      <c r="N322" s="371"/>
      <c r="O322" s="305"/>
      <c r="P322" s="305"/>
      <c r="Q322" s="305"/>
      <c r="R322" s="305"/>
      <c r="S322" s="305"/>
      <c r="T322" s="305"/>
      <c r="U322" s="305"/>
      <c r="V322" s="305"/>
      <c r="W322" s="305"/>
      <c r="X322" s="305"/>
      <c r="Y322" s="305"/>
      <c r="Z322" s="305"/>
      <c r="AA322" s="305"/>
      <c r="AB322" s="305"/>
      <c r="AC322" s="305"/>
      <c r="AD322" s="305"/>
      <c r="AE322" s="305"/>
      <c r="AF322" s="305"/>
      <c r="AG322" s="305"/>
      <c r="AH322" s="305"/>
      <c r="AI322" s="305"/>
      <c r="AJ322" s="305"/>
      <c r="AK322" s="305"/>
      <c r="AL322" s="305"/>
      <c r="AM322" s="305"/>
      <c r="AN322" s="305"/>
      <c r="AO322" s="305"/>
      <c r="AP322" s="305"/>
      <c r="AQ322" s="305"/>
      <c r="AR322" s="305"/>
      <c r="AS322" s="305"/>
      <c r="AT322" s="305"/>
      <c r="AU322" s="305"/>
      <c r="AV322" s="305"/>
      <c r="AW322" s="305"/>
      <c r="AX322" s="305"/>
      <c r="AY322" s="305"/>
      <c r="AZ322" s="305"/>
      <c r="BA322" s="305"/>
      <c r="BB322" s="305"/>
      <c r="BC322" s="305"/>
      <c r="BD322" s="305"/>
      <c r="BE322" s="305"/>
      <c r="BF322" s="305"/>
      <c r="BG322" s="305"/>
      <c r="BH322" s="305"/>
      <c r="BI322" s="305"/>
      <c r="BJ322" s="305"/>
      <c r="BK322" s="305"/>
      <c r="BL322" s="305"/>
      <c r="BM322" s="305"/>
      <c r="BN322" s="305"/>
      <c r="BO322" s="305"/>
      <c r="BP322" s="305"/>
      <c r="BQ322" s="305"/>
      <c r="BR322" s="305"/>
      <c r="BS322" s="305"/>
      <c r="BT322" s="305"/>
      <c r="BU322" s="305"/>
      <c r="BV322" s="305"/>
      <c r="BW322" s="305"/>
      <c r="BX322" s="305"/>
      <c r="BY322" s="305"/>
      <c r="BZ322" s="305"/>
      <c r="CA322" s="305"/>
      <c r="CB322" s="305"/>
      <c r="CC322" s="305"/>
      <c r="CD322" s="305"/>
      <c r="CE322" s="305"/>
      <c r="CF322" s="305"/>
      <c r="CG322" s="305"/>
      <c r="CH322" s="305"/>
      <c r="CI322" s="305"/>
      <c r="CJ322" s="305"/>
      <c r="CK322" s="305"/>
      <c r="CL322" s="305"/>
      <c r="CM322" s="305"/>
      <c r="CN322" s="305"/>
      <c r="CO322" s="305"/>
      <c r="CP322" s="305"/>
      <c r="CQ322" s="305"/>
      <c r="CR322" s="305"/>
      <c r="CS322" s="305"/>
      <c r="CT322" s="305"/>
      <c r="CU322" s="305"/>
      <c r="CV322" s="305"/>
      <c r="CW322" s="305"/>
      <c r="CX322" s="305"/>
      <c r="CY322" s="305"/>
      <c r="CZ322" s="305"/>
      <c r="DA322" s="305"/>
      <c r="DB322" s="305"/>
      <c r="DC322" s="305"/>
      <c r="DD322" s="305"/>
      <c r="DE322" s="305"/>
      <c r="DF322" s="305"/>
      <c r="DG322" s="305"/>
      <c r="DH322" s="305"/>
      <c r="DI322" s="305"/>
      <c r="DJ322" s="305"/>
      <c r="DK322" s="305"/>
      <c r="DL322" s="305"/>
      <c r="DM322" s="305"/>
      <c r="DN322" s="305"/>
      <c r="DO322" s="305"/>
      <c r="DP322" s="305"/>
      <c r="DQ322" s="305"/>
      <c r="DR322" s="305"/>
      <c r="DS322" s="305"/>
      <c r="DT322" s="305"/>
      <c r="DU322" s="305"/>
      <c r="DV322" s="305"/>
      <c r="DW322" s="305"/>
      <c r="DX322" s="305"/>
      <c r="DY322" s="305"/>
      <c r="DZ322" s="305"/>
      <c r="EA322" s="305"/>
      <c r="EB322" s="305"/>
      <c r="EC322" s="305"/>
      <c r="ED322" s="305"/>
      <c r="EE322" s="305"/>
      <c r="EF322" s="305"/>
      <c r="EG322" s="305"/>
      <c r="EH322" s="305"/>
      <c r="EI322" s="305"/>
      <c r="EJ322" s="305"/>
      <c r="EK322" s="305"/>
      <c r="EL322" s="305"/>
      <c r="EM322" s="305"/>
      <c r="EN322" s="305"/>
      <c r="EO322" s="305"/>
      <c r="EP322" s="305"/>
      <c r="EQ322" s="305"/>
      <c r="ER322" s="305"/>
      <c r="ES322" s="305"/>
      <c r="ET322" s="305"/>
      <c r="EU322" s="305"/>
      <c r="EV322" s="305"/>
      <c r="EW322" s="305"/>
      <c r="EX322" s="305"/>
      <c r="EY322" s="305"/>
      <c r="EZ322" s="305"/>
      <c r="FA322" s="305"/>
      <c r="FB322" s="305"/>
      <c r="FC322" s="305"/>
      <c r="FD322" s="305"/>
      <c r="FE322" s="305"/>
      <c r="FF322" s="305"/>
      <c r="FG322" s="305"/>
      <c r="FH322" s="305"/>
      <c r="FI322" s="305"/>
      <c r="FJ322" s="305"/>
      <c r="FK322" s="305"/>
      <c r="FL322" s="305"/>
      <c r="FM322" s="305"/>
      <c r="FN322" s="305"/>
      <c r="FO322" s="305"/>
      <c r="FP322" s="305"/>
      <c r="FQ322" s="305"/>
      <c r="FR322" s="305"/>
      <c r="FS322" s="305"/>
      <c r="FT322" s="305"/>
      <c r="FU322" s="305"/>
      <c r="FV322" s="305"/>
      <c r="FW322" s="305"/>
      <c r="FX322" s="305"/>
      <c r="FY322" s="305"/>
      <c r="FZ322" s="305"/>
      <c r="GA322" s="305"/>
      <c r="GB322" s="305"/>
      <c r="GC322" s="305"/>
      <c r="GD322" s="305"/>
      <c r="GE322" s="305"/>
      <c r="GF322" s="305"/>
      <c r="GG322" s="305"/>
      <c r="GH322" s="305"/>
      <c r="GI322" s="305"/>
      <c r="GJ322" s="305"/>
      <c r="GK322" s="305"/>
      <c r="GL322" s="305"/>
      <c r="GM322" s="305"/>
      <c r="GN322" s="305"/>
      <c r="GO322" s="305"/>
      <c r="GP322" s="305"/>
      <c r="GQ322" s="305"/>
      <c r="GR322" s="305"/>
    </row>
    <row r="323" spans="3:200" s="318" customFormat="1" ht="12.75" customHeight="1" x14ac:dyDescent="0.2">
      <c r="C323" s="367"/>
      <c r="D323" s="403"/>
      <c r="E323" s="369"/>
      <c r="F323" s="369"/>
      <c r="G323" s="369"/>
      <c r="H323" s="369"/>
      <c r="I323" s="370"/>
      <c r="J323"/>
      <c r="K323" s="371"/>
      <c r="L323" s="371"/>
      <c r="M323" s="371"/>
      <c r="N323" s="371"/>
      <c r="O323" s="305"/>
      <c r="P323" s="305"/>
      <c r="Q323" s="305"/>
      <c r="R323" s="305"/>
      <c r="S323" s="305"/>
      <c r="T323" s="305"/>
      <c r="U323" s="305"/>
      <c r="V323" s="305"/>
      <c r="W323" s="305"/>
      <c r="X323" s="305"/>
      <c r="Y323" s="305"/>
      <c r="Z323" s="305"/>
      <c r="AA323" s="305"/>
      <c r="AB323" s="305"/>
      <c r="AC323" s="305"/>
      <c r="AD323" s="305"/>
      <c r="AE323" s="305"/>
      <c r="AF323" s="305"/>
      <c r="AG323" s="305"/>
      <c r="AH323" s="305"/>
      <c r="AI323" s="305"/>
      <c r="AJ323" s="305"/>
      <c r="AK323" s="305"/>
      <c r="AL323" s="305"/>
      <c r="AM323" s="305"/>
      <c r="AN323" s="305"/>
      <c r="AO323" s="305"/>
      <c r="AP323" s="305"/>
      <c r="AQ323" s="305"/>
      <c r="AR323" s="305"/>
      <c r="AS323" s="305"/>
      <c r="AT323" s="305"/>
      <c r="AU323" s="305"/>
      <c r="AV323" s="305"/>
      <c r="AW323" s="305"/>
      <c r="AX323" s="305"/>
      <c r="AY323" s="305"/>
      <c r="AZ323" s="305"/>
      <c r="BA323" s="305"/>
      <c r="BB323" s="305"/>
      <c r="BC323" s="305"/>
      <c r="BD323" s="305"/>
      <c r="BE323" s="305"/>
      <c r="BF323" s="305"/>
      <c r="BG323" s="305"/>
      <c r="BH323" s="305"/>
      <c r="BI323" s="305"/>
      <c r="BJ323" s="305"/>
      <c r="BK323" s="305"/>
      <c r="BL323" s="305"/>
      <c r="BM323" s="305"/>
      <c r="BN323" s="305"/>
      <c r="BO323" s="305"/>
      <c r="BP323" s="305"/>
      <c r="BQ323" s="305"/>
      <c r="BR323" s="305"/>
      <c r="BS323" s="305"/>
      <c r="BT323" s="305"/>
      <c r="BU323" s="305"/>
      <c r="BV323" s="305"/>
      <c r="BW323" s="305"/>
      <c r="BX323" s="305"/>
      <c r="BY323" s="305"/>
      <c r="BZ323" s="305"/>
      <c r="CA323" s="305"/>
      <c r="CB323" s="305"/>
      <c r="CC323" s="305"/>
      <c r="CD323" s="305"/>
      <c r="CE323" s="305"/>
      <c r="CF323" s="305"/>
      <c r="CG323" s="305"/>
      <c r="CH323" s="305"/>
      <c r="CI323" s="305"/>
      <c r="CJ323" s="305"/>
      <c r="CK323" s="305"/>
      <c r="CL323" s="305"/>
      <c r="CM323" s="305"/>
      <c r="CN323" s="305"/>
      <c r="CO323" s="305"/>
      <c r="CP323" s="305"/>
      <c r="CQ323" s="305"/>
      <c r="CR323" s="305"/>
      <c r="CS323" s="305"/>
      <c r="CT323" s="305"/>
      <c r="CU323" s="305"/>
      <c r="CV323" s="305"/>
      <c r="CW323" s="305"/>
      <c r="CX323" s="305"/>
      <c r="CY323" s="305"/>
      <c r="CZ323" s="305"/>
      <c r="DA323" s="305"/>
      <c r="DB323" s="305"/>
      <c r="DC323" s="305"/>
      <c r="DD323" s="305"/>
      <c r="DE323" s="305"/>
      <c r="DF323" s="305"/>
      <c r="DG323" s="305"/>
      <c r="DH323" s="305"/>
      <c r="DI323" s="305"/>
      <c r="DJ323" s="305"/>
      <c r="DK323" s="305"/>
      <c r="DL323" s="305"/>
      <c r="DM323" s="305"/>
      <c r="DN323" s="305"/>
      <c r="DO323" s="305"/>
      <c r="DP323" s="305"/>
      <c r="DQ323" s="305"/>
      <c r="DR323" s="305"/>
      <c r="DS323" s="305"/>
      <c r="DT323" s="305"/>
      <c r="DU323" s="305"/>
      <c r="DV323" s="305"/>
      <c r="DW323" s="305"/>
      <c r="DX323" s="305"/>
      <c r="DY323" s="305"/>
      <c r="DZ323" s="305"/>
      <c r="EA323" s="305"/>
      <c r="EB323" s="305"/>
      <c r="EC323" s="305"/>
      <c r="ED323" s="305"/>
      <c r="EE323" s="305"/>
      <c r="EF323" s="305"/>
      <c r="EG323" s="305"/>
      <c r="EH323" s="305"/>
      <c r="EI323" s="305"/>
      <c r="EJ323" s="305"/>
      <c r="EK323" s="305"/>
      <c r="EL323" s="305"/>
      <c r="EM323" s="305"/>
      <c r="EN323" s="305"/>
      <c r="EO323" s="305"/>
      <c r="EP323" s="305"/>
      <c r="EQ323" s="305"/>
      <c r="ER323" s="305"/>
      <c r="ES323" s="305"/>
      <c r="ET323" s="305"/>
      <c r="EU323" s="305"/>
      <c r="EV323" s="305"/>
      <c r="EW323" s="305"/>
      <c r="EX323" s="305"/>
      <c r="EY323" s="305"/>
      <c r="EZ323" s="305"/>
      <c r="FA323" s="305"/>
      <c r="FB323" s="305"/>
      <c r="FC323" s="305"/>
      <c r="FD323" s="305"/>
      <c r="FE323" s="305"/>
      <c r="FF323" s="305"/>
      <c r="FG323" s="305"/>
      <c r="FH323" s="305"/>
      <c r="FI323" s="305"/>
      <c r="FJ323" s="305"/>
      <c r="FK323" s="305"/>
      <c r="FL323" s="305"/>
      <c r="FM323" s="305"/>
      <c r="FN323" s="305"/>
      <c r="FO323" s="305"/>
      <c r="FP323" s="305"/>
      <c r="FQ323" s="305"/>
      <c r="FR323" s="305"/>
      <c r="FS323" s="305"/>
      <c r="FT323" s="305"/>
      <c r="FU323" s="305"/>
      <c r="FV323" s="305"/>
      <c r="FW323" s="305"/>
      <c r="FX323" s="305"/>
      <c r="FY323" s="305"/>
      <c r="FZ323" s="305"/>
      <c r="GA323" s="305"/>
      <c r="GB323" s="305"/>
      <c r="GC323" s="305"/>
      <c r="GD323" s="305"/>
      <c r="GE323" s="305"/>
      <c r="GF323" s="305"/>
      <c r="GG323" s="305"/>
      <c r="GH323" s="305"/>
      <c r="GI323" s="305"/>
      <c r="GJ323" s="305"/>
      <c r="GK323" s="305"/>
      <c r="GL323" s="305"/>
      <c r="GM323" s="305"/>
      <c r="GN323" s="305"/>
      <c r="GO323" s="305"/>
      <c r="GP323" s="305"/>
      <c r="GQ323" s="305"/>
      <c r="GR323" s="305"/>
    </row>
    <row r="324" spans="3:200" s="318" customFormat="1" ht="12.75" customHeight="1" x14ac:dyDescent="0.2">
      <c r="C324" s="367"/>
      <c r="D324" s="403"/>
      <c r="E324" s="369"/>
      <c r="F324" s="369"/>
      <c r="G324" s="369"/>
      <c r="H324" s="369"/>
      <c r="I324" s="370"/>
      <c r="J324"/>
      <c r="K324" s="371"/>
      <c r="L324" s="371"/>
      <c r="M324" s="371"/>
      <c r="N324" s="371"/>
      <c r="O324" s="305"/>
      <c r="P324" s="305"/>
      <c r="Q324" s="305"/>
      <c r="R324" s="305"/>
      <c r="S324" s="305"/>
      <c r="T324" s="305"/>
      <c r="U324" s="305"/>
      <c r="V324" s="305"/>
      <c r="W324" s="305"/>
      <c r="X324" s="305"/>
      <c r="Y324" s="305"/>
      <c r="Z324" s="305"/>
      <c r="AA324" s="305"/>
      <c r="AB324" s="305"/>
      <c r="AC324" s="305"/>
      <c r="AD324" s="305"/>
      <c r="AE324" s="305"/>
      <c r="AF324" s="305"/>
      <c r="AG324" s="305"/>
      <c r="AH324" s="305"/>
      <c r="AI324" s="305"/>
      <c r="AJ324" s="305"/>
      <c r="AK324" s="305"/>
      <c r="AL324" s="305"/>
      <c r="AM324" s="305"/>
      <c r="AN324" s="305"/>
      <c r="AO324" s="305"/>
      <c r="AP324" s="305"/>
      <c r="AQ324" s="305"/>
      <c r="AR324" s="305"/>
      <c r="AS324" s="305"/>
      <c r="AT324" s="305"/>
      <c r="AU324" s="305"/>
      <c r="AV324" s="305"/>
      <c r="AW324" s="305"/>
      <c r="AX324" s="305"/>
      <c r="AY324" s="305"/>
      <c r="AZ324" s="305"/>
      <c r="BA324" s="305"/>
      <c r="BB324" s="305"/>
      <c r="BC324" s="305"/>
      <c r="BD324" s="305"/>
      <c r="BE324" s="305"/>
      <c r="BF324" s="305"/>
      <c r="BG324" s="305"/>
      <c r="BH324" s="305"/>
      <c r="BI324" s="305"/>
      <c r="BJ324" s="305"/>
      <c r="BK324" s="305"/>
      <c r="BL324" s="305"/>
      <c r="BM324" s="305"/>
      <c r="BN324" s="305"/>
      <c r="BO324" s="305"/>
      <c r="BP324" s="305"/>
      <c r="BQ324" s="305"/>
      <c r="BR324" s="305"/>
      <c r="BS324" s="305"/>
      <c r="BT324" s="305"/>
      <c r="BU324" s="305"/>
      <c r="BV324" s="305"/>
      <c r="BW324" s="305"/>
      <c r="BX324" s="305"/>
      <c r="BY324" s="305"/>
      <c r="BZ324" s="305"/>
      <c r="CA324" s="305"/>
      <c r="CB324" s="305"/>
      <c r="CC324" s="305"/>
      <c r="CD324" s="305"/>
      <c r="CE324" s="305"/>
      <c r="CF324" s="305"/>
      <c r="CG324" s="305"/>
      <c r="CH324" s="305"/>
      <c r="CI324" s="305"/>
      <c r="CJ324" s="305"/>
      <c r="CK324" s="305"/>
      <c r="CL324" s="305"/>
      <c r="CM324" s="305"/>
      <c r="CN324" s="305"/>
      <c r="CO324" s="305"/>
      <c r="CP324" s="305"/>
      <c r="CQ324" s="305"/>
      <c r="CR324" s="305"/>
      <c r="CS324" s="305"/>
      <c r="CT324" s="305"/>
      <c r="CU324" s="305"/>
      <c r="CV324" s="305"/>
      <c r="CW324" s="305"/>
      <c r="CX324" s="305"/>
      <c r="CY324" s="305"/>
      <c r="CZ324" s="305"/>
      <c r="DA324" s="305"/>
      <c r="DB324" s="305"/>
      <c r="DC324" s="305"/>
      <c r="DD324" s="305"/>
      <c r="DE324" s="305"/>
      <c r="DF324" s="305"/>
      <c r="DG324" s="305"/>
      <c r="DH324" s="305"/>
      <c r="DI324" s="305"/>
      <c r="DJ324" s="305"/>
      <c r="DK324" s="305"/>
      <c r="DL324" s="305"/>
      <c r="DM324" s="305"/>
      <c r="DN324" s="305"/>
      <c r="DO324" s="305"/>
      <c r="DP324" s="305"/>
      <c r="DQ324" s="305"/>
      <c r="DR324" s="305"/>
      <c r="DS324" s="305"/>
      <c r="DT324" s="305"/>
      <c r="DU324" s="305"/>
      <c r="DV324" s="305"/>
      <c r="DW324" s="305"/>
      <c r="DX324" s="305"/>
      <c r="DY324" s="305"/>
      <c r="DZ324" s="305"/>
      <c r="EA324" s="305"/>
      <c r="EB324" s="305"/>
      <c r="EC324" s="305"/>
      <c r="ED324" s="305"/>
      <c r="EE324" s="305"/>
      <c r="EF324" s="305"/>
      <c r="EG324" s="305"/>
      <c r="EH324" s="305"/>
      <c r="EI324" s="305"/>
      <c r="EJ324" s="305"/>
      <c r="EK324" s="305"/>
      <c r="EL324" s="305"/>
      <c r="EM324" s="305"/>
      <c r="EN324" s="305"/>
      <c r="EO324" s="305"/>
      <c r="EP324" s="305"/>
      <c r="EQ324" s="305"/>
      <c r="ER324" s="305"/>
      <c r="ES324" s="305"/>
      <c r="ET324" s="305"/>
      <c r="EU324" s="305"/>
      <c r="EV324" s="305"/>
      <c r="EW324" s="305"/>
      <c r="EX324" s="305"/>
      <c r="EY324" s="305"/>
      <c r="EZ324" s="305"/>
      <c r="FA324" s="305"/>
      <c r="FB324" s="305"/>
      <c r="FC324" s="305"/>
      <c r="FD324" s="305"/>
      <c r="FE324" s="305"/>
      <c r="FF324" s="305"/>
      <c r="FG324" s="305"/>
      <c r="FH324" s="305"/>
      <c r="FI324" s="305"/>
      <c r="FJ324" s="305"/>
      <c r="FK324" s="305"/>
      <c r="FL324" s="305"/>
      <c r="FM324" s="305"/>
      <c r="FN324" s="305"/>
      <c r="FO324" s="305"/>
      <c r="FP324" s="305"/>
      <c r="FQ324" s="305"/>
      <c r="FR324" s="305"/>
      <c r="FS324" s="305"/>
      <c r="FT324" s="305"/>
      <c r="FU324" s="305"/>
      <c r="FV324" s="305"/>
      <c r="FW324" s="305"/>
      <c r="FX324" s="305"/>
      <c r="FY324" s="305"/>
      <c r="FZ324" s="305"/>
      <c r="GA324" s="305"/>
      <c r="GB324" s="305"/>
      <c r="GC324" s="305"/>
      <c r="GD324" s="305"/>
      <c r="GE324" s="305"/>
      <c r="GF324" s="305"/>
      <c r="GG324" s="305"/>
      <c r="GH324" s="305"/>
      <c r="GI324" s="305"/>
      <c r="GJ324" s="305"/>
      <c r="GK324" s="305"/>
      <c r="GL324" s="305"/>
      <c r="GM324" s="305"/>
      <c r="GN324" s="305"/>
      <c r="GO324" s="305"/>
      <c r="GP324" s="305"/>
      <c r="GQ324" s="305"/>
      <c r="GR324" s="305"/>
    </row>
    <row r="325" spans="3:200" s="318" customFormat="1" ht="12.75" customHeight="1" x14ac:dyDescent="0.2">
      <c r="C325" s="367"/>
      <c r="D325" s="403"/>
      <c r="E325" s="369"/>
      <c r="F325" s="369"/>
      <c r="G325" s="369"/>
      <c r="H325" s="369"/>
      <c r="I325" s="370"/>
      <c r="J325"/>
      <c r="K325" s="371"/>
      <c r="L325" s="371"/>
      <c r="M325" s="371"/>
      <c r="N325" s="371"/>
      <c r="O325" s="305"/>
      <c r="P325" s="305"/>
      <c r="Q325" s="305"/>
      <c r="R325" s="305"/>
      <c r="S325" s="305"/>
      <c r="T325" s="305"/>
      <c r="U325" s="305"/>
      <c r="V325" s="305"/>
      <c r="W325" s="305"/>
      <c r="X325" s="305"/>
      <c r="Y325" s="305"/>
      <c r="Z325" s="305"/>
      <c r="AA325" s="305"/>
      <c r="AB325" s="305"/>
      <c r="AC325" s="305"/>
      <c r="AD325" s="305"/>
      <c r="AE325" s="305"/>
      <c r="AF325" s="305"/>
      <c r="AG325" s="305"/>
      <c r="AH325" s="305"/>
      <c r="AI325" s="305"/>
      <c r="AJ325" s="305"/>
      <c r="AK325" s="305"/>
      <c r="AL325" s="305"/>
      <c r="AM325" s="305"/>
      <c r="AN325" s="305"/>
      <c r="AO325" s="305"/>
      <c r="AP325" s="305"/>
      <c r="AQ325" s="305"/>
      <c r="AR325" s="305"/>
      <c r="AS325" s="305"/>
      <c r="AT325" s="305"/>
      <c r="AU325" s="305"/>
      <c r="AV325" s="305"/>
      <c r="AW325" s="305"/>
      <c r="AX325" s="305"/>
      <c r="AY325" s="305"/>
      <c r="AZ325" s="305"/>
      <c r="BA325" s="305"/>
      <c r="BB325" s="305"/>
      <c r="BC325" s="305"/>
      <c r="BD325" s="305"/>
      <c r="BE325" s="305"/>
      <c r="BF325" s="305"/>
      <c r="BG325" s="305"/>
      <c r="BH325" s="305"/>
      <c r="BI325" s="305"/>
      <c r="BJ325" s="305"/>
      <c r="BK325" s="305"/>
      <c r="BL325" s="305"/>
      <c r="BM325" s="305"/>
      <c r="BN325" s="305"/>
      <c r="BO325" s="305"/>
      <c r="BP325" s="305"/>
      <c r="BQ325" s="305"/>
      <c r="BR325" s="305"/>
      <c r="BS325" s="305"/>
      <c r="BT325" s="305"/>
      <c r="BU325" s="305"/>
      <c r="BV325" s="305"/>
      <c r="BW325" s="305"/>
      <c r="BX325" s="305"/>
      <c r="BY325" s="305"/>
      <c r="BZ325" s="305"/>
      <c r="CA325" s="305"/>
      <c r="CB325" s="305"/>
      <c r="CC325" s="305"/>
      <c r="CD325" s="305"/>
      <c r="CE325" s="305"/>
      <c r="CF325" s="305"/>
      <c r="CG325" s="305"/>
      <c r="CH325" s="305"/>
      <c r="CI325" s="305"/>
      <c r="CJ325" s="305"/>
      <c r="CK325" s="305"/>
      <c r="CL325" s="305"/>
      <c r="CM325" s="305"/>
      <c r="CN325" s="305"/>
      <c r="CO325" s="305"/>
      <c r="CP325" s="305"/>
      <c r="CQ325" s="305"/>
      <c r="CR325" s="305"/>
      <c r="CS325" s="305"/>
      <c r="CT325" s="305"/>
      <c r="CU325" s="305"/>
      <c r="CV325" s="305"/>
      <c r="CW325" s="305"/>
      <c r="CX325" s="305"/>
      <c r="CY325" s="305"/>
      <c r="CZ325" s="305"/>
      <c r="DA325" s="305"/>
      <c r="DB325" s="305"/>
      <c r="DC325" s="305"/>
      <c r="DD325" s="305"/>
      <c r="DE325" s="305"/>
      <c r="DF325" s="305"/>
      <c r="DG325" s="305"/>
      <c r="DH325" s="305"/>
      <c r="DI325" s="305"/>
      <c r="DJ325" s="305"/>
      <c r="DK325" s="305"/>
      <c r="DL325" s="305"/>
      <c r="DM325" s="305"/>
      <c r="DN325" s="305"/>
      <c r="DO325" s="305"/>
      <c r="DP325" s="305"/>
      <c r="DQ325" s="305"/>
      <c r="DR325" s="305"/>
      <c r="DS325" s="305"/>
      <c r="DT325" s="305"/>
      <c r="DU325" s="305"/>
      <c r="DV325" s="305"/>
      <c r="DW325" s="305"/>
      <c r="DX325" s="305"/>
      <c r="DY325" s="305"/>
      <c r="DZ325" s="305"/>
      <c r="EA325" s="305"/>
      <c r="EB325" s="305"/>
      <c r="EC325" s="305"/>
      <c r="ED325" s="305"/>
      <c r="EE325" s="305"/>
      <c r="EF325" s="305"/>
      <c r="EG325" s="305"/>
      <c r="EH325" s="305"/>
      <c r="EI325" s="305"/>
      <c r="EJ325" s="305"/>
      <c r="EK325" s="305"/>
      <c r="EL325" s="305"/>
      <c r="EM325" s="305"/>
      <c r="EN325" s="305"/>
      <c r="EO325" s="305"/>
      <c r="EP325" s="305"/>
      <c r="EQ325" s="305"/>
      <c r="ER325" s="305"/>
      <c r="ES325" s="305"/>
      <c r="ET325" s="305"/>
      <c r="EU325" s="305"/>
      <c r="EV325" s="305"/>
      <c r="EW325" s="305"/>
      <c r="EX325" s="305"/>
      <c r="EY325" s="305"/>
      <c r="EZ325" s="305"/>
      <c r="FA325" s="305"/>
      <c r="FB325" s="305"/>
      <c r="FC325" s="305"/>
      <c r="FD325" s="305"/>
      <c r="FE325" s="305"/>
      <c r="FF325" s="305"/>
      <c r="FG325" s="305"/>
      <c r="FH325" s="305"/>
      <c r="FI325" s="305"/>
      <c r="FJ325" s="305"/>
      <c r="FK325" s="305"/>
      <c r="FL325" s="305"/>
      <c r="FM325" s="305"/>
      <c r="FN325" s="305"/>
      <c r="FO325" s="305"/>
      <c r="FP325" s="305"/>
      <c r="FQ325" s="305"/>
      <c r="FR325" s="305"/>
      <c r="FS325" s="305"/>
      <c r="FT325" s="305"/>
      <c r="FU325" s="305"/>
      <c r="FV325" s="305"/>
      <c r="FW325" s="305"/>
      <c r="FX325" s="305"/>
      <c r="FY325" s="305"/>
      <c r="FZ325" s="305"/>
      <c r="GA325" s="305"/>
      <c r="GB325" s="305"/>
      <c r="GC325" s="305"/>
      <c r="GD325" s="305"/>
      <c r="GE325" s="305"/>
      <c r="GF325" s="305"/>
      <c r="GG325" s="305"/>
      <c r="GH325" s="305"/>
      <c r="GI325" s="305"/>
      <c r="GJ325" s="305"/>
      <c r="GK325" s="305"/>
      <c r="GL325" s="305"/>
      <c r="GM325" s="305"/>
      <c r="GN325" s="305"/>
      <c r="GO325" s="305"/>
      <c r="GP325" s="305"/>
      <c r="GQ325" s="305"/>
      <c r="GR325" s="305"/>
    </row>
    <row r="326" spans="3:200" s="318" customFormat="1" ht="12.75" customHeight="1" x14ac:dyDescent="0.2">
      <c r="C326" s="367"/>
      <c r="D326" s="403"/>
      <c r="E326" s="369"/>
      <c r="F326" s="369"/>
      <c r="G326" s="369"/>
      <c r="H326" s="369"/>
      <c r="I326" s="370"/>
      <c r="J326"/>
      <c r="K326" s="371"/>
      <c r="L326" s="371"/>
      <c r="M326" s="371"/>
      <c r="N326" s="371"/>
      <c r="O326" s="305"/>
      <c r="P326" s="305"/>
      <c r="Q326" s="305"/>
      <c r="R326" s="305"/>
      <c r="S326" s="305"/>
      <c r="T326" s="305"/>
      <c r="U326" s="305"/>
      <c r="V326" s="305"/>
      <c r="W326" s="305"/>
      <c r="X326" s="305"/>
      <c r="Y326" s="305"/>
      <c r="Z326" s="305"/>
      <c r="AA326" s="305"/>
      <c r="AB326" s="305"/>
      <c r="AC326" s="305"/>
      <c r="AD326" s="305"/>
      <c r="AE326" s="305"/>
      <c r="AF326" s="305"/>
      <c r="AG326" s="305"/>
      <c r="AH326" s="305"/>
      <c r="AI326" s="305"/>
      <c r="AJ326" s="305"/>
      <c r="AK326" s="305"/>
      <c r="AL326" s="305"/>
      <c r="AM326" s="305"/>
      <c r="AN326" s="305"/>
      <c r="AO326" s="305"/>
      <c r="AP326" s="305"/>
      <c r="AQ326" s="305"/>
      <c r="AR326" s="305"/>
      <c r="AS326" s="305"/>
      <c r="AT326" s="305"/>
      <c r="AU326" s="305"/>
      <c r="AV326" s="305"/>
      <c r="AW326" s="305"/>
      <c r="AX326" s="305"/>
      <c r="AY326" s="305"/>
      <c r="AZ326" s="305"/>
      <c r="BA326" s="305"/>
      <c r="BB326" s="305"/>
      <c r="BC326" s="305"/>
      <c r="BD326" s="305"/>
      <c r="BE326" s="305"/>
      <c r="BF326" s="305"/>
      <c r="BG326" s="305"/>
      <c r="BH326" s="305"/>
      <c r="BI326" s="305"/>
      <c r="BJ326" s="305"/>
      <c r="BK326" s="305"/>
      <c r="BL326" s="305"/>
      <c r="BM326" s="305"/>
      <c r="BN326" s="305"/>
      <c r="BO326" s="305"/>
      <c r="BP326" s="305"/>
      <c r="BQ326" s="305"/>
      <c r="BR326" s="305"/>
      <c r="BS326" s="305"/>
      <c r="BT326" s="305"/>
      <c r="BU326" s="305"/>
      <c r="BV326" s="305"/>
      <c r="BW326" s="305"/>
      <c r="BX326" s="305"/>
      <c r="BY326" s="305"/>
      <c r="BZ326" s="305"/>
      <c r="CA326" s="305"/>
      <c r="CB326" s="305"/>
      <c r="CC326" s="305"/>
      <c r="CD326" s="305"/>
      <c r="CE326" s="305"/>
      <c r="CF326" s="305"/>
      <c r="CG326" s="305"/>
      <c r="CH326" s="305"/>
      <c r="CI326" s="305"/>
      <c r="CJ326" s="305"/>
      <c r="CK326" s="305"/>
      <c r="CL326" s="305"/>
      <c r="CM326" s="305"/>
      <c r="CN326" s="305"/>
      <c r="CO326" s="305"/>
      <c r="CP326" s="305"/>
      <c r="CQ326" s="305"/>
      <c r="CR326" s="305"/>
      <c r="CS326" s="305"/>
      <c r="CT326" s="305"/>
      <c r="CU326" s="305"/>
      <c r="CV326" s="305"/>
      <c r="CW326" s="305"/>
      <c r="CX326" s="305"/>
      <c r="CY326" s="305"/>
      <c r="CZ326" s="305"/>
      <c r="DA326" s="305"/>
      <c r="DB326" s="305"/>
      <c r="DC326" s="305"/>
      <c r="DD326" s="305"/>
      <c r="DE326" s="305"/>
      <c r="DF326" s="305"/>
      <c r="DG326" s="305"/>
      <c r="DH326" s="305"/>
      <c r="DI326" s="305"/>
      <c r="DJ326" s="305"/>
      <c r="DK326" s="305"/>
      <c r="DL326" s="305"/>
      <c r="DM326" s="305"/>
      <c r="DN326" s="305"/>
      <c r="DO326" s="305"/>
      <c r="DP326" s="305"/>
      <c r="DQ326" s="305"/>
      <c r="DR326" s="305"/>
      <c r="DS326" s="305"/>
      <c r="DT326" s="305"/>
      <c r="DU326" s="305"/>
      <c r="DV326" s="305"/>
      <c r="DW326" s="305"/>
      <c r="DX326" s="305"/>
      <c r="DY326" s="305"/>
      <c r="DZ326" s="305"/>
      <c r="EA326" s="305"/>
      <c r="EB326" s="305"/>
      <c r="EC326" s="305"/>
      <c r="ED326" s="305"/>
      <c r="EE326" s="305"/>
      <c r="EF326" s="305"/>
      <c r="EG326" s="305"/>
      <c r="EH326" s="305"/>
      <c r="EI326" s="305"/>
      <c r="EJ326" s="305"/>
      <c r="EK326" s="305"/>
      <c r="EL326" s="305"/>
      <c r="EM326" s="305"/>
      <c r="EN326" s="305"/>
      <c r="EO326" s="305"/>
      <c r="EP326" s="305"/>
      <c r="EQ326" s="305"/>
      <c r="ER326" s="305"/>
      <c r="ES326" s="305"/>
      <c r="ET326" s="305"/>
      <c r="EU326" s="305"/>
      <c r="EV326" s="305"/>
      <c r="EW326" s="305"/>
      <c r="EX326" s="305"/>
      <c r="EY326" s="305"/>
      <c r="EZ326" s="305"/>
      <c r="FA326" s="305"/>
      <c r="FB326" s="305"/>
      <c r="FC326" s="305"/>
      <c r="FD326" s="305"/>
      <c r="FE326" s="305"/>
      <c r="FF326" s="305"/>
      <c r="FG326" s="305"/>
      <c r="FH326" s="305"/>
      <c r="FI326" s="305"/>
      <c r="FJ326" s="305"/>
      <c r="FK326" s="305"/>
      <c r="FL326" s="305"/>
      <c r="FM326" s="305"/>
      <c r="FN326" s="305"/>
      <c r="FO326" s="305"/>
      <c r="FP326" s="305"/>
      <c r="FQ326" s="305"/>
      <c r="FR326" s="305"/>
      <c r="FS326" s="305"/>
      <c r="FT326" s="305"/>
      <c r="FU326" s="305"/>
      <c r="FV326" s="305"/>
      <c r="FW326" s="305"/>
      <c r="FX326" s="305"/>
      <c r="FY326" s="305"/>
      <c r="FZ326" s="305"/>
      <c r="GA326" s="305"/>
      <c r="GB326" s="305"/>
      <c r="GC326" s="305"/>
      <c r="GD326" s="305"/>
      <c r="GE326" s="305"/>
      <c r="GF326" s="305"/>
      <c r="GG326" s="305"/>
      <c r="GH326" s="305"/>
      <c r="GI326" s="305"/>
      <c r="GJ326" s="305"/>
      <c r="GK326" s="305"/>
      <c r="GL326" s="305"/>
      <c r="GM326" s="305"/>
      <c r="GN326" s="305"/>
      <c r="GO326" s="305"/>
      <c r="GP326" s="305"/>
      <c r="GQ326" s="305"/>
      <c r="GR326" s="305"/>
    </row>
    <row r="327" spans="3:200" s="318" customFormat="1" ht="12.75" customHeight="1" x14ac:dyDescent="0.2">
      <c r="C327" s="367"/>
      <c r="D327" s="403"/>
      <c r="E327" s="369"/>
      <c r="F327" s="369"/>
      <c r="G327" s="369"/>
      <c r="H327" s="369"/>
      <c r="I327" s="370"/>
      <c r="J327"/>
      <c r="K327" s="371"/>
      <c r="L327" s="371"/>
      <c r="M327" s="371"/>
      <c r="N327" s="371"/>
      <c r="O327" s="305"/>
      <c r="P327" s="305"/>
      <c r="Q327" s="305"/>
      <c r="R327" s="305"/>
      <c r="S327" s="305"/>
      <c r="T327" s="305"/>
      <c r="U327" s="305"/>
      <c r="V327" s="305"/>
      <c r="W327" s="305"/>
      <c r="X327" s="305"/>
      <c r="Y327" s="305"/>
      <c r="Z327" s="305"/>
      <c r="AA327" s="305"/>
      <c r="AB327" s="305"/>
      <c r="AC327" s="305"/>
      <c r="AD327" s="305"/>
      <c r="AE327" s="305"/>
      <c r="AF327" s="305"/>
      <c r="AG327" s="305"/>
      <c r="AH327" s="305"/>
      <c r="AI327" s="305"/>
      <c r="AJ327" s="305"/>
      <c r="AK327" s="305"/>
      <c r="AL327" s="305"/>
      <c r="AM327" s="305"/>
      <c r="AN327" s="305"/>
      <c r="AO327" s="305"/>
      <c r="AP327" s="305"/>
      <c r="AQ327" s="305"/>
      <c r="AR327" s="305"/>
      <c r="AS327" s="305"/>
      <c r="AT327" s="305"/>
      <c r="AU327" s="305"/>
      <c r="AV327" s="305"/>
      <c r="AW327" s="305"/>
      <c r="AX327" s="305"/>
      <c r="AY327" s="305"/>
      <c r="AZ327" s="305"/>
      <c r="BA327" s="305"/>
      <c r="BB327" s="305"/>
      <c r="BC327" s="305"/>
      <c r="BD327" s="305"/>
      <c r="BE327" s="305"/>
      <c r="BF327" s="305"/>
      <c r="BG327" s="305"/>
      <c r="BH327" s="305"/>
      <c r="BI327" s="305"/>
      <c r="BJ327" s="305"/>
      <c r="BK327" s="305"/>
      <c r="BL327" s="305"/>
      <c r="BM327" s="305"/>
      <c r="BN327" s="305"/>
      <c r="BO327" s="305"/>
      <c r="BP327" s="305"/>
      <c r="BQ327" s="305"/>
      <c r="BR327" s="305"/>
      <c r="BS327" s="305"/>
      <c r="BT327" s="305"/>
      <c r="BU327" s="305"/>
      <c r="BV327" s="305"/>
      <c r="BW327" s="305"/>
      <c r="BX327" s="305"/>
      <c r="BY327" s="305"/>
      <c r="BZ327" s="305"/>
      <c r="CA327" s="305"/>
      <c r="CB327" s="305"/>
      <c r="CC327" s="305"/>
      <c r="CD327" s="305"/>
      <c r="CE327" s="305"/>
      <c r="CF327" s="305"/>
      <c r="CG327" s="305"/>
      <c r="CH327" s="305"/>
      <c r="CI327" s="305"/>
      <c r="CJ327" s="305"/>
      <c r="CK327" s="305"/>
      <c r="CL327" s="305"/>
      <c r="CM327" s="305"/>
      <c r="CN327" s="305"/>
      <c r="CO327" s="305"/>
      <c r="CP327" s="305"/>
      <c r="CQ327" s="305"/>
      <c r="CR327" s="305"/>
      <c r="CS327" s="305"/>
      <c r="CT327" s="305"/>
      <c r="CU327" s="305"/>
      <c r="CV327" s="305"/>
      <c r="CW327" s="305"/>
      <c r="CX327" s="305"/>
      <c r="CY327" s="305"/>
      <c r="CZ327" s="305"/>
      <c r="DA327" s="305"/>
      <c r="DB327" s="305"/>
      <c r="DC327" s="305"/>
      <c r="DD327" s="305"/>
      <c r="DE327" s="305"/>
      <c r="DF327" s="305"/>
      <c r="DG327" s="305"/>
      <c r="DH327" s="305"/>
      <c r="DI327" s="305"/>
      <c r="DJ327" s="305"/>
      <c r="DK327" s="305"/>
      <c r="DL327" s="305"/>
      <c r="DM327" s="305"/>
      <c r="DN327" s="305"/>
      <c r="DO327" s="305"/>
      <c r="DP327" s="305"/>
      <c r="DQ327" s="305"/>
      <c r="DR327" s="305"/>
      <c r="DS327" s="305"/>
      <c r="DT327" s="305"/>
      <c r="DU327" s="305"/>
      <c r="DV327" s="305"/>
      <c r="DW327" s="305"/>
      <c r="DX327" s="305"/>
      <c r="DY327" s="305"/>
      <c r="DZ327" s="305"/>
      <c r="EA327" s="305"/>
      <c r="EB327" s="305"/>
      <c r="EC327" s="305"/>
      <c r="ED327" s="305"/>
      <c r="EE327" s="305"/>
      <c r="EF327" s="305"/>
      <c r="EG327" s="305"/>
      <c r="EH327" s="305"/>
      <c r="EI327" s="305"/>
      <c r="EJ327" s="305"/>
      <c r="EK327" s="305"/>
      <c r="EL327" s="305"/>
      <c r="EM327" s="305"/>
      <c r="EN327" s="305"/>
      <c r="EO327" s="305"/>
      <c r="EP327" s="305"/>
      <c r="EQ327" s="305"/>
      <c r="ER327" s="305"/>
      <c r="ES327" s="305"/>
      <c r="ET327" s="305"/>
      <c r="EU327" s="305"/>
      <c r="EV327" s="305"/>
      <c r="EW327" s="305"/>
      <c r="EX327" s="305"/>
      <c r="EY327" s="305"/>
      <c r="EZ327" s="305"/>
      <c r="FA327" s="305"/>
      <c r="FB327" s="305"/>
      <c r="FC327" s="305"/>
      <c r="FD327" s="305"/>
      <c r="FE327" s="305"/>
      <c r="FF327" s="305"/>
      <c r="FG327" s="305"/>
      <c r="FH327" s="305"/>
      <c r="FI327" s="305"/>
      <c r="FJ327" s="305"/>
      <c r="FK327" s="305"/>
      <c r="FL327" s="305"/>
      <c r="FM327" s="305"/>
      <c r="FN327" s="305"/>
      <c r="FO327" s="305"/>
      <c r="FP327" s="305"/>
      <c r="FQ327" s="305"/>
      <c r="FR327" s="305"/>
      <c r="FS327" s="305"/>
      <c r="FT327" s="305"/>
      <c r="FU327" s="305"/>
      <c r="FV327" s="305"/>
      <c r="FW327" s="305"/>
      <c r="FX327" s="305"/>
      <c r="FY327" s="305"/>
      <c r="FZ327" s="305"/>
      <c r="GA327" s="305"/>
      <c r="GB327" s="305"/>
      <c r="GC327" s="305"/>
      <c r="GD327" s="305"/>
      <c r="GE327" s="305"/>
      <c r="GF327" s="305"/>
      <c r="GG327" s="305"/>
      <c r="GH327" s="305"/>
      <c r="GI327" s="305"/>
      <c r="GJ327" s="305"/>
      <c r="GK327" s="305"/>
      <c r="GL327" s="305"/>
      <c r="GM327" s="305"/>
      <c r="GN327" s="305"/>
      <c r="GO327" s="305"/>
      <c r="GP327" s="305"/>
      <c r="GQ327" s="305"/>
      <c r="GR327" s="305"/>
    </row>
    <row r="328" spans="3:200" s="318" customFormat="1" ht="12.75" customHeight="1" x14ac:dyDescent="0.2">
      <c r="C328" s="367"/>
      <c r="D328" s="403"/>
      <c r="E328" s="369"/>
      <c r="F328" s="369"/>
      <c r="G328" s="369"/>
      <c r="H328" s="369"/>
      <c r="I328" s="370"/>
      <c r="J328"/>
      <c r="K328" s="371"/>
      <c r="L328" s="371"/>
      <c r="M328" s="371"/>
      <c r="N328" s="371"/>
      <c r="O328" s="305"/>
      <c r="P328" s="305"/>
      <c r="Q328" s="305"/>
      <c r="R328" s="305"/>
      <c r="S328" s="305"/>
      <c r="T328" s="305"/>
      <c r="U328" s="305"/>
      <c r="V328" s="305"/>
      <c r="W328" s="305"/>
      <c r="X328" s="305"/>
      <c r="Y328" s="305"/>
      <c r="Z328" s="305"/>
      <c r="AA328" s="305"/>
      <c r="AB328" s="305"/>
      <c r="AC328" s="305"/>
      <c r="AD328" s="305"/>
      <c r="AE328" s="305"/>
      <c r="AF328" s="305"/>
      <c r="AG328" s="305"/>
      <c r="AH328" s="305"/>
      <c r="AI328" s="305"/>
      <c r="AJ328" s="305"/>
      <c r="AK328" s="305"/>
      <c r="AL328" s="305"/>
      <c r="AM328" s="305"/>
      <c r="AN328" s="305"/>
      <c r="AO328" s="305"/>
      <c r="AP328" s="305"/>
      <c r="AQ328" s="305"/>
      <c r="AR328" s="305"/>
      <c r="AS328" s="305"/>
      <c r="AT328" s="305"/>
      <c r="AU328" s="305"/>
      <c r="AV328" s="305"/>
      <c r="AW328" s="305"/>
      <c r="AX328" s="305"/>
      <c r="AY328" s="305"/>
      <c r="AZ328" s="305"/>
      <c r="BA328" s="305"/>
      <c r="BB328" s="305"/>
      <c r="BC328" s="305"/>
      <c r="BD328" s="305"/>
      <c r="BE328" s="305"/>
      <c r="BF328" s="305"/>
      <c r="BG328" s="305"/>
      <c r="BH328" s="305"/>
      <c r="BI328" s="305"/>
      <c r="BJ328" s="305"/>
      <c r="BK328" s="305"/>
      <c r="BL328" s="305"/>
      <c r="BM328" s="305"/>
      <c r="BN328" s="305"/>
      <c r="BO328" s="305"/>
      <c r="BP328" s="305"/>
      <c r="BQ328" s="305"/>
      <c r="BR328" s="305"/>
      <c r="BS328" s="305"/>
      <c r="BT328" s="305"/>
      <c r="BU328" s="305"/>
      <c r="BV328" s="305"/>
      <c r="BW328" s="305"/>
      <c r="BX328" s="305"/>
      <c r="BY328" s="305"/>
      <c r="BZ328" s="305"/>
      <c r="CA328" s="305"/>
      <c r="CB328" s="305"/>
      <c r="CC328" s="305"/>
      <c r="CD328" s="305"/>
      <c r="CE328" s="305"/>
      <c r="CF328" s="305"/>
      <c r="CG328" s="305"/>
      <c r="CH328" s="305"/>
      <c r="CI328" s="305"/>
      <c r="CJ328" s="305"/>
      <c r="CK328" s="305"/>
      <c r="CL328" s="305"/>
      <c r="CM328" s="305"/>
      <c r="CN328" s="305"/>
      <c r="CO328" s="305"/>
      <c r="CP328" s="305"/>
      <c r="CQ328" s="305"/>
      <c r="CR328" s="305"/>
      <c r="CS328" s="305"/>
      <c r="CT328" s="305"/>
      <c r="CU328" s="305"/>
      <c r="CV328" s="305"/>
      <c r="CW328" s="305"/>
      <c r="CX328" s="305"/>
      <c r="CY328" s="305"/>
      <c r="CZ328" s="305"/>
      <c r="DA328" s="305"/>
      <c r="DB328" s="305"/>
      <c r="DC328" s="305"/>
      <c r="DD328" s="305"/>
      <c r="DE328" s="305"/>
      <c r="DF328" s="305"/>
      <c r="DG328" s="305"/>
      <c r="DH328" s="305"/>
      <c r="DI328" s="305"/>
      <c r="DJ328" s="305"/>
      <c r="DK328" s="305"/>
      <c r="DL328" s="305"/>
      <c r="DM328" s="305"/>
      <c r="DN328" s="305"/>
      <c r="DO328" s="305"/>
      <c r="DP328" s="305"/>
      <c r="DQ328" s="305"/>
      <c r="DR328" s="305"/>
      <c r="DS328" s="305"/>
      <c r="DT328" s="305"/>
      <c r="DU328" s="305"/>
      <c r="DV328" s="305"/>
      <c r="DW328" s="305"/>
      <c r="DX328" s="305"/>
      <c r="DY328" s="305"/>
      <c r="DZ328" s="305"/>
      <c r="EA328" s="305"/>
      <c r="EB328" s="305"/>
      <c r="EC328" s="305"/>
      <c r="ED328" s="305"/>
      <c r="EE328" s="305"/>
      <c r="EF328" s="305"/>
      <c r="EG328" s="305"/>
      <c r="EH328" s="305"/>
      <c r="EI328" s="305"/>
      <c r="EJ328" s="305"/>
      <c r="EK328" s="305"/>
      <c r="EL328" s="305"/>
      <c r="EM328" s="305"/>
      <c r="EN328" s="305"/>
      <c r="EO328" s="305"/>
      <c r="EP328" s="305"/>
      <c r="EQ328" s="305"/>
      <c r="ER328" s="305"/>
      <c r="ES328" s="305"/>
      <c r="ET328" s="305"/>
      <c r="EU328" s="305"/>
      <c r="EV328" s="305"/>
      <c r="EW328" s="305"/>
      <c r="EX328" s="305"/>
      <c r="EY328" s="305"/>
      <c r="EZ328" s="305"/>
      <c r="FA328" s="305"/>
      <c r="FB328" s="305"/>
      <c r="FC328" s="305"/>
      <c r="FD328" s="305"/>
      <c r="FE328" s="305"/>
      <c r="FF328" s="305"/>
      <c r="FG328" s="305"/>
      <c r="FH328" s="305"/>
      <c r="FI328" s="305"/>
      <c r="FJ328" s="305"/>
      <c r="FK328" s="305"/>
      <c r="FL328" s="305"/>
      <c r="FM328" s="305"/>
      <c r="FN328" s="305"/>
      <c r="FO328" s="305"/>
      <c r="FP328" s="305"/>
      <c r="FQ328" s="305"/>
      <c r="FR328" s="305"/>
      <c r="FS328" s="305"/>
      <c r="FT328" s="305"/>
      <c r="FU328" s="305"/>
      <c r="FV328" s="305"/>
      <c r="FW328" s="305"/>
      <c r="FX328" s="305"/>
      <c r="FY328" s="305"/>
      <c r="FZ328" s="305"/>
      <c r="GA328" s="305"/>
      <c r="GB328" s="305"/>
      <c r="GC328" s="305"/>
      <c r="GD328" s="305"/>
      <c r="GE328" s="305"/>
      <c r="GF328" s="305"/>
      <c r="GG328" s="305"/>
      <c r="GH328" s="305"/>
      <c r="GI328" s="305"/>
      <c r="GJ328" s="305"/>
      <c r="GK328" s="305"/>
      <c r="GL328" s="305"/>
      <c r="GM328" s="305"/>
      <c r="GN328" s="305"/>
      <c r="GO328" s="305"/>
      <c r="GP328" s="305"/>
      <c r="GQ328" s="305"/>
      <c r="GR328" s="305"/>
    </row>
    <row r="329" spans="3:200" s="318" customFormat="1" ht="12.75" customHeight="1" x14ac:dyDescent="0.2">
      <c r="C329" s="367"/>
      <c r="D329" s="403"/>
      <c r="E329" s="369"/>
      <c r="F329" s="369"/>
      <c r="G329" s="369"/>
      <c r="H329" s="369"/>
      <c r="I329" s="370"/>
      <c r="J329"/>
      <c r="K329" s="371"/>
      <c r="L329" s="371"/>
      <c r="M329" s="371"/>
      <c r="N329" s="371"/>
      <c r="O329" s="305"/>
      <c r="P329" s="305"/>
      <c r="Q329" s="305"/>
      <c r="R329" s="305"/>
      <c r="S329" s="305"/>
      <c r="T329" s="305"/>
      <c r="U329" s="305"/>
      <c r="V329" s="305"/>
      <c r="W329" s="305"/>
      <c r="X329" s="305"/>
      <c r="Y329" s="305"/>
      <c r="Z329" s="305"/>
      <c r="AA329" s="305"/>
      <c r="AB329" s="305"/>
      <c r="AC329" s="305"/>
      <c r="AD329" s="305"/>
      <c r="AE329" s="305"/>
      <c r="AF329" s="305"/>
      <c r="AG329" s="305"/>
      <c r="AH329" s="305"/>
      <c r="AI329" s="305"/>
      <c r="AJ329" s="305"/>
      <c r="AK329" s="305"/>
      <c r="AL329" s="305"/>
      <c r="AM329" s="305"/>
      <c r="AN329" s="305"/>
      <c r="AO329" s="305"/>
      <c r="AP329" s="305"/>
      <c r="AQ329" s="305"/>
      <c r="AR329" s="305"/>
      <c r="AS329" s="305"/>
      <c r="AT329" s="305"/>
      <c r="AU329" s="305"/>
      <c r="AV329" s="305"/>
      <c r="AW329" s="305"/>
      <c r="AX329" s="305"/>
      <c r="AY329" s="305"/>
      <c r="AZ329" s="305"/>
      <c r="BA329" s="305"/>
      <c r="BB329" s="305"/>
      <c r="BC329" s="305"/>
      <c r="BD329" s="305"/>
      <c r="BE329" s="305"/>
      <c r="BF329" s="305"/>
      <c r="BG329" s="305"/>
      <c r="BH329" s="305"/>
      <c r="BI329" s="305"/>
      <c r="BJ329" s="305"/>
      <c r="BK329" s="305"/>
      <c r="BL329" s="305"/>
      <c r="BM329" s="305"/>
      <c r="BN329" s="305"/>
      <c r="BO329" s="305"/>
      <c r="BP329" s="305"/>
      <c r="BQ329" s="305"/>
      <c r="BR329" s="305"/>
      <c r="BS329" s="305"/>
      <c r="BT329" s="305"/>
      <c r="BU329" s="305"/>
      <c r="BV329" s="305"/>
      <c r="BW329" s="305"/>
      <c r="BX329" s="305"/>
      <c r="BY329" s="305"/>
      <c r="BZ329" s="305"/>
      <c r="CA329" s="305"/>
      <c r="CB329" s="305"/>
      <c r="CC329" s="305"/>
      <c r="CD329" s="305"/>
      <c r="CE329" s="305"/>
      <c r="CF329" s="305"/>
      <c r="CG329" s="305"/>
      <c r="CH329" s="305"/>
      <c r="CI329" s="305"/>
      <c r="CJ329" s="305"/>
      <c r="CK329" s="305"/>
      <c r="CL329" s="305"/>
      <c r="CM329" s="305"/>
      <c r="CN329" s="305"/>
      <c r="CO329" s="305"/>
      <c r="CP329" s="305"/>
      <c r="CQ329" s="305"/>
      <c r="CR329" s="305"/>
      <c r="CS329" s="305"/>
      <c r="CT329" s="305"/>
      <c r="CU329" s="305"/>
      <c r="CV329" s="305"/>
      <c r="CW329" s="305"/>
      <c r="CX329" s="305"/>
      <c r="CY329" s="305"/>
      <c r="CZ329" s="305"/>
      <c r="DA329" s="305"/>
      <c r="DB329" s="305"/>
      <c r="DC329" s="305"/>
      <c r="DD329" s="305"/>
      <c r="DE329" s="305"/>
      <c r="DF329" s="305"/>
      <c r="DG329" s="305"/>
      <c r="DH329" s="305"/>
      <c r="DI329" s="305"/>
      <c r="DJ329" s="305"/>
      <c r="DK329" s="305"/>
      <c r="DL329" s="305"/>
      <c r="DM329" s="305"/>
      <c r="DN329" s="305"/>
      <c r="DO329" s="305"/>
      <c r="DP329" s="305"/>
      <c r="DQ329" s="305"/>
      <c r="DR329" s="305"/>
      <c r="DS329" s="305"/>
      <c r="DT329" s="305"/>
      <c r="DU329" s="305"/>
      <c r="DV329" s="305"/>
      <c r="DW329" s="305"/>
      <c r="DX329" s="305"/>
      <c r="DY329" s="305"/>
      <c r="DZ329" s="305"/>
      <c r="EA329" s="305"/>
      <c r="EB329" s="305"/>
      <c r="EC329" s="305"/>
      <c r="ED329" s="305"/>
      <c r="EE329" s="305"/>
      <c r="EF329" s="305"/>
      <c r="EG329" s="305"/>
      <c r="EH329" s="305"/>
      <c r="EI329" s="305"/>
      <c r="EJ329" s="305"/>
      <c r="EK329" s="305"/>
      <c r="EL329" s="305"/>
      <c r="EM329" s="305"/>
      <c r="EN329" s="305"/>
      <c r="EO329" s="305"/>
      <c r="EP329" s="305"/>
      <c r="EQ329" s="305"/>
      <c r="ER329" s="305"/>
      <c r="ES329" s="305"/>
      <c r="ET329" s="305"/>
      <c r="EU329" s="305"/>
      <c r="EV329" s="305"/>
      <c r="EW329" s="305"/>
      <c r="EX329" s="305"/>
      <c r="EY329" s="305"/>
      <c r="EZ329" s="305"/>
      <c r="FA329" s="305"/>
      <c r="FB329" s="305"/>
      <c r="FC329" s="305"/>
      <c r="FD329" s="305"/>
      <c r="FE329" s="305"/>
      <c r="FF329" s="305"/>
      <c r="FG329" s="305"/>
      <c r="FH329" s="305"/>
      <c r="FI329" s="305"/>
      <c r="FJ329" s="305"/>
      <c r="FK329" s="305"/>
      <c r="FL329" s="305"/>
      <c r="FM329" s="305"/>
      <c r="FN329" s="305"/>
      <c r="FO329" s="305"/>
      <c r="FP329" s="305"/>
      <c r="FQ329" s="305"/>
      <c r="FR329" s="305"/>
      <c r="FS329" s="305"/>
      <c r="FT329" s="305"/>
      <c r="FU329" s="305"/>
      <c r="FV329" s="305"/>
      <c r="FW329" s="305"/>
      <c r="FX329" s="305"/>
      <c r="FY329" s="305"/>
      <c r="FZ329" s="305"/>
      <c r="GA329" s="305"/>
      <c r="GB329" s="305"/>
      <c r="GC329" s="305"/>
      <c r="GD329" s="305"/>
      <c r="GE329" s="305"/>
      <c r="GF329" s="305"/>
      <c r="GG329" s="305"/>
      <c r="GH329" s="305"/>
      <c r="GI329" s="305"/>
      <c r="GJ329" s="305"/>
      <c r="GK329" s="305"/>
      <c r="GL329" s="305"/>
      <c r="GM329" s="305"/>
      <c r="GN329" s="305"/>
      <c r="GO329" s="305"/>
      <c r="GP329" s="305"/>
      <c r="GQ329" s="305"/>
      <c r="GR329" s="305"/>
    </row>
    <row r="330" spans="3:200" s="318" customFormat="1" ht="12.75" customHeight="1" x14ac:dyDescent="0.2">
      <c r="C330" s="367"/>
      <c r="D330" s="403"/>
      <c r="E330" s="369"/>
      <c r="F330" s="369"/>
      <c r="G330" s="369"/>
      <c r="H330" s="369"/>
      <c r="I330" s="370"/>
      <c r="J330"/>
      <c r="K330" s="371"/>
      <c r="L330" s="371"/>
      <c r="M330" s="371"/>
      <c r="N330" s="371"/>
      <c r="O330" s="305"/>
      <c r="P330" s="305"/>
      <c r="Q330" s="305"/>
      <c r="R330" s="305"/>
      <c r="S330" s="305"/>
      <c r="T330" s="305"/>
      <c r="U330" s="305"/>
      <c r="V330" s="305"/>
      <c r="W330" s="305"/>
      <c r="X330" s="305"/>
      <c r="Y330" s="305"/>
      <c r="Z330" s="305"/>
      <c r="AA330" s="305"/>
      <c r="AB330" s="305"/>
      <c r="AC330" s="305"/>
      <c r="AD330" s="305"/>
      <c r="AE330" s="305"/>
      <c r="AF330" s="305"/>
      <c r="AG330" s="305"/>
      <c r="AH330" s="305"/>
      <c r="AI330" s="305"/>
      <c r="AJ330" s="305"/>
      <c r="AK330" s="305"/>
      <c r="AL330" s="305"/>
      <c r="AM330" s="305"/>
      <c r="AN330" s="305"/>
      <c r="AO330" s="305"/>
      <c r="AP330" s="305"/>
      <c r="AQ330" s="305"/>
      <c r="AR330" s="305"/>
      <c r="AS330" s="305"/>
      <c r="AT330" s="305"/>
      <c r="AU330" s="305"/>
      <c r="AV330" s="305"/>
      <c r="AW330" s="305"/>
      <c r="AX330" s="305"/>
      <c r="AY330" s="305"/>
      <c r="AZ330" s="305"/>
      <c r="BA330" s="305"/>
      <c r="BB330" s="305"/>
      <c r="BC330" s="305"/>
      <c r="BD330" s="305"/>
      <c r="BE330" s="305"/>
      <c r="BF330" s="305"/>
      <c r="BG330" s="305"/>
      <c r="BH330" s="305"/>
      <c r="BI330" s="305"/>
      <c r="BJ330" s="305"/>
      <c r="BK330" s="305"/>
      <c r="BL330" s="305"/>
      <c r="BM330" s="305"/>
      <c r="BN330" s="305"/>
      <c r="BO330" s="305"/>
      <c r="BP330" s="305"/>
      <c r="BQ330" s="305"/>
      <c r="BR330" s="305"/>
      <c r="BS330" s="305"/>
      <c r="BT330" s="305"/>
      <c r="BU330" s="305"/>
      <c r="BV330" s="305"/>
      <c r="BW330" s="305"/>
      <c r="BX330" s="305"/>
      <c r="BY330" s="305"/>
      <c r="BZ330" s="305"/>
      <c r="CA330" s="305"/>
      <c r="CB330" s="305"/>
      <c r="CC330" s="305"/>
      <c r="CD330" s="305"/>
      <c r="CE330" s="305"/>
      <c r="CF330" s="305"/>
      <c r="CG330" s="305"/>
      <c r="CH330" s="305"/>
      <c r="CI330" s="305"/>
      <c r="CJ330" s="305"/>
      <c r="CK330" s="305"/>
      <c r="CL330" s="305"/>
      <c r="CM330" s="305"/>
      <c r="CN330" s="305"/>
      <c r="CO330" s="305"/>
      <c r="CP330" s="305"/>
      <c r="CQ330" s="305"/>
      <c r="CR330" s="305"/>
      <c r="CS330" s="305"/>
      <c r="CT330" s="305"/>
      <c r="CU330" s="305"/>
      <c r="CV330" s="305"/>
      <c r="CW330" s="305"/>
      <c r="CX330" s="305"/>
      <c r="CY330" s="305"/>
      <c r="CZ330" s="305"/>
      <c r="DA330" s="305"/>
      <c r="DB330" s="305"/>
      <c r="DC330" s="305"/>
      <c r="DD330" s="305"/>
      <c r="DE330" s="305"/>
      <c r="DF330" s="305"/>
      <c r="DG330" s="305"/>
      <c r="DH330" s="305"/>
      <c r="DI330" s="305"/>
      <c r="DJ330" s="305"/>
      <c r="DK330" s="305"/>
      <c r="DL330" s="305"/>
      <c r="DM330" s="305"/>
      <c r="DN330" s="305"/>
      <c r="DO330" s="305"/>
      <c r="DP330" s="305"/>
      <c r="DQ330" s="305"/>
      <c r="DR330" s="305"/>
      <c r="DS330" s="305"/>
      <c r="DT330" s="305"/>
      <c r="DU330" s="305"/>
      <c r="DV330" s="305"/>
      <c r="DW330" s="305"/>
      <c r="DX330" s="305"/>
      <c r="DY330" s="305"/>
      <c r="DZ330" s="305"/>
      <c r="EA330" s="305"/>
      <c r="EB330" s="305"/>
      <c r="EC330" s="305"/>
      <c r="ED330" s="305"/>
      <c r="EE330" s="305"/>
      <c r="EF330" s="305"/>
      <c r="EG330" s="305"/>
      <c r="EH330" s="305"/>
      <c r="EI330" s="305"/>
      <c r="EJ330" s="305"/>
      <c r="EK330" s="305"/>
      <c r="EL330" s="305"/>
      <c r="EM330" s="305"/>
      <c r="EN330" s="305"/>
      <c r="EO330" s="305"/>
      <c r="EP330" s="305"/>
      <c r="EQ330" s="305"/>
      <c r="ER330" s="305"/>
      <c r="ES330" s="305"/>
      <c r="ET330" s="305"/>
      <c r="EU330" s="305"/>
      <c r="EV330" s="305"/>
      <c r="EW330" s="305"/>
      <c r="EX330" s="305"/>
      <c r="EY330" s="305"/>
      <c r="EZ330" s="305"/>
      <c r="FA330" s="305"/>
      <c r="FB330" s="305"/>
      <c r="FC330" s="305"/>
      <c r="FD330" s="305"/>
      <c r="FE330" s="305"/>
      <c r="FF330" s="305"/>
      <c r="FG330" s="305"/>
      <c r="FH330" s="305"/>
      <c r="FI330" s="305"/>
      <c r="FJ330" s="305"/>
      <c r="FK330" s="305"/>
      <c r="FL330" s="305"/>
      <c r="FM330" s="305"/>
      <c r="FN330" s="305"/>
      <c r="FO330" s="305"/>
      <c r="FP330" s="305"/>
      <c r="FQ330" s="305"/>
      <c r="FR330" s="305"/>
      <c r="FS330" s="305"/>
      <c r="FT330" s="305"/>
      <c r="FU330" s="305"/>
      <c r="FV330" s="305"/>
      <c r="FW330" s="305"/>
      <c r="FX330" s="305"/>
      <c r="FY330" s="305"/>
      <c r="FZ330" s="305"/>
      <c r="GA330" s="305"/>
      <c r="GB330" s="305"/>
      <c r="GC330" s="305"/>
      <c r="GD330" s="305"/>
      <c r="GE330" s="305"/>
      <c r="GF330" s="305"/>
      <c r="GG330" s="305"/>
      <c r="GH330" s="305"/>
      <c r="GI330" s="305"/>
      <c r="GJ330" s="305"/>
      <c r="GK330" s="305"/>
      <c r="GL330" s="305"/>
      <c r="GM330" s="305"/>
      <c r="GN330" s="305"/>
      <c r="GO330" s="305"/>
      <c r="GP330" s="305"/>
      <c r="GQ330" s="305"/>
      <c r="GR330" s="305"/>
    </row>
    <row r="331" spans="3:200" s="318" customFormat="1" ht="12.75" customHeight="1" x14ac:dyDescent="0.2">
      <c r="C331" s="367"/>
      <c r="D331" s="403"/>
      <c r="E331" s="369"/>
      <c r="F331" s="369"/>
      <c r="G331" s="369"/>
      <c r="H331" s="369"/>
      <c r="I331" s="370"/>
      <c r="J331"/>
      <c r="K331" s="371"/>
      <c r="L331" s="371"/>
      <c r="M331" s="371"/>
      <c r="N331" s="371"/>
      <c r="O331" s="305"/>
      <c r="P331" s="305"/>
      <c r="Q331" s="305"/>
      <c r="R331" s="305"/>
      <c r="S331" s="305"/>
      <c r="T331" s="305"/>
      <c r="U331" s="305"/>
      <c r="V331" s="305"/>
      <c r="W331" s="305"/>
      <c r="X331" s="305"/>
      <c r="Y331" s="305"/>
      <c r="Z331" s="305"/>
      <c r="AA331" s="305"/>
      <c r="AB331" s="305"/>
      <c r="AC331" s="305"/>
      <c r="AD331" s="305"/>
      <c r="AE331" s="305"/>
      <c r="AF331" s="305"/>
      <c r="AG331" s="305"/>
      <c r="AH331" s="305"/>
      <c r="AI331" s="305"/>
      <c r="AJ331" s="305"/>
      <c r="AK331" s="305"/>
      <c r="AL331" s="305"/>
      <c r="AM331" s="305"/>
      <c r="AN331" s="305"/>
      <c r="AO331" s="305"/>
      <c r="AP331" s="305"/>
      <c r="AQ331" s="305"/>
      <c r="AR331" s="305"/>
      <c r="AS331" s="305"/>
      <c r="AT331" s="305"/>
      <c r="AU331" s="305"/>
      <c r="AV331" s="305"/>
      <c r="AW331" s="305"/>
      <c r="AX331" s="305"/>
      <c r="AY331" s="305"/>
      <c r="AZ331" s="305"/>
      <c r="BA331" s="305"/>
      <c r="BB331" s="305"/>
      <c r="BC331" s="305"/>
      <c r="BD331" s="305"/>
      <c r="BE331" s="305"/>
      <c r="BF331" s="305"/>
      <c r="BG331" s="305"/>
      <c r="BH331" s="305"/>
      <c r="BI331" s="305"/>
      <c r="BJ331" s="305"/>
      <c r="BK331" s="305"/>
      <c r="BL331" s="305"/>
      <c r="BM331" s="305"/>
      <c r="BN331" s="305"/>
      <c r="BO331" s="305"/>
      <c r="BP331" s="305"/>
      <c r="BQ331" s="305"/>
      <c r="BR331" s="305"/>
      <c r="BS331" s="305"/>
      <c r="BT331" s="305"/>
      <c r="BU331" s="305"/>
      <c r="BV331" s="305"/>
      <c r="BW331" s="305"/>
      <c r="BX331" s="305"/>
      <c r="BY331" s="305"/>
      <c r="BZ331" s="305"/>
      <c r="CA331" s="305"/>
      <c r="CB331" s="305"/>
      <c r="CC331" s="305"/>
      <c r="CD331" s="305"/>
      <c r="CE331" s="305"/>
      <c r="CF331" s="305"/>
      <c r="CG331" s="305"/>
      <c r="CH331" s="305"/>
      <c r="CI331" s="305"/>
      <c r="CJ331" s="305"/>
      <c r="CK331" s="305"/>
      <c r="CL331" s="305"/>
      <c r="CM331" s="305"/>
      <c r="CN331" s="305"/>
      <c r="CO331" s="305"/>
      <c r="CP331" s="305"/>
      <c r="CQ331" s="305"/>
      <c r="CR331" s="305"/>
      <c r="CS331" s="305"/>
      <c r="CT331" s="305"/>
      <c r="CU331" s="305"/>
      <c r="CV331" s="305"/>
      <c r="CW331" s="305"/>
      <c r="CX331" s="305"/>
      <c r="CY331" s="305"/>
      <c r="CZ331" s="305"/>
      <c r="DA331" s="305"/>
      <c r="DB331" s="305"/>
      <c r="DC331" s="305"/>
      <c r="DD331" s="305"/>
      <c r="DE331" s="305"/>
      <c r="DF331" s="305"/>
      <c r="DG331" s="305"/>
      <c r="DH331" s="305"/>
      <c r="DI331" s="305"/>
      <c r="DJ331" s="305"/>
      <c r="DK331" s="305"/>
      <c r="DL331" s="305"/>
      <c r="DM331" s="305"/>
      <c r="DN331" s="305"/>
      <c r="DO331" s="305"/>
      <c r="DP331" s="305"/>
      <c r="DQ331" s="305"/>
      <c r="DR331" s="305"/>
      <c r="DS331" s="305"/>
      <c r="DT331" s="305"/>
      <c r="DU331" s="305"/>
      <c r="DV331" s="305"/>
      <c r="DW331" s="305"/>
      <c r="DX331" s="305"/>
      <c r="DY331" s="305"/>
      <c r="DZ331" s="305"/>
      <c r="EA331" s="305"/>
      <c r="EB331" s="305"/>
      <c r="EC331" s="305"/>
      <c r="ED331" s="305"/>
      <c r="EE331" s="305"/>
      <c r="EF331" s="305"/>
      <c r="EG331" s="305"/>
      <c r="EH331" s="305"/>
      <c r="EI331" s="305"/>
      <c r="EJ331" s="305"/>
      <c r="EK331" s="305"/>
      <c r="EL331" s="305"/>
      <c r="EM331" s="305"/>
      <c r="EN331" s="305"/>
      <c r="EO331" s="305"/>
      <c r="EP331" s="305"/>
      <c r="EQ331" s="305"/>
      <c r="ER331" s="305"/>
      <c r="ES331" s="305"/>
      <c r="ET331" s="305"/>
      <c r="EU331" s="305"/>
      <c r="EV331" s="305"/>
      <c r="EW331" s="305"/>
      <c r="EX331" s="305"/>
      <c r="EY331" s="305"/>
      <c r="EZ331" s="305"/>
      <c r="FA331" s="305"/>
      <c r="FB331" s="305"/>
      <c r="FC331" s="305"/>
      <c r="FD331" s="305"/>
      <c r="FE331" s="305"/>
      <c r="FF331" s="305"/>
      <c r="FG331" s="305"/>
      <c r="FH331" s="305"/>
      <c r="FI331" s="305"/>
      <c r="FJ331" s="305"/>
      <c r="FK331" s="305"/>
      <c r="FL331" s="305"/>
      <c r="FM331" s="305"/>
      <c r="FN331" s="305"/>
      <c r="FO331" s="305"/>
      <c r="FP331" s="305"/>
      <c r="FQ331" s="305"/>
      <c r="FR331" s="305"/>
      <c r="FS331" s="305"/>
      <c r="FT331" s="305"/>
      <c r="FU331" s="305"/>
      <c r="FV331" s="305"/>
      <c r="FW331" s="305"/>
      <c r="FX331" s="305"/>
      <c r="FY331" s="305"/>
      <c r="FZ331" s="305"/>
      <c r="GA331" s="305"/>
      <c r="GB331" s="305"/>
      <c r="GC331" s="305"/>
      <c r="GD331" s="305"/>
      <c r="GE331" s="305"/>
      <c r="GF331" s="305"/>
      <c r="GG331" s="305"/>
      <c r="GH331" s="305"/>
      <c r="GI331" s="305"/>
      <c r="GJ331" s="305"/>
      <c r="GK331" s="305"/>
      <c r="GL331" s="305"/>
      <c r="GM331" s="305"/>
      <c r="GN331" s="305"/>
      <c r="GO331" s="305"/>
      <c r="GP331" s="305"/>
      <c r="GQ331" s="305"/>
      <c r="GR331" s="305"/>
    </row>
    <row r="332" spans="3:200" s="318" customFormat="1" ht="12.75" customHeight="1" x14ac:dyDescent="0.2">
      <c r="C332" s="367"/>
      <c r="D332" s="403"/>
      <c r="E332" s="369"/>
      <c r="F332" s="369"/>
      <c r="G332" s="369"/>
      <c r="H332" s="369"/>
      <c r="I332" s="370"/>
      <c r="J332"/>
      <c r="K332" s="371"/>
      <c r="L332" s="371"/>
      <c r="M332" s="371"/>
      <c r="N332" s="371"/>
      <c r="O332" s="305"/>
      <c r="P332" s="305"/>
      <c r="Q332" s="305"/>
      <c r="R332" s="305"/>
      <c r="S332" s="305"/>
      <c r="T332" s="305"/>
      <c r="U332" s="305"/>
      <c r="V332" s="305"/>
      <c r="W332" s="305"/>
      <c r="X332" s="305"/>
      <c r="Y332" s="305"/>
      <c r="Z332" s="305"/>
      <c r="AA332" s="305"/>
      <c r="AB332" s="305"/>
      <c r="AC332" s="305"/>
      <c r="AD332" s="305"/>
      <c r="AE332" s="305"/>
      <c r="AF332" s="305"/>
      <c r="AG332" s="305"/>
      <c r="AH332" s="305"/>
      <c r="AI332" s="305"/>
      <c r="AJ332" s="305"/>
      <c r="AK332" s="305"/>
      <c r="AL332" s="305"/>
      <c r="AM332" s="305"/>
      <c r="AN332" s="305"/>
      <c r="AO332" s="305"/>
      <c r="AP332" s="305"/>
      <c r="AQ332" s="305"/>
      <c r="AR332" s="305"/>
      <c r="AS332" s="305"/>
      <c r="AT332" s="305"/>
      <c r="AU332" s="305"/>
      <c r="AV332" s="305"/>
      <c r="AW332" s="305"/>
      <c r="AX332" s="305"/>
      <c r="AY332" s="305"/>
      <c r="AZ332" s="305"/>
      <c r="BA332" s="305"/>
      <c r="BB332" s="305"/>
      <c r="BC332" s="305"/>
      <c r="BD332" s="305"/>
      <c r="BE332" s="305"/>
      <c r="BF332" s="305"/>
      <c r="BG332" s="305"/>
      <c r="BH332" s="305"/>
      <c r="BI332" s="305"/>
      <c r="BJ332" s="305"/>
      <c r="BK332" s="305"/>
      <c r="BL332" s="305"/>
      <c r="BM332" s="305"/>
      <c r="BN332" s="305"/>
      <c r="BO332" s="305"/>
      <c r="BP332" s="305"/>
      <c r="BQ332" s="305"/>
      <c r="BR332" s="305"/>
      <c r="BS332" s="305"/>
      <c r="BT332" s="305"/>
      <c r="BU332" s="305"/>
      <c r="BV332" s="305"/>
      <c r="BW332" s="305"/>
      <c r="BX332" s="305"/>
      <c r="BY332" s="305"/>
      <c r="BZ332" s="305"/>
      <c r="CA332" s="305"/>
      <c r="CB332" s="305"/>
      <c r="CC332" s="305"/>
      <c r="CD332" s="305"/>
      <c r="CE332" s="305"/>
      <c r="CF332" s="305"/>
      <c r="CG332" s="305"/>
      <c r="CH332" s="305"/>
      <c r="CI332" s="305"/>
      <c r="CJ332" s="305"/>
      <c r="CK332" s="305"/>
      <c r="CL332" s="305"/>
      <c r="CM332" s="305"/>
      <c r="CN332" s="305"/>
      <c r="CO332" s="305"/>
      <c r="CP332" s="305"/>
      <c r="CQ332" s="305"/>
      <c r="CR332" s="305"/>
      <c r="CS332" s="305"/>
      <c r="CT332" s="305"/>
      <c r="CU332" s="305"/>
      <c r="CV332" s="305"/>
      <c r="CW332" s="305"/>
      <c r="CX332" s="305"/>
      <c r="CY332" s="305"/>
      <c r="CZ332" s="305"/>
      <c r="DA332" s="305"/>
      <c r="DB332" s="305"/>
      <c r="DC332" s="305"/>
      <c r="DD332" s="305"/>
      <c r="DE332" s="305"/>
      <c r="DF332" s="305"/>
      <c r="DG332" s="305"/>
      <c r="DH332" s="305"/>
      <c r="DI332" s="305"/>
      <c r="DJ332" s="305"/>
      <c r="DK332" s="305"/>
      <c r="DL332" s="305"/>
      <c r="DM332" s="305"/>
      <c r="DN332" s="305"/>
      <c r="DO332" s="305"/>
      <c r="DP332" s="305"/>
      <c r="DQ332" s="305"/>
      <c r="DR332" s="305"/>
      <c r="DS332" s="305"/>
      <c r="DT332" s="305"/>
      <c r="DU332" s="305"/>
      <c r="DV332" s="305"/>
      <c r="DW332" s="305"/>
      <c r="DX332" s="305"/>
      <c r="DY332" s="305"/>
      <c r="DZ332" s="305"/>
      <c r="EA332" s="305"/>
      <c r="EB332" s="305"/>
      <c r="EC332" s="305"/>
      <c r="ED332" s="305"/>
      <c r="EE332" s="305"/>
      <c r="EF332" s="305"/>
      <c r="EG332" s="305"/>
      <c r="EH332" s="305"/>
      <c r="EI332" s="305"/>
      <c r="EJ332" s="305"/>
      <c r="EK332" s="305"/>
      <c r="EL332" s="305"/>
      <c r="EM332" s="305"/>
      <c r="EN332" s="305"/>
      <c r="EO332" s="305"/>
      <c r="EP332" s="305"/>
      <c r="EQ332" s="305"/>
      <c r="ER332" s="305"/>
      <c r="ES332" s="305"/>
      <c r="ET332" s="305"/>
      <c r="EU332" s="305"/>
      <c r="EV332" s="305"/>
      <c r="EW332" s="305"/>
      <c r="EX332" s="305"/>
      <c r="EY332" s="305"/>
      <c r="EZ332" s="305"/>
      <c r="FA332" s="305"/>
      <c r="FB332" s="305"/>
      <c r="FC332" s="305"/>
      <c r="FD332" s="305"/>
      <c r="FE332" s="305"/>
      <c r="FF332" s="305"/>
      <c r="FG332" s="305"/>
      <c r="FH332" s="305"/>
      <c r="FI332" s="305"/>
      <c r="FJ332" s="305"/>
      <c r="FK332" s="305"/>
      <c r="FL332" s="305"/>
      <c r="FM332" s="305"/>
      <c r="FN332" s="305"/>
      <c r="FO332" s="305"/>
      <c r="FP332" s="305"/>
      <c r="FQ332" s="305"/>
      <c r="FR332" s="305"/>
      <c r="FS332" s="305"/>
      <c r="FT332" s="305"/>
      <c r="FU332" s="305"/>
      <c r="FV332" s="305"/>
      <c r="FW332" s="305"/>
      <c r="FX332" s="305"/>
      <c r="FY332" s="305"/>
      <c r="FZ332" s="305"/>
      <c r="GA332" s="305"/>
      <c r="GB332" s="305"/>
      <c r="GC332" s="305"/>
      <c r="GD332" s="305"/>
      <c r="GE332" s="305"/>
      <c r="GF332" s="305"/>
      <c r="GG332" s="305"/>
      <c r="GH332" s="305"/>
      <c r="GI332" s="305"/>
      <c r="GJ332" s="305"/>
      <c r="GK332" s="305"/>
      <c r="GL332" s="305"/>
      <c r="GM332" s="305"/>
      <c r="GN332" s="305"/>
      <c r="GO332" s="305"/>
      <c r="GP332" s="305"/>
      <c r="GQ332" s="305"/>
      <c r="GR332" s="305"/>
    </row>
    <row r="333" spans="3:200" s="318" customFormat="1" ht="12.75" customHeight="1" x14ac:dyDescent="0.2">
      <c r="C333" s="367"/>
      <c r="D333" s="403"/>
      <c r="E333" s="369"/>
      <c r="F333" s="369"/>
      <c r="G333" s="369"/>
      <c r="H333" s="369"/>
      <c r="I333" s="370"/>
      <c r="J333"/>
      <c r="K333" s="371"/>
      <c r="L333" s="371"/>
      <c r="M333" s="371"/>
      <c r="N333" s="371"/>
      <c r="O333" s="305"/>
      <c r="P333" s="305"/>
      <c r="Q333" s="305"/>
      <c r="R333" s="305"/>
      <c r="S333" s="305"/>
      <c r="T333" s="305"/>
      <c r="U333" s="305"/>
      <c r="V333" s="305"/>
      <c r="W333" s="305"/>
      <c r="X333" s="305"/>
      <c r="Y333" s="305"/>
      <c r="Z333" s="305"/>
      <c r="AA333" s="305"/>
      <c r="AB333" s="305"/>
      <c r="AC333" s="305"/>
      <c r="AD333" s="305"/>
      <c r="AE333" s="305"/>
      <c r="AF333" s="305"/>
      <c r="AG333" s="305"/>
      <c r="AH333" s="305"/>
      <c r="AI333" s="305"/>
      <c r="AJ333" s="305"/>
      <c r="AK333" s="305"/>
      <c r="AL333" s="305"/>
      <c r="AM333" s="305"/>
      <c r="AN333" s="305"/>
      <c r="AO333" s="305"/>
      <c r="AP333" s="305"/>
      <c r="AQ333" s="305"/>
      <c r="AR333" s="305"/>
      <c r="AS333" s="305"/>
      <c r="AT333" s="305"/>
      <c r="AU333" s="305"/>
      <c r="AV333" s="305"/>
      <c r="AW333" s="305"/>
      <c r="AX333" s="305"/>
      <c r="AY333" s="305"/>
      <c r="AZ333" s="305"/>
      <c r="BA333" s="305"/>
      <c r="BB333" s="305"/>
      <c r="BC333" s="305"/>
      <c r="BD333" s="305"/>
      <c r="BE333" s="305"/>
      <c r="BF333" s="305"/>
      <c r="BG333" s="305"/>
      <c r="BH333" s="305"/>
      <c r="BI333" s="305"/>
      <c r="BJ333" s="305"/>
      <c r="BK333" s="305"/>
      <c r="BL333" s="305"/>
      <c r="BM333" s="305"/>
      <c r="BN333" s="305"/>
      <c r="BO333" s="305"/>
      <c r="BP333" s="305"/>
      <c r="BQ333" s="305"/>
      <c r="BR333" s="305"/>
      <c r="BS333" s="305"/>
      <c r="BT333" s="305"/>
      <c r="BU333" s="305"/>
      <c r="BV333" s="305"/>
      <c r="BW333" s="305"/>
      <c r="BX333" s="305"/>
      <c r="BY333" s="305"/>
      <c r="BZ333" s="305"/>
      <c r="CA333" s="305"/>
      <c r="CB333" s="305"/>
      <c r="CC333" s="305"/>
      <c r="CD333" s="305"/>
      <c r="CE333" s="305"/>
      <c r="CF333" s="305"/>
      <c r="CG333" s="305"/>
      <c r="CH333" s="305"/>
      <c r="CI333" s="305"/>
      <c r="CJ333" s="305"/>
      <c r="CK333" s="305"/>
      <c r="CL333" s="305"/>
      <c r="CM333" s="305"/>
      <c r="CN333" s="305"/>
      <c r="CO333" s="305"/>
      <c r="CP333" s="305"/>
      <c r="CQ333" s="305"/>
      <c r="CR333" s="305"/>
      <c r="CS333" s="305"/>
      <c r="CT333" s="305"/>
      <c r="CU333" s="305"/>
      <c r="CV333" s="305"/>
      <c r="CW333" s="305"/>
      <c r="CX333" s="305"/>
      <c r="CY333" s="305"/>
      <c r="CZ333" s="305"/>
      <c r="DA333" s="305"/>
      <c r="DB333" s="305"/>
      <c r="DC333" s="305"/>
      <c r="DD333" s="305"/>
      <c r="DE333" s="305"/>
      <c r="DF333" s="305"/>
      <c r="DG333" s="305"/>
      <c r="DH333" s="305"/>
      <c r="DI333" s="305"/>
      <c r="DJ333" s="305"/>
      <c r="DK333" s="305"/>
      <c r="DL333" s="305"/>
      <c r="DM333" s="305"/>
      <c r="DN333" s="305"/>
      <c r="DO333" s="305"/>
      <c r="DP333" s="305"/>
      <c r="DQ333" s="305"/>
      <c r="DR333" s="305"/>
      <c r="DS333" s="305"/>
      <c r="DT333" s="305"/>
      <c r="DU333" s="305"/>
      <c r="DV333" s="305"/>
      <c r="DW333" s="305"/>
      <c r="DX333" s="305"/>
      <c r="DY333" s="305"/>
      <c r="DZ333" s="305"/>
      <c r="EA333" s="305"/>
      <c r="EB333" s="305"/>
      <c r="EC333" s="305"/>
      <c r="ED333" s="305"/>
      <c r="EE333" s="305"/>
      <c r="EF333" s="305"/>
      <c r="EG333" s="305"/>
      <c r="EH333" s="305"/>
      <c r="EI333" s="305"/>
      <c r="EJ333" s="305"/>
      <c r="EK333" s="305"/>
      <c r="EL333" s="305"/>
      <c r="EM333" s="305"/>
      <c r="EN333" s="305"/>
      <c r="EO333" s="305"/>
      <c r="EP333" s="305"/>
      <c r="EQ333" s="305"/>
      <c r="ER333" s="305"/>
      <c r="ES333" s="305"/>
      <c r="ET333" s="305"/>
      <c r="EU333" s="305"/>
      <c r="EV333" s="305"/>
      <c r="EW333" s="305"/>
      <c r="EX333" s="305"/>
      <c r="EY333" s="305"/>
      <c r="EZ333" s="305"/>
      <c r="FA333" s="305"/>
      <c r="FB333" s="305"/>
      <c r="FC333" s="305"/>
      <c r="FD333" s="305"/>
      <c r="FE333" s="305"/>
      <c r="FF333" s="305"/>
      <c r="FG333" s="305"/>
      <c r="FH333" s="305"/>
      <c r="FI333" s="305"/>
      <c r="FJ333" s="305"/>
      <c r="FK333" s="305"/>
      <c r="FL333" s="305"/>
      <c r="FM333" s="305"/>
      <c r="FN333" s="305"/>
      <c r="FO333" s="305"/>
      <c r="FP333" s="305"/>
      <c r="FQ333" s="305"/>
      <c r="FR333" s="305"/>
      <c r="FS333" s="305"/>
      <c r="FT333" s="305"/>
      <c r="FU333" s="305"/>
      <c r="FV333" s="305"/>
      <c r="FW333" s="305"/>
      <c r="FX333" s="305"/>
      <c r="FY333" s="305"/>
      <c r="FZ333" s="305"/>
      <c r="GA333" s="305"/>
      <c r="GB333" s="305"/>
      <c r="GC333" s="305"/>
      <c r="GD333" s="305"/>
      <c r="GE333" s="305"/>
      <c r="GF333" s="305"/>
      <c r="GG333" s="305"/>
      <c r="GH333" s="305"/>
      <c r="GI333" s="305"/>
      <c r="GJ333" s="305"/>
      <c r="GK333" s="305"/>
      <c r="GL333" s="305"/>
      <c r="GM333" s="305"/>
      <c r="GN333" s="305"/>
      <c r="GO333" s="305"/>
      <c r="GP333" s="305"/>
      <c r="GQ333" s="305"/>
      <c r="GR333" s="305"/>
    </row>
    <row r="334" spans="3:200" s="318" customFormat="1" ht="12.75" customHeight="1" x14ac:dyDescent="0.2">
      <c r="C334" s="367"/>
      <c r="D334" s="403"/>
      <c r="E334" s="369"/>
      <c r="F334" s="369"/>
      <c r="G334" s="369"/>
      <c r="H334" s="369"/>
      <c r="I334" s="370"/>
      <c r="J334"/>
      <c r="K334" s="371"/>
      <c r="L334" s="371"/>
      <c r="M334" s="371"/>
      <c r="N334" s="371"/>
      <c r="O334" s="305"/>
      <c r="P334" s="305"/>
      <c r="Q334" s="305"/>
      <c r="R334" s="305"/>
      <c r="S334" s="305"/>
      <c r="T334" s="305"/>
      <c r="U334" s="305"/>
      <c r="V334" s="305"/>
      <c r="W334" s="305"/>
      <c r="X334" s="305"/>
      <c r="Y334" s="305"/>
      <c r="Z334" s="305"/>
      <c r="AA334" s="305"/>
      <c r="AB334" s="305"/>
      <c r="AC334" s="305"/>
      <c r="AD334" s="305"/>
      <c r="AE334" s="305"/>
      <c r="AF334" s="305"/>
      <c r="AG334" s="305"/>
      <c r="AH334" s="305"/>
      <c r="AI334" s="305"/>
      <c r="AJ334" s="305"/>
      <c r="AK334" s="305"/>
      <c r="AL334" s="305"/>
      <c r="AM334" s="305"/>
      <c r="AN334" s="305"/>
      <c r="AO334" s="305"/>
      <c r="AP334" s="305"/>
      <c r="AQ334" s="305"/>
      <c r="AR334" s="305"/>
      <c r="AS334" s="305"/>
      <c r="AT334" s="305"/>
      <c r="AU334" s="305"/>
      <c r="AV334" s="305"/>
      <c r="AW334" s="305"/>
      <c r="AX334" s="305"/>
      <c r="AY334" s="305"/>
      <c r="AZ334" s="305"/>
      <c r="BA334" s="305"/>
      <c r="BB334" s="305"/>
      <c r="BC334" s="305"/>
      <c r="BD334" s="305"/>
      <c r="BE334" s="305"/>
      <c r="BF334" s="305"/>
      <c r="BG334" s="305"/>
      <c r="BH334" s="305"/>
      <c r="BI334" s="305"/>
      <c r="BJ334" s="305"/>
      <c r="BK334" s="305"/>
      <c r="BL334" s="305"/>
      <c r="BM334" s="305"/>
      <c r="BN334" s="305"/>
      <c r="BO334" s="305"/>
      <c r="BP334" s="305"/>
      <c r="BQ334" s="305"/>
      <c r="BR334" s="305"/>
      <c r="BS334" s="305"/>
      <c r="BT334" s="305"/>
      <c r="BU334" s="305"/>
      <c r="BV334" s="305"/>
      <c r="BW334" s="305"/>
      <c r="BX334" s="305"/>
      <c r="BY334" s="305"/>
      <c r="BZ334" s="305"/>
      <c r="CA334" s="305"/>
      <c r="CB334" s="305"/>
      <c r="CC334" s="305"/>
      <c r="CD334" s="305"/>
      <c r="CE334" s="305"/>
      <c r="CF334" s="305"/>
      <c r="CG334" s="305"/>
      <c r="CH334" s="305"/>
      <c r="CI334" s="305"/>
      <c r="CJ334" s="305"/>
      <c r="CK334" s="305"/>
      <c r="CL334" s="305"/>
      <c r="CM334" s="305"/>
      <c r="CN334" s="305"/>
      <c r="CO334" s="305"/>
      <c r="CP334" s="305"/>
      <c r="CQ334" s="305"/>
      <c r="CR334" s="305"/>
      <c r="CS334" s="305"/>
      <c r="CT334" s="305"/>
      <c r="CU334" s="305"/>
      <c r="CV334" s="305"/>
      <c r="CW334" s="305"/>
      <c r="CX334" s="305"/>
      <c r="CY334" s="305"/>
      <c r="CZ334" s="305"/>
      <c r="DA334" s="305"/>
      <c r="DB334" s="305"/>
      <c r="DC334" s="305"/>
      <c r="DD334" s="305"/>
      <c r="DE334" s="305"/>
      <c r="DF334" s="305"/>
      <c r="DG334" s="305"/>
      <c r="DH334" s="305"/>
      <c r="DI334" s="305"/>
      <c r="DJ334" s="305"/>
      <c r="DK334" s="305"/>
      <c r="DL334" s="305"/>
      <c r="DM334" s="305"/>
      <c r="DN334" s="305"/>
      <c r="DO334" s="305"/>
      <c r="DP334" s="305"/>
      <c r="DQ334" s="305"/>
      <c r="DR334" s="305"/>
      <c r="DS334" s="305"/>
      <c r="DT334" s="305"/>
      <c r="DU334" s="305"/>
      <c r="DV334" s="305"/>
      <c r="DW334" s="305"/>
      <c r="DX334" s="305"/>
      <c r="DY334" s="305"/>
      <c r="DZ334" s="305"/>
      <c r="EA334" s="305"/>
      <c r="EB334" s="305"/>
      <c r="EC334" s="305"/>
      <c r="ED334" s="305"/>
      <c r="EE334" s="305"/>
      <c r="EF334" s="305"/>
      <c r="EG334" s="305"/>
      <c r="EH334" s="305"/>
      <c r="EI334" s="305"/>
      <c r="EJ334" s="305"/>
      <c r="EK334" s="305"/>
      <c r="EL334" s="305"/>
      <c r="EM334" s="305"/>
      <c r="EN334" s="305"/>
      <c r="EO334" s="305"/>
      <c r="EP334" s="305"/>
      <c r="EQ334" s="305"/>
      <c r="ER334" s="305"/>
      <c r="ES334" s="305"/>
      <c r="ET334" s="305"/>
      <c r="EU334" s="305"/>
      <c r="EV334" s="305"/>
      <c r="EW334" s="305"/>
      <c r="EX334" s="305"/>
      <c r="EY334" s="305"/>
      <c r="EZ334" s="305"/>
      <c r="FA334" s="305"/>
      <c r="FB334" s="305"/>
      <c r="FC334" s="305"/>
      <c r="FD334" s="305"/>
      <c r="FE334" s="305"/>
      <c r="FF334" s="305"/>
      <c r="FG334" s="305"/>
      <c r="FH334" s="305"/>
      <c r="FI334" s="305"/>
      <c r="FJ334" s="305"/>
      <c r="FK334" s="305"/>
      <c r="FL334" s="305"/>
      <c r="FM334" s="305"/>
      <c r="FN334" s="305"/>
      <c r="FO334" s="305"/>
      <c r="FP334" s="305"/>
      <c r="FQ334" s="305"/>
      <c r="FR334" s="305"/>
      <c r="FS334" s="305"/>
      <c r="FT334" s="305"/>
      <c r="FU334" s="305"/>
      <c r="FV334" s="305"/>
      <c r="FW334" s="305"/>
      <c r="FX334" s="305"/>
      <c r="FY334" s="305"/>
      <c r="FZ334" s="305"/>
      <c r="GA334" s="305"/>
      <c r="GB334" s="305"/>
      <c r="GC334" s="305"/>
      <c r="GD334" s="305"/>
      <c r="GE334" s="305"/>
      <c r="GF334" s="305"/>
      <c r="GG334" s="305"/>
      <c r="GH334" s="305"/>
      <c r="GI334" s="305"/>
      <c r="GJ334" s="305"/>
      <c r="GK334" s="305"/>
      <c r="GL334" s="305"/>
      <c r="GM334" s="305"/>
      <c r="GN334" s="305"/>
      <c r="GO334" s="305"/>
      <c r="GP334" s="305"/>
      <c r="GQ334" s="305"/>
      <c r="GR334" s="305"/>
    </row>
    <row r="335" spans="3:200" s="318" customFormat="1" ht="12.75" customHeight="1" x14ac:dyDescent="0.2">
      <c r="C335" s="367"/>
      <c r="D335" s="403"/>
      <c r="E335" s="369"/>
      <c r="F335" s="369"/>
      <c r="G335" s="369"/>
      <c r="H335" s="369"/>
      <c r="I335" s="370"/>
      <c r="J335"/>
      <c r="K335" s="371"/>
      <c r="L335" s="371"/>
      <c r="M335" s="371"/>
      <c r="N335" s="371"/>
      <c r="O335" s="305"/>
      <c r="P335" s="305"/>
      <c r="Q335" s="305"/>
      <c r="R335" s="305"/>
      <c r="S335" s="305"/>
      <c r="T335" s="305"/>
      <c r="U335" s="305"/>
      <c r="V335" s="305"/>
      <c r="W335" s="305"/>
      <c r="X335" s="305"/>
      <c r="Y335" s="305"/>
      <c r="Z335" s="305"/>
      <c r="AA335" s="305"/>
      <c r="AB335" s="305"/>
      <c r="AC335" s="305"/>
      <c r="AD335" s="305"/>
      <c r="AE335" s="305"/>
      <c r="AF335" s="305"/>
      <c r="AG335" s="305"/>
      <c r="AH335" s="305"/>
      <c r="AI335" s="305"/>
      <c r="AJ335" s="305"/>
      <c r="AK335" s="305"/>
      <c r="AL335" s="305"/>
      <c r="AM335" s="305"/>
      <c r="AN335" s="305"/>
      <c r="AO335" s="305"/>
      <c r="AP335" s="305"/>
      <c r="AQ335" s="305"/>
      <c r="AR335" s="305"/>
      <c r="AS335" s="305"/>
      <c r="AT335" s="305"/>
      <c r="AU335" s="305"/>
      <c r="AV335" s="305"/>
      <c r="AW335" s="305"/>
      <c r="AX335" s="305"/>
      <c r="AY335" s="305"/>
      <c r="AZ335" s="305"/>
      <c r="BA335" s="305"/>
      <c r="BB335" s="305"/>
      <c r="BC335" s="305"/>
      <c r="BD335" s="305"/>
      <c r="BE335" s="305"/>
      <c r="BF335" s="305"/>
      <c r="BG335" s="305"/>
      <c r="BH335" s="305"/>
      <c r="BI335" s="305"/>
      <c r="BJ335" s="305"/>
      <c r="BK335" s="305"/>
      <c r="BL335" s="305"/>
      <c r="BM335" s="305"/>
      <c r="BN335" s="305"/>
      <c r="BO335" s="305"/>
      <c r="BP335" s="305"/>
      <c r="BQ335" s="305"/>
      <c r="BR335" s="305"/>
      <c r="BS335" s="305"/>
      <c r="BT335" s="305"/>
      <c r="BU335" s="305"/>
      <c r="BV335" s="305"/>
      <c r="BW335" s="305"/>
      <c r="BX335" s="305"/>
      <c r="BY335" s="305"/>
      <c r="BZ335" s="305"/>
      <c r="CA335" s="305"/>
      <c r="CB335" s="305"/>
      <c r="CC335" s="305"/>
      <c r="CD335" s="305"/>
      <c r="CE335" s="305"/>
      <c r="CF335" s="305"/>
      <c r="CG335" s="305"/>
      <c r="CH335" s="305"/>
      <c r="CI335" s="305"/>
      <c r="CJ335" s="305"/>
      <c r="CK335" s="305"/>
      <c r="CL335" s="305"/>
      <c r="CM335" s="305"/>
      <c r="CN335" s="305"/>
      <c r="CO335" s="305"/>
      <c r="CP335" s="305"/>
      <c r="CQ335" s="305"/>
      <c r="CR335" s="305"/>
      <c r="CS335" s="305"/>
      <c r="CT335" s="305"/>
      <c r="CU335" s="305"/>
      <c r="CV335" s="305"/>
      <c r="CW335" s="305"/>
      <c r="CX335" s="305"/>
      <c r="CY335" s="305"/>
      <c r="CZ335" s="305"/>
      <c r="DA335" s="305"/>
      <c r="DB335" s="305"/>
      <c r="DC335" s="305"/>
      <c r="DD335" s="305"/>
      <c r="DE335" s="305"/>
      <c r="DF335" s="305"/>
      <c r="DG335" s="305"/>
      <c r="DH335" s="305"/>
      <c r="DI335" s="305"/>
      <c r="DJ335" s="305"/>
      <c r="DK335" s="305"/>
      <c r="DL335" s="305"/>
      <c r="DM335" s="305"/>
      <c r="DN335" s="305"/>
      <c r="DO335" s="305"/>
      <c r="DP335" s="305"/>
      <c r="DQ335" s="305"/>
      <c r="DR335" s="305"/>
      <c r="DS335" s="305"/>
      <c r="DT335" s="305"/>
      <c r="DU335" s="305"/>
      <c r="DV335" s="305"/>
      <c r="DW335" s="305"/>
      <c r="DX335" s="305"/>
      <c r="DY335" s="305"/>
      <c r="DZ335" s="305"/>
      <c r="EA335" s="305"/>
      <c r="EB335" s="305"/>
      <c r="EC335" s="305"/>
      <c r="ED335" s="305"/>
      <c r="EE335" s="305"/>
      <c r="EF335" s="305"/>
      <c r="EG335" s="305"/>
      <c r="EH335" s="305"/>
      <c r="EI335" s="305"/>
      <c r="EJ335" s="305"/>
      <c r="EK335" s="305"/>
      <c r="EL335" s="305"/>
      <c r="EM335" s="305"/>
      <c r="EN335" s="305"/>
      <c r="EO335" s="305"/>
      <c r="EP335" s="305"/>
      <c r="EQ335" s="305"/>
      <c r="ER335" s="305"/>
      <c r="ES335" s="305"/>
      <c r="ET335" s="305"/>
      <c r="EU335" s="305"/>
      <c r="EV335" s="305"/>
      <c r="EW335" s="305"/>
      <c r="EX335" s="305"/>
      <c r="EY335" s="305"/>
      <c r="EZ335" s="305"/>
      <c r="FA335" s="305"/>
      <c r="FB335" s="305"/>
      <c r="FC335" s="305"/>
      <c r="FD335" s="305"/>
      <c r="FE335" s="305"/>
      <c r="FF335" s="305"/>
      <c r="FG335" s="305"/>
      <c r="FH335" s="305"/>
      <c r="FI335" s="305"/>
      <c r="FJ335" s="305"/>
      <c r="FK335" s="305"/>
      <c r="FL335" s="305"/>
      <c r="FM335" s="305"/>
      <c r="FN335" s="305"/>
      <c r="FO335" s="305"/>
      <c r="FP335" s="305"/>
      <c r="FQ335" s="305"/>
      <c r="FR335" s="305"/>
      <c r="FS335" s="305"/>
      <c r="FT335" s="305"/>
      <c r="FU335" s="305"/>
      <c r="FV335" s="305"/>
      <c r="FW335" s="305"/>
      <c r="FX335" s="305"/>
      <c r="FY335" s="305"/>
      <c r="FZ335" s="305"/>
      <c r="GA335" s="305"/>
      <c r="GB335" s="305"/>
      <c r="GC335" s="305"/>
      <c r="GD335" s="305"/>
      <c r="GE335" s="305"/>
      <c r="GF335" s="305"/>
      <c r="GG335" s="305"/>
      <c r="GH335" s="305"/>
      <c r="GI335" s="305"/>
      <c r="GJ335" s="305"/>
      <c r="GK335" s="305"/>
      <c r="GL335" s="305"/>
      <c r="GM335" s="305"/>
      <c r="GN335" s="305"/>
      <c r="GO335" s="305"/>
      <c r="GP335" s="305"/>
      <c r="GQ335" s="305"/>
      <c r="GR335" s="305"/>
    </row>
    <row r="336" spans="3:200" s="318" customFormat="1" ht="12.75" customHeight="1" x14ac:dyDescent="0.2">
      <c r="C336" s="367"/>
      <c r="D336" s="403"/>
      <c r="E336" s="369"/>
      <c r="F336" s="369"/>
      <c r="G336" s="369"/>
      <c r="H336" s="369"/>
      <c r="I336" s="370"/>
      <c r="J336"/>
      <c r="K336" s="371"/>
      <c r="L336" s="371"/>
      <c r="M336" s="371"/>
      <c r="N336" s="371"/>
      <c r="O336" s="305"/>
      <c r="P336" s="305"/>
      <c r="Q336" s="305"/>
      <c r="R336" s="305"/>
      <c r="S336" s="305"/>
      <c r="T336" s="305"/>
      <c r="U336" s="305"/>
      <c r="V336" s="305"/>
      <c r="W336" s="305"/>
      <c r="X336" s="305"/>
      <c r="Y336" s="305"/>
      <c r="Z336" s="305"/>
      <c r="AA336" s="305"/>
      <c r="AB336" s="305"/>
      <c r="AC336" s="305"/>
      <c r="AD336" s="305"/>
      <c r="AE336" s="305"/>
      <c r="AF336" s="305"/>
      <c r="AG336" s="305"/>
      <c r="AH336" s="305"/>
      <c r="AI336" s="305"/>
      <c r="AJ336" s="305"/>
      <c r="AK336" s="305"/>
      <c r="AL336" s="305"/>
      <c r="AM336" s="305"/>
      <c r="AN336" s="305"/>
      <c r="AO336" s="305"/>
      <c r="AP336" s="305"/>
      <c r="AQ336" s="305"/>
      <c r="AR336" s="305"/>
      <c r="AS336" s="305"/>
      <c r="AT336" s="305"/>
      <c r="AU336" s="305"/>
      <c r="AV336" s="305"/>
      <c r="AW336" s="305"/>
      <c r="AX336" s="305"/>
      <c r="AY336" s="305"/>
      <c r="AZ336" s="305"/>
      <c r="BA336" s="305"/>
      <c r="BB336" s="305"/>
      <c r="BC336" s="305"/>
      <c r="BD336" s="305"/>
      <c r="BE336" s="305"/>
      <c r="BF336" s="305"/>
      <c r="BG336" s="305"/>
      <c r="BH336" s="305"/>
      <c r="BI336" s="305"/>
      <c r="BJ336" s="305"/>
      <c r="BK336" s="305"/>
      <c r="BL336" s="305"/>
      <c r="BM336" s="305"/>
      <c r="BN336" s="305"/>
      <c r="BO336" s="305"/>
      <c r="BP336" s="305"/>
      <c r="BQ336" s="305"/>
      <c r="BR336" s="305"/>
      <c r="BS336" s="305"/>
      <c r="BT336" s="305"/>
      <c r="BU336" s="305"/>
      <c r="BV336" s="305"/>
      <c r="BW336" s="305"/>
      <c r="BX336" s="305"/>
      <c r="BY336" s="305"/>
      <c r="BZ336" s="305"/>
      <c r="CA336" s="305"/>
      <c r="CB336" s="305"/>
      <c r="CC336" s="305"/>
      <c r="CD336" s="305"/>
      <c r="CE336" s="305"/>
      <c r="CF336" s="305"/>
      <c r="CG336" s="305"/>
      <c r="CH336" s="305"/>
      <c r="CI336" s="305"/>
      <c r="CJ336" s="305"/>
      <c r="CK336" s="305"/>
      <c r="CL336" s="305"/>
      <c r="CM336" s="305"/>
      <c r="CN336" s="305"/>
      <c r="CO336" s="305"/>
      <c r="CP336" s="305"/>
      <c r="CQ336" s="305"/>
      <c r="CR336" s="305"/>
      <c r="CS336" s="305"/>
      <c r="CT336" s="305"/>
      <c r="CU336" s="305"/>
      <c r="CV336" s="305"/>
      <c r="CW336" s="305"/>
      <c r="CX336" s="305"/>
      <c r="CY336" s="305"/>
      <c r="CZ336" s="305"/>
      <c r="DA336" s="305"/>
      <c r="DB336" s="305"/>
      <c r="DC336" s="305"/>
      <c r="DD336" s="305"/>
      <c r="DE336" s="305"/>
      <c r="DF336" s="305"/>
      <c r="DG336" s="305"/>
      <c r="DH336" s="305"/>
      <c r="DI336" s="305"/>
      <c r="DJ336" s="305"/>
      <c r="DK336" s="305"/>
      <c r="DL336" s="305"/>
      <c r="DM336" s="305"/>
      <c r="DN336" s="305"/>
      <c r="DO336" s="305"/>
      <c r="DP336" s="305"/>
      <c r="DQ336" s="305"/>
      <c r="DR336" s="305"/>
      <c r="DS336" s="305"/>
      <c r="DT336" s="305"/>
      <c r="DU336" s="305"/>
      <c r="DV336" s="305"/>
      <c r="DW336" s="305"/>
      <c r="DX336" s="305"/>
      <c r="DY336" s="305"/>
      <c r="DZ336" s="305"/>
      <c r="EA336" s="305"/>
      <c r="EB336" s="305"/>
      <c r="EC336" s="305"/>
      <c r="ED336" s="305"/>
      <c r="EE336" s="305"/>
      <c r="EF336" s="305"/>
      <c r="EG336" s="305"/>
      <c r="EH336" s="305"/>
      <c r="EI336" s="305"/>
      <c r="EJ336" s="305"/>
      <c r="EK336" s="305"/>
      <c r="EL336" s="305"/>
      <c r="EM336" s="305"/>
      <c r="EN336" s="305"/>
      <c r="EO336" s="305"/>
      <c r="EP336" s="305"/>
      <c r="EQ336" s="305"/>
      <c r="ER336" s="305"/>
      <c r="ES336" s="305"/>
      <c r="ET336" s="305"/>
      <c r="EU336" s="305"/>
      <c r="EV336" s="305"/>
      <c r="EW336" s="305"/>
      <c r="EX336" s="305"/>
      <c r="EY336" s="305"/>
      <c r="EZ336" s="305"/>
      <c r="FA336" s="305"/>
      <c r="FB336" s="305"/>
      <c r="FC336" s="305"/>
      <c r="FD336" s="305"/>
      <c r="FE336" s="305"/>
      <c r="FF336" s="305"/>
      <c r="FG336" s="305"/>
      <c r="FH336" s="305"/>
      <c r="FI336" s="305"/>
      <c r="FJ336" s="305"/>
      <c r="FK336" s="305"/>
      <c r="FL336" s="305"/>
      <c r="FM336" s="305"/>
      <c r="FN336" s="305"/>
      <c r="FO336" s="305"/>
      <c r="FP336" s="305"/>
      <c r="FQ336" s="305"/>
      <c r="FR336" s="305"/>
      <c r="FS336" s="305"/>
      <c r="FT336" s="305"/>
      <c r="FU336" s="305"/>
      <c r="FV336" s="305"/>
      <c r="FW336" s="305"/>
      <c r="FX336" s="305"/>
      <c r="FY336" s="305"/>
      <c r="FZ336" s="305"/>
      <c r="GA336" s="305"/>
      <c r="GB336" s="305"/>
      <c r="GC336" s="305"/>
      <c r="GD336" s="305"/>
      <c r="GE336" s="305"/>
      <c r="GF336" s="305"/>
      <c r="GG336" s="305"/>
      <c r="GH336" s="305"/>
      <c r="GI336" s="305"/>
      <c r="GJ336" s="305"/>
      <c r="GK336" s="305"/>
      <c r="GL336" s="305"/>
      <c r="GM336" s="305"/>
      <c r="GN336" s="305"/>
      <c r="GO336" s="305"/>
      <c r="GP336" s="305"/>
      <c r="GQ336" s="305"/>
      <c r="GR336" s="305"/>
    </row>
    <row r="337" spans="3:200" s="318" customFormat="1" ht="12.75" customHeight="1" x14ac:dyDescent="0.2">
      <c r="C337" s="367"/>
      <c r="D337" s="403"/>
      <c r="E337" s="369"/>
      <c r="F337" s="369"/>
      <c r="G337" s="369"/>
      <c r="H337" s="369"/>
      <c r="I337" s="370"/>
      <c r="J337"/>
      <c r="K337" s="371"/>
      <c r="L337" s="371"/>
      <c r="M337" s="371"/>
      <c r="N337" s="371"/>
      <c r="O337" s="305"/>
      <c r="P337" s="305"/>
      <c r="Q337" s="305"/>
      <c r="R337" s="305"/>
      <c r="S337" s="305"/>
      <c r="T337" s="305"/>
      <c r="U337" s="305"/>
      <c r="V337" s="305"/>
      <c r="W337" s="305"/>
      <c r="X337" s="305"/>
      <c r="Y337" s="305"/>
      <c r="Z337" s="305"/>
      <c r="AA337" s="305"/>
      <c r="AB337" s="305"/>
      <c r="AC337" s="305"/>
      <c r="AD337" s="305"/>
      <c r="AE337" s="305"/>
      <c r="AF337" s="305"/>
      <c r="AG337" s="305"/>
      <c r="AH337" s="305"/>
      <c r="AI337" s="305"/>
      <c r="AJ337" s="305"/>
      <c r="AK337" s="305"/>
      <c r="AL337" s="305"/>
      <c r="AM337" s="305"/>
      <c r="AN337" s="305"/>
      <c r="AO337" s="305"/>
      <c r="AP337" s="305"/>
      <c r="AQ337" s="305"/>
      <c r="AR337" s="305"/>
      <c r="AS337" s="305"/>
      <c r="AT337" s="305"/>
      <c r="AU337" s="305"/>
      <c r="AV337" s="305"/>
      <c r="AW337" s="305"/>
      <c r="AX337" s="305"/>
      <c r="AY337" s="305"/>
      <c r="AZ337" s="305"/>
      <c r="BA337" s="305"/>
      <c r="BB337" s="305"/>
      <c r="BC337" s="305"/>
      <c r="BD337" s="305"/>
      <c r="BE337" s="305"/>
      <c r="BF337" s="305"/>
      <c r="BG337" s="305"/>
      <c r="BH337" s="305"/>
      <c r="BI337" s="305"/>
      <c r="BJ337" s="305"/>
      <c r="BK337" s="305"/>
      <c r="BL337" s="305"/>
      <c r="BM337" s="305"/>
      <c r="BN337" s="305"/>
      <c r="BO337" s="305"/>
      <c r="BP337" s="305"/>
      <c r="BQ337" s="305"/>
      <c r="BR337" s="305"/>
      <c r="BS337" s="305"/>
      <c r="BT337" s="305"/>
      <c r="BU337" s="305"/>
      <c r="BV337" s="305"/>
      <c r="BW337" s="305"/>
      <c r="BX337" s="305"/>
      <c r="BY337" s="305"/>
      <c r="BZ337" s="305"/>
      <c r="CA337" s="305"/>
      <c r="CB337" s="305"/>
      <c r="CC337" s="305"/>
      <c r="CD337" s="305"/>
      <c r="CE337" s="305"/>
      <c r="CF337" s="305"/>
      <c r="CG337" s="305"/>
      <c r="CH337" s="305"/>
      <c r="CI337" s="305"/>
      <c r="CJ337" s="305"/>
      <c r="CK337" s="305"/>
      <c r="CL337" s="305"/>
      <c r="CM337" s="305"/>
      <c r="CN337" s="305"/>
      <c r="CO337" s="305"/>
      <c r="CP337" s="305"/>
      <c r="CQ337" s="305"/>
      <c r="CR337" s="305"/>
      <c r="CS337" s="305"/>
      <c r="CT337" s="305"/>
      <c r="CU337" s="305"/>
      <c r="CV337" s="305"/>
      <c r="CW337" s="305"/>
      <c r="CX337" s="305"/>
      <c r="CY337" s="305"/>
      <c r="CZ337" s="305"/>
      <c r="DA337" s="305"/>
      <c r="DB337" s="305"/>
      <c r="DC337" s="305"/>
      <c r="DD337" s="305"/>
      <c r="DE337" s="305"/>
      <c r="DF337" s="305"/>
      <c r="DG337" s="305"/>
      <c r="DH337" s="305"/>
      <c r="DI337" s="305"/>
      <c r="DJ337" s="305"/>
      <c r="DK337" s="305"/>
      <c r="DL337" s="305"/>
      <c r="DM337" s="305"/>
      <c r="DN337" s="305"/>
      <c r="DO337" s="305"/>
      <c r="DP337" s="305"/>
      <c r="DQ337" s="305"/>
      <c r="DR337" s="305"/>
      <c r="DS337" s="305"/>
      <c r="DT337" s="305"/>
      <c r="DU337" s="305"/>
      <c r="DV337" s="305"/>
      <c r="DW337" s="305"/>
      <c r="DX337" s="305"/>
      <c r="DY337" s="305"/>
      <c r="DZ337" s="305"/>
      <c r="EA337" s="305"/>
      <c r="EB337" s="305"/>
      <c r="EC337" s="305"/>
      <c r="ED337" s="305"/>
      <c r="EE337" s="305"/>
      <c r="EF337" s="305"/>
      <c r="EG337" s="305"/>
      <c r="EH337" s="305"/>
      <c r="EI337" s="305"/>
      <c r="EJ337" s="305"/>
      <c r="EK337" s="305"/>
      <c r="EL337" s="305"/>
      <c r="EM337" s="305"/>
      <c r="EN337" s="305"/>
      <c r="EO337" s="305"/>
      <c r="EP337" s="305"/>
      <c r="EQ337" s="305"/>
      <c r="ER337" s="305"/>
      <c r="ES337" s="305"/>
      <c r="ET337" s="305"/>
      <c r="EU337" s="305"/>
      <c r="EV337" s="305"/>
      <c r="EW337" s="305"/>
      <c r="EX337" s="305"/>
      <c r="EY337" s="305"/>
      <c r="EZ337" s="305"/>
      <c r="FA337" s="305"/>
      <c r="FB337" s="305"/>
      <c r="FC337" s="305"/>
      <c r="FD337" s="305"/>
      <c r="FE337" s="305"/>
      <c r="FF337" s="305"/>
      <c r="FG337" s="305"/>
      <c r="FH337" s="305"/>
      <c r="FI337" s="305"/>
      <c r="FJ337" s="305"/>
      <c r="FK337" s="305"/>
      <c r="FL337" s="305"/>
      <c r="FM337" s="305"/>
      <c r="FN337" s="305"/>
      <c r="FO337" s="305"/>
      <c r="FP337" s="305"/>
      <c r="FQ337" s="305"/>
      <c r="FR337" s="305"/>
      <c r="FS337" s="305"/>
      <c r="FT337" s="305"/>
      <c r="FU337" s="305"/>
      <c r="FV337" s="305"/>
      <c r="FW337" s="305"/>
      <c r="FX337" s="305"/>
      <c r="FY337" s="305"/>
      <c r="FZ337" s="305"/>
      <c r="GA337" s="305"/>
      <c r="GB337" s="305"/>
      <c r="GC337" s="305"/>
      <c r="GD337" s="305"/>
      <c r="GE337" s="305"/>
      <c r="GF337" s="305"/>
      <c r="GG337" s="305"/>
      <c r="GH337" s="305"/>
      <c r="GI337" s="305"/>
      <c r="GJ337" s="305"/>
      <c r="GK337" s="305"/>
      <c r="GL337" s="305"/>
      <c r="GM337" s="305"/>
      <c r="GN337" s="305"/>
      <c r="GO337" s="305"/>
      <c r="GP337" s="305"/>
      <c r="GQ337" s="305"/>
      <c r="GR337" s="305"/>
    </row>
    <row r="338" spans="3:200" s="318" customFormat="1" ht="12.75" customHeight="1" x14ac:dyDescent="0.2">
      <c r="C338" s="367"/>
      <c r="D338" s="403"/>
      <c r="E338" s="369"/>
      <c r="F338" s="369"/>
      <c r="G338" s="369"/>
      <c r="H338" s="369"/>
      <c r="I338" s="370"/>
      <c r="J338"/>
      <c r="K338" s="371"/>
      <c r="L338" s="371"/>
      <c r="M338" s="371"/>
      <c r="N338" s="371"/>
      <c r="O338" s="305"/>
      <c r="P338" s="305"/>
      <c r="Q338" s="305"/>
      <c r="R338" s="305"/>
      <c r="S338" s="305"/>
      <c r="T338" s="305"/>
      <c r="U338" s="305"/>
      <c r="V338" s="305"/>
      <c r="W338" s="305"/>
      <c r="X338" s="305"/>
      <c r="Y338" s="305"/>
      <c r="Z338" s="305"/>
      <c r="AA338" s="305"/>
      <c r="AB338" s="305"/>
      <c r="AC338" s="305"/>
      <c r="AD338" s="305"/>
      <c r="AE338" s="305"/>
      <c r="AF338" s="305"/>
      <c r="AG338" s="305"/>
      <c r="AH338" s="305"/>
      <c r="AI338" s="305"/>
      <c r="AJ338" s="305"/>
      <c r="AK338" s="305"/>
      <c r="AL338" s="305"/>
      <c r="AM338" s="305"/>
      <c r="AN338" s="305"/>
      <c r="AO338" s="305"/>
      <c r="AP338" s="305"/>
      <c r="AQ338" s="305"/>
      <c r="AR338" s="305"/>
      <c r="AS338" s="305"/>
      <c r="AT338" s="305"/>
      <c r="AU338" s="305"/>
      <c r="AV338" s="305"/>
      <c r="AW338" s="305"/>
      <c r="AX338" s="305"/>
      <c r="AY338" s="305"/>
      <c r="AZ338" s="305"/>
      <c r="BA338" s="305"/>
      <c r="BB338" s="305"/>
      <c r="BC338" s="305"/>
      <c r="BD338" s="305"/>
      <c r="BE338" s="305"/>
      <c r="BF338" s="305"/>
      <c r="BG338" s="305"/>
      <c r="BH338" s="305"/>
      <c r="BI338" s="305"/>
      <c r="BJ338" s="305"/>
      <c r="BK338" s="305"/>
      <c r="BL338" s="305"/>
      <c r="BM338" s="305"/>
      <c r="BN338" s="305"/>
      <c r="BO338" s="305"/>
      <c r="BP338" s="305"/>
      <c r="BQ338" s="305"/>
      <c r="BR338" s="305"/>
      <c r="BS338" s="305"/>
      <c r="BT338" s="305"/>
      <c r="BU338" s="305"/>
      <c r="BV338" s="305"/>
      <c r="BW338" s="305"/>
      <c r="BX338" s="305"/>
      <c r="BY338" s="305"/>
      <c r="BZ338" s="305"/>
      <c r="CA338" s="305"/>
      <c r="CB338" s="305"/>
      <c r="CC338" s="305"/>
      <c r="CD338" s="305"/>
      <c r="CE338" s="305"/>
      <c r="CF338" s="305"/>
      <c r="CG338" s="305"/>
      <c r="CH338" s="305"/>
      <c r="CI338" s="305"/>
      <c r="CJ338" s="305"/>
      <c r="CK338" s="305"/>
      <c r="CL338" s="305"/>
      <c r="CM338" s="305"/>
      <c r="CN338" s="305"/>
      <c r="CO338" s="305"/>
      <c r="CP338" s="305"/>
      <c r="CQ338" s="305"/>
      <c r="CR338" s="305"/>
      <c r="CS338" s="305"/>
      <c r="CT338" s="305"/>
      <c r="CU338" s="305"/>
      <c r="CV338" s="305"/>
      <c r="CW338" s="305"/>
      <c r="CX338" s="305"/>
      <c r="CY338" s="305"/>
      <c r="CZ338" s="305"/>
      <c r="DA338" s="305"/>
      <c r="DB338" s="305"/>
      <c r="DC338" s="305"/>
      <c r="DD338" s="305"/>
      <c r="DE338" s="305"/>
      <c r="DF338" s="305"/>
      <c r="DG338" s="305"/>
      <c r="DH338" s="305"/>
      <c r="DI338" s="305"/>
      <c r="DJ338" s="305"/>
      <c r="DK338" s="305"/>
      <c r="DL338" s="305"/>
      <c r="DM338" s="305"/>
      <c r="DN338" s="305"/>
      <c r="DO338" s="305"/>
      <c r="DP338" s="305"/>
      <c r="DQ338" s="305"/>
      <c r="DR338" s="305"/>
      <c r="DS338" s="305"/>
      <c r="DT338" s="305"/>
      <c r="DU338" s="305"/>
      <c r="DV338" s="305"/>
      <c r="DW338" s="305"/>
      <c r="DX338" s="305"/>
      <c r="DY338" s="305"/>
      <c r="DZ338" s="305"/>
      <c r="EA338" s="305"/>
      <c r="EB338" s="305"/>
      <c r="EC338" s="305"/>
      <c r="ED338" s="305"/>
      <c r="EE338" s="305"/>
      <c r="EF338" s="305"/>
      <c r="EG338" s="305"/>
      <c r="EH338" s="305"/>
      <c r="EI338" s="305"/>
      <c r="EJ338" s="305"/>
      <c r="EK338" s="305"/>
      <c r="EL338" s="305"/>
      <c r="EM338" s="305"/>
      <c r="EN338" s="305"/>
      <c r="EO338" s="305"/>
      <c r="EP338" s="305"/>
      <c r="EQ338" s="305"/>
      <c r="ER338" s="305"/>
      <c r="ES338" s="305"/>
      <c r="ET338" s="305"/>
      <c r="EU338" s="305"/>
      <c r="EV338" s="305"/>
      <c r="EW338" s="305"/>
      <c r="EX338" s="305"/>
      <c r="EY338" s="305"/>
      <c r="EZ338" s="305"/>
      <c r="FA338" s="305"/>
      <c r="FB338" s="305"/>
      <c r="FC338" s="305"/>
      <c r="FD338" s="305"/>
      <c r="FE338" s="305"/>
      <c r="FF338" s="305"/>
      <c r="FG338" s="305"/>
      <c r="FH338" s="305"/>
      <c r="FI338" s="305"/>
      <c r="FJ338" s="305"/>
      <c r="FK338" s="305"/>
      <c r="FL338" s="305"/>
      <c r="FM338" s="305"/>
      <c r="FN338" s="305"/>
      <c r="FO338" s="305"/>
      <c r="FP338" s="305"/>
      <c r="FQ338" s="305"/>
      <c r="FR338" s="305"/>
      <c r="FS338" s="305"/>
      <c r="FT338" s="305"/>
      <c r="FU338" s="305"/>
      <c r="FV338" s="305"/>
      <c r="FW338" s="305"/>
      <c r="FX338" s="305"/>
      <c r="FY338" s="305"/>
      <c r="FZ338" s="305"/>
      <c r="GA338" s="305"/>
      <c r="GB338" s="305"/>
      <c r="GC338" s="305"/>
      <c r="GD338" s="305"/>
      <c r="GE338" s="305"/>
      <c r="GF338" s="305"/>
      <c r="GG338" s="305"/>
      <c r="GH338" s="305"/>
      <c r="GI338" s="305"/>
      <c r="GJ338" s="305"/>
      <c r="GK338" s="305"/>
      <c r="GL338" s="305"/>
      <c r="GM338" s="305"/>
      <c r="GN338" s="305"/>
      <c r="GO338" s="305"/>
      <c r="GP338" s="305"/>
      <c r="GQ338" s="305"/>
      <c r="GR338" s="305"/>
    </row>
    <row r="339" spans="3:200" s="318" customFormat="1" ht="12.75" customHeight="1" x14ac:dyDescent="0.2">
      <c r="C339" s="367"/>
      <c r="D339" s="403"/>
      <c r="E339" s="369"/>
      <c r="F339" s="369"/>
      <c r="G339" s="369"/>
      <c r="H339" s="369"/>
      <c r="I339" s="370"/>
      <c r="J339"/>
      <c r="K339" s="371"/>
      <c r="L339" s="371"/>
      <c r="M339" s="371"/>
      <c r="N339" s="371"/>
      <c r="O339" s="305"/>
      <c r="P339" s="305"/>
      <c r="Q339" s="305"/>
      <c r="R339" s="305"/>
      <c r="S339" s="305"/>
      <c r="T339" s="305"/>
      <c r="U339" s="305"/>
      <c r="V339" s="305"/>
      <c r="W339" s="305"/>
      <c r="X339" s="305"/>
      <c r="Y339" s="305"/>
      <c r="Z339" s="305"/>
      <c r="AA339" s="305"/>
      <c r="AB339" s="305"/>
      <c r="AC339" s="305"/>
      <c r="AD339" s="305"/>
      <c r="AE339" s="305"/>
      <c r="AF339" s="305"/>
      <c r="AG339" s="305"/>
      <c r="AH339" s="305"/>
      <c r="AI339" s="305"/>
      <c r="AJ339" s="305"/>
      <c r="AK339" s="305"/>
      <c r="AL339" s="305"/>
      <c r="AM339" s="305"/>
      <c r="AN339" s="305"/>
      <c r="AO339" s="305"/>
      <c r="AP339" s="305"/>
      <c r="AQ339" s="305"/>
      <c r="AR339" s="305"/>
      <c r="AS339" s="305"/>
      <c r="AT339" s="305"/>
      <c r="AU339" s="305"/>
      <c r="AV339" s="305"/>
      <c r="AW339" s="305"/>
      <c r="AX339" s="305"/>
      <c r="AY339" s="305"/>
      <c r="AZ339" s="305"/>
      <c r="BA339" s="305"/>
      <c r="BB339" s="305"/>
      <c r="BC339" s="305"/>
      <c r="BD339" s="305"/>
      <c r="BE339" s="305"/>
      <c r="BF339" s="305"/>
      <c r="BG339" s="305"/>
      <c r="BH339" s="305"/>
      <c r="BI339" s="305"/>
      <c r="BJ339" s="305"/>
      <c r="BK339" s="305"/>
      <c r="BL339" s="305"/>
      <c r="BM339" s="305"/>
      <c r="BN339" s="305"/>
      <c r="BO339" s="305"/>
      <c r="BP339" s="305"/>
      <c r="BQ339" s="305"/>
      <c r="BR339" s="305"/>
      <c r="BS339" s="305"/>
      <c r="BT339" s="305"/>
      <c r="BU339" s="305"/>
      <c r="BV339" s="305"/>
      <c r="BW339" s="305"/>
      <c r="BX339" s="305"/>
      <c r="BY339" s="305"/>
      <c r="BZ339" s="305"/>
      <c r="CA339" s="305"/>
      <c r="CB339" s="305"/>
      <c r="CC339" s="305"/>
      <c r="CD339" s="305"/>
      <c r="CE339" s="305"/>
      <c r="CF339" s="305"/>
      <c r="CG339" s="305"/>
      <c r="CH339" s="305"/>
      <c r="CI339" s="305"/>
      <c r="CJ339" s="305"/>
      <c r="CK339" s="305"/>
      <c r="CL339" s="305"/>
      <c r="CM339" s="305"/>
      <c r="CN339" s="305"/>
      <c r="CO339" s="305"/>
      <c r="CP339" s="305"/>
      <c r="CQ339" s="305"/>
      <c r="CR339" s="305"/>
      <c r="CS339" s="305"/>
      <c r="CT339" s="305"/>
      <c r="CU339" s="305"/>
      <c r="CV339" s="305"/>
      <c r="CW339" s="305"/>
      <c r="CX339" s="305"/>
      <c r="CY339" s="305"/>
      <c r="CZ339" s="305"/>
      <c r="DA339" s="305"/>
      <c r="DB339" s="305"/>
      <c r="DC339" s="305"/>
      <c r="DD339" s="305"/>
      <c r="DE339" s="305"/>
      <c r="DF339" s="305"/>
      <c r="DG339" s="305"/>
      <c r="DH339" s="305"/>
      <c r="DI339" s="305"/>
      <c r="DJ339" s="305"/>
      <c r="DK339" s="305"/>
      <c r="DL339" s="305"/>
      <c r="DM339" s="305"/>
      <c r="DN339" s="305"/>
      <c r="DO339" s="305"/>
      <c r="DP339" s="305"/>
      <c r="DQ339" s="305"/>
      <c r="DR339" s="305"/>
      <c r="DS339" s="305"/>
      <c r="DT339" s="305"/>
      <c r="DU339" s="305"/>
      <c r="DV339" s="305"/>
      <c r="DW339" s="305"/>
      <c r="DX339" s="305"/>
      <c r="DY339" s="305"/>
      <c r="DZ339" s="305"/>
      <c r="EA339" s="305"/>
      <c r="EB339" s="305"/>
      <c r="EC339" s="305"/>
      <c r="ED339" s="305"/>
      <c r="EE339" s="305"/>
      <c r="EF339" s="305"/>
      <c r="EG339" s="305"/>
      <c r="EH339" s="305"/>
      <c r="EI339" s="305"/>
      <c r="EJ339" s="305"/>
      <c r="EK339" s="305"/>
      <c r="EL339" s="305"/>
      <c r="EM339" s="305"/>
      <c r="EN339" s="305"/>
      <c r="EO339" s="305"/>
      <c r="EP339" s="305"/>
      <c r="EQ339" s="305"/>
      <c r="ER339" s="305"/>
      <c r="ES339" s="305"/>
      <c r="ET339" s="305"/>
      <c r="EU339" s="305"/>
      <c r="EV339" s="305"/>
      <c r="EW339" s="305"/>
      <c r="EX339" s="305"/>
      <c r="EY339" s="305"/>
      <c r="EZ339" s="305"/>
      <c r="FA339" s="305"/>
      <c r="FB339" s="305"/>
      <c r="FC339" s="305"/>
      <c r="FD339" s="305"/>
      <c r="FE339" s="305"/>
      <c r="FF339" s="305"/>
      <c r="FG339" s="305"/>
      <c r="FH339" s="305"/>
      <c r="FI339" s="305"/>
      <c r="FJ339" s="305"/>
      <c r="FK339" s="305"/>
      <c r="FL339" s="305"/>
      <c r="FM339" s="305"/>
      <c r="FN339" s="305"/>
      <c r="FO339" s="305"/>
      <c r="FP339" s="305"/>
      <c r="FQ339" s="305"/>
      <c r="FR339" s="305"/>
      <c r="FS339" s="305"/>
      <c r="FT339" s="305"/>
      <c r="FU339" s="305"/>
      <c r="FV339" s="305"/>
      <c r="FW339" s="305"/>
      <c r="FX339" s="305"/>
      <c r="FY339" s="305"/>
      <c r="FZ339" s="305"/>
      <c r="GA339" s="305"/>
      <c r="GB339" s="305"/>
      <c r="GC339" s="305"/>
      <c r="GD339" s="305"/>
      <c r="GE339" s="305"/>
      <c r="GF339" s="305"/>
      <c r="GG339" s="305"/>
      <c r="GH339" s="305"/>
      <c r="GI339" s="305"/>
      <c r="GJ339" s="305"/>
      <c r="GK339" s="305"/>
      <c r="GL339" s="305"/>
      <c r="GM339" s="305"/>
      <c r="GN339" s="305"/>
      <c r="GO339" s="305"/>
      <c r="GP339" s="305"/>
      <c r="GQ339" s="305"/>
      <c r="GR339" s="305"/>
    </row>
    <row r="340" spans="3:200" s="318" customFormat="1" ht="12.75" customHeight="1" x14ac:dyDescent="0.2">
      <c r="C340" s="367"/>
      <c r="D340" s="403"/>
      <c r="E340" s="369"/>
      <c r="F340" s="369"/>
      <c r="G340" s="369"/>
      <c r="H340" s="369"/>
      <c r="I340" s="370"/>
      <c r="J340"/>
      <c r="K340" s="371"/>
      <c r="L340" s="371"/>
      <c r="M340" s="371"/>
      <c r="N340" s="371"/>
      <c r="O340" s="305"/>
      <c r="P340" s="305"/>
      <c r="Q340" s="305"/>
      <c r="R340" s="305"/>
      <c r="S340" s="305"/>
      <c r="T340" s="305"/>
      <c r="U340" s="305"/>
      <c r="V340" s="305"/>
      <c r="W340" s="305"/>
      <c r="X340" s="305"/>
      <c r="Y340" s="305"/>
      <c r="Z340" s="305"/>
      <c r="AA340" s="305"/>
      <c r="AB340" s="305"/>
      <c r="AC340" s="305"/>
      <c r="AD340" s="305"/>
      <c r="AE340" s="305"/>
      <c r="AF340" s="305"/>
      <c r="AG340" s="305"/>
      <c r="AH340" s="305"/>
      <c r="AI340" s="305"/>
      <c r="AJ340" s="305"/>
      <c r="AK340" s="305"/>
      <c r="AL340" s="305"/>
      <c r="AM340" s="305"/>
      <c r="AN340" s="305"/>
      <c r="AO340" s="305"/>
      <c r="AP340" s="305"/>
      <c r="AQ340" s="305"/>
      <c r="AR340" s="305"/>
      <c r="AS340" s="305"/>
      <c r="AT340" s="305"/>
      <c r="AU340" s="305"/>
      <c r="AV340" s="305"/>
      <c r="AW340" s="305"/>
      <c r="AX340" s="305"/>
      <c r="AY340" s="305"/>
      <c r="AZ340" s="305"/>
      <c r="BA340" s="305"/>
      <c r="BB340" s="305"/>
      <c r="BC340" s="305"/>
      <c r="BD340" s="305"/>
      <c r="BE340" s="305"/>
      <c r="BF340" s="305"/>
      <c r="BG340" s="305"/>
      <c r="BH340" s="305"/>
      <c r="BI340" s="305"/>
      <c r="BJ340" s="305"/>
      <c r="BK340" s="305"/>
      <c r="BL340" s="305"/>
      <c r="BM340" s="305"/>
      <c r="BN340" s="305"/>
      <c r="BO340" s="305"/>
      <c r="BP340" s="305"/>
      <c r="BQ340" s="305"/>
      <c r="BR340" s="305"/>
      <c r="BS340" s="305"/>
      <c r="BT340" s="305"/>
      <c r="BU340" s="305"/>
      <c r="BV340" s="305"/>
      <c r="BW340" s="305"/>
      <c r="BX340" s="305"/>
      <c r="BY340" s="305"/>
      <c r="BZ340" s="305"/>
      <c r="CA340" s="305"/>
      <c r="CB340" s="305"/>
      <c r="CC340" s="305"/>
      <c r="CD340" s="305"/>
      <c r="CE340" s="305"/>
      <c r="CF340" s="305"/>
      <c r="CG340" s="305"/>
      <c r="CH340" s="305"/>
      <c r="CI340" s="305"/>
      <c r="CJ340" s="305"/>
      <c r="CK340" s="305"/>
      <c r="CL340" s="305"/>
      <c r="CM340" s="305"/>
      <c r="CN340" s="305"/>
      <c r="CO340" s="305"/>
      <c r="CP340" s="305"/>
      <c r="CQ340" s="305"/>
      <c r="CR340" s="305"/>
      <c r="CS340" s="305"/>
      <c r="CT340" s="305"/>
      <c r="CU340" s="305"/>
      <c r="CV340" s="305"/>
      <c r="CW340" s="305"/>
      <c r="CX340" s="305"/>
      <c r="CY340" s="305"/>
      <c r="CZ340" s="305"/>
      <c r="DA340" s="305"/>
      <c r="DB340" s="305"/>
      <c r="DC340" s="305"/>
      <c r="DD340" s="305"/>
      <c r="DE340" s="305"/>
      <c r="DF340" s="305"/>
      <c r="DG340" s="305"/>
      <c r="DH340" s="305"/>
      <c r="DI340" s="305"/>
      <c r="DJ340" s="305"/>
      <c r="DK340" s="305"/>
      <c r="DL340" s="305"/>
      <c r="DM340" s="305"/>
      <c r="DN340" s="305"/>
      <c r="DO340" s="305"/>
      <c r="DP340" s="305"/>
      <c r="DQ340" s="305"/>
      <c r="DR340" s="305"/>
      <c r="DS340" s="305"/>
      <c r="DT340" s="305"/>
      <c r="DU340" s="305"/>
      <c r="DV340" s="305"/>
      <c r="DW340" s="305"/>
      <c r="DX340" s="305"/>
      <c r="DY340" s="305"/>
      <c r="DZ340" s="305"/>
      <c r="EA340" s="305"/>
      <c r="EB340" s="305"/>
      <c r="EC340" s="305"/>
      <c r="ED340" s="305"/>
      <c r="EE340" s="305"/>
      <c r="EF340" s="305"/>
      <c r="EG340" s="305"/>
      <c r="EH340" s="305"/>
      <c r="EI340" s="305"/>
      <c r="EJ340" s="305"/>
      <c r="EK340" s="305"/>
      <c r="EL340" s="305"/>
      <c r="EM340" s="305"/>
      <c r="EN340" s="305"/>
      <c r="EO340" s="305"/>
      <c r="EP340" s="305"/>
      <c r="EQ340" s="305"/>
      <c r="ER340" s="305"/>
      <c r="ES340" s="305"/>
      <c r="ET340" s="305"/>
      <c r="EU340" s="305"/>
      <c r="EV340" s="305"/>
      <c r="EW340" s="305"/>
      <c r="EX340" s="305"/>
      <c r="EY340" s="305"/>
      <c r="EZ340" s="305"/>
      <c r="FA340" s="305"/>
      <c r="FB340" s="305"/>
      <c r="FC340" s="305"/>
      <c r="FD340" s="305"/>
      <c r="FE340" s="305"/>
      <c r="FF340" s="305"/>
      <c r="FG340" s="305"/>
      <c r="FH340" s="305"/>
      <c r="FI340" s="305"/>
      <c r="FJ340" s="305"/>
      <c r="FK340" s="305"/>
      <c r="FL340" s="305"/>
      <c r="FM340" s="305"/>
      <c r="FN340" s="305"/>
      <c r="FO340" s="305"/>
      <c r="FP340" s="305"/>
      <c r="FQ340" s="305"/>
      <c r="FR340" s="305"/>
      <c r="FS340" s="305"/>
      <c r="FT340" s="305"/>
      <c r="FU340" s="305"/>
      <c r="FV340" s="305"/>
      <c r="FW340" s="305"/>
      <c r="FX340" s="305"/>
      <c r="FY340" s="305"/>
      <c r="FZ340" s="305"/>
      <c r="GA340" s="305"/>
      <c r="GB340" s="305"/>
      <c r="GC340" s="305"/>
      <c r="GD340" s="305"/>
      <c r="GE340" s="305"/>
      <c r="GF340" s="305"/>
      <c r="GG340" s="305"/>
      <c r="GH340" s="305"/>
      <c r="GI340" s="305"/>
      <c r="GJ340" s="305"/>
      <c r="GK340" s="305"/>
      <c r="GL340" s="305"/>
      <c r="GM340" s="305"/>
      <c r="GN340" s="305"/>
      <c r="GO340" s="305"/>
      <c r="GP340" s="305"/>
      <c r="GQ340" s="305"/>
      <c r="GR340" s="305"/>
    </row>
    <row r="341" spans="3:200" s="318" customFormat="1" ht="12.75" customHeight="1" x14ac:dyDescent="0.2">
      <c r="C341" s="367"/>
      <c r="D341" s="403"/>
      <c r="E341" s="369"/>
      <c r="F341" s="369"/>
      <c r="G341" s="369"/>
      <c r="H341" s="369"/>
      <c r="I341" s="370"/>
      <c r="J341"/>
      <c r="K341" s="371"/>
      <c r="L341" s="371"/>
      <c r="M341" s="371"/>
      <c r="N341" s="371"/>
      <c r="O341" s="305"/>
      <c r="P341" s="305"/>
      <c r="Q341" s="305"/>
      <c r="R341" s="305"/>
      <c r="S341" s="305"/>
      <c r="T341" s="305"/>
      <c r="U341" s="305"/>
      <c r="V341" s="305"/>
      <c r="W341" s="305"/>
      <c r="X341" s="305"/>
      <c r="Y341" s="305"/>
      <c r="Z341" s="305"/>
      <c r="AA341" s="305"/>
      <c r="AB341" s="305"/>
      <c r="AC341" s="305"/>
      <c r="AD341" s="305"/>
      <c r="AE341" s="305"/>
      <c r="AF341" s="305"/>
      <c r="AG341" s="305"/>
      <c r="AH341" s="305"/>
      <c r="AI341" s="305"/>
      <c r="AJ341" s="305"/>
      <c r="AK341" s="305"/>
      <c r="AL341" s="305"/>
      <c r="AM341" s="305"/>
      <c r="AN341" s="305"/>
      <c r="AO341" s="305"/>
      <c r="AP341" s="305"/>
      <c r="AQ341" s="305"/>
      <c r="AR341" s="305"/>
      <c r="AS341" s="305"/>
      <c r="AT341" s="305"/>
      <c r="AU341" s="305"/>
      <c r="AV341" s="305"/>
      <c r="AW341" s="305"/>
      <c r="AX341" s="305"/>
      <c r="AY341" s="305"/>
      <c r="AZ341" s="305"/>
      <c r="BA341" s="305"/>
      <c r="BB341" s="305"/>
      <c r="BC341" s="305"/>
      <c r="BD341" s="305"/>
      <c r="BE341" s="305"/>
      <c r="BF341" s="305"/>
      <c r="BG341" s="305"/>
      <c r="BH341" s="305"/>
      <c r="BI341" s="305"/>
      <c r="BJ341" s="305"/>
      <c r="BK341" s="305"/>
      <c r="BL341" s="305"/>
      <c r="BM341" s="305"/>
      <c r="BN341" s="305"/>
      <c r="BO341" s="305"/>
      <c r="BP341" s="305"/>
      <c r="BQ341" s="305"/>
      <c r="BR341" s="305"/>
      <c r="BS341" s="305"/>
      <c r="BT341" s="305"/>
      <c r="BU341" s="305"/>
      <c r="BV341" s="305"/>
      <c r="BW341" s="305"/>
      <c r="BX341" s="305"/>
      <c r="BY341" s="305"/>
      <c r="BZ341" s="305"/>
      <c r="CA341" s="305"/>
      <c r="CB341" s="305"/>
      <c r="CC341" s="305"/>
      <c r="CD341" s="305"/>
      <c r="CE341" s="305"/>
      <c r="CF341" s="305"/>
      <c r="CG341" s="305"/>
      <c r="CH341" s="305"/>
      <c r="CI341" s="305"/>
      <c r="CJ341" s="305"/>
      <c r="CK341" s="305"/>
      <c r="CL341" s="305"/>
      <c r="CM341" s="305"/>
      <c r="CN341" s="305"/>
      <c r="CO341" s="305"/>
      <c r="CP341" s="305"/>
      <c r="CQ341" s="305"/>
      <c r="CR341" s="305"/>
      <c r="CS341" s="305"/>
      <c r="CT341" s="305"/>
      <c r="CU341" s="305"/>
      <c r="CV341" s="305"/>
      <c r="CW341" s="305"/>
      <c r="CX341" s="305"/>
      <c r="CY341" s="305"/>
      <c r="CZ341" s="305"/>
      <c r="DA341" s="305"/>
      <c r="DB341" s="305"/>
      <c r="DC341" s="305"/>
      <c r="DD341" s="305"/>
      <c r="DE341" s="305"/>
      <c r="DF341" s="305"/>
      <c r="DG341" s="305"/>
      <c r="DH341" s="305"/>
      <c r="DI341" s="305"/>
      <c r="DJ341" s="305"/>
      <c r="DK341" s="305"/>
      <c r="DL341" s="305"/>
      <c r="DM341" s="305"/>
      <c r="DN341" s="305"/>
      <c r="DO341" s="305"/>
      <c r="DP341" s="305"/>
      <c r="DQ341" s="305"/>
      <c r="DR341" s="305"/>
      <c r="DS341" s="305"/>
      <c r="DT341" s="305"/>
      <c r="DU341" s="305"/>
      <c r="DV341" s="305"/>
      <c r="DW341" s="305"/>
      <c r="DX341" s="305"/>
      <c r="DY341" s="305"/>
      <c r="DZ341" s="305"/>
      <c r="EA341" s="305"/>
      <c r="EB341" s="305"/>
      <c r="EC341" s="305"/>
      <c r="ED341" s="305"/>
      <c r="EE341" s="305"/>
      <c r="EF341" s="305"/>
      <c r="EG341" s="305"/>
      <c r="EH341" s="305"/>
      <c r="EI341" s="305"/>
      <c r="EJ341" s="305"/>
      <c r="EK341" s="305"/>
      <c r="EL341" s="305"/>
      <c r="EM341" s="305"/>
      <c r="EN341" s="305"/>
      <c r="EO341" s="305"/>
      <c r="EP341" s="305"/>
      <c r="EQ341" s="305"/>
      <c r="ER341" s="305"/>
      <c r="ES341" s="305"/>
      <c r="ET341" s="305"/>
      <c r="EU341" s="305"/>
      <c r="EV341" s="305"/>
      <c r="EW341" s="305"/>
      <c r="EX341" s="305"/>
      <c r="EY341" s="305"/>
      <c r="EZ341" s="305"/>
      <c r="FA341" s="305"/>
      <c r="FB341" s="305"/>
      <c r="FC341" s="305"/>
      <c r="FD341" s="305"/>
      <c r="FE341" s="305"/>
      <c r="FF341" s="305"/>
      <c r="FG341" s="305"/>
      <c r="FH341" s="305"/>
      <c r="FI341" s="305"/>
      <c r="FJ341" s="305"/>
      <c r="FK341" s="305"/>
      <c r="FL341" s="305"/>
      <c r="FM341" s="305"/>
      <c r="FN341" s="305"/>
      <c r="FO341" s="305"/>
      <c r="FP341" s="305"/>
      <c r="FQ341" s="305"/>
      <c r="FR341" s="305"/>
      <c r="FS341" s="305"/>
      <c r="FT341" s="305"/>
      <c r="FU341" s="305"/>
      <c r="FV341" s="305"/>
      <c r="FW341" s="305"/>
      <c r="FX341" s="305"/>
      <c r="FY341" s="305"/>
      <c r="FZ341" s="305"/>
      <c r="GA341" s="305"/>
      <c r="GB341" s="305"/>
      <c r="GC341" s="305"/>
      <c r="GD341" s="305"/>
      <c r="GE341" s="305"/>
      <c r="GF341" s="305"/>
      <c r="GG341" s="305"/>
      <c r="GH341" s="305"/>
      <c r="GI341" s="305"/>
      <c r="GJ341" s="305"/>
      <c r="GK341" s="305"/>
      <c r="GL341" s="305"/>
      <c r="GM341" s="305"/>
      <c r="GN341" s="305"/>
      <c r="GO341" s="305"/>
      <c r="GP341" s="305"/>
      <c r="GQ341" s="305"/>
      <c r="GR341" s="305"/>
    </row>
    <row r="342" spans="3:200" s="318" customFormat="1" ht="12.75" customHeight="1" x14ac:dyDescent="0.2">
      <c r="C342" s="367"/>
      <c r="D342" s="403"/>
      <c r="E342" s="369"/>
      <c r="F342" s="369"/>
      <c r="G342" s="369"/>
      <c r="H342" s="369"/>
      <c r="I342" s="370"/>
      <c r="J342"/>
      <c r="K342" s="371"/>
      <c r="L342" s="371"/>
      <c r="M342" s="371"/>
      <c r="N342" s="371"/>
      <c r="O342" s="305"/>
      <c r="P342" s="305"/>
      <c r="Q342" s="305"/>
      <c r="R342" s="305"/>
      <c r="S342" s="305"/>
      <c r="T342" s="305"/>
      <c r="U342" s="305"/>
      <c r="V342" s="305"/>
      <c r="W342" s="305"/>
      <c r="X342" s="305"/>
      <c r="Y342" s="305"/>
      <c r="Z342" s="305"/>
      <c r="AA342" s="305"/>
      <c r="AB342" s="305"/>
      <c r="AC342" s="305"/>
      <c r="AD342" s="305"/>
      <c r="AE342" s="305"/>
      <c r="AF342" s="305"/>
      <c r="AG342" s="305"/>
      <c r="AH342" s="305"/>
      <c r="AI342" s="305"/>
      <c r="AJ342" s="305"/>
      <c r="AK342" s="305"/>
      <c r="AL342" s="305"/>
      <c r="AM342" s="305"/>
      <c r="AN342" s="305"/>
      <c r="AO342" s="305"/>
      <c r="AP342" s="305"/>
      <c r="AQ342" s="305"/>
      <c r="AR342" s="305"/>
      <c r="AS342" s="305"/>
      <c r="AT342" s="305"/>
      <c r="AU342" s="305"/>
      <c r="AV342" s="305"/>
      <c r="AW342" s="305"/>
      <c r="AX342" s="305"/>
      <c r="AY342" s="305"/>
      <c r="AZ342" s="305"/>
      <c r="BA342" s="305"/>
      <c r="BB342" s="305"/>
      <c r="BC342" s="305"/>
      <c r="BD342" s="305"/>
      <c r="BE342" s="305"/>
      <c r="BF342" s="305"/>
      <c r="BG342" s="305"/>
      <c r="BH342" s="305"/>
      <c r="BI342" s="305"/>
      <c r="BJ342" s="305"/>
      <c r="BK342" s="305"/>
      <c r="BL342" s="305"/>
      <c r="BM342" s="305"/>
      <c r="BN342" s="305"/>
      <c r="BO342" s="305"/>
      <c r="BP342" s="305"/>
      <c r="BQ342" s="305"/>
      <c r="BR342" s="305"/>
      <c r="BS342" s="305"/>
      <c r="BT342" s="305"/>
      <c r="BU342" s="305"/>
      <c r="BV342" s="305"/>
      <c r="BW342" s="305"/>
      <c r="BX342" s="305"/>
      <c r="BY342" s="305"/>
      <c r="BZ342" s="305"/>
      <c r="CA342" s="305"/>
      <c r="CB342" s="305"/>
      <c r="CC342" s="305"/>
      <c r="CD342" s="305"/>
      <c r="CE342" s="305"/>
      <c r="CF342" s="305"/>
      <c r="CG342" s="305"/>
      <c r="CH342" s="305"/>
      <c r="CI342" s="305"/>
      <c r="CJ342" s="305"/>
      <c r="CK342" s="305"/>
      <c r="CL342" s="305"/>
      <c r="CM342" s="305"/>
      <c r="CN342" s="305"/>
      <c r="CO342" s="305"/>
      <c r="CP342" s="305"/>
      <c r="CQ342" s="305"/>
      <c r="CR342" s="305"/>
      <c r="CS342" s="305"/>
      <c r="CT342" s="305"/>
      <c r="CU342" s="305"/>
      <c r="CV342" s="305"/>
      <c r="CW342" s="305"/>
      <c r="CX342" s="305"/>
      <c r="CY342" s="305"/>
      <c r="CZ342" s="305"/>
      <c r="DA342" s="305"/>
      <c r="DB342" s="305"/>
      <c r="DC342" s="305"/>
      <c r="DD342" s="305"/>
      <c r="DE342" s="305"/>
      <c r="DF342" s="305"/>
      <c r="DG342" s="305"/>
      <c r="DH342" s="305"/>
      <c r="DI342" s="305"/>
      <c r="DJ342" s="305"/>
      <c r="DK342" s="305"/>
      <c r="DL342" s="305"/>
      <c r="DM342" s="305"/>
      <c r="DN342" s="305"/>
      <c r="DO342" s="305"/>
      <c r="DP342" s="305"/>
      <c r="DQ342" s="305"/>
      <c r="DR342" s="305"/>
      <c r="DS342" s="305"/>
      <c r="DT342" s="305"/>
      <c r="DU342" s="305"/>
      <c r="DV342" s="305"/>
      <c r="DW342" s="305"/>
      <c r="DX342" s="305"/>
      <c r="DY342" s="305"/>
      <c r="DZ342" s="305"/>
      <c r="EA342" s="305"/>
      <c r="EB342" s="305"/>
      <c r="EC342" s="305"/>
      <c r="ED342" s="305"/>
      <c r="EE342" s="305"/>
      <c r="EF342" s="305"/>
      <c r="EG342" s="305"/>
      <c r="EH342" s="305"/>
      <c r="EI342" s="305"/>
      <c r="EJ342" s="305"/>
      <c r="EK342" s="305"/>
      <c r="EL342" s="305"/>
      <c r="EM342" s="305"/>
      <c r="EN342" s="305"/>
      <c r="EO342" s="305"/>
      <c r="EP342" s="305"/>
      <c r="EQ342" s="305"/>
      <c r="ER342" s="305"/>
      <c r="ES342" s="305"/>
      <c r="ET342" s="305"/>
      <c r="EU342" s="305"/>
      <c r="EV342" s="305"/>
      <c r="EW342" s="305"/>
      <c r="EX342" s="305"/>
      <c r="EY342" s="305"/>
      <c r="EZ342" s="305"/>
      <c r="FA342" s="305"/>
      <c r="FB342" s="305"/>
      <c r="FC342" s="305"/>
      <c r="FD342" s="305"/>
      <c r="FE342" s="305"/>
      <c r="FF342" s="305"/>
      <c r="FG342" s="305"/>
      <c r="FH342" s="305"/>
      <c r="FI342" s="305"/>
      <c r="FJ342" s="305"/>
      <c r="FK342" s="305"/>
      <c r="FL342" s="305"/>
      <c r="FM342" s="305"/>
      <c r="FN342" s="305"/>
      <c r="FO342" s="305"/>
      <c r="FP342" s="305"/>
      <c r="FQ342" s="305"/>
      <c r="FR342" s="305"/>
      <c r="FS342" s="305"/>
      <c r="FT342" s="305"/>
      <c r="FU342" s="305"/>
      <c r="FV342" s="305"/>
      <c r="FW342" s="305"/>
      <c r="FX342" s="305"/>
      <c r="FY342" s="305"/>
      <c r="FZ342" s="305"/>
      <c r="GA342" s="305"/>
      <c r="GB342" s="305"/>
      <c r="GC342" s="305"/>
      <c r="GD342" s="305"/>
      <c r="GE342" s="305"/>
      <c r="GF342" s="305"/>
      <c r="GG342" s="305"/>
      <c r="GH342" s="305"/>
      <c r="GI342" s="305"/>
      <c r="GJ342" s="305"/>
      <c r="GK342" s="305"/>
      <c r="GL342" s="305"/>
      <c r="GM342" s="305"/>
      <c r="GN342" s="305"/>
      <c r="GO342" s="305"/>
      <c r="GP342" s="305"/>
      <c r="GQ342" s="305"/>
      <c r="GR342" s="305"/>
    </row>
    <row r="343" spans="3:200" s="318" customFormat="1" ht="12.75" customHeight="1" x14ac:dyDescent="0.2">
      <c r="C343" s="367"/>
      <c r="D343" s="403"/>
      <c r="E343" s="369"/>
      <c r="F343" s="369"/>
      <c r="G343" s="369"/>
      <c r="H343" s="369"/>
      <c r="I343" s="370"/>
      <c r="J343"/>
      <c r="K343" s="371"/>
      <c r="L343" s="371"/>
      <c r="M343" s="371"/>
      <c r="N343" s="371"/>
      <c r="O343" s="305"/>
      <c r="P343" s="305"/>
      <c r="Q343" s="305"/>
      <c r="R343" s="305"/>
      <c r="S343" s="305"/>
      <c r="T343" s="305"/>
      <c r="U343" s="305"/>
      <c r="V343" s="305"/>
      <c r="W343" s="305"/>
      <c r="X343" s="305"/>
      <c r="Y343" s="305"/>
      <c r="Z343" s="305"/>
      <c r="AA343" s="305"/>
      <c r="AB343" s="305"/>
      <c r="AC343" s="305"/>
      <c r="AD343" s="305"/>
      <c r="AE343" s="305"/>
      <c r="AF343" s="305"/>
      <c r="AG343" s="305"/>
      <c r="AH343" s="305"/>
      <c r="AI343" s="305"/>
      <c r="AJ343" s="305"/>
      <c r="AK343" s="305"/>
      <c r="AL343" s="305"/>
      <c r="AM343" s="305"/>
      <c r="AN343" s="305"/>
      <c r="AO343" s="305"/>
      <c r="AP343" s="305"/>
      <c r="AQ343" s="305"/>
      <c r="AR343" s="305"/>
      <c r="AS343" s="305"/>
      <c r="AT343" s="305"/>
      <c r="AU343" s="305"/>
      <c r="AV343" s="305"/>
      <c r="AW343" s="305"/>
      <c r="AX343" s="305"/>
      <c r="AY343" s="305"/>
      <c r="AZ343" s="305"/>
      <c r="BA343" s="305"/>
      <c r="BB343" s="305"/>
      <c r="BC343" s="305"/>
      <c r="BD343" s="305"/>
      <c r="BE343" s="305"/>
      <c r="BF343" s="305"/>
      <c r="BG343" s="305"/>
      <c r="BH343" s="305"/>
      <c r="BI343" s="305"/>
      <c r="BJ343" s="305"/>
      <c r="BK343" s="305"/>
      <c r="BL343" s="305"/>
      <c r="BM343" s="305"/>
      <c r="BN343" s="305"/>
      <c r="BO343" s="305"/>
      <c r="BP343" s="305"/>
      <c r="BQ343" s="305"/>
      <c r="BR343" s="305"/>
      <c r="BS343" s="305"/>
      <c r="BT343" s="305"/>
      <c r="BU343" s="305"/>
      <c r="BV343" s="305"/>
      <c r="BW343" s="305"/>
      <c r="BX343" s="305"/>
      <c r="BY343" s="305"/>
      <c r="BZ343" s="305"/>
      <c r="CA343" s="305"/>
      <c r="CB343" s="305"/>
      <c r="CC343" s="305"/>
      <c r="CD343" s="305"/>
      <c r="CE343" s="305"/>
      <c r="CF343" s="305"/>
      <c r="CG343" s="305"/>
      <c r="CH343" s="305"/>
      <c r="CI343" s="305"/>
      <c r="CJ343" s="305"/>
      <c r="CK343" s="305"/>
      <c r="CL343" s="305"/>
      <c r="CM343" s="305"/>
      <c r="CN343" s="305"/>
      <c r="CO343" s="305"/>
      <c r="CP343" s="305"/>
      <c r="CQ343" s="305"/>
      <c r="CR343" s="305"/>
      <c r="CS343" s="305"/>
      <c r="CT343" s="305"/>
      <c r="CU343" s="305"/>
      <c r="CV343" s="305"/>
      <c r="CW343" s="305"/>
      <c r="CX343" s="305"/>
      <c r="CY343" s="305"/>
      <c r="CZ343" s="305"/>
      <c r="DA343" s="305"/>
      <c r="DB343" s="305"/>
      <c r="DC343" s="305"/>
      <c r="DD343" s="305"/>
      <c r="DE343" s="305"/>
      <c r="DF343" s="305"/>
      <c r="DG343" s="305"/>
      <c r="DH343" s="305"/>
      <c r="DI343" s="305"/>
      <c r="DJ343" s="305"/>
      <c r="DK343" s="305"/>
      <c r="DL343" s="305"/>
      <c r="DM343" s="305"/>
      <c r="DN343" s="305"/>
      <c r="DO343" s="305"/>
      <c r="DP343" s="305"/>
      <c r="DQ343" s="305"/>
      <c r="DR343" s="305"/>
      <c r="DS343" s="305"/>
      <c r="DT343" s="305"/>
      <c r="DU343" s="305"/>
      <c r="DV343" s="305"/>
      <c r="DW343" s="305"/>
      <c r="DX343" s="305"/>
      <c r="DY343" s="305"/>
      <c r="DZ343" s="305"/>
      <c r="EA343" s="305"/>
      <c r="EB343" s="305"/>
      <c r="EC343" s="305"/>
      <c r="ED343" s="305"/>
      <c r="EE343" s="305"/>
      <c r="EF343" s="305"/>
      <c r="EG343" s="305"/>
      <c r="EH343" s="305"/>
      <c r="EI343" s="305"/>
      <c r="EJ343" s="305"/>
      <c r="EK343" s="305"/>
      <c r="EL343" s="305"/>
      <c r="EM343" s="305"/>
      <c r="EN343" s="305"/>
      <c r="EO343" s="305"/>
      <c r="EP343" s="305"/>
      <c r="EQ343" s="305"/>
      <c r="ER343" s="305"/>
      <c r="ES343" s="305"/>
      <c r="ET343" s="305"/>
      <c r="EU343" s="305"/>
      <c r="EV343" s="305"/>
      <c r="EW343" s="305"/>
      <c r="EX343" s="305"/>
      <c r="EY343" s="305"/>
      <c r="EZ343" s="305"/>
      <c r="FA343" s="305"/>
      <c r="FB343" s="305"/>
      <c r="FC343" s="305"/>
      <c r="FD343" s="305"/>
      <c r="FE343" s="305"/>
      <c r="FF343" s="305"/>
      <c r="FG343" s="305"/>
      <c r="FH343" s="305"/>
      <c r="FI343" s="305"/>
      <c r="FJ343" s="305"/>
      <c r="FK343" s="305"/>
      <c r="FL343" s="305"/>
      <c r="FM343" s="305"/>
      <c r="FN343" s="305"/>
      <c r="FO343" s="305"/>
      <c r="FP343" s="305"/>
      <c r="FQ343" s="305"/>
      <c r="FR343" s="305"/>
      <c r="FS343" s="305"/>
      <c r="FT343" s="305"/>
      <c r="FU343" s="305"/>
      <c r="FV343" s="305"/>
      <c r="FW343" s="305"/>
      <c r="FX343" s="305"/>
      <c r="FY343" s="305"/>
      <c r="FZ343" s="305"/>
      <c r="GA343" s="305"/>
      <c r="GB343" s="305"/>
      <c r="GC343" s="305"/>
      <c r="GD343" s="305"/>
      <c r="GE343" s="305"/>
      <c r="GF343" s="305"/>
      <c r="GG343" s="305"/>
      <c r="GH343" s="305"/>
      <c r="GI343" s="305"/>
      <c r="GJ343" s="305"/>
      <c r="GK343" s="305"/>
      <c r="GL343" s="305"/>
      <c r="GM343" s="305"/>
      <c r="GN343" s="305"/>
      <c r="GO343" s="305"/>
      <c r="GP343" s="305"/>
      <c r="GQ343" s="305"/>
      <c r="GR343" s="305"/>
    </row>
    <row r="344" spans="3:200" s="318" customFormat="1" ht="12.75" customHeight="1" x14ac:dyDescent="0.2">
      <c r="C344" s="367"/>
      <c r="D344" s="403"/>
      <c r="E344" s="369"/>
      <c r="F344" s="369"/>
      <c r="G344" s="369"/>
      <c r="H344" s="369"/>
      <c r="I344" s="370"/>
      <c r="J344"/>
      <c r="K344" s="371"/>
      <c r="L344" s="371"/>
      <c r="M344" s="371"/>
      <c r="N344" s="371"/>
      <c r="O344" s="305"/>
      <c r="P344" s="305"/>
      <c r="Q344" s="305"/>
      <c r="R344" s="305"/>
      <c r="S344" s="305"/>
      <c r="T344" s="305"/>
      <c r="U344" s="305"/>
      <c r="V344" s="305"/>
      <c r="W344" s="305"/>
      <c r="X344" s="305"/>
      <c r="Y344" s="305"/>
      <c r="Z344" s="305"/>
      <c r="AA344" s="305"/>
      <c r="AB344" s="305"/>
      <c r="AC344" s="305"/>
      <c r="AD344" s="305"/>
      <c r="AE344" s="305"/>
      <c r="AF344" s="305"/>
      <c r="AG344" s="305"/>
      <c r="AH344" s="305"/>
      <c r="AI344" s="305"/>
      <c r="AJ344" s="305"/>
      <c r="AK344" s="305"/>
      <c r="AL344" s="305"/>
      <c r="AM344" s="305"/>
      <c r="AN344" s="305"/>
      <c r="AO344" s="305"/>
      <c r="AP344" s="305"/>
      <c r="AQ344" s="305"/>
      <c r="AR344" s="305"/>
      <c r="AS344" s="305"/>
      <c r="AT344" s="305"/>
      <c r="AU344" s="305"/>
      <c r="AV344" s="305"/>
      <c r="AW344" s="305"/>
      <c r="AX344" s="305"/>
      <c r="AY344" s="305"/>
      <c r="AZ344" s="305"/>
      <c r="BA344" s="305"/>
      <c r="BB344" s="305"/>
      <c r="BC344" s="305"/>
      <c r="BD344" s="305"/>
      <c r="BE344" s="305"/>
      <c r="BF344" s="305"/>
      <c r="BG344" s="305"/>
      <c r="BH344" s="305"/>
      <c r="BI344" s="305"/>
      <c r="BJ344" s="305"/>
      <c r="BK344" s="305"/>
      <c r="BL344" s="305"/>
      <c r="BM344" s="305"/>
      <c r="BN344" s="305"/>
      <c r="BO344" s="305"/>
      <c r="BP344" s="305"/>
      <c r="BQ344" s="305"/>
      <c r="BR344" s="305"/>
      <c r="BS344" s="305"/>
      <c r="BT344" s="305"/>
      <c r="BU344" s="305"/>
      <c r="BV344" s="305"/>
      <c r="BW344" s="305"/>
      <c r="BX344" s="305"/>
      <c r="BY344" s="305"/>
      <c r="BZ344" s="305"/>
      <c r="CA344" s="305"/>
      <c r="CB344" s="305"/>
      <c r="CC344" s="305"/>
      <c r="CD344" s="305"/>
      <c r="CE344" s="305"/>
      <c r="CF344" s="305"/>
      <c r="CG344" s="305"/>
      <c r="CH344" s="305"/>
      <c r="CI344" s="305"/>
      <c r="CJ344" s="305"/>
      <c r="CK344" s="305"/>
      <c r="CL344" s="305"/>
      <c r="CM344" s="305"/>
      <c r="CN344" s="305"/>
      <c r="CO344" s="305"/>
      <c r="CP344" s="305"/>
      <c r="CQ344" s="305"/>
      <c r="CR344" s="305"/>
      <c r="CS344" s="305"/>
      <c r="CT344" s="305"/>
      <c r="CU344" s="305"/>
      <c r="CV344" s="305"/>
      <c r="CW344" s="305"/>
      <c r="CX344" s="305"/>
      <c r="CY344" s="305"/>
      <c r="CZ344" s="305"/>
      <c r="DA344" s="305"/>
      <c r="DB344" s="305"/>
      <c r="DC344" s="305"/>
      <c r="DD344" s="305"/>
      <c r="DE344" s="305"/>
      <c r="DF344" s="305"/>
      <c r="DG344" s="305"/>
      <c r="DH344" s="305"/>
      <c r="DI344" s="305"/>
      <c r="DJ344" s="305"/>
      <c r="DK344" s="305"/>
      <c r="DL344" s="305"/>
      <c r="DM344" s="305"/>
      <c r="DN344" s="305"/>
      <c r="DO344" s="305"/>
      <c r="DP344" s="305"/>
      <c r="DQ344" s="305"/>
      <c r="DR344" s="305"/>
      <c r="DS344" s="305"/>
      <c r="DT344" s="305"/>
      <c r="DU344" s="305"/>
      <c r="DV344" s="305"/>
      <c r="DW344" s="305"/>
      <c r="DX344" s="305"/>
      <c r="DY344" s="305"/>
      <c r="DZ344" s="305"/>
      <c r="EA344" s="305"/>
      <c r="EB344" s="305"/>
      <c r="EC344" s="305"/>
      <c r="ED344" s="305"/>
      <c r="EE344" s="305"/>
      <c r="EF344" s="305"/>
      <c r="EG344" s="305"/>
      <c r="EH344" s="305"/>
      <c r="EI344" s="305"/>
      <c r="EJ344" s="305"/>
      <c r="EK344" s="305"/>
      <c r="EL344" s="305"/>
      <c r="EM344" s="305"/>
      <c r="EN344" s="305"/>
      <c r="EO344" s="305"/>
      <c r="EP344" s="305"/>
      <c r="EQ344" s="305"/>
      <c r="ER344" s="305"/>
      <c r="ES344" s="305"/>
      <c r="ET344" s="305"/>
      <c r="EU344" s="305"/>
      <c r="EV344" s="305"/>
      <c r="EW344" s="305"/>
      <c r="EX344" s="305"/>
      <c r="EY344" s="305"/>
      <c r="EZ344" s="305"/>
      <c r="FA344" s="305"/>
      <c r="FB344" s="305"/>
      <c r="FC344" s="305"/>
      <c r="FD344" s="305"/>
      <c r="FE344" s="305"/>
      <c r="FF344" s="305"/>
      <c r="FG344" s="305"/>
      <c r="FH344" s="305"/>
      <c r="FI344" s="305"/>
      <c r="FJ344" s="305"/>
      <c r="FK344" s="305"/>
      <c r="FL344" s="305"/>
      <c r="FM344" s="305"/>
      <c r="FN344" s="305"/>
      <c r="FO344" s="305"/>
      <c r="FP344" s="305"/>
      <c r="FQ344" s="305"/>
      <c r="FR344" s="305"/>
      <c r="FS344" s="305"/>
      <c r="FT344" s="305"/>
      <c r="FU344" s="305"/>
      <c r="FV344" s="305"/>
      <c r="FW344" s="305"/>
      <c r="FX344" s="305"/>
      <c r="FY344" s="305"/>
      <c r="FZ344" s="305"/>
      <c r="GA344" s="305"/>
      <c r="GB344" s="305"/>
      <c r="GC344" s="305"/>
      <c r="GD344" s="305"/>
      <c r="GE344" s="305"/>
      <c r="GF344" s="305"/>
      <c r="GG344" s="305"/>
      <c r="GH344" s="305"/>
      <c r="GI344" s="305"/>
      <c r="GJ344" s="305"/>
      <c r="GK344" s="305"/>
      <c r="GL344" s="305"/>
      <c r="GM344" s="305"/>
      <c r="GN344" s="305"/>
      <c r="GO344" s="305"/>
      <c r="GP344" s="305"/>
      <c r="GQ344" s="305"/>
      <c r="GR344" s="305"/>
    </row>
    <row r="345" spans="3:200" s="318" customFormat="1" ht="12.75" customHeight="1" x14ac:dyDescent="0.2">
      <c r="C345" s="367"/>
      <c r="D345" s="403"/>
      <c r="E345" s="369"/>
      <c r="F345" s="369"/>
      <c r="G345" s="369"/>
      <c r="H345" s="369"/>
      <c r="I345" s="370"/>
      <c r="J345"/>
      <c r="K345" s="371"/>
      <c r="L345" s="371"/>
      <c r="M345" s="371"/>
      <c r="N345" s="371"/>
      <c r="O345" s="305"/>
      <c r="P345" s="305"/>
      <c r="Q345" s="305"/>
      <c r="R345" s="305"/>
      <c r="S345" s="305"/>
      <c r="T345" s="305"/>
      <c r="U345" s="305"/>
      <c r="V345" s="305"/>
      <c r="W345" s="305"/>
      <c r="X345" s="305"/>
      <c r="Y345" s="305"/>
      <c r="Z345" s="305"/>
      <c r="AA345" s="305"/>
      <c r="AB345" s="305"/>
      <c r="AC345" s="305"/>
      <c r="AD345" s="305"/>
      <c r="AE345" s="305"/>
      <c r="AF345" s="305"/>
      <c r="AG345" s="305"/>
      <c r="AH345" s="305"/>
      <c r="AI345" s="305"/>
      <c r="AJ345" s="305"/>
      <c r="AK345" s="305"/>
      <c r="AL345" s="305"/>
      <c r="AM345" s="305"/>
      <c r="AN345" s="305"/>
      <c r="AO345" s="305"/>
      <c r="AP345" s="305"/>
      <c r="AQ345" s="305"/>
      <c r="AR345" s="305"/>
      <c r="AS345" s="305"/>
      <c r="AT345" s="305"/>
      <c r="AU345" s="305"/>
      <c r="AV345" s="305"/>
      <c r="AW345" s="305"/>
      <c r="AX345" s="305"/>
      <c r="AY345" s="305"/>
      <c r="AZ345" s="305"/>
      <c r="BA345" s="305"/>
      <c r="BB345" s="305"/>
      <c r="BC345" s="305"/>
      <c r="BD345" s="305"/>
      <c r="BE345" s="305"/>
      <c r="BF345" s="305"/>
      <c r="BG345" s="305"/>
      <c r="BH345" s="305"/>
      <c r="BI345" s="305"/>
      <c r="BJ345" s="305"/>
      <c r="BK345" s="305"/>
      <c r="BL345" s="305"/>
      <c r="BM345" s="305"/>
      <c r="BN345" s="305"/>
      <c r="BO345" s="305"/>
      <c r="BP345" s="305"/>
      <c r="BQ345" s="305"/>
      <c r="BR345" s="305"/>
      <c r="BS345" s="305"/>
      <c r="BT345" s="305"/>
      <c r="BU345" s="305"/>
      <c r="BV345" s="305"/>
      <c r="BW345" s="305"/>
      <c r="BX345" s="305"/>
      <c r="BY345" s="305"/>
      <c r="BZ345" s="305"/>
      <c r="CA345" s="305"/>
      <c r="CB345" s="305"/>
      <c r="CC345" s="305"/>
      <c r="CD345" s="305"/>
      <c r="CE345" s="305"/>
      <c r="CF345" s="305"/>
      <c r="CG345" s="305"/>
      <c r="CH345" s="305"/>
      <c r="CI345" s="305"/>
      <c r="CJ345" s="305"/>
      <c r="CK345" s="305"/>
      <c r="CL345" s="305"/>
      <c r="CM345" s="305"/>
      <c r="CN345" s="305"/>
      <c r="CO345" s="305"/>
      <c r="CP345" s="305"/>
      <c r="CQ345" s="305"/>
      <c r="CR345" s="305"/>
      <c r="CS345" s="305"/>
      <c r="CT345" s="305"/>
      <c r="CU345" s="305"/>
      <c r="CV345" s="305"/>
      <c r="CW345" s="305"/>
      <c r="CX345" s="305"/>
      <c r="CY345" s="305"/>
      <c r="CZ345" s="305"/>
      <c r="DA345" s="305"/>
      <c r="DB345" s="305"/>
      <c r="DC345" s="305"/>
      <c r="DD345" s="305"/>
      <c r="DE345" s="305"/>
      <c r="DF345" s="305"/>
      <c r="DG345" s="305"/>
      <c r="DH345" s="305"/>
      <c r="DI345" s="305"/>
      <c r="DJ345" s="305"/>
      <c r="DK345" s="305"/>
      <c r="DL345" s="305"/>
      <c r="DM345" s="305"/>
      <c r="DN345" s="305"/>
      <c r="DO345" s="305"/>
      <c r="DP345" s="305"/>
      <c r="DQ345" s="305"/>
      <c r="DR345" s="305"/>
      <c r="DS345" s="305"/>
      <c r="DT345" s="305"/>
      <c r="DU345" s="305"/>
      <c r="DV345" s="305"/>
      <c r="DW345" s="305"/>
      <c r="DX345" s="305"/>
      <c r="DY345" s="305"/>
      <c r="DZ345" s="305"/>
      <c r="EA345" s="305"/>
      <c r="EB345" s="305"/>
      <c r="EC345" s="305"/>
      <c r="ED345" s="305"/>
      <c r="EE345" s="305"/>
      <c r="EF345" s="305"/>
      <c r="EG345" s="305"/>
      <c r="EH345" s="305"/>
      <c r="EI345" s="305"/>
      <c r="EJ345" s="305"/>
      <c r="EK345" s="305"/>
      <c r="EL345" s="305"/>
      <c r="EM345" s="305"/>
      <c r="EN345" s="305"/>
      <c r="EO345" s="305"/>
      <c r="EP345" s="305"/>
      <c r="EQ345" s="305"/>
      <c r="ER345" s="305"/>
      <c r="ES345" s="305"/>
      <c r="ET345" s="305"/>
      <c r="EU345" s="305"/>
      <c r="EV345" s="305"/>
      <c r="EW345" s="305"/>
      <c r="EX345" s="305"/>
      <c r="EY345" s="305"/>
      <c r="EZ345" s="305"/>
      <c r="FA345" s="305"/>
      <c r="FB345" s="305"/>
      <c r="FC345" s="305"/>
      <c r="FD345" s="305"/>
      <c r="FE345" s="305"/>
      <c r="FF345" s="305"/>
      <c r="FG345" s="305"/>
      <c r="FH345" s="305"/>
      <c r="FI345" s="305"/>
      <c r="FJ345" s="305"/>
      <c r="FK345" s="305"/>
      <c r="FL345" s="305"/>
      <c r="FM345" s="305"/>
      <c r="FN345" s="305"/>
      <c r="FO345" s="305"/>
      <c r="FP345" s="305"/>
      <c r="FQ345" s="305"/>
      <c r="FR345" s="305"/>
      <c r="FS345" s="305"/>
      <c r="FT345" s="305"/>
      <c r="FU345" s="305"/>
      <c r="FV345" s="305"/>
      <c r="FW345" s="305"/>
      <c r="FX345" s="305"/>
      <c r="FY345" s="305"/>
      <c r="FZ345" s="305"/>
      <c r="GA345" s="305"/>
      <c r="GB345" s="305"/>
      <c r="GC345" s="305"/>
      <c r="GD345" s="305"/>
      <c r="GE345" s="305"/>
      <c r="GF345" s="305"/>
      <c r="GG345" s="305"/>
      <c r="GH345" s="305"/>
      <c r="GI345" s="305"/>
      <c r="GJ345" s="305"/>
      <c r="GK345" s="305"/>
      <c r="GL345" s="305"/>
      <c r="GM345" s="305"/>
      <c r="GN345" s="305"/>
      <c r="GO345" s="305"/>
      <c r="GP345" s="305"/>
      <c r="GQ345" s="305"/>
      <c r="GR345" s="305"/>
    </row>
    <row r="346" spans="3:200" s="318" customFormat="1" ht="12.75" customHeight="1" x14ac:dyDescent="0.2">
      <c r="C346" s="367"/>
      <c r="D346" s="403"/>
      <c r="E346" s="369"/>
      <c r="F346" s="369"/>
      <c r="G346" s="369"/>
      <c r="H346" s="369"/>
      <c r="I346" s="370"/>
      <c r="J346"/>
      <c r="K346" s="371"/>
      <c r="L346" s="371"/>
      <c r="M346" s="371"/>
      <c r="N346" s="371"/>
      <c r="O346" s="305"/>
      <c r="P346" s="305"/>
      <c r="Q346" s="305"/>
      <c r="R346" s="305"/>
      <c r="S346" s="305"/>
      <c r="T346" s="305"/>
      <c r="U346" s="305"/>
      <c r="V346" s="305"/>
      <c r="W346" s="305"/>
      <c r="X346" s="305"/>
      <c r="Y346" s="305"/>
      <c r="Z346" s="305"/>
      <c r="AA346" s="305"/>
      <c r="AB346" s="305"/>
      <c r="AC346" s="305"/>
      <c r="AD346" s="305"/>
      <c r="AE346" s="305"/>
      <c r="AF346" s="305"/>
      <c r="AG346" s="305"/>
      <c r="AH346" s="305"/>
      <c r="AI346" s="305"/>
      <c r="AJ346" s="305"/>
      <c r="AK346" s="305"/>
      <c r="AL346" s="305"/>
      <c r="AM346" s="305"/>
      <c r="AN346" s="305"/>
      <c r="AO346" s="305"/>
      <c r="AP346" s="305"/>
      <c r="AQ346" s="305"/>
      <c r="AR346" s="305"/>
      <c r="AS346" s="305"/>
      <c r="AT346" s="305"/>
      <c r="AU346" s="305"/>
      <c r="AV346" s="305"/>
      <c r="AW346" s="305"/>
      <c r="AX346" s="305"/>
      <c r="AY346" s="305"/>
      <c r="AZ346" s="305"/>
      <c r="BA346" s="305"/>
      <c r="BB346" s="305"/>
      <c r="BC346" s="305"/>
      <c r="BD346" s="305"/>
      <c r="BE346" s="305"/>
      <c r="BF346" s="305"/>
      <c r="BG346" s="305"/>
      <c r="BH346" s="305"/>
      <c r="BI346" s="305"/>
      <c r="BJ346" s="305"/>
      <c r="BK346" s="305"/>
      <c r="BL346" s="305"/>
      <c r="BM346" s="305"/>
      <c r="BN346" s="305"/>
      <c r="BO346" s="305"/>
      <c r="BP346" s="305"/>
      <c r="BQ346" s="305"/>
      <c r="BR346" s="305"/>
      <c r="BS346" s="305"/>
      <c r="BT346" s="305"/>
      <c r="BU346" s="305"/>
      <c r="BV346" s="305"/>
      <c r="BW346" s="305"/>
      <c r="BX346" s="305"/>
      <c r="BY346" s="305"/>
      <c r="BZ346" s="305"/>
      <c r="CA346" s="305"/>
      <c r="CB346" s="305"/>
      <c r="CC346" s="305"/>
      <c r="CD346" s="305"/>
      <c r="CE346" s="305"/>
      <c r="CF346" s="305"/>
      <c r="CG346" s="305"/>
      <c r="CH346" s="305"/>
      <c r="CI346" s="305"/>
      <c r="CJ346" s="305"/>
      <c r="CK346" s="305"/>
      <c r="CL346" s="305"/>
      <c r="CM346" s="305"/>
      <c r="CN346" s="305"/>
      <c r="CO346" s="305"/>
      <c r="CP346" s="305"/>
      <c r="CQ346" s="305"/>
      <c r="CR346" s="305"/>
      <c r="CS346" s="305"/>
      <c r="CT346" s="305"/>
      <c r="CU346" s="305"/>
      <c r="CV346" s="305"/>
      <c r="CW346" s="305"/>
      <c r="CX346" s="305"/>
      <c r="CY346" s="305"/>
      <c r="CZ346" s="305"/>
      <c r="DA346" s="305"/>
      <c r="DB346" s="305"/>
      <c r="DC346" s="305"/>
      <c r="DD346" s="305"/>
      <c r="DE346" s="305"/>
      <c r="DF346" s="305"/>
      <c r="DG346" s="305"/>
      <c r="DH346" s="305"/>
      <c r="DI346" s="305"/>
      <c r="DJ346" s="305"/>
      <c r="DK346" s="305"/>
      <c r="DL346" s="305"/>
      <c r="DM346" s="305"/>
      <c r="DN346" s="305"/>
      <c r="DO346" s="305"/>
      <c r="DP346" s="305"/>
      <c r="DQ346" s="305"/>
      <c r="DR346" s="305"/>
      <c r="DS346" s="305"/>
      <c r="DT346" s="305"/>
      <c r="DU346" s="305"/>
      <c r="DV346" s="305"/>
      <c r="DW346" s="305"/>
      <c r="DX346" s="305"/>
      <c r="DY346" s="305"/>
      <c r="DZ346" s="305"/>
      <c r="EA346" s="305"/>
      <c r="EB346" s="305"/>
      <c r="EC346" s="305"/>
      <c r="ED346" s="305"/>
      <c r="EE346" s="305"/>
      <c r="EF346" s="305"/>
      <c r="EG346" s="305"/>
      <c r="EH346" s="305"/>
      <c r="EI346" s="305"/>
      <c r="EJ346" s="305"/>
      <c r="EK346" s="305"/>
      <c r="EL346" s="305"/>
      <c r="EM346" s="305"/>
      <c r="EN346" s="305"/>
      <c r="EO346" s="305"/>
      <c r="EP346" s="305"/>
      <c r="EQ346" s="305"/>
      <c r="ER346" s="305"/>
      <c r="ES346" s="305"/>
      <c r="ET346" s="305"/>
      <c r="EU346" s="305"/>
      <c r="EV346" s="305"/>
      <c r="EW346" s="305"/>
      <c r="EX346" s="305"/>
      <c r="EY346" s="305"/>
      <c r="EZ346" s="305"/>
      <c r="FA346" s="305"/>
      <c r="FB346" s="305"/>
      <c r="FC346" s="305"/>
      <c r="FD346" s="305"/>
      <c r="FE346" s="305"/>
      <c r="FF346" s="305"/>
      <c r="FG346" s="305"/>
      <c r="FH346" s="305"/>
      <c r="FI346" s="305"/>
      <c r="FJ346" s="305"/>
      <c r="FK346" s="305"/>
      <c r="FL346" s="305"/>
      <c r="FM346" s="305"/>
      <c r="FN346" s="305"/>
      <c r="FO346" s="305"/>
      <c r="FP346" s="305"/>
      <c r="FQ346" s="305"/>
      <c r="FR346" s="305"/>
      <c r="FS346" s="305"/>
      <c r="FT346" s="305"/>
      <c r="FU346" s="305"/>
      <c r="FV346" s="305"/>
      <c r="FW346" s="305"/>
      <c r="FX346" s="305"/>
      <c r="FY346" s="305"/>
      <c r="FZ346" s="305"/>
      <c r="GA346" s="305"/>
      <c r="GB346" s="305"/>
      <c r="GC346" s="305"/>
      <c r="GD346" s="305"/>
      <c r="GE346" s="305"/>
      <c r="GF346" s="305"/>
      <c r="GG346" s="305"/>
      <c r="GH346" s="305"/>
      <c r="GI346" s="305"/>
      <c r="GJ346" s="305"/>
      <c r="GK346" s="305"/>
      <c r="GL346" s="305"/>
      <c r="GM346" s="305"/>
      <c r="GN346" s="305"/>
      <c r="GO346" s="305"/>
      <c r="GP346" s="305"/>
      <c r="GQ346" s="305"/>
      <c r="GR346" s="305"/>
    </row>
    <row r="347" spans="3:200" s="318" customFormat="1" ht="12.75" customHeight="1" x14ac:dyDescent="0.2">
      <c r="C347" s="367"/>
      <c r="D347" s="403"/>
      <c r="E347" s="369"/>
      <c r="F347" s="369"/>
      <c r="G347" s="369"/>
      <c r="H347" s="369"/>
      <c r="I347" s="370"/>
      <c r="J347"/>
      <c r="K347" s="371"/>
      <c r="L347" s="371"/>
      <c r="M347" s="371"/>
      <c r="N347" s="371"/>
      <c r="O347" s="305"/>
      <c r="P347" s="305"/>
      <c r="Q347" s="305"/>
      <c r="R347" s="305"/>
      <c r="S347" s="305"/>
      <c r="T347" s="305"/>
      <c r="U347" s="305"/>
      <c r="V347" s="305"/>
      <c r="W347" s="305"/>
      <c r="X347" s="305"/>
      <c r="Y347" s="305"/>
      <c r="Z347" s="305"/>
      <c r="AA347" s="305"/>
      <c r="AB347" s="305"/>
      <c r="AC347" s="305"/>
      <c r="AD347" s="305"/>
      <c r="AE347" s="305"/>
      <c r="AF347" s="305"/>
      <c r="AG347" s="305"/>
      <c r="AH347" s="305"/>
      <c r="AI347" s="305"/>
      <c r="AJ347" s="305"/>
      <c r="AK347" s="305"/>
      <c r="AL347" s="305"/>
      <c r="AM347" s="305"/>
      <c r="AN347" s="305"/>
      <c r="AO347" s="305"/>
      <c r="AP347" s="305"/>
      <c r="AQ347" s="305"/>
      <c r="AR347" s="305"/>
      <c r="AS347" s="305"/>
      <c r="AT347" s="305"/>
      <c r="AU347" s="305"/>
      <c r="AV347" s="305"/>
      <c r="AW347" s="305"/>
      <c r="AX347" s="305"/>
      <c r="AY347" s="305"/>
      <c r="AZ347" s="305"/>
      <c r="BA347" s="305"/>
      <c r="BB347" s="305"/>
      <c r="BC347" s="305"/>
      <c r="BD347" s="305"/>
      <c r="BE347" s="305"/>
      <c r="BF347" s="305"/>
      <c r="BG347" s="305"/>
      <c r="BH347" s="305"/>
      <c r="BI347" s="305"/>
      <c r="BJ347" s="305"/>
      <c r="BK347" s="305"/>
      <c r="BL347" s="305"/>
      <c r="BM347" s="305"/>
      <c r="BN347" s="305"/>
      <c r="BO347" s="305"/>
      <c r="BP347" s="305"/>
      <c r="BQ347" s="305"/>
      <c r="BR347" s="305"/>
      <c r="BS347" s="305"/>
      <c r="BT347" s="305"/>
      <c r="BU347" s="305"/>
      <c r="BV347" s="305"/>
      <c r="BW347" s="305"/>
      <c r="BX347" s="305"/>
      <c r="BY347" s="305"/>
      <c r="BZ347" s="305"/>
      <c r="CA347" s="305"/>
      <c r="CB347" s="305"/>
      <c r="CC347" s="305"/>
      <c r="CD347" s="305"/>
      <c r="CE347" s="305"/>
      <c r="CF347" s="305"/>
      <c r="CG347" s="305"/>
      <c r="CH347" s="305"/>
      <c r="CI347" s="305"/>
      <c r="CJ347" s="305"/>
      <c r="CK347" s="305"/>
      <c r="CL347" s="305"/>
      <c r="CM347" s="305"/>
      <c r="CN347" s="305"/>
      <c r="CO347" s="305"/>
      <c r="CP347" s="305"/>
      <c r="CQ347" s="305"/>
      <c r="CR347" s="305"/>
      <c r="CS347" s="305"/>
      <c r="CT347" s="305"/>
      <c r="CU347" s="305"/>
      <c r="CV347" s="305"/>
      <c r="CW347" s="305"/>
      <c r="CX347" s="305"/>
      <c r="CY347" s="305"/>
      <c r="CZ347" s="305"/>
      <c r="DA347" s="305"/>
      <c r="DB347" s="305"/>
      <c r="DC347" s="305"/>
      <c r="DD347" s="305"/>
      <c r="DE347" s="305"/>
      <c r="DF347" s="305"/>
      <c r="DG347" s="305"/>
      <c r="DH347" s="305"/>
      <c r="DI347" s="305"/>
      <c r="DJ347" s="305"/>
      <c r="DK347" s="305"/>
      <c r="DL347" s="305"/>
      <c r="DM347" s="305"/>
      <c r="DN347" s="305"/>
      <c r="DO347" s="305"/>
      <c r="DP347" s="305"/>
      <c r="DQ347" s="305"/>
      <c r="DR347" s="305"/>
      <c r="DS347" s="305"/>
      <c r="DT347" s="305"/>
      <c r="DU347" s="305"/>
      <c r="DV347" s="305"/>
      <c r="DW347" s="305"/>
      <c r="DX347" s="305"/>
      <c r="DY347" s="305"/>
      <c r="DZ347" s="305"/>
      <c r="EA347" s="305"/>
      <c r="EB347" s="305"/>
      <c r="EC347" s="305"/>
      <c r="ED347" s="305"/>
      <c r="EE347" s="305"/>
      <c r="EF347" s="305"/>
      <c r="EG347" s="305"/>
      <c r="EH347" s="305"/>
      <c r="EI347" s="305"/>
      <c r="EJ347" s="305"/>
      <c r="EK347" s="305"/>
      <c r="EL347" s="305"/>
      <c r="EM347" s="305"/>
      <c r="EN347" s="305"/>
      <c r="EO347" s="305"/>
      <c r="EP347" s="305"/>
      <c r="EQ347" s="305"/>
      <c r="ER347" s="305"/>
      <c r="ES347" s="305"/>
      <c r="ET347" s="305"/>
      <c r="EU347" s="305"/>
      <c r="EV347" s="305"/>
      <c r="EW347" s="305"/>
      <c r="EX347" s="305"/>
      <c r="EY347" s="305"/>
      <c r="EZ347" s="305"/>
      <c r="FA347" s="305"/>
      <c r="FB347" s="305"/>
      <c r="FC347" s="305"/>
      <c r="FD347" s="305"/>
      <c r="FE347" s="305"/>
      <c r="FF347" s="305"/>
      <c r="FG347" s="305"/>
      <c r="FH347" s="305"/>
      <c r="FI347" s="305"/>
      <c r="FJ347" s="305"/>
      <c r="FK347" s="305"/>
      <c r="FL347" s="305"/>
      <c r="FM347" s="305"/>
      <c r="FN347" s="305"/>
      <c r="FO347" s="305"/>
      <c r="FP347" s="305"/>
      <c r="FQ347" s="305"/>
      <c r="FR347" s="305"/>
      <c r="FS347" s="305"/>
      <c r="FT347" s="305"/>
      <c r="FU347" s="305"/>
      <c r="FV347" s="305"/>
      <c r="FW347" s="305"/>
      <c r="FX347" s="305"/>
      <c r="FY347" s="305"/>
      <c r="FZ347" s="305"/>
      <c r="GA347" s="305"/>
      <c r="GB347" s="305"/>
      <c r="GC347" s="305"/>
      <c r="GD347" s="305"/>
      <c r="GE347" s="305"/>
      <c r="GF347" s="305"/>
      <c r="GG347" s="305"/>
      <c r="GH347" s="305"/>
      <c r="GI347" s="305"/>
      <c r="GJ347" s="305"/>
      <c r="GK347" s="305"/>
      <c r="GL347" s="305"/>
      <c r="GM347" s="305"/>
      <c r="GN347" s="305"/>
      <c r="GO347" s="305"/>
      <c r="GP347" s="305"/>
      <c r="GQ347" s="305"/>
      <c r="GR347" s="305"/>
    </row>
    <row r="348" spans="3:200" s="318" customFormat="1" ht="12.75" customHeight="1" x14ac:dyDescent="0.2">
      <c r="C348" s="367"/>
      <c r="D348" s="403"/>
      <c r="E348" s="369"/>
      <c r="F348" s="369"/>
      <c r="G348" s="369"/>
      <c r="H348" s="369"/>
      <c r="I348" s="370"/>
      <c r="J348"/>
      <c r="K348" s="371"/>
      <c r="L348" s="371"/>
      <c r="M348" s="371"/>
      <c r="N348" s="371"/>
      <c r="O348" s="305"/>
      <c r="P348" s="305"/>
      <c r="Q348" s="305"/>
      <c r="R348" s="305"/>
      <c r="S348" s="305"/>
      <c r="T348" s="305"/>
      <c r="U348" s="305"/>
      <c r="V348" s="305"/>
      <c r="W348" s="305"/>
      <c r="X348" s="305"/>
      <c r="Y348" s="305"/>
      <c r="Z348" s="305"/>
      <c r="AA348" s="305"/>
      <c r="AB348" s="305"/>
      <c r="AC348" s="305"/>
      <c r="AD348" s="305"/>
      <c r="AE348" s="305"/>
      <c r="AF348" s="305"/>
      <c r="AG348" s="305"/>
      <c r="AH348" s="305"/>
      <c r="AI348" s="305"/>
      <c r="AJ348" s="305"/>
      <c r="AK348" s="305"/>
      <c r="AL348" s="305"/>
      <c r="AM348" s="305"/>
      <c r="AN348" s="305"/>
      <c r="AO348" s="305"/>
      <c r="AP348" s="305"/>
      <c r="AQ348" s="305"/>
      <c r="AR348" s="305"/>
      <c r="AS348" s="305"/>
      <c r="AT348" s="305"/>
      <c r="AU348" s="305"/>
      <c r="AV348" s="305"/>
      <c r="AW348" s="305"/>
      <c r="AX348" s="305"/>
      <c r="AY348" s="305"/>
      <c r="AZ348" s="305"/>
      <c r="BA348" s="305"/>
      <c r="BB348" s="305"/>
      <c r="BC348" s="305"/>
      <c r="BD348" s="305"/>
      <c r="BE348" s="305"/>
      <c r="BF348" s="305"/>
      <c r="BG348" s="305"/>
      <c r="BH348" s="305"/>
      <c r="BI348" s="305"/>
      <c r="BJ348" s="305"/>
      <c r="BK348" s="305"/>
      <c r="BL348" s="305"/>
      <c r="BM348" s="305"/>
      <c r="BN348" s="305"/>
      <c r="BO348" s="305"/>
      <c r="BP348" s="305"/>
      <c r="BQ348" s="305"/>
      <c r="BR348" s="305"/>
      <c r="BS348" s="305"/>
      <c r="BT348" s="305"/>
      <c r="BU348" s="305"/>
      <c r="BV348" s="305"/>
      <c r="BW348" s="305"/>
      <c r="BX348" s="305"/>
      <c r="BY348" s="305"/>
      <c r="BZ348" s="305"/>
      <c r="CA348" s="305"/>
      <c r="CB348" s="305"/>
      <c r="CC348" s="305"/>
      <c r="CD348" s="305"/>
      <c r="CE348" s="305"/>
      <c r="CF348" s="305"/>
      <c r="CG348" s="305"/>
      <c r="CH348" s="305"/>
      <c r="CI348" s="305"/>
      <c r="CJ348" s="305"/>
      <c r="CK348" s="305"/>
      <c r="CL348" s="305"/>
      <c r="CM348" s="305"/>
      <c r="CN348" s="305"/>
      <c r="CO348" s="305"/>
      <c r="CP348" s="305"/>
      <c r="CQ348" s="305"/>
      <c r="CR348" s="305"/>
      <c r="CS348" s="305"/>
      <c r="CT348" s="305"/>
      <c r="CU348" s="305"/>
      <c r="CV348" s="305"/>
      <c r="CW348" s="305"/>
      <c r="CX348" s="305"/>
      <c r="CY348" s="305"/>
      <c r="CZ348" s="305"/>
      <c r="DA348" s="305"/>
      <c r="DB348" s="305"/>
      <c r="DC348" s="305"/>
      <c r="DD348" s="305"/>
      <c r="DE348" s="305"/>
      <c r="DF348" s="305"/>
      <c r="DG348" s="305"/>
      <c r="DH348" s="305"/>
      <c r="DI348" s="305"/>
      <c r="DJ348" s="305"/>
      <c r="DK348" s="305"/>
      <c r="DL348" s="305"/>
      <c r="DM348" s="305"/>
      <c r="DN348" s="305"/>
      <c r="DO348" s="305"/>
      <c r="DP348" s="305"/>
      <c r="DQ348" s="305"/>
      <c r="DR348" s="305"/>
      <c r="DS348" s="305"/>
      <c r="DT348" s="305"/>
      <c r="DU348" s="305"/>
      <c r="DV348" s="305"/>
      <c r="DW348" s="305"/>
      <c r="DX348" s="305"/>
      <c r="DY348" s="305"/>
      <c r="DZ348" s="305"/>
      <c r="EA348" s="305"/>
      <c r="EB348" s="305"/>
      <c r="EC348" s="305"/>
      <c r="ED348" s="305"/>
      <c r="EE348" s="305"/>
      <c r="EF348" s="305"/>
      <c r="EG348" s="305"/>
      <c r="EH348" s="305"/>
      <c r="EI348" s="305"/>
      <c r="EJ348" s="305"/>
      <c r="EK348" s="305"/>
      <c r="EL348" s="305"/>
      <c r="EM348" s="305"/>
      <c r="EN348" s="305"/>
      <c r="EO348" s="305"/>
      <c r="EP348" s="305"/>
      <c r="EQ348" s="305"/>
      <c r="ER348" s="305"/>
      <c r="ES348" s="305"/>
      <c r="ET348" s="305"/>
      <c r="EU348" s="305"/>
      <c r="EV348" s="305"/>
      <c r="EW348" s="305"/>
      <c r="EX348" s="305"/>
      <c r="EY348" s="305"/>
      <c r="EZ348" s="305"/>
      <c r="FA348" s="305"/>
      <c r="FB348" s="305"/>
      <c r="FC348" s="305"/>
      <c r="FD348" s="305"/>
      <c r="FE348" s="305"/>
      <c r="FF348" s="305"/>
      <c r="FG348" s="305"/>
      <c r="FH348" s="305"/>
      <c r="FI348" s="305"/>
      <c r="FJ348" s="305"/>
      <c r="FK348" s="305"/>
      <c r="FL348" s="305"/>
      <c r="FM348" s="305"/>
      <c r="FN348" s="305"/>
      <c r="FO348" s="305"/>
      <c r="FP348" s="305"/>
      <c r="FQ348" s="305"/>
      <c r="FR348" s="305"/>
      <c r="FS348" s="305"/>
      <c r="FT348" s="305"/>
      <c r="FU348" s="305"/>
      <c r="FV348" s="305"/>
      <c r="FW348" s="305"/>
      <c r="FX348" s="305"/>
      <c r="FY348" s="305"/>
      <c r="FZ348" s="305"/>
      <c r="GA348" s="305"/>
      <c r="GB348" s="305"/>
      <c r="GC348" s="305"/>
      <c r="GD348" s="305"/>
      <c r="GE348" s="305"/>
      <c r="GF348" s="305"/>
      <c r="GG348" s="305"/>
      <c r="GH348" s="305"/>
      <c r="GI348" s="305"/>
      <c r="GJ348" s="305"/>
      <c r="GK348" s="305"/>
      <c r="GL348" s="305"/>
      <c r="GM348" s="305"/>
      <c r="GN348" s="305"/>
      <c r="GO348" s="305"/>
      <c r="GP348" s="305"/>
      <c r="GQ348" s="305"/>
      <c r="GR348" s="305"/>
    </row>
    <row r="349" spans="3:200" s="318" customFormat="1" ht="12.75" customHeight="1" x14ac:dyDescent="0.2">
      <c r="C349" s="367"/>
      <c r="D349" s="403"/>
      <c r="E349" s="369"/>
      <c r="F349" s="369"/>
      <c r="G349" s="369"/>
      <c r="H349" s="369"/>
      <c r="I349" s="370"/>
      <c r="J349"/>
      <c r="K349" s="371"/>
      <c r="L349" s="371"/>
      <c r="M349" s="371"/>
      <c r="N349" s="371"/>
      <c r="O349" s="305"/>
      <c r="P349" s="305"/>
      <c r="Q349" s="305"/>
      <c r="R349" s="305"/>
      <c r="S349" s="305"/>
      <c r="T349" s="305"/>
      <c r="U349" s="305"/>
      <c r="V349" s="305"/>
      <c r="W349" s="305"/>
      <c r="X349" s="305"/>
      <c r="Y349" s="305"/>
      <c r="Z349" s="305"/>
      <c r="AA349" s="305"/>
      <c r="AB349" s="305"/>
      <c r="AC349" s="305"/>
      <c r="AD349" s="305"/>
      <c r="AE349" s="305"/>
      <c r="AF349" s="305"/>
      <c r="AG349" s="305"/>
      <c r="AH349" s="305"/>
      <c r="AI349" s="305"/>
      <c r="AJ349" s="305"/>
      <c r="AK349" s="305"/>
      <c r="AL349" s="305"/>
      <c r="AM349" s="305"/>
      <c r="AN349" s="305"/>
      <c r="AO349" s="305"/>
      <c r="AP349" s="305"/>
      <c r="AQ349" s="305"/>
      <c r="AR349" s="305"/>
      <c r="AS349" s="305"/>
      <c r="AT349" s="305"/>
      <c r="AU349" s="305"/>
      <c r="AV349" s="305"/>
      <c r="AW349" s="305"/>
      <c r="AX349" s="305"/>
      <c r="AY349" s="305"/>
      <c r="AZ349" s="305"/>
      <c r="BA349" s="305"/>
      <c r="BB349" s="305"/>
      <c r="BC349" s="305"/>
      <c r="BD349" s="305"/>
      <c r="BE349" s="305"/>
      <c r="BF349" s="305"/>
      <c r="BG349" s="305"/>
      <c r="BH349" s="305"/>
      <c r="BI349" s="305"/>
      <c r="BJ349" s="305"/>
      <c r="BK349" s="305"/>
      <c r="BL349" s="305"/>
      <c r="BM349" s="305"/>
      <c r="BN349" s="305"/>
      <c r="BO349" s="305"/>
      <c r="BP349" s="305"/>
      <c r="BQ349" s="305"/>
      <c r="BR349" s="305"/>
      <c r="BS349" s="305"/>
      <c r="BT349" s="305"/>
      <c r="BU349" s="305"/>
      <c r="BV349" s="305"/>
      <c r="BW349" s="305"/>
      <c r="BX349" s="305"/>
      <c r="BY349" s="305"/>
      <c r="BZ349" s="305"/>
      <c r="CA349" s="305"/>
      <c r="CB349" s="305"/>
      <c r="CC349" s="305"/>
      <c r="CD349" s="305"/>
      <c r="CE349" s="305"/>
      <c r="CF349" s="305"/>
      <c r="CG349" s="305"/>
      <c r="CH349" s="305"/>
      <c r="CI349" s="305"/>
      <c r="CJ349" s="305"/>
      <c r="CK349" s="305"/>
      <c r="CL349" s="305"/>
      <c r="CM349" s="305"/>
      <c r="CN349" s="305"/>
      <c r="CO349" s="305"/>
      <c r="CP349" s="305"/>
      <c r="CQ349" s="305"/>
      <c r="CR349" s="305"/>
      <c r="CS349" s="305"/>
      <c r="CT349" s="305"/>
      <c r="CU349" s="305"/>
      <c r="CV349" s="305"/>
      <c r="CW349" s="305"/>
      <c r="CX349" s="305"/>
      <c r="CY349" s="305"/>
      <c r="CZ349" s="305"/>
      <c r="DA349" s="305"/>
      <c r="DB349" s="305"/>
      <c r="DC349" s="305"/>
      <c r="DD349" s="305"/>
      <c r="DE349" s="305"/>
      <c r="DF349" s="305"/>
      <c r="DG349" s="305"/>
      <c r="DH349" s="305"/>
      <c r="DI349" s="305"/>
      <c r="DJ349" s="305"/>
      <c r="DK349" s="305"/>
      <c r="DL349" s="305"/>
      <c r="DM349" s="305"/>
      <c r="DN349" s="305"/>
      <c r="DO349" s="305"/>
      <c r="DP349" s="305"/>
      <c r="DQ349" s="305"/>
      <c r="DR349" s="305"/>
      <c r="DS349" s="305"/>
      <c r="DT349" s="305"/>
      <c r="DU349" s="305"/>
      <c r="DV349" s="305"/>
      <c r="DW349" s="305"/>
      <c r="DX349" s="305"/>
      <c r="DY349" s="305"/>
      <c r="DZ349" s="305"/>
      <c r="EA349" s="305"/>
      <c r="EB349" s="305"/>
      <c r="EC349" s="305"/>
      <c r="ED349" s="305"/>
      <c r="EE349" s="305"/>
      <c r="EF349" s="305"/>
      <c r="EG349" s="305"/>
      <c r="EH349" s="305"/>
      <c r="EI349" s="305"/>
      <c r="EJ349" s="305"/>
      <c r="EK349" s="305"/>
      <c r="EL349" s="305"/>
      <c r="EM349" s="305"/>
      <c r="EN349" s="305"/>
      <c r="EO349" s="305"/>
      <c r="EP349" s="305"/>
      <c r="EQ349" s="305"/>
      <c r="ER349" s="305"/>
      <c r="ES349" s="305"/>
      <c r="ET349" s="305"/>
      <c r="EU349" s="305"/>
      <c r="EV349" s="305"/>
      <c r="EW349" s="305"/>
      <c r="EX349" s="305"/>
      <c r="EY349" s="305"/>
      <c r="EZ349" s="305"/>
      <c r="FA349" s="305"/>
      <c r="FB349" s="305"/>
      <c r="FC349" s="305"/>
      <c r="FD349" s="305"/>
      <c r="FE349" s="305"/>
      <c r="FF349" s="305"/>
      <c r="FG349" s="305"/>
      <c r="FH349" s="305"/>
      <c r="FI349" s="305"/>
      <c r="FJ349" s="305"/>
      <c r="FK349" s="305"/>
      <c r="FL349" s="305"/>
      <c r="FM349" s="305"/>
      <c r="FN349" s="305"/>
      <c r="FO349" s="305"/>
      <c r="FP349" s="305"/>
      <c r="FQ349" s="305"/>
      <c r="FR349" s="305"/>
      <c r="FS349" s="305"/>
      <c r="FT349" s="305"/>
      <c r="FU349" s="305"/>
      <c r="FV349" s="305"/>
      <c r="FW349" s="305"/>
      <c r="FX349" s="305"/>
      <c r="FY349" s="305"/>
      <c r="FZ349" s="305"/>
      <c r="GA349" s="305"/>
      <c r="GB349" s="305"/>
      <c r="GC349" s="305"/>
      <c r="GD349" s="305"/>
      <c r="GE349" s="305"/>
      <c r="GF349" s="305"/>
      <c r="GG349" s="305"/>
      <c r="GH349" s="305"/>
      <c r="GI349" s="305"/>
      <c r="GJ349" s="305"/>
      <c r="GK349" s="305"/>
      <c r="GL349" s="305"/>
      <c r="GM349" s="305"/>
      <c r="GN349" s="305"/>
      <c r="GO349" s="305"/>
      <c r="GP349" s="305"/>
      <c r="GQ349" s="305"/>
      <c r="GR349" s="305"/>
    </row>
    <row r="350" spans="3:200" s="318" customFormat="1" ht="12.75" customHeight="1" x14ac:dyDescent="0.2">
      <c r="C350" s="367"/>
      <c r="D350" s="403"/>
      <c r="E350" s="369"/>
      <c r="F350" s="369"/>
      <c r="G350" s="369"/>
      <c r="H350" s="369"/>
      <c r="I350" s="370"/>
      <c r="J350"/>
      <c r="K350" s="371"/>
      <c r="L350" s="371"/>
      <c r="M350" s="371"/>
      <c r="N350" s="371"/>
      <c r="O350" s="305"/>
      <c r="P350" s="305"/>
      <c r="Q350" s="305"/>
      <c r="R350" s="305"/>
      <c r="S350" s="305"/>
      <c r="T350" s="305"/>
      <c r="U350" s="305"/>
      <c r="V350" s="305"/>
      <c r="W350" s="305"/>
      <c r="X350" s="305"/>
      <c r="Y350" s="305"/>
      <c r="Z350" s="305"/>
      <c r="AA350" s="305"/>
      <c r="AB350" s="305"/>
      <c r="AC350" s="305"/>
      <c r="AD350" s="305"/>
      <c r="AE350" s="305"/>
      <c r="AF350" s="305"/>
      <c r="AG350" s="305"/>
      <c r="AH350" s="305"/>
      <c r="AI350" s="305"/>
      <c r="AJ350" s="305"/>
      <c r="AK350" s="305"/>
      <c r="AL350" s="305"/>
      <c r="AM350" s="305"/>
      <c r="AN350" s="305"/>
      <c r="AO350" s="305"/>
      <c r="AP350" s="305"/>
      <c r="AQ350" s="305"/>
      <c r="AR350" s="305"/>
      <c r="AS350" s="305"/>
      <c r="AT350" s="305"/>
      <c r="AU350" s="305"/>
      <c r="AV350" s="305"/>
      <c r="AW350" s="305"/>
      <c r="AX350" s="305"/>
      <c r="AY350" s="305"/>
      <c r="AZ350" s="305"/>
      <c r="BA350" s="305"/>
      <c r="BB350" s="305"/>
      <c r="BC350" s="305"/>
      <c r="BD350" s="305"/>
      <c r="BE350" s="305"/>
      <c r="BF350" s="305"/>
      <c r="BG350" s="305"/>
      <c r="BH350" s="305"/>
      <c r="BI350" s="305"/>
      <c r="BJ350" s="305"/>
      <c r="BK350" s="305"/>
      <c r="BL350" s="305"/>
      <c r="BM350" s="305"/>
      <c r="BN350" s="305"/>
      <c r="BO350" s="305"/>
      <c r="BP350" s="305"/>
      <c r="BQ350" s="305"/>
      <c r="BR350" s="305"/>
      <c r="BS350" s="305"/>
      <c r="BT350" s="305"/>
      <c r="BU350" s="305"/>
      <c r="BV350" s="305"/>
      <c r="BW350" s="305"/>
      <c r="BX350" s="305"/>
      <c r="BY350" s="305"/>
      <c r="BZ350" s="305"/>
      <c r="CA350" s="305"/>
      <c r="CB350" s="305"/>
      <c r="CC350" s="305"/>
      <c r="CD350" s="305"/>
      <c r="CE350" s="305"/>
      <c r="CF350" s="305"/>
      <c r="CG350" s="305"/>
      <c r="CH350" s="305"/>
      <c r="CI350" s="305"/>
      <c r="CJ350" s="305"/>
      <c r="CK350" s="305"/>
      <c r="CL350" s="305"/>
      <c r="CM350" s="305"/>
      <c r="CN350" s="305"/>
      <c r="CO350" s="305"/>
      <c r="CP350" s="305"/>
      <c r="CQ350" s="305"/>
      <c r="CR350" s="305"/>
      <c r="CS350" s="305"/>
      <c r="CT350" s="305"/>
      <c r="CU350" s="305"/>
      <c r="CV350" s="305"/>
      <c r="CW350" s="305"/>
      <c r="CX350" s="305"/>
      <c r="CY350" s="305"/>
      <c r="CZ350" s="305"/>
      <c r="DA350" s="305"/>
      <c r="DB350" s="305"/>
      <c r="DC350" s="305"/>
      <c r="DD350" s="305"/>
      <c r="DE350" s="305"/>
      <c r="DF350" s="305"/>
      <c r="DG350" s="305"/>
      <c r="DH350" s="305"/>
      <c r="DI350" s="305"/>
      <c r="DJ350" s="305"/>
      <c r="DK350" s="305"/>
      <c r="DL350" s="305"/>
      <c r="DM350" s="305"/>
      <c r="DN350" s="305"/>
      <c r="DO350" s="305"/>
      <c r="DP350" s="305"/>
      <c r="DQ350" s="305"/>
      <c r="DR350" s="305"/>
      <c r="DS350" s="305"/>
      <c r="DT350" s="305"/>
      <c r="DU350" s="305"/>
      <c r="DV350" s="305"/>
      <c r="DW350" s="305"/>
      <c r="DX350" s="305"/>
      <c r="DY350" s="305"/>
      <c r="DZ350" s="305"/>
      <c r="EA350" s="305"/>
      <c r="EB350" s="305"/>
      <c r="EC350" s="305"/>
      <c r="ED350" s="305"/>
      <c r="EE350" s="305"/>
      <c r="EF350" s="305"/>
      <c r="EG350" s="305"/>
      <c r="EH350" s="305"/>
      <c r="EI350" s="305"/>
      <c r="EJ350" s="305"/>
      <c r="EK350" s="305"/>
      <c r="EL350" s="305"/>
      <c r="EM350" s="305"/>
      <c r="EN350" s="305"/>
      <c r="EO350" s="305"/>
      <c r="EP350" s="305"/>
      <c r="EQ350" s="305"/>
      <c r="ER350" s="305"/>
      <c r="ES350" s="305"/>
      <c r="ET350" s="305"/>
      <c r="EU350" s="305"/>
      <c r="EV350" s="305"/>
      <c r="EW350" s="305"/>
      <c r="EX350" s="305"/>
      <c r="EY350" s="305"/>
      <c r="EZ350" s="305"/>
      <c r="FA350" s="305"/>
      <c r="FB350" s="305"/>
      <c r="FC350" s="305"/>
      <c r="FD350" s="305"/>
      <c r="FE350" s="305"/>
      <c r="FF350" s="305"/>
      <c r="FG350" s="305"/>
      <c r="FH350" s="305"/>
      <c r="FI350" s="305"/>
      <c r="FJ350" s="305"/>
      <c r="FK350" s="305"/>
      <c r="FL350" s="305"/>
      <c r="FM350" s="305"/>
      <c r="FN350" s="305"/>
      <c r="FO350" s="305"/>
      <c r="FP350" s="305"/>
      <c r="FQ350" s="305"/>
      <c r="FR350" s="305"/>
      <c r="FS350" s="305"/>
      <c r="FT350" s="305"/>
      <c r="FU350" s="305"/>
      <c r="FV350" s="305"/>
      <c r="FW350" s="305"/>
      <c r="FX350" s="305"/>
      <c r="FY350" s="305"/>
      <c r="FZ350" s="305"/>
      <c r="GA350" s="305"/>
      <c r="GB350" s="305"/>
      <c r="GC350" s="305"/>
      <c r="GD350" s="305"/>
      <c r="GE350" s="305"/>
      <c r="GF350" s="305"/>
      <c r="GG350" s="305"/>
      <c r="GH350" s="305"/>
      <c r="GI350" s="305"/>
      <c r="GJ350" s="305"/>
      <c r="GK350" s="305"/>
      <c r="GL350" s="305"/>
      <c r="GM350" s="305"/>
      <c r="GN350" s="305"/>
      <c r="GO350" s="305"/>
      <c r="GP350" s="305"/>
      <c r="GQ350" s="305"/>
      <c r="GR350" s="305"/>
    </row>
    <row r="351" spans="3:200" s="318" customFormat="1" ht="12.75" customHeight="1" x14ac:dyDescent="0.2">
      <c r="C351" s="367"/>
      <c r="D351" s="403"/>
      <c r="E351" s="369"/>
      <c r="F351" s="369"/>
      <c r="G351" s="369"/>
      <c r="H351" s="369"/>
      <c r="I351" s="370"/>
      <c r="J351"/>
      <c r="K351" s="371"/>
      <c r="L351" s="371"/>
      <c r="M351" s="371"/>
      <c r="N351" s="371"/>
      <c r="O351" s="305"/>
      <c r="P351" s="305"/>
      <c r="Q351" s="305"/>
      <c r="R351" s="305"/>
      <c r="S351" s="305"/>
      <c r="T351" s="305"/>
      <c r="U351" s="305"/>
      <c r="V351" s="305"/>
      <c r="W351" s="305"/>
      <c r="X351" s="305"/>
      <c r="Y351" s="305"/>
      <c r="Z351" s="305"/>
      <c r="AA351" s="305"/>
      <c r="AB351" s="305"/>
      <c r="AC351" s="305"/>
      <c r="AD351" s="305"/>
      <c r="AE351" s="305"/>
      <c r="AF351" s="305"/>
      <c r="AG351" s="305"/>
      <c r="AH351" s="305"/>
      <c r="AI351" s="305"/>
      <c r="AJ351" s="305"/>
      <c r="AK351" s="305"/>
      <c r="AL351" s="305"/>
      <c r="AM351" s="305"/>
      <c r="AN351" s="305"/>
      <c r="AO351" s="305"/>
      <c r="AP351" s="305"/>
      <c r="AQ351" s="305"/>
      <c r="AR351" s="305"/>
      <c r="AS351" s="305"/>
      <c r="AT351" s="305"/>
      <c r="AU351" s="305"/>
      <c r="AV351" s="305"/>
      <c r="AW351" s="305"/>
      <c r="AX351" s="305"/>
      <c r="AY351" s="305"/>
      <c r="AZ351" s="305"/>
      <c r="BA351" s="305"/>
      <c r="BB351" s="305"/>
      <c r="BC351" s="305"/>
      <c r="BD351" s="305"/>
      <c r="BE351" s="305"/>
      <c r="BF351" s="305"/>
      <c r="BG351" s="305"/>
      <c r="BH351" s="305"/>
      <c r="BI351" s="305"/>
      <c r="BJ351" s="305"/>
      <c r="BK351" s="305"/>
      <c r="BL351" s="305"/>
      <c r="BM351" s="305"/>
      <c r="BN351" s="305"/>
      <c r="BO351" s="305"/>
      <c r="BP351" s="305"/>
      <c r="BQ351" s="305"/>
      <c r="BR351" s="305"/>
      <c r="BS351" s="305"/>
      <c r="BT351" s="305"/>
      <c r="BU351" s="305"/>
      <c r="BV351" s="305"/>
      <c r="BW351" s="305"/>
      <c r="BX351" s="305"/>
      <c r="BY351" s="305"/>
      <c r="BZ351" s="305"/>
      <c r="CA351" s="305"/>
      <c r="CB351" s="305"/>
      <c r="CC351" s="305"/>
      <c r="CD351" s="305"/>
      <c r="CE351" s="305"/>
      <c r="CF351" s="305"/>
      <c r="CG351" s="305"/>
      <c r="CH351" s="305"/>
      <c r="CI351" s="305"/>
      <c r="CJ351" s="305"/>
      <c r="CK351" s="305"/>
      <c r="CL351" s="305"/>
      <c r="CM351" s="305"/>
      <c r="CN351" s="305"/>
      <c r="CO351" s="305"/>
      <c r="CP351" s="305"/>
      <c r="CQ351" s="305"/>
      <c r="CR351" s="305"/>
      <c r="CS351" s="305"/>
      <c r="CT351" s="305"/>
      <c r="CU351" s="305"/>
      <c r="CV351" s="305"/>
      <c r="CW351" s="305"/>
      <c r="CX351" s="305"/>
      <c r="CY351" s="305"/>
      <c r="CZ351" s="305"/>
      <c r="DA351" s="305"/>
      <c r="DB351" s="305"/>
      <c r="DC351" s="305"/>
      <c r="DD351" s="305"/>
      <c r="DE351" s="305"/>
      <c r="DF351" s="305"/>
      <c r="DG351" s="305"/>
      <c r="DH351" s="305"/>
      <c r="DI351" s="305"/>
      <c r="DJ351" s="305"/>
      <c r="DK351" s="305"/>
      <c r="DL351" s="305"/>
      <c r="DM351" s="305"/>
      <c r="DN351" s="305"/>
      <c r="DO351" s="305"/>
      <c r="DP351" s="305"/>
      <c r="DQ351" s="305"/>
      <c r="DR351" s="305"/>
      <c r="DS351" s="305"/>
      <c r="DT351" s="305"/>
      <c r="DU351" s="305"/>
      <c r="DV351" s="305"/>
      <c r="DW351" s="305"/>
      <c r="DX351" s="305"/>
      <c r="DY351" s="305"/>
      <c r="DZ351" s="305"/>
      <c r="EA351" s="305"/>
      <c r="EB351" s="305"/>
      <c r="EC351" s="305"/>
      <c r="ED351" s="305"/>
      <c r="EE351" s="305"/>
      <c r="EF351" s="305"/>
      <c r="EG351" s="305"/>
      <c r="EH351" s="305"/>
      <c r="EI351" s="305"/>
      <c r="EJ351" s="305"/>
      <c r="EK351" s="305"/>
      <c r="EL351" s="305"/>
      <c r="EM351" s="305"/>
      <c r="EN351" s="305"/>
      <c r="EO351" s="305"/>
      <c r="EP351" s="305"/>
      <c r="EQ351" s="305"/>
      <c r="ER351" s="305"/>
      <c r="ES351" s="305"/>
      <c r="ET351" s="305"/>
      <c r="EU351" s="305"/>
      <c r="EV351" s="305"/>
      <c r="EW351" s="305"/>
      <c r="EX351" s="305"/>
      <c r="EY351" s="305"/>
      <c r="EZ351" s="305"/>
      <c r="FA351" s="305"/>
      <c r="FB351" s="305"/>
      <c r="FC351" s="305"/>
      <c r="FD351" s="305"/>
      <c r="FE351" s="305"/>
      <c r="FF351" s="305"/>
      <c r="FG351" s="305"/>
      <c r="FH351" s="305"/>
      <c r="FI351" s="305"/>
      <c r="FJ351" s="305"/>
      <c r="FK351" s="305"/>
      <c r="FL351" s="305"/>
      <c r="FM351" s="305"/>
      <c r="FN351" s="305"/>
      <c r="FO351" s="305"/>
      <c r="FP351" s="305"/>
      <c r="FQ351" s="305"/>
      <c r="FR351" s="305"/>
      <c r="FS351" s="305"/>
      <c r="FT351" s="305"/>
      <c r="FU351" s="305"/>
      <c r="FV351" s="305"/>
      <c r="FW351" s="305"/>
      <c r="FX351" s="305"/>
      <c r="FY351" s="305"/>
      <c r="FZ351" s="305"/>
      <c r="GA351" s="305"/>
      <c r="GB351" s="305"/>
      <c r="GC351" s="305"/>
      <c r="GD351" s="305"/>
      <c r="GE351" s="305"/>
      <c r="GF351" s="305"/>
      <c r="GG351" s="305"/>
      <c r="GH351" s="305"/>
      <c r="GI351" s="305"/>
      <c r="GJ351" s="305"/>
      <c r="GK351" s="305"/>
      <c r="GL351" s="305"/>
      <c r="GM351" s="305"/>
      <c r="GN351" s="305"/>
      <c r="GO351" s="305"/>
      <c r="GP351" s="305"/>
      <c r="GQ351" s="305"/>
      <c r="GR351" s="305"/>
    </row>
    <row r="352" spans="3:200" s="318" customFormat="1" ht="12.75" customHeight="1" x14ac:dyDescent="0.2">
      <c r="C352" s="367"/>
      <c r="D352" s="403"/>
      <c r="E352" s="369"/>
      <c r="F352" s="369"/>
      <c r="G352" s="369"/>
      <c r="H352" s="369"/>
      <c r="I352" s="370"/>
      <c r="J352"/>
      <c r="K352" s="371"/>
      <c r="L352" s="371"/>
      <c r="M352" s="371"/>
      <c r="N352" s="371"/>
      <c r="O352" s="305"/>
      <c r="P352" s="305"/>
      <c r="Q352" s="305"/>
      <c r="R352" s="305"/>
      <c r="S352" s="305"/>
      <c r="T352" s="305"/>
      <c r="U352" s="305"/>
      <c r="V352" s="305"/>
      <c r="W352" s="305"/>
      <c r="X352" s="305"/>
      <c r="Y352" s="305"/>
      <c r="Z352" s="305"/>
      <c r="AA352" s="305"/>
      <c r="AB352" s="305"/>
      <c r="AC352" s="305"/>
      <c r="AD352" s="305"/>
      <c r="AE352" s="305"/>
      <c r="AF352" s="305"/>
      <c r="AG352" s="305"/>
      <c r="AH352" s="305"/>
      <c r="AI352" s="305"/>
      <c r="AJ352" s="305"/>
      <c r="AK352" s="305"/>
      <c r="AL352" s="305"/>
      <c r="AM352" s="305"/>
      <c r="AN352" s="305"/>
      <c r="AO352" s="305"/>
      <c r="AP352" s="305"/>
      <c r="AQ352" s="305"/>
      <c r="AR352" s="305"/>
      <c r="AS352" s="305"/>
      <c r="AT352" s="305"/>
      <c r="AU352" s="305"/>
      <c r="AV352" s="305"/>
      <c r="AW352" s="305"/>
      <c r="AX352" s="305"/>
      <c r="AY352" s="305"/>
      <c r="AZ352" s="305"/>
      <c r="BA352" s="305"/>
      <c r="BB352" s="305"/>
      <c r="BC352" s="305"/>
      <c r="BD352" s="305"/>
      <c r="BE352" s="305"/>
      <c r="BF352" s="305"/>
      <c r="BG352" s="305"/>
      <c r="BH352" s="305"/>
      <c r="BI352" s="305"/>
      <c r="BJ352" s="305"/>
      <c r="BK352" s="305"/>
      <c r="BL352" s="305"/>
      <c r="BM352" s="305"/>
      <c r="BN352" s="305"/>
      <c r="BO352" s="305"/>
      <c r="BP352" s="305"/>
      <c r="BQ352" s="305"/>
      <c r="BR352" s="305"/>
      <c r="BS352" s="305"/>
      <c r="BT352" s="305"/>
      <c r="BU352" s="305"/>
      <c r="BV352" s="305"/>
      <c r="BW352" s="305"/>
      <c r="BX352" s="305"/>
      <c r="BY352" s="305"/>
      <c r="BZ352" s="305"/>
      <c r="CA352" s="305"/>
      <c r="CB352" s="305"/>
      <c r="CC352" s="305"/>
      <c r="CD352" s="305"/>
      <c r="CE352" s="305"/>
      <c r="CF352" s="305"/>
      <c r="CG352" s="305"/>
      <c r="CH352" s="305"/>
      <c r="CI352" s="305"/>
      <c r="CJ352" s="305"/>
      <c r="CK352" s="305"/>
      <c r="CL352" s="305"/>
      <c r="CM352" s="305"/>
      <c r="CN352" s="305"/>
      <c r="CO352" s="305"/>
      <c r="CP352" s="305"/>
      <c r="CQ352" s="305"/>
      <c r="CR352" s="305"/>
      <c r="CS352" s="305"/>
      <c r="CT352" s="305"/>
      <c r="CU352" s="305"/>
      <c r="CV352" s="305"/>
      <c r="CW352" s="305"/>
      <c r="CX352" s="305"/>
      <c r="CY352" s="305"/>
      <c r="CZ352" s="305"/>
      <c r="DA352" s="305"/>
      <c r="DB352" s="305"/>
      <c r="DC352" s="305"/>
      <c r="DD352" s="305"/>
      <c r="DE352" s="305"/>
      <c r="DF352" s="305"/>
      <c r="DG352" s="305"/>
      <c r="DH352" s="305"/>
      <c r="DI352" s="305"/>
      <c r="DJ352" s="305"/>
      <c r="DK352" s="305"/>
      <c r="DL352" s="305"/>
      <c r="DM352" s="305"/>
      <c r="DN352" s="305"/>
      <c r="DO352" s="305"/>
      <c r="DP352" s="305"/>
      <c r="DQ352" s="305"/>
      <c r="DR352" s="305"/>
      <c r="DS352" s="305"/>
      <c r="DT352" s="305"/>
      <c r="DU352" s="305"/>
      <c r="DV352" s="305"/>
      <c r="DW352" s="305"/>
      <c r="DX352" s="305"/>
      <c r="DY352" s="305"/>
      <c r="DZ352" s="305"/>
      <c r="EA352" s="305"/>
      <c r="EB352" s="305"/>
      <c r="EC352" s="305"/>
      <c r="ED352" s="305"/>
      <c r="EE352" s="305"/>
      <c r="EF352" s="305"/>
      <c r="EG352" s="305"/>
      <c r="EH352" s="305"/>
      <c r="EI352" s="305"/>
      <c r="EJ352" s="305"/>
      <c r="EK352" s="305"/>
      <c r="EL352" s="305"/>
      <c r="EM352" s="305"/>
      <c r="EN352" s="305"/>
      <c r="EO352" s="305"/>
      <c r="EP352" s="305"/>
      <c r="EQ352" s="305"/>
      <c r="ER352" s="305"/>
      <c r="ES352" s="305"/>
      <c r="ET352" s="305"/>
      <c r="EU352" s="305"/>
      <c r="EV352" s="305"/>
      <c r="EW352" s="305"/>
      <c r="EX352" s="305"/>
      <c r="EY352" s="305"/>
      <c r="EZ352" s="305"/>
      <c r="FA352" s="305"/>
      <c r="FB352" s="305"/>
      <c r="FC352" s="305"/>
      <c r="FD352" s="305"/>
      <c r="FE352" s="305"/>
      <c r="FF352" s="305"/>
      <c r="FG352" s="305"/>
      <c r="FH352" s="305"/>
      <c r="FI352" s="305"/>
      <c r="FJ352" s="305"/>
      <c r="FK352" s="305"/>
      <c r="FL352" s="305"/>
      <c r="FM352" s="305"/>
      <c r="FN352" s="305"/>
      <c r="FO352" s="305"/>
      <c r="FP352" s="305"/>
      <c r="FQ352" s="305"/>
      <c r="FR352" s="305"/>
      <c r="FS352" s="305"/>
      <c r="FT352" s="305"/>
      <c r="FU352" s="305"/>
      <c r="FV352" s="305"/>
      <c r="FW352" s="305"/>
      <c r="FX352" s="305"/>
      <c r="FY352" s="305"/>
      <c r="FZ352" s="305"/>
      <c r="GA352" s="305"/>
      <c r="GB352" s="305"/>
      <c r="GC352" s="305"/>
      <c r="GD352" s="305"/>
      <c r="GE352" s="305"/>
      <c r="GF352" s="305"/>
      <c r="GG352" s="305"/>
      <c r="GH352" s="305"/>
      <c r="GI352" s="305"/>
      <c r="GJ352" s="305"/>
      <c r="GK352" s="305"/>
      <c r="GL352" s="305"/>
      <c r="GM352" s="305"/>
      <c r="GN352" s="305"/>
      <c r="GO352" s="305"/>
      <c r="GP352" s="305"/>
      <c r="GQ352" s="305"/>
      <c r="GR352" s="305"/>
    </row>
    <row r="353" spans="3:200" s="318" customFormat="1" ht="12.75" customHeight="1" x14ac:dyDescent="0.2">
      <c r="C353" s="367"/>
      <c r="D353" s="403"/>
      <c r="E353" s="369"/>
      <c r="F353" s="369"/>
      <c r="G353" s="369"/>
      <c r="H353" s="369"/>
      <c r="I353" s="370"/>
      <c r="J353"/>
      <c r="K353" s="371"/>
      <c r="L353" s="371"/>
      <c r="M353" s="371"/>
      <c r="N353" s="371"/>
      <c r="O353" s="305"/>
      <c r="P353" s="305"/>
      <c r="Q353" s="305"/>
      <c r="R353" s="305"/>
      <c r="S353" s="305"/>
      <c r="T353" s="305"/>
      <c r="U353" s="305"/>
      <c r="V353" s="305"/>
      <c r="W353" s="305"/>
      <c r="X353" s="305"/>
      <c r="Y353" s="305"/>
      <c r="Z353" s="305"/>
      <c r="AA353" s="305"/>
      <c r="AB353" s="305"/>
      <c r="AC353" s="305"/>
      <c r="AD353" s="305"/>
      <c r="AE353" s="305"/>
      <c r="AF353" s="305"/>
      <c r="AG353" s="305"/>
      <c r="AH353" s="305"/>
      <c r="AI353" s="305"/>
      <c r="AJ353" s="305"/>
      <c r="AK353" s="305"/>
      <c r="AL353" s="305"/>
      <c r="AM353" s="305"/>
      <c r="AN353" s="305"/>
      <c r="AO353" s="305"/>
      <c r="AP353" s="305"/>
      <c r="AQ353" s="305"/>
      <c r="AR353" s="305"/>
      <c r="AS353" s="305"/>
      <c r="AT353" s="305"/>
      <c r="AU353" s="305"/>
      <c r="AV353" s="305"/>
      <c r="AW353" s="305"/>
      <c r="AX353" s="305"/>
      <c r="AY353" s="305"/>
      <c r="AZ353" s="305"/>
      <c r="BA353" s="305"/>
      <c r="BB353" s="305"/>
      <c r="BC353" s="305"/>
      <c r="BD353" s="305"/>
      <c r="BE353" s="305"/>
      <c r="BF353" s="305"/>
      <c r="BG353" s="305"/>
      <c r="BH353" s="305"/>
      <c r="BI353" s="305"/>
      <c r="BJ353" s="305"/>
      <c r="BK353" s="305"/>
      <c r="BL353" s="305"/>
      <c r="BM353" s="305"/>
      <c r="BN353" s="305"/>
      <c r="BO353" s="305"/>
      <c r="BP353" s="305"/>
      <c r="BQ353" s="305"/>
      <c r="BR353" s="305"/>
      <c r="BS353" s="305"/>
      <c r="BT353" s="305"/>
      <c r="BU353" s="305"/>
      <c r="BV353" s="305"/>
      <c r="BW353" s="305"/>
      <c r="BX353" s="305"/>
      <c r="BY353" s="305"/>
      <c r="BZ353" s="305"/>
      <c r="CA353" s="305"/>
      <c r="CB353" s="305"/>
      <c r="CC353" s="305"/>
      <c r="CD353" s="305"/>
      <c r="CE353" s="305"/>
      <c r="CF353" s="305"/>
      <c r="CG353" s="305"/>
      <c r="CH353" s="305"/>
      <c r="CI353" s="305"/>
      <c r="CJ353" s="305"/>
      <c r="CK353" s="305"/>
      <c r="CL353" s="305"/>
      <c r="CM353" s="305"/>
      <c r="CN353" s="305"/>
      <c r="CO353" s="305"/>
      <c r="CP353" s="305"/>
      <c r="CQ353" s="305"/>
      <c r="CR353" s="305"/>
      <c r="CS353" s="305"/>
      <c r="CT353" s="305"/>
      <c r="CU353" s="305"/>
      <c r="CV353" s="305"/>
      <c r="CW353" s="305"/>
      <c r="CX353" s="305"/>
      <c r="CY353" s="305"/>
      <c r="CZ353" s="305"/>
      <c r="DA353" s="305"/>
      <c r="DB353" s="305"/>
      <c r="DC353" s="305"/>
      <c r="DD353" s="305"/>
      <c r="DE353" s="305"/>
      <c r="DF353" s="305"/>
      <c r="DG353" s="305"/>
      <c r="DH353" s="305"/>
      <c r="DI353" s="305"/>
      <c r="DJ353" s="305"/>
      <c r="DK353" s="305"/>
      <c r="DL353" s="305"/>
      <c r="DM353" s="305"/>
      <c r="DN353" s="305"/>
      <c r="DO353" s="305"/>
      <c r="DP353" s="305"/>
      <c r="DQ353" s="305"/>
      <c r="DR353" s="305"/>
      <c r="DS353" s="305"/>
      <c r="DT353" s="305"/>
      <c r="DU353" s="305"/>
      <c r="DV353" s="305"/>
      <c r="DW353" s="305"/>
      <c r="DX353" s="305"/>
      <c r="DY353" s="305"/>
      <c r="DZ353" s="305"/>
      <c r="EA353" s="305"/>
      <c r="EB353" s="305"/>
      <c r="EC353" s="305"/>
      <c r="ED353" s="305"/>
      <c r="EE353" s="305"/>
      <c r="EF353" s="305"/>
      <c r="EG353" s="305"/>
      <c r="EH353" s="305"/>
      <c r="EI353" s="305"/>
      <c r="EJ353" s="305"/>
      <c r="EK353" s="305"/>
      <c r="EL353" s="305"/>
      <c r="EM353" s="305"/>
      <c r="EN353" s="305"/>
      <c r="EO353" s="305"/>
      <c r="EP353" s="305"/>
      <c r="EQ353" s="305"/>
      <c r="ER353" s="305"/>
      <c r="ES353" s="305"/>
      <c r="ET353" s="305"/>
      <c r="EU353" s="305"/>
      <c r="EV353" s="305"/>
      <c r="EW353" s="305"/>
      <c r="EX353" s="305"/>
      <c r="EY353" s="305"/>
      <c r="EZ353" s="305"/>
      <c r="FA353" s="305"/>
      <c r="FB353" s="305"/>
      <c r="FC353" s="305"/>
      <c r="FD353" s="305"/>
      <c r="FE353" s="305"/>
      <c r="FF353" s="305"/>
      <c r="FG353" s="305"/>
      <c r="FH353" s="305"/>
      <c r="FI353" s="305"/>
      <c r="FJ353" s="305"/>
      <c r="FK353" s="305"/>
      <c r="FL353" s="305"/>
      <c r="FM353" s="305"/>
      <c r="FN353" s="305"/>
      <c r="FO353" s="305"/>
      <c r="FP353" s="305"/>
      <c r="FQ353" s="305"/>
      <c r="FR353" s="305"/>
      <c r="FS353" s="305"/>
      <c r="FT353" s="305"/>
      <c r="FU353" s="305"/>
      <c r="FV353" s="305"/>
      <c r="FW353" s="305"/>
      <c r="FX353" s="305"/>
      <c r="FY353" s="305"/>
      <c r="FZ353" s="305"/>
      <c r="GA353" s="305"/>
      <c r="GB353" s="305"/>
      <c r="GC353" s="305"/>
      <c r="GD353" s="305"/>
      <c r="GE353" s="305"/>
      <c r="GF353" s="305"/>
      <c r="GG353" s="305"/>
      <c r="GH353" s="305"/>
      <c r="GI353" s="305"/>
      <c r="GJ353" s="305"/>
      <c r="GK353" s="305"/>
      <c r="GL353" s="305"/>
      <c r="GM353" s="305"/>
      <c r="GN353" s="305"/>
      <c r="GO353" s="305"/>
      <c r="GP353" s="305"/>
      <c r="GQ353" s="305"/>
      <c r="GR353" s="305"/>
    </row>
    <row r="354" spans="3:200" s="318" customFormat="1" ht="12.75" customHeight="1" x14ac:dyDescent="0.2">
      <c r="C354" s="367"/>
      <c r="D354" s="403"/>
      <c r="E354" s="369"/>
      <c r="F354" s="369"/>
      <c r="G354" s="369"/>
      <c r="H354" s="369"/>
      <c r="I354" s="370"/>
      <c r="J354"/>
      <c r="K354" s="371"/>
      <c r="L354" s="371"/>
      <c r="M354" s="371"/>
      <c r="N354" s="371"/>
      <c r="O354" s="305"/>
      <c r="P354" s="305"/>
      <c r="Q354" s="305"/>
      <c r="R354" s="305"/>
      <c r="S354" s="305"/>
      <c r="T354" s="305"/>
      <c r="U354" s="305"/>
      <c r="V354" s="305"/>
      <c r="W354" s="305"/>
      <c r="X354" s="305"/>
      <c r="Y354" s="305"/>
      <c r="Z354" s="305"/>
      <c r="AA354" s="305"/>
      <c r="AB354" s="305"/>
      <c r="AC354" s="305"/>
      <c r="AD354" s="305"/>
      <c r="AE354" s="305"/>
      <c r="AF354" s="305"/>
      <c r="AG354" s="305"/>
      <c r="AH354" s="305"/>
      <c r="AI354" s="305"/>
      <c r="AJ354" s="305"/>
      <c r="AK354" s="305"/>
      <c r="AL354" s="305"/>
      <c r="AM354" s="305"/>
      <c r="AN354" s="305"/>
      <c r="AO354" s="305"/>
      <c r="AP354" s="305"/>
      <c r="AQ354" s="305"/>
      <c r="AR354" s="305"/>
      <c r="AS354" s="305"/>
      <c r="AT354" s="305"/>
      <c r="AU354" s="305"/>
      <c r="AV354" s="305"/>
      <c r="AW354" s="305"/>
      <c r="AX354" s="305"/>
      <c r="AY354" s="305"/>
      <c r="AZ354" s="305"/>
      <c r="BA354" s="305"/>
      <c r="BB354" s="305"/>
      <c r="BC354" s="305"/>
      <c r="BD354" s="305"/>
      <c r="BE354" s="305"/>
      <c r="BF354" s="305"/>
      <c r="BG354" s="305"/>
      <c r="BH354" s="305"/>
      <c r="BI354" s="305"/>
      <c r="BJ354" s="305"/>
      <c r="BK354" s="305"/>
      <c r="BL354" s="305"/>
      <c r="BM354" s="305"/>
      <c r="BN354" s="305"/>
      <c r="BO354" s="305"/>
      <c r="BP354" s="305"/>
      <c r="BQ354" s="305"/>
      <c r="BR354" s="305"/>
      <c r="BS354" s="305"/>
      <c r="BT354" s="305"/>
      <c r="BU354" s="305"/>
      <c r="BV354" s="305"/>
      <c r="BW354" s="305"/>
      <c r="BX354" s="305"/>
      <c r="BY354" s="305"/>
      <c r="BZ354" s="305"/>
      <c r="CA354" s="305"/>
      <c r="CB354" s="305"/>
      <c r="CC354" s="305"/>
      <c r="CD354" s="305"/>
      <c r="CE354" s="305"/>
      <c r="CF354" s="305"/>
      <c r="CG354" s="305"/>
      <c r="CH354" s="305"/>
      <c r="CI354" s="305"/>
      <c r="CJ354" s="305"/>
      <c r="CK354" s="305"/>
      <c r="CL354" s="305"/>
      <c r="CM354" s="305"/>
      <c r="CN354" s="305"/>
      <c r="CO354" s="305"/>
      <c r="CP354" s="305"/>
      <c r="CQ354" s="305"/>
      <c r="CR354" s="305"/>
      <c r="CS354" s="305"/>
      <c r="CT354" s="305"/>
      <c r="CU354" s="305"/>
      <c r="CV354" s="305"/>
      <c r="CW354" s="305"/>
      <c r="CX354" s="305"/>
      <c r="CY354" s="305"/>
      <c r="CZ354" s="305"/>
      <c r="DA354" s="305"/>
      <c r="DB354" s="305"/>
      <c r="DC354" s="305"/>
      <c r="DD354" s="305"/>
      <c r="DE354" s="305"/>
      <c r="DF354" s="305"/>
      <c r="DG354" s="305"/>
      <c r="DH354" s="305"/>
      <c r="DI354" s="305"/>
      <c r="DJ354" s="305"/>
      <c r="DK354" s="305"/>
      <c r="DL354" s="305"/>
      <c r="DM354" s="305"/>
      <c r="DN354" s="305"/>
      <c r="DO354" s="305"/>
      <c r="DP354" s="305"/>
      <c r="DQ354" s="305"/>
      <c r="DR354" s="305"/>
      <c r="DS354" s="305"/>
      <c r="DT354" s="305"/>
      <c r="DU354" s="305"/>
      <c r="DV354" s="305"/>
      <c r="DW354" s="305"/>
      <c r="DX354" s="305"/>
      <c r="DY354" s="305"/>
      <c r="DZ354" s="305"/>
      <c r="EA354" s="305"/>
      <c r="EB354" s="305"/>
      <c r="EC354" s="305"/>
      <c r="ED354" s="305"/>
      <c r="EE354" s="305"/>
      <c r="EF354" s="305"/>
      <c r="EG354" s="305"/>
      <c r="EH354" s="305"/>
      <c r="EI354" s="305"/>
      <c r="EJ354" s="305"/>
      <c r="EK354" s="305"/>
      <c r="EL354" s="305"/>
      <c r="EM354" s="305"/>
      <c r="EN354" s="305"/>
      <c r="EO354" s="305"/>
      <c r="EP354" s="305"/>
      <c r="EQ354" s="305"/>
      <c r="ER354" s="305"/>
      <c r="ES354" s="305"/>
      <c r="ET354" s="305"/>
      <c r="EU354" s="305"/>
      <c r="EV354" s="305"/>
      <c r="EW354" s="305"/>
      <c r="EX354" s="305"/>
      <c r="EY354" s="305"/>
      <c r="EZ354" s="305"/>
      <c r="FA354" s="305"/>
      <c r="FB354" s="305"/>
      <c r="FC354" s="305"/>
      <c r="FD354" s="305"/>
      <c r="FE354" s="305"/>
      <c r="FF354" s="305"/>
      <c r="FG354" s="305"/>
      <c r="FH354" s="305"/>
      <c r="FI354" s="305"/>
      <c r="FJ354" s="305"/>
      <c r="FK354" s="305"/>
      <c r="FL354" s="305"/>
      <c r="FM354" s="305"/>
      <c r="FN354" s="305"/>
      <c r="FO354" s="305"/>
      <c r="FP354" s="305"/>
      <c r="FQ354" s="305"/>
      <c r="FR354" s="305"/>
      <c r="FS354" s="305"/>
      <c r="FT354" s="305"/>
      <c r="FU354" s="305"/>
      <c r="FV354" s="305"/>
      <c r="FW354" s="305"/>
      <c r="FX354" s="305"/>
      <c r="FY354" s="305"/>
      <c r="FZ354" s="305"/>
      <c r="GA354" s="305"/>
      <c r="GB354" s="305"/>
      <c r="GC354" s="305"/>
      <c r="GD354" s="305"/>
      <c r="GE354" s="305"/>
      <c r="GF354" s="305"/>
      <c r="GG354" s="305"/>
      <c r="GH354" s="305"/>
      <c r="GI354" s="305"/>
      <c r="GJ354" s="305"/>
      <c r="GK354" s="305"/>
      <c r="GL354" s="305"/>
      <c r="GM354" s="305"/>
      <c r="GN354" s="305"/>
      <c r="GO354" s="305"/>
      <c r="GP354" s="305"/>
      <c r="GQ354" s="305"/>
      <c r="GR354" s="305"/>
    </row>
    <row r="355" spans="3:200" s="318" customFormat="1" ht="12.75" customHeight="1" x14ac:dyDescent="0.2">
      <c r="C355" s="367"/>
      <c r="D355" s="403"/>
      <c r="E355" s="369"/>
      <c r="F355" s="369"/>
      <c r="G355" s="369"/>
      <c r="H355" s="369"/>
      <c r="I355" s="370"/>
      <c r="J355"/>
      <c r="K355" s="371"/>
      <c r="L355" s="371"/>
      <c r="M355" s="371"/>
      <c r="N355" s="371"/>
      <c r="O355" s="305"/>
      <c r="P355" s="305"/>
      <c r="Q355" s="305"/>
      <c r="R355" s="305"/>
      <c r="S355" s="305"/>
      <c r="T355" s="305"/>
      <c r="U355" s="305"/>
      <c r="V355" s="305"/>
      <c r="W355" s="305"/>
      <c r="X355" s="305"/>
      <c r="Y355" s="305"/>
      <c r="Z355" s="305"/>
      <c r="AA355" s="305"/>
      <c r="AB355" s="305"/>
      <c r="AC355" s="305"/>
      <c r="AD355" s="305"/>
      <c r="AE355" s="305"/>
      <c r="AF355" s="305"/>
      <c r="AG355" s="305"/>
      <c r="AH355" s="305"/>
      <c r="AI355" s="305"/>
      <c r="AJ355" s="305"/>
      <c r="AK355" s="305"/>
      <c r="AL355" s="305"/>
      <c r="AM355" s="305"/>
      <c r="AN355" s="305"/>
      <c r="AO355" s="305"/>
      <c r="AP355" s="305"/>
      <c r="AQ355" s="305"/>
      <c r="AR355" s="305"/>
      <c r="AS355" s="305"/>
      <c r="AT355" s="305"/>
      <c r="AU355" s="305"/>
      <c r="AV355" s="305"/>
      <c r="AW355" s="305"/>
      <c r="AX355" s="305"/>
      <c r="AY355" s="305"/>
      <c r="AZ355" s="305"/>
      <c r="BA355" s="305"/>
      <c r="BB355" s="305"/>
      <c r="BC355" s="305"/>
      <c r="BD355" s="305"/>
      <c r="BE355" s="305"/>
      <c r="BF355" s="305"/>
      <c r="BG355" s="305"/>
      <c r="BH355" s="305"/>
      <c r="BI355" s="305"/>
      <c r="BJ355" s="305"/>
      <c r="BK355" s="305"/>
      <c r="BL355" s="305"/>
      <c r="BM355" s="305"/>
      <c r="BN355" s="305"/>
      <c r="BO355" s="305"/>
      <c r="BP355" s="305"/>
      <c r="BQ355" s="305"/>
      <c r="BR355" s="305"/>
      <c r="BS355" s="305"/>
      <c r="BT355" s="305"/>
      <c r="BU355" s="305"/>
      <c r="BV355" s="305"/>
      <c r="BW355" s="305"/>
      <c r="BX355" s="305"/>
      <c r="BY355" s="305"/>
      <c r="BZ355" s="305"/>
      <c r="CA355" s="305"/>
      <c r="CB355" s="305"/>
      <c r="CC355" s="305"/>
      <c r="CD355" s="305"/>
      <c r="CE355" s="305"/>
      <c r="CF355" s="305"/>
      <c r="CG355" s="305"/>
      <c r="CH355" s="305"/>
      <c r="CI355" s="305"/>
      <c r="CJ355" s="305"/>
      <c r="CK355" s="305"/>
      <c r="CL355" s="305"/>
      <c r="CM355" s="305"/>
      <c r="CN355" s="305"/>
      <c r="CO355" s="305"/>
      <c r="CP355" s="305"/>
      <c r="CQ355" s="305"/>
      <c r="CR355" s="305"/>
      <c r="CS355" s="305"/>
      <c r="CT355" s="305"/>
      <c r="CU355" s="305"/>
      <c r="CV355" s="305"/>
      <c r="CW355" s="305"/>
      <c r="CX355" s="305"/>
      <c r="CY355" s="305"/>
      <c r="CZ355" s="305"/>
      <c r="DA355" s="305"/>
      <c r="DB355" s="305"/>
      <c r="DC355" s="305"/>
      <c r="DD355" s="305"/>
      <c r="DE355" s="305"/>
      <c r="DF355" s="305"/>
      <c r="DG355" s="305"/>
      <c r="DH355" s="305"/>
      <c r="DI355" s="305"/>
      <c r="DJ355" s="305"/>
      <c r="DK355" s="305"/>
      <c r="DL355" s="305"/>
      <c r="DM355" s="305"/>
      <c r="DN355" s="305"/>
      <c r="DO355" s="305"/>
      <c r="DP355" s="305"/>
      <c r="DQ355" s="305"/>
      <c r="DR355" s="305"/>
      <c r="DS355" s="305"/>
      <c r="DT355" s="305"/>
      <c r="DU355" s="305"/>
      <c r="DV355" s="305"/>
      <c r="DW355" s="305"/>
      <c r="DX355" s="305"/>
      <c r="DY355" s="305"/>
      <c r="DZ355" s="305"/>
      <c r="EA355" s="305"/>
      <c r="EB355" s="305"/>
      <c r="EC355" s="305"/>
      <c r="ED355" s="305"/>
      <c r="EE355" s="305"/>
      <c r="EF355" s="305"/>
      <c r="EG355" s="305"/>
      <c r="EH355" s="305"/>
      <c r="EI355" s="305"/>
      <c r="EJ355" s="305"/>
      <c r="EK355" s="305"/>
      <c r="EL355" s="305"/>
      <c r="EM355" s="305"/>
      <c r="EN355" s="305"/>
      <c r="EO355" s="305"/>
      <c r="EP355" s="305"/>
      <c r="EQ355" s="305"/>
      <c r="ER355" s="305"/>
      <c r="ES355" s="305"/>
      <c r="ET355" s="305"/>
      <c r="EU355" s="305"/>
      <c r="EV355" s="305"/>
      <c r="EW355" s="305"/>
      <c r="EX355" s="305"/>
      <c r="EY355" s="305"/>
      <c r="EZ355" s="305"/>
      <c r="FA355" s="305"/>
      <c r="FB355" s="305"/>
      <c r="FC355" s="305"/>
      <c r="FD355" s="305"/>
      <c r="FE355" s="305"/>
      <c r="FF355" s="305"/>
      <c r="FG355" s="305"/>
      <c r="FH355" s="305"/>
      <c r="FI355" s="305"/>
      <c r="FJ355" s="305"/>
      <c r="FK355" s="305"/>
      <c r="FL355" s="305"/>
      <c r="FM355" s="305"/>
      <c r="FN355" s="305"/>
      <c r="FO355" s="305"/>
      <c r="FP355" s="305"/>
      <c r="FQ355" s="305"/>
      <c r="FR355" s="305"/>
      <c r="FS355" s="305"/>
      <c r="FT355" s="305"/>
      <c r="FU355" s="305"/>
      <c r="FV355" s="305"/>
      <c r="FW355" s="305"/>
      <c r="FX355" s="305"/>
      <c r="FY355" s="305"/>
      <c r="FZ355" s="305"/>
      <c r="GA355" s="305"/>
      <c r="GB355" s="305"/>
      <c r="GC355" s="305"/>
      <c r="GD355" s="305"/>
      <c r="GE355" s="305"/>
      <c r="GF355" s="305"/>
      <c r="GG355" s="305"/>
      <c r="GH355" s="305"/>
      <c r="GI355" s="305"/>
      <c r="GJ355" s="305"/>
      <c r="GK355" s="305"/>
      <c r="GL355" s="305"/>
      <c r="GM355" s="305"/>
      <c r="GN355" s="305"/>
      <c r="GO355" s="305"/>
      <c r="GP355" s="305"/>
      <c r="GQ355" s="305"/>
      <c r="GR355" s="305"/>
    </row>
    <row r="356" spans="3:200" s="318" customFormat="1" ht="12.75" customHeight="1" x14ac:dyDescent="0.2">
      <c r="C356" s="367"/>
      <c r="D356" s="403"/>
      <c r="E356" s="369"/>
      <c r="F356" s="369"/>
      <c r="G356" s="369"/>
      <c r="H356" s="369"/>
      <c r="I356" s="370"/>
      <c r="J356"/>
      <c r="K356" s="371"/>
      <c r="L356" s="371"/>
      <c r="M356" s="371"/>
      <c r="N356" s="371"/>
      <c r="O356" s="305"/>
      <c r="P356" s="305"/>
      <c r="Q356" s="305"/>
      <c r="R356" s="305"/>
      <c r="S356" s="305"/>
      <c r="T356" s="305"/>
      <c r="U356" s="305"/>
      <c r="V356" s="305"/>
      <c r="W356" s="305"/>
      <c r="X356" s="305"/>
      <c r="Y356" s="305"/>
      <c r="Z356" s="305"/>
      <c r="AA356" s="305"/>
      <c r="AB356" s="305"/>
      <c r="AC356" s="305"/>
      <c r="AD356" s="305"/>
      <c r="AE356" s="305"/>
      <c r="AF356" s="305"/>
      <c r="AG356" s="305"/>
      <c r="AH356" s="305"/>
      <c r="AI356" s="305"/>
      <c r="AJ356" s="305"/>
      <c r="AK356" s="305"/>
      <c r="AL356" s="305"/>
      <c r="AM356" s="305"/>
      <c r="AN356" s="305"/>
      <c r="AO356" s="305"/>
      <c r="AP356" s="305"/>
      <c r="AQ356" s="305"/>
      <c r="AR356" s="305"/>
      <c r="AS356" s="305"/>
      <c r="AT356" s="305"/>
      <c r="AU356" s="305"/>
      <c r="AV356" s="305"/>
      <c r="AW356" s="305"/>
      <c r="AX356" s="305"/>
      <c r="AY356" s="305"/>
      <c r="AZ356" s="305"/>
      <c r="BA356" s="305"/>
      <c r="BB356" s="305"/>
      <c r="BC356" s="305"/>
      <c r="BD356" s="305"/>
      <c r="BE356" s="305"/>
      <c r="BF356" s="305"/>
      <c r="BG356" s="305"/>
      <c r="BH356" s="305"/>
      <c r="BI356" s="305"/>
      <c r="BJ356" s="305"/>
      <c r="BK356" s="305"/>
      <c r="BL356" s="305"/>
      <c r="BM356" s="305"/>
      <c r="BN356" s="305"/>
      <c r="BO356" s="305"/>
      <c r="BP356" s="305"/>
      <c r="BQ356" s="305"/>
      <c r="BR356" s="305"/>
      <c r="BS356" s="305"/>
      <c r="BT356" s="305"/>
      <c r="BU356" s="305"/>
      <c r="BV356" s="305"/>
      <c r="BW356" s="305"/>
      <c r="BX356" s="305"/>
      <c r="BY356" s="305"/>
      <c r="BZ356" s="305"/>
      <c r="CA356" s="305"/>
      <c r="CB356" s="305"/>
      <c r="CC356" s="305"/>
      <c r="CD356" s="305"/>
      <c r="CE356" s="305"/>
      <c r="CF356" s="305"/>
      <c r="CG356" s="305"/>
      <c r="CH356" s="305"/>
      <c r="CI356" s="305"/>
      <c r="CJ356" s="305"/>
      <c r="CK356" s="305"/>
      <c r="CL356" s="305"/>
      <c r="CM356" s="305"/>
      <c r="CN356" s="305"/>
      <c r="CO356" s="305"/>
      <c r="CP356" s="305"/>
      <c r="CQ356" s="305"/>
      <c r="CR356" s="305"/>
      <c r="CS356" s="305"/>
      <c r="CT356" s="305"/>
      <c r="CU356" s="305"/>
      <c r="CV356" s="305"/>
      <c r="CW356" s="305"/>
      <c r="CX356" s="305"/>
      <c r="CY356" s="305"/>
      <c r="CZ356" s="305"/>
      <c r="DA356" s="305"/>
      <c r="DB356" s="305"/>
      <c r="DC356" s="305"/>
      <c r="DD356" s="305"/>
      <c r="DE356" s="305"/>
      <c r="DF356" s="305"/>
      <c r="DG356" s="305"/>
      <c r="DH356" s="305"/>
      <c r="DI356" s="305"/>
      <c r="DJ356" s="305"/>
      <c r="DK356" s="305"/>
      <c r="DL356" s="305"/>
      <c r="DM356" s="305"/>
      <c r="DN356" s="305"/>
      <c r="DO356" s="305"/>
      <c r="DP356" s="305"/>
      <c r="DQ356" s="305"/>
      <c r="DR356" s="305"/>
      <c r="DS356" s="305"/>
      <c r="DT356" s="305"/>
      <c r="DU356" s="305"/>
      <c r="DV356" s="305"/>
      <c r="DW356" s="305"/>
      <c r="DX356" s="305"/>
      <c r="DY356" s="305"/>
      <c r="DZ356" s="305"/>
      <c r="EA356" s="305"/>
      <c r="EB356" s="305"/>
      <c r="EC356" s="305"/>
      <c r="ED356" s="305"/>
      <c r="EE356" s="305"/>
      <c r="EF356" s="305"/>
      <c r="EG356" s="305"/>
      <c r="EH356" s="305"/>
      <c r="EI356" s="305"/>
      <c r="EJ356" s="305"/>
      <c r="EK356" s="305"/>
      <c r="EL356" s="305"/>
      <c r="EM356" s="305"/>
      <c r="EN356" s="305"/>
      <c r="EO356" s="305"/>
      <c r="EP356" s="305"/>
      <c r="EQ356" s="305"/>
      <c r="ER356" s="305"/>
      <c r="ES356" s="305"/>
      <c r="ET356" s="305"/>
      <c r="EU356" s="305"/>
      <c r="EV356" s="305"/>
      <c r="EW356" s="305"/>
      <c r="EX356" s="305"/>
      <c r="EY356" s="305"/>
      <c r="EZ356" s="305"/>
      <c r="FA356" s="305"/>
      <c r="FB356" s="305"/>
      <c r="FC356" s="305"/>
      <c r="FD356" s="305"/>
      <c r="FE356" s="305"/>
      <c r="FF356" s="305"/>
      <c r="FG356" s="305"/>
      <c r="FH356" s="305"/>
      <c r="FI356" s="305"/>
      <c r="FJ356" s="305"/>
      <c r="FK356" s="305"/>
      <c r="FL356" s="305"/>
      <c r="FM356" s="305"/>
      <c r="FN356" s="305"/>
      <c r="FO356" s="305"/>
      <c r="FP356" s="305"/>
      <c r="FQ356" s="305"/>
      <c r="FR356" s="305"/>
      <c r="FS356" s="305"/>
      <c r="FT356" s="305"/>
      <c r="FU356" s="305"/>
      <c r="FV356" s="305"/>
      <c r="FW356" s="305"/>
      <c r="FX356" s="305"/>
      <c r="FY356" s="305"/>
      <c r="FZ356" s="305"/>
      <c r="GA356" s="305"/>
      <c r="GB356" s="305"/>
      <c r="GC356" s="305"/>
      <c r="GD356" s="305"/>
      <c r="GE356" s="305"/>
      <c r="GF356" s="305"/>
      <c r="GG356" s="305"/>
      <c r="GH356" s="305"/>
      <c r="GI356" s="305"/>
      <c r="GJ356" s="305"/>
      <c r="GK356" s="305"/>
      <c r="GL356" s="305"/>
      <c r="GM356" s="305"/>
      <c r="GN356" s="305"/>
      <c r="GO356" s="305"/>
      <c r="GP356" s="305"/>
      <c r="GQ356" s="305"/>
      <c r="GR356" s="305"/>
    </row>
    <row r="357" spans="3:200" s="318" customFormat="1" ht="12.75" customHeight="1" x14ac:dyDescent="0.2">
      <c r="C357" s="367"/>
      <c r="D357" s="403"/>
      <c r="E357" s="369"/>
      <c r="F357" s="369"/>
      <c r="G357" s="369"/>
      <c r="H357" s="369"/>
      <c r="I357" s="370"/>
      <c r="J357"/>
      <c r="K357" s="371"/>
      <c r="L357" s="371"/>
      <c r="M357" s="371"/>
      <c r="N357" s="371"/>
      <c r="O357" s="305"/>
      <c r="P357" s="305"/>
      <c r="Q357" s="305"/>
      <c r="R357" s="305"/>
      <c r="S357" s="305"/>
      <c r="T357" s="305"/>
      <c r="U357" s="305"/>
      <c r="V357" s="305"/>
      <c r="W357" s="305"/>
      <c r="X357" s="305"/>
      <c r="Y357" s="305"/>
      <c r="Z357" s="305"/>
      <c r="AA357" s="305"/>
      <c r="AB357" s="305"/>
      <c r="AC357" s="305"/>
      <c r="AD357" s="305"/>
      <c r="AE357" s="305"/>
      <c r="AF357" s="305"/>
      <c r="AG357" s="305"/>
      <c r="AH357" s="305"/>
      <c r="AI357" s="305"/>
      <c r="AJ357" s="305"/>
      <c r="AK357" s="305"/>
      <c r="AL357" s="305"/>
      <c r="AM357" s="305"/>
      <c r="AN357" s="305"/>
      <c r="AO357" s="305"/>
      <c r="AP357" s="305"/>
      <c r="AQ357" s="305"/>
      <c r="AR357" s="305"/>
      <c r="AS357" s="305"/>
      <c r="AT357" s="305"/>
      <c r="AU357" s="305"/>
      <c r="AV357" s="305"/>
      <c r="AW357" s="305"/>
      <c r="AX357" s="305"/>
      <c r="AY357" s="305"/>
      <c r="AZ357" s="305"/>
      <c r="BA357" s="305"/>
      <c r="BB357" s="305"/>
      <c r="BC357" s="305"/>
      <c r="BD357" s="305"/>
      <c r="BE357" s="305"/>
      <c r="BF357" s="305"/>
      <c r="BG357" s="305"/>
      <c r="BH357" s="305"/>
      <c r="BI357" s="305"/>
      <c r="BJ357" s="305"/>
      <c r="BK357" s="305"/>
      <c r="BL357" s="305"/>
      <c r="BM357" s="305"/>
      <c r="BN357" s="305"/>
      <c r="BO357" s="305"/>
      <c r="BP357" s="305"/>
      <c r="BQ357" s="305"/>
      <c r="BR357" s="305"/>
      <c r="BS357" s="305"/>
      <c r="BT357" s="305"/>
      <c r="BU357" s="305"/>
      <c r="BV357" s="305"/>
      <c r="BW357" s="305"/>
      <c r="BX357" s="305"/>
      <c r="BY357" s="305"/>
      <c r="BZ357" s="305"/>
      <c r="CA357" s="305"/>
      <c r="CB357" s="305"/>
      <c r="CC357" s="305"/>
      <c r="CD357" s="305"/>
      <c r="CE357" s="305"/>
      <c r="CF357" s="305"/>
      <c r="CG357" s="305"/>
      <c r="CH357" s="305"/>
      <c r="CI357" s="305"/>
      <c r="CJ357" s="305"/>
      <c r="CK357" s="305"/>
      <c r="CL357" s="305"/>
      <c r="CM357" s="305"/>
      <c r="CN357" s="305"/>
      <c r="CO357" s="305"/>
      <c r="CP357" s="305"/>
      <c r="CQ357" s="305"/>
      <c r="CR357" s="305"/>
      <c r="CS357" s="305"/>
      <c r="CT357" s="305"/>
      <c r="CU357" s="305"/>
      <c r="CV357" s="305"/>
      <c r="CW357" s="305"/>
      <c r="CX357" s="305"/>
      <c r="CY357" s="305"/>
      <c r="CZ357" s="305"/>
      <c r="DA357" s="305"/>
      <c r="DB357" s="305"/>
      <c r="DC357" s="305"/>
      <c r="DD357" s="305"/>
      <c r="DE357" s="305"/>
      <c r="DF357" s="305"/>
      <c r="DG357" s="305"/>
      <c r="DH357" s="305"/>
      <c r="DI357" s="305"/>
      <c r="DJ357" s="305"/>
      <c r="DK357" s="305"/>
      <c r="DL357" s="305"/>
      <c r="DM357" s="305"/>
      <c r="DN357" s="305"/>
      <c r="DO357" s="305"/>
      <c r="DP357" s="305"/>
      <c r="DQ357" s="305"/>
      <c r="DR357" s="305"/>
      <c r="DS357" s="305"/>
      <c r="DT357" s="305"/>
      <c r="DU357" s="305"/>
      <c r="DV357" s="305"/>
      <c r="DW357" s="305"/>
      <c r="DX357" s="305"/>
      <c r="DY357" s="305"/>
      <c r="DZ357" s="305"/>
      <c r="EA357" s="305"/>
      <c r="EB357" s="305"/>
      <c r="EC357" s="305"/>
      <c r="ED357" s="305"/>
      <c r="EE357" s="305"/>
      <c r="EF357" s="305"/>
      <c r="EG357" s="305"/>
      <c r="EH357" s="305"/>
      <c r="EI357" s="305"/>
      <c r="EJ357" s="305"/>
      <c r="EK357" s="305"/>
      <c r="EL357" s="305"/>
      <c r="EM357" s="305"/>
      <c r="EN357" s="305"/>
      <c r="EO357" s="305"/>
      <c r="EP357" s="305"/>
      <c r="EQ357" s="305"/>
      <c r="ER357" s="305"/>
      <c r="ES357" s="305"/>
      <c r="ET357" s="305"/>
      <c r="EU357" s="305"/>
      <c r="EV357" s="305"/>
      <c r="EW357" s="305"/>
      <c r="EX357" s="305"/>
      <c r="EY357" s="305"/>
      <c r="EZ357" s="305"/>
      <c r="FA357" s="305"/>
      <c r="FB357" s="305"/>
      <c r="FC357" s="305"/>
      <c r="FD357" s="305"/>
      <c r="FE357" s="305"/>
      <c r="FF357" s="305"/>
      <c r="FG357" s="305"/>
      <c r="FH357" s="305"/>
      <c r="FI357" s="305"/>
      <c r="FJ357" s="305"/>
      <c r="FK357" s="305"/>
      <c r="FL357" s="305"/>
      <c r="FM357" s="305"/>
      <c r="FN357" s="305"/>
      <c r="FO357" s="305"/>
      <c r="FP357" s="305"/>
      <c r="FQ357" s="305"/>
      <c r="FR357" s="305"/>
      <c r="FS357" s="305"/>
      <c r="FT357" s="305"/>
      <c r="FU357" s="305"/>
      <c r="FV357" s="305"/>
      <c r="FW357" s="305"/>
      <c r="FX357" s="305"/>
      <c r="FY357" s="305"/>
      <c r="FZ357" s="305"/>
      <c r="GA357" s="305"/>
      <c r="GB357" s="305"/>
      <c r="GC357" s="305"/>
      <c r="GD357" s="305"/>
      <c r="GE357" s="305"/>
      <c r="GF357" s="305"/>
      <c r="GG357" s="305"/>
      <c r="GH357" s="305"/>
      <c r="GI357" s="305"/>
      <c r="GJ357" s="305"/>
      <c r="GK357" s="305"/>
      <c r="GL357" s="305"/>
      <c r="GM357" s="305"/>
      <c r="GN357" s="305"/>
      <c r="GO357" s="305"/>
      <c r="GP357" s="305"/>
      <c r="GQ357" s="305"/>
      <c r="GR357" s="305"/>
    </row>
    <row r="358" spans="3:200" s="318" customFormat="1" ht="12.75" customHeight="1" x14ac:dyDescent="0.2">
      <c r="C358" s="367"/>
      <c r="D358" s="403"/>
      <c r="E358" s="369"/>
      <c r="F358" s="369"/>
      <c r="G358" s="369"/>
      <c r="H358" s="369"/>
      <c r="I358" s="370"/>
      <c r="J358"/>
      <c r="K358" s="371"/>
      <c r="L358" s="371"/>
      <c r="M358" s="371"/>
      <c r="N358" s="371"/>
      <c r="O358" s="305"/>
      <c r="P358" s="305"/>
      <c r="Q358" s="305"/>
      <c r="R358" s="305"/>
      <c r="S358" s="305"/>
      <c r="T358" s="305"/>
      <c r="U358" s="305"/>
      <c r="V358" s="305"/>
      <c r="W358" s="305"/>
      <c r="X358" s="305"/>
      <c r="Y358" s="305"/>
      <c r="Z358" s="305"/>
      <c r="AA358" s="305"/>
      <c r="AB358" s="305"/>
      <c r="AC358" s="305"/>
      <c r="AD358" s="305"/>
      <c r="AE358" s="305"/>
      <c r="AF358" s="305"/>
      <c r="AG358" s="305"/>
      <c r="AH358" s="305"/>
      <c r="AI358" s="305"/>
      <c r="AJ358" s="305"/>
      <c r="AK358" s="305"/>
      <c r="AL358" s="305"/>
      <c r="AM358" s="305"/>
      <c r="AN358" s="305"/>
      <c r="AO358" s="305"/>
      <c r="AP358" s="305"/>
      <c r="AQ358" s="305"/>
      <c r="AR358" s="305"/>
      <c r="AS358" s="305"/>
      <c r="AT358" s="305"/>
      <c r="AU358" s="305"/>
      <c r="AV358" s="305"/>
      <c r="AW358" s="305"/>
      <c r="AX358" s="305"/>
      <c r="AY358" s="305"/>
      <c r="AZ358" s="305"/>
      <c r="BA358" s="305"/>
      <c r="BB358" s="305"/>
      <c r="BC358" s="305"/>
      <c r="BD358" s="305"/>
      <c r="BE358" s="305"/>
      <c r="BF358" s="305"/>
      <c r="BG358" s="305"/>
      <c r="BH358" s="305"/>
      <c r="BI358" s="305"/>
      <c r="BJ358" s="305"/>
      <c r="BK358" s="305"/>
      <c r="BL358" s="305"/>
      <c r="BM358" s="305"/>
      <c r="BN358" s="305"/>
      <c r="BO358" s="305"/>
      <c r="BP358" s="305"/>
      <c r="BQ358" s="305"/>
      <c r="BR358" s="305"/>
      <c r="BS358" s="305"/>
      <c r="BT358" s="305"/>
      <c r="BU358" s="305"/>
      <c r="BV358" s="305"/>
      <c r="BW358" s="305"/>
      <c r="BX358" s="305"/>
      <c r="BY358" s="305"/>
      <c r="BZ358" s="305"/>
      <c r="CA358" s="305"/>
      <c r="CB358" s="305"/>
      <c r="CC358" s="305"/>
      <c r="CD358" s="305"/>
      <c r="CE358" s="305"/>
      <c r="CF358" s="305"/>
      <c r="CG358" s="305"/>
      <c r="CH358" s="305"/>
      <c r="CI358" s="305"/>
      <c r="CJ358" s="305"/>
      <c r="CK358" s="305"/>
      <c r="CL358" s="305"/>
      <c r="CM358" s="305"/>
      <c r="CN358" s="305"/>
      <c r="CO358" s="305"/>
      <c r="CP358" s="305"/>
      <c r="CQ358" s="305"/>
      <c r="CR358" s="305"/>
      <c r="CS358" s="305"/>
      <c r="CT358" s="305"/>
      <c r="CU358" s="305"/>
      <c r="CV358" s="305"/>
      <c r="CW358" s="305"/>
      <c r="CX358" s="305"/>
      <c r="CY358" s="305"/>
      <c r="CZ358" s="305"/>
      <c r="DA358" s="305"/>
      <c r="DB358" s="305"/>
      <c r="DC358" s="305"/>
      <c r="DD358" s="305"/>
      <c r="DE358" s="305"/>
      <c r="DF358" s="305"/>
      <c r="DG358" s="305"/>
      <c r="DH358" s="305"/>
      <c r="DI358" s="305"/>
      <c r="DJ358" s="305"/>
      <c r="DK358" s="305"/>
      <c r="DL358" s="305"/>
      <c r="DM358" s="305"/>
      <c r="DN358" s="305"/>
      <c r="DO358" s="305"/>
      <c r="DP358" s="305"/>
      <c r="DQ358" s="305"/>
      <c r="DR358" s="305"/>
      <c r="DS358" s="305"/>
      <c r="DT358" s="305"/>
      <c r="DU358" s="305"/>
      <c r="DV358" s="305"/>
      <c r="DW358" s="305"/>
      <c r="DX358" s="305"/>
      <c r="DY358" s="305"/>
      <c r="DZ358" s="305"/>
      <c r="EA358" s="305"/>
      <c r="EB358" s="305"/>
      <c r="EC358" s="305"/>
      <c r="ED358" s="305"/>
      <c r="EE358" s="305"/>
      <c r="EF358" s="305"/>
      <c r="EG358" s="305"/>
      <c r="EH358" s="305"/>
      <c r="EI358" s="305"/>
      <c r="EJ358" s="305"/>
      <c r="EK358" s="305"/>
      <c r="EL358" s="305"/>
      <c r="EM358" s="305"/>
      <c r="EN358" s="305"/>
      <c r="EO358" s="305"/>
      <c r="EP358" s="305"/>
      <c r="EQ358" s="305"/>
      <c r="ER358" s="305"/>
      <c r="ES358" s="305"/>
      <c r="ET358" s="305"/>
      <c r="EU358" s="305"/>
      <c r="EV358" s="305"/>
      <c r="EW358" s="305"/>
      <c r="EX358" s="305"/>
      <c r="EY358" s="305"/>
      <c r="EZ358" s="305"/>
      <c r="FA358" s="305"/>
      <c r="FB358" s="305"/>
      <c r="FC358" s="305"/>
      <c r="FD358" s="305"/>
      <c r="FE358" s="305"/>
      <c r="FF358" s="305"/>
      <c r="FG358" s="305"/>
      <c r="FH358" s="305"/>
      <c r="FI358" s="305"/>
      <c r="FJ358" s="305"/>
      <c r="FK358" s="305"/>
      <c r="FL358" s="305"/>
      <c r="FM358" s="305"/>
      <c r="FN358" s="305"/>
      <c r="FO358" s="305"/>
      <c r="FP358" s="305"/>
      <c r="FQ358" s="305"/>
      <c r="FR358" s="305"/>
      <c r="FS358" s="305"/>
      <c r="FT358" s="305"/>
      <c r="FU358" s="305"/>
      <c r="FV358" s="305"/>
      <c r="FW358" s="305"/>
      <c r="FX358" s="305"/>
      <c r="FY358" s="305"/>
      <c r="FZ358" s="305"/>
      <c r="GA358" s="305"/>
      <c r="GB358" s="305"/>
      <c r="GC358" s="305"/>
      <c r="GD358" s="305"/>
      <c r="GE358" s="305"/>
      <c r="GF358" s="305"/>
      <c r="GG358" s="305"/>
      <c r="GH358" s="305"/>
      <c r="GI358" s="305"/>
      <c r="GJ358" s="305"/>
      <c r="GK358" s="305"/>
      <c r="GL358" s="305"/>
      <c r="GM358" s="305"/>
      <c r="GN358" s="305"/>
      <c r="GO358" s="305"/>
      <c r="GP358" s="305"/>
      <c r="GQ358" s="305"/>
      <c r="GR358" s="305"/>
    </row>
    <row r="359" spans="3:200" s="318" customFormat="1" ht="12.75" customHeight="1" x14ac:dyDescent="0.2">
      <c r="C359" s="367"/>
      <c r="D359" s="403"/>
      <c r="E359" s="369"/>
      <c r="F359" s="369"/>
      <c r="G359" s="369"/>
      <c r="H359" s="369"/>
      <c r="I359" s="370"/>
      <c r="J359"/>
      <c r="K359" s="371"/>
      <c r="L359" s="371"/>
      <c r="M359" s="371"/>
      <c r="N359" s="371"/>
      <c r="O359" s="305"/>
      <c r="P359" s="305"/>
      <c r="Q359" s="305"/>
      <c r="R359" s="305"/>
      <c r="S359" s="305"/>
      <c r="T359" s="305"/>
      <c r="U359" s="305"/>
      <c r="V359" s="305"/>
      <c r="W359" s="305"/>
      <c r="X359" s="305"/>
      <c r="Y359" s="305"/>
      <c r="Z359" s="305"/>
      <c r="AA359" s="305"/>
      <c r="AB359" s="305"/>
      <c r="AC359" s="305"/>
      <c r="AD359" s="305"/>
      <c r="AE359" s="305"/>
      <c r="AF359" s="305"/>
      <c r="AG359" s="305"/>
      <c r="AH359" s="305"/>
      <c r="AI359" s="305"/>
      <c r="AJ359" s="305"/>
      <c r="AK359" s="305"/>
      <c r="AL359" s="305"/>
      <c r="AM359" s="305"/>
      <c r="AN359" s="305"/>
      <c r="AO359" s="305"/>
      <c r="AP359" s="305"/>
      <c r="AQ359" s="305"/>
      <c r="AR359" s="305"/>
      <c r="AS359" s="305"/>
      <c r="AT359" s="305"/>
      <c r="AU359" s="305"/>
      <c r="AV359" s="305"/>
      <c r="AW359" s="305"/>
      <c r="AX359" s="305"/>
      <c r="AY359" s="305"/>
      <c r="AZ359" s="305"/>
      <c r="BA359" s="305"/>
      <c r="BB359" s="305"/>
      <c r="BC359" s="305"/>
      <c r="BD359" s="305"/>
      <c r="BE359" s="305"/>
      <c r="BF359" s="305"/>
      <c r="BG359" s="305"/>
      <c r="BH359" s="305"/>
      <c r="BI359" s="305"/>
      <c r="BJ359" s="305"/>
      <c r="BK359" s="305"/>
      <c r="BL359" s="305"/>
      <c r="BM359" s="305"/>
      <c r="BN359" s="305"/>
      <c r="BO359" s="305"/>
      <c r="BP359" s="305"/>
      <c r="BQ359" s="305"/>
      <c r="BR359" s="305"/>
      <c r="BS359" s="305"/>
      <c r="BT359" s="305"/>
      <c r="BU359" s="305"/>
      <c r="BV359" s="305"/>
      <c r="BW359" s="305"/>
      <c r="BX359" s="305"/>
      <c r="BY359" s="305"/>
      <c r="BZ359" s="305"/>
      <c r="CA359" s="305"/>
      <c r="CB359" s="305"/>
      <c r="CC359" s="305"/>
      <c r="CD359" s="305"/>
      <c r="CE359" s="305"/>
      <c r="CF359" s="305"/>
      <c r="CG359" s="305"/>
      <c r="CH359" s="305"/>
      <c r="CI359" s="305"/>
      <c r="CJ359" s="305"/>
      <c r="CK359" s="305"/>
      <c r="CL359" s="305"/>
      <c r="CM359" s="305"/>
      <c r="CN359" s="305"/>
      <c r="CO359" s="305"/>
      <c r="CP359" s="305"/>
      <c r="CQ359" s="305"/>
      <c r="CR359" s="305"/>
      <c r="CS359" s="305"/>
      <c r="CT359" s="305"/>
      <c r="CU359" s="305"/>
      <c r="CV359" s="305"/>
      <c r="CW359" s="305"/>
      <c r="CX359" s="305"/>
      <c r="CY359" s="305"/>
      <c r="CZ359" s="305"/>
      <c r="DA359" s="305"/>
      <c r="DB359" s="305"/>
      <c r="DC359" s="305"/>
      <c r="DD359" s="305"/>
      <c r="DE359" s="305"/>
      <c r="DF359" s="305"/>
      <c r="DG359" s="305"/>
      <c r="DH359" s="305"/>
      <c r="DI359" s="305"/>
      <c r="DJ359" s="305"/>
      <c r="DK359" s="305"/>
      <c r="DL359" s="305"/>
      <c r="DM359" s="305"/>
      <c r="DN359" s="305"/>
      <c r="DO359" s="305"/>
      <c r="DP359" s="305"/>
      <c r="DQ359" s="305"/>
      <c r="DR359" s="305"/>
      <c r="DS359" s="305"/>
      <c r="DT359" s="305"/>
      <c r="DU359" s="305"/>
      <c r="DV359" s="305"/>
      <c r="DW359" s="305"/>
      <c r="DX359" s="305"/>
      <c r="DY359" s="305"/>
      <c r="DZ359" s="305"/>
      <c r="EA359" s="305"/>
      <c r="EB359" s="305"/>
      <c r="EC359" s="305"/>
      <c r="ED359" s="305"/>
      <c r="EE359" s="305"/>
      <c r="EF359" s="305"/>
      <c r="EG359" s="305"/>
      <c r="EH359" s="305"/>
      <c r="EI359" s="305"/>
      <c r="EJ359" s="305"/>
      <c r="EK359" s="305"/>
      <c r="EL359" s="305"/>
      <c r="EM359" s="305"/>
      <c r="EN359" s="305"/>
      <c r="EO359" s="305"/>
      <c r="EP359" s="305"/>
      <c r="EQ359" s="305"/>
      <c r="ER359" s="305"/>
      <c r="ES359" s="305"/>
      <c r="ET359" s="305"/>
      <c r="EU359" s="305"/>
      <c r="EV359" s="305"/>
      <c r="EW359" s="305"/>
      <c r="EX359" s="305"/>
      <c r="EY359" s="305"/>
      <c r="EZ359" s="305"/>
      <c r="FA359" s="305"/>
      <c r="FB359" s="305"/>
      <c r="FC359" s="305"/>
      <c r="FD359" s="305"/>
      <c r="FE359" s="305"/>
      <c r="FF359" s="305"/>
      <c r="FG359" s="305"/>
      <c r="FH359" s="305"/>
      <c r="FI359" s="305"/>
      <c r="FJ359" s="305"/>
      <c r="FK359" s="305"/>
      <c r="FL359" s="305"/>
      <c r="FM359" s="305"/>
      <c r="FN359" s="305"/>
      <c r="FO359" s="305"/>
      <c r="FP359" s="305"/>
      <c r="FQ359" s="305"/>
      <c r="FR359" s="305"/>
      <c r="FS359" s="305"/>
      <c r="FT359" s="305"/>
      <c r="FU359" s="305"/>
      <c r="FV359" s="305"/>
      <c r="FW359" s="305"/>
      <c r="FX359" s="305"/>
      <c r="FY359" s="305"/>
      <c r="FZ359" s="305"/>
      <c r="GA359" s="305"/>
      <c r="GB359" s="305"/>
      <c r="GC359" s="305"/>
      <c r="GD359" s="305"/>
      <c r="GE359" s="305"/>
      <c r="GF359" s="305"/>
      <c r="GG359" s="305"/>
      <c r="GH359" s="305"/>
      <c r="GI359" s="305"/>
      <c r="GJ359" s="305"/>
      <c r="GK359" s="305"/>
      <c r="GL359" s="305"/>
      <c r="GM359" s="305"/>
      <c r="GN359" s="305"/>
      <c r="GO359" s="305"/>
      <c r="GP359" s="305"/>
      <c r="GQ359" s="305"/>
      <c r="GR359" s="305"/>
    </row>
    <row r="360" spans="3:200" s="318" customFormat="1" ht="12.75" customHeight="1" x14ac:dyDescent="0.2">
      <c r="C360" s="367"/>
      <c r="D360" s="403"/>
      <c r="E360" s="369"/>
      <c r="F360" s="369"/>
      <c r="G360" s="369"/>
      <c r="H360" s="369"/>
      <c r="I360" s="370"/>
      <c r="J360"/>
      <c r="K360" s="371"/>
      <c r="L360" s="371"/>
      <c r="M360" s="371"/>
      <c r="N360" s="371"/>
      <c r="O360" s="305"/>
      <c r="P360" s="305"/>
      <c r="Q360" s="305"/>
      <c r="R360" s="305"/>
      <c r="S360" s="305"/>
      <c r="T360" s="305"/>
      <c r="U360" s="305"/>
      <c r="V360" s="305"/>
      <c r="W360" s="305"/>
      <c r="X360" s="305"/>
      <c r="Y360" s="305"/>
      <c r="Z360" s="305"/>
      <c r="AA360" s="305"/>
      <c r="AB360" s="305"/>
      <c r="AC360" s="305"/>
      <c r="AD360" s="305"/>
      <c r="AE360" s="305"/>
      <c r="AF360" s="305"/>
      <c r="AG360" s="305"/>
      <c r="AH360" s="305"/>
      <c r="AI360" s="305"/>
      <c r="AJ360" s="305"/>
      <c r="AK360" s="305"/>
      <c r="AL360" s="305"/>
      <c r="AM360" s="305"/>
      <c r="AN360" s="305"/>
      <c r="AO360" s="305"/>
      <c r="AP360" s="305"/>
      <c r="AQ360" s="305"/>
      <c r="AR360" s="305"/>
      <c r="AS360" s="305"/>
      <c r="AT360" s="305"/>
      <c r="AU360" s="305"/>
      <c r="AV360" s="305"/>
      <c r="AW360" s="305"/>
      <c r="AX360" s="305"/>
      <c r="AY360" s="305"/>
      <c r="AZ360" s="305"/>
      <c r="BA360" s="305"/>
      <c r="BB360" s="305"/>
      <c r="BC360" s="305"/>
      <c r="BD360" s="305"/>
      <c r="BE360" s="305"/>
      <c r="BF360" s="305"/>
      <c r="BG360" s="305"/>
      <c r="BH360" s="305"/>
      <c r="BI360" s="305"/>
      <c r="BJ360" s="305"/>
      <c r="BK360" s="305"/>
      <c r="BL360" s="305"/>
      <c r="BM360" s="305"/>
      <c r="BN360" s="305"/>
      <c r="BO360" s="305"/>
      <c r="BP360" s="305"/>
      <c r="BQ360" s="305"/>
      <c r="BR360" s="305"/>
      <c r="BS360" s="305"/>
      <c r="BT360" s="305"/>
      <c r="BU360" s="305"/>
      <c r="BV360" s="305"/>
      <c r="BW360" s="305"/>
      <c r="BX360" s="305"/>
      <c r="BY360" s="305"/>
      <c r="BZ360" s="305"/>
      <c r="CA360" s="305"/>
      <c r="CB360" s="305"/>
      <c r="CC360" s="305"/>
      <c r="CD360" s="305"/>
      <c r="CE360" s="305"/>
      <c r="CF360" s="305"/>
      <c r="CG360" s="305"/>
      <c r="CH360" s="305"/>
      <c r="CI360" s="305"/>
      <c r="CJ360" s="305"/>
      <c r="CK360" s="305"/>
      <c r="CL360" s="305"/>
      <c r="CM360" s="305"/>
      <c r="CN360" s="305"/>
      <c r="CO360" s="305"/>
      <c r="CP360" s="305"/>
      <c r="CQ360" s="305"/>
      <c r="CR360" s="305"/>
      <c r="CS360" s="305"/>
      <c r="CT360" s="305"/>
      <c r="CU360" s="305"/>
      <c r="CV360" s="305"/>
      <c r="CW360" s="305"/>
      <c r="CX360" s="305"/>
      <c r="CY360" s="305"/>
      <c r="CZ360" s="305"/>
      <c r="DA360" s="305"/>
      <c r="DB360" s="305"/>
      <c r="DC360" s="305"/>
      <c r="DD360" s="305"/>
      <c r="DE360" s="305"/>
      <c r="DF360" s="305"/>
      <c r="DG360" s="305"/>
      <c r="DH360" s="305"/>
      <c r="DI360" s="305"/>
      <c r="DJ360" s="305"/>
      <c r="DK360" s="305"/>
      <c r="DL360" s="305"/>
      <c r="DM360" s="305"/>
      <c r="DN360" s="305"/>
      <c r="DO360" s="305"/>
      <c r="DP360" s="305"/>
      <c r="DQ360" s="305"/>
      <c r="DR360" s="305"/>
      <c r="DS360" s="305"/>
      <c r="DT360" s="305"/>
      <c r="DU360" s="305"/>
      <c r="DV360" s="305"/>
      <c r="DW360" s="305"/>
      <c r="DX360" s="305"/>
      <c r="DY360" s="305"/>
      <c r="DZ360" s="305"/>
      <c r="EA360" s="305"/>
      <c r="EB360" s="305"/>
      <c r="EC360" s="305"/>
      <c r="ED360" s="305"/>
      <c r="EE360" s="305"/>
      <c r="EF360" s="305"/>
      <c r="EG360" s="305"/>
      <c r="EH360" s="305"/>
      <c r="EI360" s="305"/>
      <c r="EJ360" s="305"/>
      <c r="EK360" s="305"/>
      <c r="EL360" s="305"/>
      <c r="EM360" s="305"/>
      <c r="EN360" s="305"/>
      <c r="EO360" s="305"/>
      <c r="EP360" s="305"/>
      <c r="EQ360" s="305"/>
      <c r="ER360" s="305"/>
      <c r="ES360" s="305"/>
      <c r="ET360" s="305"/>
      <c r="EU360" s="305"/>
      <c r="EV360" s="305"/>
      <c r="EW360" s="305"/>
      <c r="EX360" s="305"/>
      <c r="EY360" s="305"/>
      <c r="EZ360" s="305"/>
      <c r="FA360" s="305"/>
      <c r="FB360" s="305"/>
      <c r="FC360" s="305"/>
      <c r="FD360" s="305"/>
      <c r="FE360" s="305"/>
      <c r="FF360" s="305"/>
      <c r="FG360" s="305"/>
      <c r="FH360" s="305"/>
      <c r="FI360" s="305"/>
      <c r="FJ360" s="305"/>
      <c r="FK360" s="305"/>
      <c r="FL360" s="305"/>
      <c r="FM360" s="305"/>
      <c r="FN360" s="305"/>
      <c r="FO360" s="305"/>
      <c r="FP360" s="305"/>
      <c r="FQ360" s="305"/>
      <c r="FR360" s="305"/>
      <c r="FS360" s="305"/>
      <c r="FT360" s="305"/>
      <c r="FU360" s="305"/>
      <c r="FV360" s="305"/>
      <c r="FW360" s="305"/>
      <c r="FX360" s="305"/>
      <c r="FY360" s="305"/>
      <c r="FZ360" s="305"/>
      <c r="GA360" s="305"/>
      <c r="GB360" s="305"/>
      <c r="GC360" s="305"/>
      <c r="GD360" s="305"/>
      <c r="GE360" s="305"/>
      <c r="GF360" s="305"/>
      <c r="GG360" s="305"/>
      <c r="GH360" s="305"/>
      <c r="GI360" s="305"/>
      <c r="GJ360" s="305"/>
      <c r="GK360" s="305"/>
      <c r="GL360" s="305"/>
      <c r="GM360" s="305"/>
      <c r="GN360" s="305"/>
      <c r="GO360" s="305"/>
      <c r="GP360" s="305"/>
      <c r="GQ360" s="305"/>
      <c r="GR360" s="305"/>
    </row>
    <row r="361" spans="3:200" s="318" customFormat="1" ht="12.75" customHeight="1" x14ac:dyDescent="0.2">
      <c r="C361" s="367"/>
      <c r="D361" s="403"/>
      <c r="E361" s="369"/>
      <c r="F361" s="369"/>
      <c r="G361" s="369"/>
      <c r="H361" s="369"/>
      <c r="I361" s="370"/>
      <c r="J361"/>
      <c r="K361" s="371"/>
      <c r="L361" s="371"/>
      <c r="M361" s="371"/>
      <c r="N361" s="371"/>
      <c r="O361" s="305"/>
      <c r="P361" s="305"/>
      <c r="Q361" s="305"/>
      <c r="R361" s="305"/>
      <c r="S361" s="305"/>
      <c r="T361" s="305"/>
      <c r="U361" s="305"/>
      <c r="V361" s="305"/>
      <c r="W361" s="305"/>
      <c r="X361" s="305"/>
      <c r="Y361" s="305"/>
      <c r="Z361" s="305"/>
      <c r="AA361" s="305"/>
      <c r="AB361" s="305"/>
      <c r="AC361" s="305"/>
      <c r="AD361" s="305"/>
      <c r="AE361" s="305"/>
      <c r="AF361" s="305"/>
      <c r="AG361" s="305"/>
      <c r="AH361" s="305"/>
      <c r="AI361" s="305"/>
      <c r="AJ361" s="305"/>
      <c r="AK361" s="305"/>
      <c r="AL361" s="305"/>
      <c r="AM361" s="305"/>
      <c r="AN361" s="305"/>
      <c r="AO361" s="305"/>
      <c r="AP361" s="305"/>
      <c r="AQ361" s="305"/>
      <c r="AR361" s="305"/>
      <c r="AS361" s="305"/>
      <c r="AT361" s="305"/>
      <c r="AU361" s="305"/>
      <c r="AV361" s="305"/>
      <c r="AW361" s="305"/>
      <c r="AX361" s="305"/>
      <c r="AY361" s="305"/>
      <c r="AZ361" s="305"/>
      <c r="BA361" s="305"/>
      <c r="BB361" s="305"/>
      <c r="BC361" s="305"/>
      <c r="BD361" s="305"/>
      <c r="BE361" s="305"/>
      <c r="BF361" s="305"/>
      <c r="BG361" s="305"/>
      <c r="BH361" s="305"/>
      <c r="BI361" s="305"/>
      <c r="BJ361" s="305"/>
      <c r="BK361" s="305"/>
      <c r="BL361" s="305"/>
      <c r="BM361" s="305"/>
      <c r="BN361" s="305"/>
      <c r="BO361" s="305"/>
      <c r="BP361" s="305"/>
      <c r="BQ361" s="305"/>
      <c r="BR361" s="305"/>
      <c r="BS361" s="305"/>
      <c r="BT361" s="305"/>
      <c r="BU361" s="305"/>
      <c r="BV361" s="305"/>
      <c r="BW361" s="305"/>
      <c r="BX361" s="305"/>
      <c r="BY361" s="305"/>
      <c r="BZ361" s="305"/>
      <c r="CA361" s="305"/>
      <c r="CB361" s="305"/>
      <c r="CC361" s="305"/>
      <c r="CD361" s="305"/>
      <c r="CE361" s="305"/>
      <c r="CF361" s="305"/>
      <c r="CG361" s="305"/>
      <c r="CH361" s="305"/>
      <c r="CI361" s="305"/>
      <c r="CJ361" s="305"/>
      <c r="CK361" s="305"/>
      <c r="CL361" s="305"/>
      <c r="CM361" s="305"/>
      <c r="CN361" s="305"/>
      <c r="CO361" s="305"/>
      <c r="CP361" s="305"/>
      <c r="CQ361" s="305"/>
      <c r="CR361" s="305"/>
      <c r="CS361" s="305"/>
      <c r="CT361" s="305"/>
      <c r="CU361" s="305"/>
      <c r="CV361" s="305"/>
      <c r="CW361" s="305"/>
      <c r="CX361" s="305"/>
      <c r="CY361" s="305"/>
      <c r="CZ361" s="305"/>
      <c r="DA361" s="305"/>
      <c r="DB361" s="305"/>
      <c r="DC361" s="305"/>
      <c r="DD361" s="305"/>
      <c r="DE361" s="305"/>
      <c r="DF361" s="305"/>
      <c r="DG361" s="305"/>
      <c r="DH361" s="305"/>
      <c r="DI361" s="305"/>
      <c r="DJ361" s="305"/>
      <c r="DK361" s="305"/>
      <c r="DL361" s="305"/>
      <c r="DM361" s="305"/>
      <c r="DN361" s="305"/>
      <c r="DO361" s="305"/>
      <c r="DP361" s="305"/>
      <c r="DQ361" s="305"/>
      <c r="DR361" s="305"/>
      <c r="DS361" s="305"/>
      <c r="DT361" s="305"/>
      <c r="DU361" s="305"/>
      <c r="DV361" s="305"/>
      <c r="DW361" s="305"/>
      <c r="DX361" s="305"/>
      <c r="DY361" s="305"/>
      <c r="DZ361" s="305"/>
      <c r="EA361" s="305"/>
      <c r="EB361" s="305"/>
      <c r="EC361" s="305"/>
      <c r="ED361" s="305"/>
      <c r="EE361" s="305"/>
      <c r="EF361" s="305"/>
      <c r="EG361" s="305"/>
      <c r="EH361" s="305"/>
      <c r="EI361" s="305"/>
      <c r="EJ361" s="305"/>
      <c r="EK361" s="305"/>
      <c r="EL361" s="305"/>
      <c r="EM361" s="305"/>
      <c r="EN361" s="305"/>
      <c r="EO361" s="305"/>
      <c r="EP361" s="305"/>
      <c r="EQ361" s="305"/>
      <c r="ER361" s="305"/>
      <c r="ES361" s="305"/>
      <c r="ET361" s="305"/>
      <c r="EU361" s="305"/>
      <c r="EV361" s="305"/>
      <c r="EW361" s="305"/>
      <c r="EX361" s="305"/>
      <c r="EY361" s="305"/>
      <c r="EZ361" s="305"/>
      <c r="FA361" s="305"/>
      <c r="FB361" s="305"/>
      <c r="FC361" s="305"/>
      <c r="FD361" s="305"/>
      <c r="FE361" s="305"/>
      <c r="FF361" s="305"/>
      <c r="FG361" s="305"/>
      <c r="FH361" s="305"/>
      <c r="FI361" s="305"/>
      <c r="FJ361" s="305"/>
      <c r="FK361" s="305"/>
      <c r="FL361" s="305"/>
      <c r="FM361" s="305"/>
      <c r="FN361" s="305"/>
      <c r="FO361" s="305"/>
      <c r="FP361" s="305"/>
      <c r="FQ361" s="305"/>
      <c r="FR361" s="305"/>
      <c r="FS361" s="305"/>
      <c r="FT361" s="305"/>
      <c r="FU361" s="305"/>
      <c r="FV361" s="305"/>
      <c r="FW361" s="305"/>
      <c r="FX361" s="305"/>
      <c r="FY361" s="305"/>
      <c r="FZ361" s="305"/>
      <c r="GA361" s="305"/>
      <c r="GB361" s="305"/>
      <c r="GC361" s="305"/>
      <c r="GD361" s="305"/>
      <c r="GE361" s="305"/>
      <c r="GF361" s="305"/>
      <c r="GG361" s="305"/>
      <c r="GH361" s="305"/>
      <c r="GI361" s="305"/>
      <c r="GJ361" s="305"/>
      <c r="GK361" s="305"/>
      <c r="GL361" s="305"/>
      <c r="GM361" s="305"/>
      <c r="GN361" s="305"/>
      <c r="GO361" s="305"/>
      <c r="GP361" s="305"/>
      <c r="GQ361" s="305"/>
      <c r="GR361" s="305"/>
    </row>
    <row r="362" spans="3:200" s="318" customFormat="1" ht="12.75" customHeight="1" x14ac:dyDescent="0.2">
      <c r="C362" s="367"/>
      <c r="D362" s="403"/>
      <c r="E362" s="369"/>
      <c r="F362" s="369"/>
      <c r="G362" s="369"/>
      <c r="H362" s="369"/>
      <c r="I362" s="370"/>
      <c r="J362"/>
      <c r="K362" s="371"/>
      <c r="L362" s="371"/>
      <c r="M362" s="371"/>
      <c r="N362" s="371"/>
      <c r="O362" s="305"/>
      <c r="P362" s="305"/>
      <c r="Q362" s="305"/>
      <c r="R362" s="305"/>
      <c r="S362" s="305"/>
      <c r="T362" s="305"/>
      <c r="U362" s="305"/>
      <c r="V362" s="305"/>
      <c r="W362" s="305"/>
      <c r="X362" s="305"/>
      <c r="Y362" s="305"/>
      <c r="Z362" s="305"/>
      <c r="AA362" s="305"/>
      <c r="AB362" s="305"/>
      <c r="AC362" s="305"/>
      <c r="AD362" s="305"/>
      <c r="AE362" s="305"/>
      <c r="AF362" s="305"/>
      <c r="AG362" s="305"/>
      <c r="AH362" s="305"/>
      <c r="AI362" s="305"/>
      <c r="AJ362" s="305"/>
      <c r="AK362" s="305"/>
      <c r="AL362" s="305"/>
      <c r="AM362" s="305"/>
      <c r="AN362" s="305"/>
      <c r="AO362" s="305"/>
      <c r="AP362" s="305"/>
      <c r="AQ362" s="305"/>
      <c r="AR362" s="305"/>
      <c r="AS362" s="305"/>
      <c r="AT362" s="305"/>
      <c r="AU362" s="305"/>
      <c r="AV362" s="305"/>
      <c r="AW362" s="305"/>
      <c r="AX362" s="305"/>
      <c r="AY362" s="305"/>
      <c r="AZ362" s="305"/>
      <c r="BA362" s="305"/>
      <c r="BB362" s="305"/>
      <c r="BC362" s="305"/>
      <c r="BD362" s="305"/>
      <c r="BE362" s="305"/>
      <c r="BF362" s="305"/>
      <c r="BG362" s="305"/>
      <c r="BH362" s="305"/>
      <c r="BI362" s="305"/>
      <c r="BJ362" s="305"/>
      <c r="BK362" s="305"/>
      <c r="BL362" s="305"/>
      <c r="BM362" s="305"/>
      <c r="BN362" s="305"/>
      <c r="BO362" s="305"/>
      <c r="BP362" s="305"/>
      <c r="BQ362" s="305"/>
      <c r="BR362" s="305"/>
      <c r="BS362" s="305"/>
      <c r="BT362" s="305"/>
      <c r="BU362" s="305"/>
      <c r="BV362" s="305"/>
      <c r="BW362" s="305"/>
      <c r="BX362" s="305"/>
      <c r="BY362" s="305"/>
      <c r="BZ362" s="305"/>
      <c r="CA362" s="305"/>
      <c r="CB362" s="305"/>
      <c r="CC362" s="305"/>
      <c r="CD362" s="305"/>
      <c r="CE362" s="305"/>
      <c r="CF362" s="305"/>
      <c r="CG362" s="305"/>
      <c r="CH362" s="305"/>
      <c r="CI362" s="305"/>
      <c r="CJ362" s="305"/>
      <c r="CK362" s="305"/>
      <c r="CL362" s="305"/>
      <c r="CM362" s="305"/>
      <c r="CN362" s="305"/>
      <c r="CO362" s="305"/>
      <c r="CP362" s="305"/>
      <c r="CQ362" s="305"/>
      <c r="CR362" s="305"/>
      <c r="CS362" s="305"/>
      <c r="CT362" s="305"/>
      <c r="CU362" s="305"/>
      <c r="CV362" s="305"/>
      <c r="CW362" s="305"/>
      <c r="CX362" s="305"/>
      <c r="CY362" s="305"/>
      <c r="CZ362" s="305"/>
      <c r="DA362" s="305"/>
      <c r="DB362" s="305"/>
      <c r="DC362" s="305"/>
      <c r="DD362" s="305"/>
      <c r="DE362" s="305"/>
      <c r="DF362" s="305"/>
      <c r="DG362" s="305"/>
      <c r="DH362" s="305"/>
      <c r="DI362" s="305"/>
      <c r="DJ362" s="305"/>
      <c r="DK362" s="305"/>
      <c r="DL362" s="305"/>
      <c r="DM362" s="305"/>
      <c r="DN362" s="305"/>
      <c r="DO362" s="305"/>
      <c r="DP362" s="305"/>
      <c r="DQ362" s="305"/>
      <c r="DR362" s="305"/>
      <c r="DS362" s="305"/>
      <c r="DT362" s="305"/>
      <c r="DU362" s="305"/>
      <c r="DV362" s="305"/>
      <c r="DW362" s="305"/>
      <c r="DX362" s="305"/>
      <c r="DY362" s="305"/>
      <c r="DZ362" s="305"/>
      <c r="EA362" s="305"/>
      <c r="EB362" s="305"/>
      <c r="EC362" s="305"/>
      <c r="ED362" s="305"/>
      <c r="EE362" s="305"/>
      <c r="EF362" s="305"/>
      <c r="EG362" s="305"/>
      <c r="EH362" s="305"/>
      <c r="EI362" s="305"/>
      <c r="EJ362" s="305"/>
      <c r="EK362" s="305"/>
      <c r="EL362" s="305"/>
      <c r="EM362" s="305"/>
      <c r="EN362" s="305"/>
      <c r="EO362" s="305"/>
      <c r="EP362" s="305"/>
      <c r="EQ362" s="305"/>
      <c r="ER362" s="305"/>
      <c r="ES362" s="305"/>
      <c r="ET362" s="305"/>
      <c r="EU362" s="305"/>
      <c r="EV362" s="305"/>
      <c r="EW362" s="305"/>
      <c r="EX362" s="305"/>
      <c r="EY362" s="305"/>
      <c r="EZ362" s="305"/>
      <c r="FA362" s="305"/>
      <c r="FB362" s="305"/>
      <c r="FC362" s="305"/>
      <c r="FD362" s="305"/>
      <c r="FE362" s="305"/>
      <c r="FF362" s="305"/>
      <c r="FG362" s="305"/>
      <c r="FH362" s="305"/>
      <c r="FI362" s="305"/>
      <c r="FJ362" s="305"/>
      <c r="FK362" s="305"/>
      <c r="FL362" s="305"/>
      <c r="FM362" s="305"/>
      <c r="FN362" s="305"/>
      <c r="FO362" s="305"/>
      <c r="FP362" s="305"/>
      <c r="FQ362" s="305"/>
      <c r="FR362" s="305"/>
      <c r="FS362" s="305"/>
      <c r="FT362" s="305"/>
      <c r="FU362" s="305"/>
      <c r="FV362" s="305"/>
      <c r="FW362" s="305"/>
      <c r="FX362" s="305"/>
      <c r="FY362" s="305"/>
      <c r="FZ362" s="305"/>
      <c r="GA362" s="305"/>
      <c r="GB362" s="305"/>
      <c r="GC362" s="305"/>
      <c r="GD362" s="305"/>
      <c r="GE362" s="305"/>
      <c r="GF362" s="305"/>
      <c r="GG362" s="305"/>
      <c r="GH362" s="305"/>
      <c r="GI362" s="305"/>
      <c r="GJ362" s="305"/>
      <c r="GK362" s="305"/>
      <c r="GL362" s="305"/>
      <c r="GM362" s="305"/>
      <c r="GN362" s="305"/>
      <c r="GO362" s="305"/>
      <c r="GP362" s="305"/>
      <c r="GQ362" s="305"/>
      <c r="GR362" s="305"/>
    </row>
    <row r="363" spans="3:200" s="318" customFormat="1" ht="12.75" customHeight="1" x14ac:dyDescent="0.2">
      <c r="C363" s="367"/>
      <c r="D363" s="403"/>
      <c r="E363" s="369"/>
      <c r="F363" s="369"/>
      <c r="G363" s="369"/>
      <c r="H363" s="369"/>
      <c r="I363" s="370"/>
      <c r="J363"/>
      <c r="K363" s="371"/>
      <c r="L363" s="371"/>
      <c r="M363" s="371"/>
      <c r="N363" s="371"/>
      <c r="O363" s="305"/>
      <c r="P363" s="305"/>
      <c r="Q363" s="305"/>
      <c r="R363" s="305"/>
      <c r="S363" s="305"/>
      <c r="T363" s="305"/>
      <c r="U363" s="305"/>
      <c r="V363" s="305"/>
      <c r="W363" s="305"/>
      <c r="X363" s="305"/>
      <c r="Y363" s="305"/>
      <c r="Z363" s="305"/>
      <c r="AA363" s="305"/>
      <c r="AB363" s="305"/>
      <c r="AC363" s="305"/>
      <c r="AD363" s="305"/>
      <c r="AE363" s="305"/>
      <c r="AF363" s="305"/>
      <c r="AG363" s="305"/>
      <c r="AH363" s="305"/>
      <c r="AI363" s="305"/>
      <c r="AJ363" s="305"/>
      <c r="AK363" s="305"/>
      <c r="AL363" s="305"/>
      <c r="AM363" s="305"/>
      <c r="AN363" s="305"/>
      <c r="AO363" s="305"/>
      <c r="AP363" s="305"/>
      <c r="AQ363" s="305"/>
      <c r="AR363" s="305"/>
      <c r="AS363" s="305"/>
      <c r="AT363" s="305"/>
      <c r="AU363" s="305"/>
      <c r="AV363" s="305"/>
      <c r="AW363" s="305"/>
      <c r="AX363" s="305"/>
      <c r="AY363" s="305"/>
      <c r="AZ363" s="305"/>
      <c r="BA363" s="305"/>
      <c r="BB363" s="305"/>
      <c r="BC363" s="305"/>
      <c r="BD363" s="305"/>
      <c r="BE363" s="305"/>
      <c r="BF363" s="305"/>
      <c r="BG363" s="305"/>
      <c r="BH363" s="305"/>
      <c r="BI363" s="305"/>
      <c r="BJ363" s="305"/>
      <c r="BK363" s="305"/>
      <c r="BL363" s="305"/>
      <c r="BM363" s="305"/>
      <c r="BN363" s="305"/>
      <c r="BO363" s="305"/>
      <c r="BP363" s="305"/>
      <c r="BQ363" s="305"/>
      <c r="BR363" s="305"/>
      <c r="BS363" s="305"/>
      <c r="BT363" s="305"/>
      <c r="BU363" s="305"/>
      <c r="BV363" s="305"/>
      <c r="BW363" s="305"/>
      <c r="BX363" s="305"/>
      <c r="BY363" s="305"/>
      <c r="BZ363" s="305"/>
      <c r="CA363" s="305"/>
      <c r="CB363" s="305"/>
      <c r="CC363" s="305"/>
      <c r="CD363" s="305"/>
      <c r="CE363" s="305"/>
      <c r="CF363" s="305"/>
      <c r="CG363" s="305"/>
      <c r="CH363" s="305"/>
      <c r="CI363" s="305"/>
      <c r="CJ363" s="305"/>
      <c r="CK363" s="305"/>
      <c r="CL363" s="305"/>
      <c r="CM363" s="305"/>
      <c r="CN363" s="305"/>
      <c r="CO363" s="305"/>
      <c r="CP363" s="305"/>
      <c r="CQ363" s="305"/>
      <c r="CR363" s="305"/>
      <c r="CS363" s="305"/>
      <c r="CT363" s="305"/>
      <c r="CU363" s="305"/>
      <c r="CV363" s="305"/>
      <c r="CW363" s="305"/>
      <c r="CX363" s="305"/>
      <c r="CY363" s="305"/>
      <c r="CZ363" s="305"/>
      <c r="DA363" s="305"/>
      <c r="DB363" s="305"/>
      <c r="DC363" s="305"/>
      <c r="DD363" s="305"/>
      <c r="DE363" s="305"/>
      <c r="DF363" s="305"/>
      <c r="DG363" s="305"/>
      <c r="DH363" s="305"/>
      <c r="DI363" s="305"/>
      <c r="DJ363" s="305"/>
      <c r="DK363" s="305"/>
      <c r="DL363" s="305"/>
      <c r="DM363" s="305"/>
      <c r="DN363" s="305"/>
      <c r="DO363" s="305"/>
      <c r="DP363" s="305"/>
      <c r="DQ363" s="305"/>
      <c r="DR363" s="305"/>
      <c r="DS363" s="305"/>
      <c r="DT363" s="305"/>
      <c r="DU363" s="305"/>
      <c r="DV363" s="305"/>
      <c r="DW363" s="305"/>
      <c r="DX363" s="305"/>
      <c r="DY363" s="305"/>
      <c r="DZ363" s="305"/>
      <c r="EA363" s="305"/>
      <c r="EB363" s="305"/>
      <c r="EC363" s="305"/>
      <c r="ED363" s="305"/>
      <c r="EE363" s="305"/>
      <c r="EF363" s="305"/>
      <c r="EG363" s="305"/>
      <c r="EH363" s="305"/>
      <c r="EI363" s="305"/>
      <c r="EJ363" s="305"/>
      <c r="EK363" s="305"/>
      <c r="EL363" s="305"/>
      <c r="EM363" s="305"/>
      <c r="EN363" s="305"/>
      <c r="EO363" s="305"/>
      <c r="EP363" s="305"/>
      <c r="EQ363" s="305"/>
      <c r="ER363" s="305"/>
      <c r="ES363" s="305"/>
      <c r="ET363" s="305"/>
      <c r="EU363" s="305"/>
      <c r="EV363" s="305"/>
      <c r="EW363" s="305"/>
      <c r="EX363" s="305"/>
      <c r="EY363" s="305"/>
      <c r="EZ363" s="305"/>
      <c r="FA363" s="305"/>
      <c r="FB363" s="305"/>
      <c r="FC363" s="305"/>
      <c r="FD363" s="305"/>
      <c r="FE363" s="305"/>
      <c r="FF363" s="305"/>
      <c r="FG363" s="305"/>
      <c r="FH363" s="305"/>
      <c r="FI363" s="305"/>
      <c r="FJ363" s="305"/>
      <c r="FK363" s="305"/>
      <c r="FL363" s="305"/>
      <c r="FM363" s="305"/>
      <c r="FN363" s="305"/>
      <c r="FO363" s="305"/>
      <c r="FP363" s="305"/>
      <c r="FQ363" s="305"/>
      <c r="FR363" s="305"/>
      <c r="FS363" s="305"/>
      <c r="FT363" s="305"/>
      <c r="FU363" s="305"/>
      <c r="FV363" s="305"/>
      <c r="FW363" s="305"/>
      <c r="FX363" s="305"/>
      <c r="FY363" s="305"/>
      <c r="FZ363" s="305"/>
      <c r="GA363" s="305"/>
      <c r="GB363" s="305"/>
      <c r="GC363" s="305"/>
      <c r="GD363" s="305"/>
      <c r="GE363" s="305"/>
      <c r="GF363" s="305"/>
      <c r="GG363" s="305"/>
      <c r="GH363" s="305"/>
      <c r="GI363" s="305"/>
      <c r="GJ363" s="305"/>
      <c r="GK363" s="305"/>
      <c r="GL363" s="305"/>
      <c r="GM363" s="305"/>
      <c r="GN363" s="305"/>
      <c r="GO363" s="305"/>
      <c r="GP363" s="305"/>
      <c r="GQ363" s="305"/>
      <c r="GR363" s="305"/>
    </row>
    <row r="364" spans="3:200" s="318" customFormat="1" ht="12.75" customHeight="1" x14ac:dyDescent="0.2">
      <c r="C364" s="367"/>
      <c r="D364" s="403"/>
      <c r="E364" s="369"/>
      <c r="F364" s="369"/>
      <c r="G364" s="369"/>
      <c r="H364" s="369"/>
      <c r="I364" s="370"/>
      <c r="J364"/>
      <c r="K364" s="371"/>
      <c r="L364" s="371"/>
      <c r="M364" s="371"/>
      <c r="N364" s="371"/>
      <c r="O364" s="305"/>
      <c r="P364" s="305"/>
      <c r="Q364" s="305"/>
      <c r="R364" s="305"/>
      <c r="S364" s="305"/>
      <c r="T364" s="305"/>
      <c r="U364" s="305"/>
      <c r="V364" s="305"/>
      <c r="W364" s="305"/>
      <c r="X364" s="305"/>
      <c r="Y364" s="305"/>
      <c r="Z364" s="305"/>
      <c r="AA364" s="305"/>
      <c r="AB364" s="305"/>
      <c r="AC364" s="305"/>
      <c r="AD364" s="305"/>
      <c r="AE364" s="305"/>
      <c r="AF364" s="305"/>
      <c r="AG364" s="305"/>
      <c r="AH364" s="305"/>
      <c r="AI364" s="305"/>
      <c r="AJ364" s="305"/>
      <c r="AK364" s="305"/>
      <c r="AL364" s="305"/>
      <c r="AM364" s="305"/>
      <c r="AN364" s="305"/>
      <c r="AO364" s="305"/>
      <c r="AP364" s="305"/>
      <c r="AQ364" s="305"/>
      <c r="AR364" s="305"/>
      <c r="AS364" s="305"/>
      <c r="AT364" s="305"/>
      <c r="AU364" s="305"/>
      <c r="AV364" s="305"/>
      <c r="AW364" s="305"/>
      <c r="AX364" s="305"/>
      <c r="AY364" s="305"/>
      <c r="AZ364" s="305"/>
      <c r="BA364" s="305"/>
      <c r="BB364" s="305"/>
      <c r="BC364" s="305"/>
      <c r="BD364" s="305"/>
      <c r="BE364" s="305"/>
      <c r="BF364" s="305"/>
      <c r="BG364" s="305"/>
      <c r="BH364" s="305"/>
      <c r="BI364" s="305"/>
      <c r="BJ364" s="305"/>
      <c r="BK364" s="305"/>
      <c r="BL364" s="305"/>
      <c r="BM364" s="305"/>
      <c r="BN364" s="305"/>
      <c r="BO364" s="305"/>
      <c r="BP364" s="305"/>
      <c r="BQ364" s="305"/>
      <c r="BR364" s="305"/>
      <c r="BS364" s="305"/>
      <c r="BT364" s="305"/>
      <c r="BU364" s="305"/>
      <c r="BV364" s="305"/>
      <c r="BW364" s="305"/>
      <c r="BX364" s="305"/>
      <c r="BY364" s="305"/>
      <c r="BZ364" s="305"/>
      <c r="CA364" s="305"/>
      <c r="CB364" s="305"/>
      <c r="CC364" s="305"/>
      <c r="CD364" s="305"/>
      <c r="CE364" s="305"/>
      <c r="CF364" s="305"/>
      <c r="CG364" s="305"/>
      <c r="CH364" s="305"/>
      <c r="CI364" s="305"/>
      <c r="CJ364" s="305"/>
      <c r="CK364" s="305"/>
      <c r="CL364" s="305"/>
      <c r="CM364" s="305"/>
      <c r="CN364" s="305"/>
      <c r="CO364" s="305"/>
      <c r="CP364" s="305"/>
      <c r="CQ364" s="305"/>
      <c r="CR364" s="305"/>
      <c r="CS364" s="305"/>
      <c r="CT364" s="305"/>
      <c r="CU364" s="305"/>
      <c r="CV364" s="305"/>
      <c r="CW364" s="305"/>
      <c r="CX364" s="305"/>
      <c r="CY364" s="305"/>
      <c r="CZ364" s="305"/>
      <c r="DA364" s="305"/>
      <c r="DB364" s="305"/>
      <c r="DC364" s="305"/>
      <c r="DD364" s="305"/>
      <c r="DE364" s="305"/>
      <c r="DF364" s="305"/>
      <c r="DG364" s="305"/>
      <c r="DH364" s="305"/>
      <c r="DI364" s="305"/>
      <c r="DJ364" s="305"/>
      <c r="DK364" s="305"/>
      <c r="DL364" s="305"/>
      <c r="DM364" s="305"/>
      <c r="DN364" s="305"/>
      <c r="DO364" s="305"/>
      <c r="DP364" s="305"/>
      <c r="DQ364" s="305"/>
      <c r="DR364" s="305"/>
      <c r="DS364" s="305"/>
      <c r="DT364" s="305"/>
      <c r="DU364" s="305"/>
      <c r="DV364" s="305"/>
      <c r="DW364" s="305"/>
      <c r="DX364" s="305"/>
      <c r="DY364" s="305"/>
      <c r="DZ364" s="305"/>
      <c r="EA364" s="305"/>
      <c r="EB364" s="305"/>
      <c r="EC364" s="305"/>
      <c r="ED364" s="305"/>
      <c r="EE364" s="305"/>
      <c r="EF364" s="305"/>
      <c r="EG364" s="305"/>
      <c r="EH364" s="305"/>
      <c r="EI364" s="305"/>
      <c r="EJ364" s="305"/>
      <c r="EK364" s="305"/>
      <c r="EL364" s="305"/>
      <c r="EM364" s="305"/>
      <c r="EN364" s="305"/>
      <c r="EO364" s="305"/>
      <c r="EP364" s="305"/>
      <c r="EQ364" s="305"/>
      <c r="ER364" s="305"/>
      <c r="ES364" s="305"/>
      <c r="ET364" s="305"/>
      <c r="EU364" s="305"/>
      <c r="EV364" s="305"/>
      <c r="EW364" s="305"/>
      <c r="EX364" s="305"/>
      <c r="EY364" s="305"/>
      <c r="EZ364" s="305"/>
      <c r="FA364" s="305"/>
      <c r="FB364" s="305"/>
      <c r="FC364" s="305"/>
      <c r="FD364" s="305"/>
      <c r="FE364" s="305"/>
      <c r="FF364" s="305"/>
      <c r="FG364" s="305"/>
      <c r="FH364" s="305"/>
      <c r="FI364" s="305"/>
      <c r="FJ364" s="305"/>
      <c r="FK364" s="305"/>
      <c r="FL364" s="305"/>
      <c r="FM364" s="305"/>
      <c r="FN364" s="305"/>
      <c r="FO364" s="305"/>
      <c r="FP364" s="305"/>
      <c r="FQ364" s="305"/>
      <c r="FR364" s="305"/>
      <c r="FS364" s="305"/>
      <c r="FT364" s="305"/>
      <c r="FU364" s="305"/>
      <c r="FV364" s="305"/>
      <c r="FW364" s="305"/>
      <c r="FX364" s="305"/>
      <c r="FY364" s="305"/>
      <c r="FZ364" s="305"/>
      <c r="GA364" s="305"/>
      <c r="GB364" s="305"/>
      <c r="GC364" s="305"/>
      <c r="GD364" s="305"/>
      <c r="GE364" s="305"/>
      <c r="GF364" s="305"/>
      <c r="GG364" s="305"/>
      <c r="GH364" s="305"/>
      <c r="GI364" s="305"/>
      <c r="GJ364" s="305"/>
      <c r="GK364" s="305"/>
      <c r="GL364" s="305"/>
      <c r="GM364" s="305"/>
      <c r="GN364" s="305"/>
      <c r="GO364" s="305"/>
      <c r="GP364" s="305"/>
      <c r="GQ364" s="305"/>
      <c r="GR364" s="305"/>
    </row>
    <row r="365" spans="3:200" s="318" customFormat="1" ht="12.75" customHeight="1" x14ac:dyDescent="0.2">
      <c r="C365" s="367"/>
      <c r="D365" s="403"/>
      <c r="E365" s="369"/>
      <c r="F365" s="369"/>
      <c r="G365" s="369"/>
      <c r="H365" s="369"/>
      <c r="I365" s="370"/>
      <c r="J365"/>
      <c r="K365" s="371"/>
      <c r="L365" s="371"/>
      <c r="M365" s="371"/>
      <c r="N365" s="371"/>
      <c r="O365" s="305"/>
      <c r="P365" s="305"/>
      <c r="Q365" s="305"/>
      <c r="R365" s="305"/>
      <c r="S365" s="305"/>
      <c r="T365" s="305"/>
      <c r="U365" s="305"/>
      <c r="V365" s="305"/>
      <c r="W365" s="305"/>
      <c r="X365" s="305"/>
      <c r="Y365" s="305"/>
      <c r="Z365" s="305"/>
      <c r="AA365" s="305"/>
      <c r="AB365" s="305"/>
      <c r="AC365" s="305"/>
      <c r="AD365" s="305"/>
      <c r="AE365" s="305"/>
      <c r="AF365" s="305"/>
      <c r="AG365" s="305"/>
      <c r="AH365" s="305"/>
      <c r="AI365" s="305"/>
      <c r="AJ365" s="305"/>
      <c r="AK365" s="305"/>
      <c r="AL365" s="305"/>
      <c r="AM365" s="305"/>
      <c r="AN365" s="305"/>
      <c r="AO365" s="305"/>
      <c r="AP365" s="305"/>
      <c r="AQ365" s="305"/>
      <c r="AR365" s="305"/>
      <c r="AS365" s="305"/>
      <c r="AT365" s="305"/>
      <c r="AU365" s="305"/>
      <c r="AV365" s="305"/>
      <c r="AW365" s="305"/>
      <c r="AX365" s="305"/>
      <c r="AY365" s="305"/>
      <c r="AZ365" s="305"/>
      <c r="BA365" s="305"/>
      <c r="BB365" s="305"/>
      <c r="BC365" s="305"/>
      <c r="BD365" s="305"/>
      <c r="BE365" s="305"/>
      <c r="BF365" s="305"/>
      <c r="BG365" s="305"/>
      <c r="BH365" s="305"/>
      <c r="BI365" s="305"/>
      <c r="BJ365" s="305"/>
      <c r="BK365" s="305"/>
      <c r="BL365" s="305"/>
      <c r="BM365" s="305"/>
      <c r="BN365" s="305"/>
      <c r="BO365" s="305"/>
      <c r="BP365" s="305"/>
      <c r="BQ365" s="305"/>
      <c r="BR365" s="305"/>
      <c r="BS365" s="305"/>
      <c r="BT365" s="305"/>
      <c r="BU365" s="305"/>
      <c r="BV365" s="305"/>
      <c r="BW365" s="305"/>
      <c r="BX365" s="305"/>
      <c r="BY365" s="305"/>
      <c r="BZ365" s="305"/>
      <c r="CA365" s="305"/>
      <c r="CB365" s="305"/>
      <c r="CC365" s="305"/>
      <c r="CD365" s="305"/>
      <c r="CE365" s="305"/>
      <c r="CF365" s="305"/>
      <c r="CG365" s="305"/>
      <c r="CH365" s="305"/>
      <c r="CI365" s="305"/>
      <c r="CJ365" s="305"/>
      <c r="CK365" s="305"/>
      <c r="CL365" s="305"/>
      <c r="CM365" s="305"/>
      <c r="CN365" s="305"/>
      <c r="CO365" s="305"/>
      <c r="CP365" s="305"/>
      <c r="CQ365" s="305"/>
      <c r="CR365" s="305"/>
      <c r="CS365" s="305"/>
      <c r="CT365" s="305"/>
      <c r="CU365" s="305"/>
      <c r="CV365" s="305"/>
      <c r="CW365" s="305"/>
      <c r="CX365" s="305"/>
      <c r="CY365" s="305"/>
      <c r="CZ365" s="305"/>
      <c r="DA365" s="305"/>
      <c r="DB365" s="305"/>
      <c r="DC365" s="305"/>
      <c r="DD365" s="305"/>
      <c r="DE365" s="305"/>
      <c r="DF365" s="305"/>
      <c r="DG365" s="305"/>
      <c r="DH365" s="305"/>
      <c r="DI365" s="305"/>
      <c r="DJ365" s="305"/>
      <c r="DK365" s="305"/>
      <c r="DL365" s="305"/>
      <c r="DM365" s="305"/>
      <c r="DN365" s="305"/>
      <c r="DO365" s="305"/>
      <c r="DP365" s="305"/>
      <c r="DQ365" s="305"/>
      <c r="DR365" s="305"/>
      <c r="DS365" s="305"/>
      <c r="DT365" s="305"/>
      <c r="DU365" s="305"/>
      <c r="DV365" s="305"/>
      <c r="DW365" s="305"/>
      <c r="DX365" s="305"/>
      <c r="DY365" s="305"/>
      <c r="DZ365" s="305"/>
      <c r="EA365" s="305"/>
      <c r="EB365" s="305"/>
      <c r="EC365" s="305"/>
      <c r="ED365" s="305"/>
      <c r="EE365" s="305"/>
      <c r="EF365" s="305"/>
      <c r="EG365" s="305"/>
      <c r="EH365" s="305"/>
      <c r="EI365" s="305"/>
      <c r="EJ365" s="305"/>
      <c r="EK365" s="305"/>
      <c r="EL365" s="305"/>
      <c r="EM365" s="305"/>
      <c r="EN365" s="305"/>
      <c r="EO365" s="305"/>
      <c r="EP365" s="305"/>
      <c r="EQ365" s="305"/>
      <c r="ER365" s="305"/>
      <c r="ES365" s="305"/>
      <c r="ET365" s="305"/>
      <c r="EU365" s="305"/>
      <c r="EV365" s="305"/>
      <c r="EW365" s="305"/>
      <c r="EX365" s="305"/>
      <c r="EY365" s="305"/>
      <c r="EZ365" s="305"/>
      <c r="FA365" s="305"/>
      <c r="FB365" s="305"/>
      <c r="FC365" s="305"/>
      <c r="FD365" s="305"/>
      <c r="FE365" s="305"/>
      <c r="FF365" s="305"/>
      <c r="FG365" s="305"/>
      <c r="FH365" s="305"/>
      <c r="FI365" s="305"/>
      <c r="FJ365" s="305"/>
      <c r="FK365" s="305"/>
      <c r="FL365" s="305"/>
      <c r="FM365" s="305"/>
      <c r="FN365" s="305"/>
      <c r="FO365" s="305"/>
      <c r="FP365" s="305"/>
      <c r="FQ365" s="305"/>
      <c r="FR365" s="305"/>
      <c r="FS365" s="305"/>
      <c r="FT365" s="305"/>
      <c r="FU365" s="305"/>
      <c r="FV365" s="305"/>
      <c r="FW365" s="305"/>
      <c r="FX365" s="305"/>
      <c r="FY365" s="305"/>
      <c r="FZ365" s="305"/>
      <c r="GA365" s="305"/>
      <c r="GB365" s="305"/>
      <c r="GC365" s="305"/>
      <c r="GD365" s="305"/>
      <c r="GE365" s="305"/>
      <c r="GF365" s="305"/>
      <c r="GG365" s="305"/>
      <c r="GH365" s="305"/>
      <c r="GI365" s="305"/>
      <c r="GJ365" s="305"/>
      <c r="GK365" s="305"/>
      <c r="GL365" s="305"/>
      <c r="GM365" s="305"/>
      <c r="GN365" s="305"/>
      <c r="GO365" s="305"/>
      <c r="GP365" s="305"/>
      <c r="GQ365" s="305"/>
      <c r="GR365" s="305"/>
    </row>
    <row r="366" spans="3:200" s="318" customFormat="1" ht="12.75" customHeight="1" x14ac:dyDescent="0.2">
      <c r="C366" s="367"/>
      <c r="D366" s="403"/>
      <c r="E366" s="369"/>
      <c r="F366" s="369"/>
      <c r="G366" s="369"/>
      <c r="H366" s="369"/>
      <c r="I366" s="370"/>
      <c r="J366"/>
      <c r="K366" s="371"/>
      <c r="L366" s="371"/>
      <c r="M366" s="371"/>
      <c r="N366" s="371"/>
      <c r="O366" s="305"/>
      <c r="P366" s="305"/>
      <c r="Q366" s="305"/>
      <c r="R366" s="305"/>
      <c r="S366" s="305"/>
      <c r="T366" s="305"/>
      <c r="U366" s="305"/>
      <c r="V366" s="305"/>
      <c r="W366" s="305"/>
      <c r="X366" s="305"/>
      <c r="Y366" s="305"/>
      <c r="Z366" s="305"/>
      <c r="AA366" s="305"/>
      <c r="AB366" s="305"/>
      <c r="AC366" s="305"/>
      <c r="AD366" s="305"/>
      <c r="AE366" s="305"/>
      <c r="AF366" s="305"/>
      <c r="AG366" s="305"/>
      <c r="AH366" s="305"/>
      <c r="AI366" s="305"/>
      <c r="AJ366" s="305"/>
      <c r="AK366" s="305"/>
      <c r="AL366" s="305"/>
      <c r="AM366" s="305"/>
      <c r="AN366" s="305"/>
      <c r="AO366" s="305"/>
      <c r="AP366" s="305"/>
      <c r="AQ366" s="305"/>
      <c r="AR366" s="305"/>
      <c r="AS366" s="305"/>
      <c r="AT366" s="305"/>
      <c r="AU366" s="305"/>
      <c r="AV366" s="305"/>
      <c r="AW366" s="305"/>
      <c r="AX366" s="305"/>
      <c r="AY366" s="305"/>
      <c r="AZ366" s="305"/>
      <c r="BA366" s="305"/>
      <c r="BB366" s="305"/>
      <c r="BC366" s="305"/>
      <c r="BD366" s="305"/>
      <c r="BE366" s="305"/>
      <c r="BF366" s="305"/>
      <c r="BG366" s="305"/>
      <c r="BH366" s="305"/>
      <c r="BI366" s="305"/>
      <c r="BJ366" s="305"/>
      <c r="BK366" s="305"/>
      <c r="BL366" s="305"/>
      <c r="BM366" s="305"/>
      <c r="BN366" s="305"/>
      <c r="BO366" s="305"/>
      <c r="BP366" s="305"/>
      <c r="BQ366" s="305"/>
      <c r="BR366" s="305"/>
      <c r="BS366" s="305"/>
      <c r="BT366" s="305"/>
      <c r="BU366" s="305"/>
      <c r="BV366" s="305"/>
      <c r="BW366" s="305"/>
      <c r="BX366" s="305"/>
      <c r="BY366" s="305"/>
      <c r="BZ366" s="305"/>
      <c r="CA366" s="305"/>
      <c r="CB366" s="305"/>
      <c r="CC366" s="305"/>
      <c r="CD366" s="305"/>
      <c r="CE366" s="305"/>
      <c r="CF366" s="305"/>
      <c r="CG366" s="305"/>
      <c r="CH366" s="305"/>
      <c r="CI366" s="305"/>
      <c r="CJ366" s="305"/>
      <c r="CK366" s="305"/>
      <c r="CL366" s="305"/>
      <c r="CM366" s="305"/>
      <c r="CN366" s="305"/>
      <c r="CO366" s="305"/>
      <c r="CP366" s="305"/>
      <c r="CQ366" s="305"/>
      <c r="CR366" s="305"/>
      <c r="CS366" s="305"/>
      <c r="CT366" s="305"/>
      <c r="CU366" s="305"/>
      <c r="CV366" s="305"/>
      <c r="CW366" s="305"/>
      <c r="CX366" s="305"/>
      <c r="CY366" s="305"/>
      <c r="CZ366" s="305"/>
      <c r="DA366" s="305"/>
      <c r="DB366" s="305"/>
      <c r="DC366" s="305"/>
      <c r="DD366" s="305"/>
      <c r="DE366" s="305"/>
      <c r="DF366" s="305"/>
      <c r="DG366" s="305"/>
      <c r="DH366" s="305"/>
      <c r="DI366" s="305"/>
      <c r="DJ366" s="305"/>
      <c r="DK366" s="305"/>
      <c r="DL366" s="305"/>
      <c r="DM366" s="305"/>
      <c r="DN366" s="305"/>
      <c r="DO366" s="305"/>
      <c r="DP366" s="305"/>
      <c r="DQ366" s="305"/>
      <c r="DR366" s="305"/>
      <c r="DS366" s="305"/>
      <c r="DT366" s="305"/>
      <c r="DU366" s="305"/>
      <c r="DV366" s="305"/>
      <c r="DW366" s="305"/>
      <c r="DX366" s="305"/>
      <c r="DY366" s="305"/>
      <c r="DZ366" s="305"/>
      <c r="EA366" s="305"/>
      <c r="EB366" s="305"/>
      <c r="EC366" s="305"/>
      <c r="ED366" s="305"/>
      <c r="EE366" s="305"/>
      <c r="EF366" s="305"/>
      <c r="EG366" s="305"/>
      <c r="EH366" s="305"/>
      <c r="EI366" s="305"/>
      <c r="EJ366" s="305"/>
      <c r="EK366" s="305"/>
      <c r="EL366" s="305"/>
      <c r="EM366" s="305"/>
      <c r="EN366" s="305"/>
      <c r="EO366" s="305"/>
      <c r="EP366" s="305"/>
      <c r="EQ366" s="305"/>
      <c r="ER366" s="305"/>
      <c r="ES366" s="305"/>
      <c r="ET366" s="305"/>
      <c r="EU366" s="305"/>
      <c r="EV366" s="305"/>
      <c r="EW366" s="305"/>
      <c r="EX366" s="305"/>
      <c r="EY366" s="305"/>
      <c r="EZ366" s="305"/>
      <c r="FA366" s="305"/>
      <c r="FB366" s="305"/>
      <c r="FC366" s="305"/>
      <c r="FD366" s="305"/>
      <c r="FE366" s="305"/>
      <c r="FF366" s="305"/>
      <c r="FG366" s="305"/>
      <c r="FH366" s="305"/>
      <c r="FI366" s="305"/>
      <c r="FJ366" s="305"/>
      <c r="FK366" s="305"/>
      <c r="FL366" s="305"/>
      <c r="FM366" s="305"/>
      <c r="FN366" s="305"/>
      <c r="FO366" s="305"/>
      <c r="FP366" s="305"/>
      <c r="FQ366" s="305"/>
      <c r="FR366" s="305"/>
      <c r="FS366" s="305"/>
      <c r="FT366" s="305"/>
      <c r="FU366" s="305"/>
      <c r="FV366" s="305"/>
      <c r="FW366" s="305"/>
      <c r="FX366" s="305"/>
      <c r="FY366" s="305"/>
      <c r="FZ366" s="305"/>
      <c r="GA366" s="305"/>
      <c r="GB366" s="305"/>
      <c r="GC366" s="305"/>
      <c r="GD366" s="305"/>
      <c r="GE366" s="305"/>
      <c r="GF366" s="305"/>
      <c r="GG366" s="305"/>
      <c r="GH366" s="305"/>
      <c r="GI366" s="305"/>
      <c r="GJ366" s="305"/>
      <c r="GK366" s="305"/>
      <c r="GL366" s="305"/>
      <c r="GM366" s="305"/>
      <c r="GN366" s="305"/>
      <c r="GO366" s="305"/>
      <c r="GP366" s="305"/>
      <c r="GQ366" s="305"/>
      <c r="GR366" s="305"/>
    </row>
    <row r="367" spans="3:200" s="318" customFormat="1" ht="12.75" customHeight="1" x14ac:dyDescent="0.2">
      <c r="C367" s="367"/>
      <c r="D367" s="403"/>
      <c r="E367" s="369"/>
      <c r="F367" s="369"/>
      <c r="G367" s="369"/>
      <c r="H367" s="369"/>
      <c r="I367" s="370"/>
      <c r="J367"/>
      <c r="K367" s="371"/>
      <c r="L367" s="371"/>
      <c r="M367" s="371"/>
      <c r="N367" s="371"/>
      <c r="O367" s="305"/>
      <c r="P367" s="305"/>
      <c r="Q367" s="305"/>
      <c r="R367" s="305"/>
      <c r="S367" s="305"/>
      <c r="T367" s="305"/>
      <c r="U367" s="305"/>
      <c r="V367" s="305"/>
      <c r="W367" s="305"/>
      <c r="X367" s="305"/>
      <c r="Y367" s="305"/>
      <c r="Z367" s="305"/>
      <c r="AA367" s="305"/>
      <c r="AB367" s="305"/>
      <c r="AC367" s="305"/>
      <c r="AD367" s="305"/>
      <c r="AE367" s="305"/>
      <c r="AF367" s="305"/>
      <c r="AG367" s="305"/>
      <c r="AH367" s="305"/>
      <c r="AI367" s="305"/>
      <c r="AJ367" s="305"/>
      <c r="AK367" s="305"/>
      <c r="AL367" s="305"/>
      <c r="AM367" s="305"/>
      <c r="AN367" s="305"/>
      <c r="AO367" s="305"/>
      <c r="AP367" s="305"/>
      <c r="AQ367" s="305"/>
      <c r="AR367" s="305"/>
      <c r="AS367" s="305"/>
      <c r="AT367" s="305"/>
      <c r="AU367" s="305"/>
      <c r="AV367" s="305"/>
      <c r="AW367" s="305"/>
      <c r="AX367" s="305"/>
      <c r="AY367" s="305"/>
      <c r="AZ367" s="305"/>
      <c r="BA367" s="305"/>
      <c r="BB367" s="305"/>
      <c r="BC367" s="305"/>
      <c r="BD367" s="305"/>
      <c r="BE367" s="305"/>
      <c r="BF367" s="305"/>
      <c r="BG367" s="305"/>
      <c r="BH367" s="305"/>
      <c r="BI367" s="305"/>
      <c r="BJ367" s="305"/>
      <c r="BK367" s="305"/>
      <c r="BL367" s="305"/>
      <c r="BM367" s="305"/>
      <c r="BN367" s="305"/>
      <c r="BO367" s="305"/>
      <c r="BP367" s="305"/>
      <c r="BQ367" s="305"/>
      <c r="BR367" s="305"/>
      <c r="BS367" s="305"/>
      <c r="BT367" s="305"/>
      <c r="BU367" s="305"/>
      <c r="BV367" s="305"/>
      <c r="BW367" s="305"/>
      <c r="BX367" s="305"/>
      <c r="BY367" s="305"/>
      <c r="BZ367" s="305"/>
      <c r="CA367" s="305"/>
      <c r="CB367" s="305"/>
      <c r="CC367" s="305"/>
      <c r="CD367" s="305"/>
      <c r="CE367" s="305"/>
      <c r="CF367" s="305"/>
      <c r="CG367" s="305"/>
      <c r="CH367" s="305"/>
      <c r="CI367" s="305"/>
      <c r="CJ367" s="305"/>
      <c r="CK367" s="305"/>
      <c r="CL367" s="305"/>
      <c r="CM367" s="305"/>
      <c r="CN367" s="305"/>
      <c r="CO367" s="305"/>
      <c r="CP367" s="305"/>
      <c r="CQ367" s="305"/>
      <c r="CR367" s="305"/>
      <c r="CS367" s="305"/>
      <c r="CT367" s="305"/>
      <c r="CU367" s="305"/>
      <c r="CV367" s="305"/>
      <c r="CW367" s="305"/>
      <c r="CX367" s="305"/>
      <c r="CY367" s="305"/>
      <c r="CZ367" s="305"/>
      <c r="DA367" s="305"/>
      <c r="DB367" s="305"/>
      <c r="DC367" s="305"/>
      <c r="DD367" s="305"/>
      <c r="DE367" s="305"/>
      <c r="DF367" s="305"/>
      <c r="DG367" s="305"/>
      <c r="DH367" s="305"/>
      <c r="DI367" s="305"/>
      <c r="DJ367" s="305"/>
      <c r="DK367" s="305"/>
      <c r="DL367" s="305"/>
      <c r="DM367" s="305"/>
      <c r="DN367" s="305"/>
      <c r="DO367" s="305"/>
      <c r="DP367" s="305"/>
      <c r="DQ367" s="305"/>
      <c r="DR367" s="305"/>
      <c r="DS367" s="305"/>
      <c r="DT367" s="305"/>
      <c r="DU367" s="305"/>
      <c r="DV367" s="305"/>
      <c r="DW367" s="305"/>
      <c r="DX367" s="305"/>
      <c r="DY367" s="305"/>
      <c r="DZ367" s="305"/>
      <c r="EA367" s="305"/>
      <c r="EB367" s="305"/>
      <c r="EC367" s="305"/>
      <c r="ED367" s="305"/>
      <c r="EE367" s="305"/>
      <c r="EF367" s="305"/>
      <c r="EG367" s="305"/>
      <c r="EH367" s="305"/>
      <c r="EI367" s="305"/>
      <c r="EJ367" s="305"/>
      <c r="EK367" s="305"/>
      <c r="EL367" s="305"/>
      <c r="EM367" s="305"/>
      <c r="EN367" s="305"/>
      <c r="EO367" s="305"/>
      <c r="EP367" s="305"/>
      <c r="EQ367" s="305"/>
      <c r="ER367" s="305"/>
      <c r="ES367" s="305"/>
      <c r="ET367" s="305"/>
      <c r="EU367" s="305"/>
      <c r="EV367" s="305"/>
      <c r="EW367" s="305"/>
      <c r="EX367" s="305"/>
      <c r="EY367" s="305"/>
      <c r="EZ367" s="305"/>
      <c r="FA367" s="305"/>
      <c r="FB367" s="305"/>
      <c r="FC367" s="305"/>
      <c r="FD367" s="305"/>
      <c r="FE367" s="305"/>
      <c r="FF367" s="305"/>
      <c r="FG367" s="305"/>
      <c r="FH367" s="305"/>
      <c r="FI367" s="305"/>
      <c r="FJ367" s="305"/>
      <c r="FK367" s="305"/>
      <c r="FL367" s="305"/>
      <c r="FM367" s="305"/>
      <c r="FN367" s="305"/>
      <c r="FO367" s="305"/>
      <c r="FP367" s="305"/>
      <c r="FQ367" s="305"/>
      <c r="FR367" s="305"/>
      <c r="FS367" s="305"/>
      <c r="FT367" s="305"/>
      <c r="FU367" s="305"/>
      <c r="FV367" s="305"/>
      <c r="FW367" s="305"/>
      <c r="FX367" s="305"/>
      <c r="FY367" s="305"/>
      <c r="FZ367" s="305"/>
      <c r="GA367" s="305"/>
      <c r="GB367" s="305"/>
      <c r="GC367" s="305"/>
      <c r="GD367" s="305"/>
      <c r="GE367" s="305"/>
      <c r="GF367" s="305"/>
      <c r="GG367" s="305"/>
      <c r="GH367" s="305"/>
      <c r="GI367" s="305"/>
      <c r="GJ367" s="305"/>
      <c r="GK367" s="305"/>
      <c r="GL367" s="305"/>
      <c r="GM367" s="305"/>
      <c r="GN367" s="305"/>
      <c r="GO367" s="305"/>
      <c r="GP367" s="305"/>
      <c r="GQ367" s="305"/>
      <c r="GR367" s="305"/>
    </row>
    <row r="368" spans="3:200" s="318" customFormat="1" ht="12.75" customHeight="1" x14ac:dyDescent="0.2">
      <c r="C368" s="367"/>
      <c r="D368" s="403"/>
      <c r="E368" s="369"/>
      <c r="F368" s="369"/>
      <c r="G368" s="369"/>
      <c r="H368" s="369"/>
      <c r="I368" s="370"/>
      <c r="J368"/>
      <c r="K368" s="371"/>
      <c r="L368" s="371"/>
      <c r="M368" s="371"/>
      <c r="N368" s="371"/>
      <c r="O368" s="305"/>
      <c r="P368" s="305"/>
      <c r="Q368" s="305"/>
      <c r="R368" s="305"/>
      <c r="S368" s="305"/>
      <c r="T368" s="305"/>
      <c r="U368" s="305"/>
      <c r="V368" s="305"/>
      <c r="W368" s="305"/>
      <c r="X368" s="305"/>
      <c r="Y368" s="305"/>
      <c r="Z368" s="305"/>
      <c r="AA368" s="305"/>
      <c r="AB368" s="305"/>
      <c r="AC368" s="305"/>
      <c r="AD368" s="305"/>
      <c r="AE368" s="305"/>
      <c r="AF368" s="305"/>
      <c r="AG368" s="305"/>
      <c r="AH368" s="305"/>
      <c r="AI368" s="305"/>
      <c r="AJ368" s="305"/>
      <c r="AK368" s="305"/>
      <c r="AL368" s="305"/>
      <c r="AM368" s="305"/>
      <c r="AN368" s="305"/>
      <c r="AO368" s="305"/>
      <c r="AP368" s="305"/>
      <c r="AQ368" s="305"/>
      <c r="AR368" s="305"/>
      <c r="AS368" s="305"/>
      <c r="AT368" s="305"/>
      <c r="AU368" s="305"/>
      <c r="AV368" s="305"/>
      <c r="AW368" s="305"/>
      <c r="AX368" s="305"/>
      <c r="AY368" s="305"/>
      <c r="AZ368" s="305"/>
      <c r="BA368" s="305"/>
      <c r="BB368" s="305"/>
      <c r="BC368" s="305"/>
      <c r="BD368" s="305"/>
      <c r="BE368" s="305"/>
      <c r="BF368" s="305"/>
      <c r="BG368" s="305"/>
      <c r="BH368" s="305"/>
      <c r="BI368" s="305"/>
      <c r="BJ368" s="305"/>
      <c r="BK368" s="305"/>
      <c r="BL368" s="305"/>
      <c r="BM368" s="305"/>
      <c r="BN368" s="305"/>
      <c r="BO368" s="305"/>
      <c r="BP368" s="305"/>
      <c r="BQ368" s="305"/>
      <c r="BR368" s="305"/>
      <c r="BS368" s="305"/>
      <c r="BT368" s="305"/>
      <c r="BU368" s="305"/>
      <c r="BV368" s="305"/>
      <c r="BW368" s="305"/>
      <c r="BX368" s="305"/>
      <c r="BY368" s="305"/>
      <c r="BZ368" s="305"/>
      <c r="CA368" s="305"/>
      <c r="CB368" s="305"/>
      <c r="CC368" s="305"/>
      <c r="CD368" s="305"/>
      <c r="CE368" s="305"/>
      <c r="CF368" s="305"/>
      <c r="CG368" s="305"/>
      <c r="CH368" s="305"/>
      <c r="CI368" s="305"/>
      <c r="CJ368" s="305"/>
      <c r="CK368" s="305"/>
      <c r="CL368" s="305"/>
      <c r="CM368" s="305"/>
      <c r="CN368" s="305"/>
      <c r="CO368" s="305"/>
      <c r="CP368" s="305"/>
      <c r="CQ368" s="305"/>
      <c r="CR368" s="305"/>
      <c r="CS368" s="305"/>
      <c r="CT368" s="305"/>
      <c r="CU368" s="305"/>
      <c r="CV368" s="305"/>
      <c r="CW368" s="305"/>
      <c r="CX368" s="305"/>
      <c r="CY368" s="305"/>
      <c r="CZ368" s="305"/>
      <c r="DA368" s="305"/>
      <c r="DB368" s="305"/>
      <c r="DC368" s="305"/>
      <c r="DD368" s="305"/>
      <c r="DE368" s="305"/>
      <c r="DF368" s="305"/>
      <c r="DG368" s="305"/>
      <c r="DH368" s="305"/>
      <c r="DI368" s="305"/>
      <c r="DJ368" s="305"/>
      <c r="DK368" s="305"/>
      <c r="DL368" s="305"/>
      <c r="DM368" s="305"/>
      <c r="DN368" s="305"/>
      <c r="DO368" s="305"/>
      <c r="DP368" s="305"/>
      <c r="DQ368" s="305"/>
      <c r="DR368" s="305"/>
      <c r="DS368" s="305"/>
      <c r="DT368" s="305"/>
      <c r="DU368" s="305"/>
      <c r="DV368" s="305"/>
      <c r="DW368" s="305"/>
      <c r="DX368" s="305"/>
      <c r="DY368" s="305"/>
      <c r="DZ368" s="305"/>
      <c r="EA368" s="305"/>
      <c r="EB368" s="305"/>
      <c r="EC368" s="305"/>
      <c r="ED368" s="305"/>
      <c r="EE368" s="305"/>
      <c r="EF368" s="305"/>
      <c r="EG368" s="305"/>
      <c r="EH368" s="305"/>
      <c r="EI368" s="305"/>
      <c r="EJ368" s="305"/>
      <c r="EK368" s="305"/>
      <c r="EL368" s="305"/>
      <c r="EM368" s="305"/>
      <c r="EN368" s="305"/>
      <c r="EO368" s="305"/>
      <c r="EP368" s="305"/>
      <c r="EQ368" s="305"/>
      <c r="ER368" s="305"/>
      <c r="ES368" s="305"/>
      <c r="ET368" s="305"/>
      <c r="EU368" s="305"/>
      <c r="EV368" s="305"/>
      <c r="EW368" s="305"/>
      <c r="EX368" s="305"/>
      <c r="EY368" s="305"/>
      <c r="EZ368" s="305"/>
      <c r="FA368" s="305"/>
      <c r="FB368" s="305"/>
      <c r="FC368" s="305"/>
      <c r="FD368" s="305"/>
      <c r="FE368" s="305"/>
      <c r="FF368" s="305"/>
      <c r="FG368" s="305"/>
      <c r="FH368" s="305"/>
      <c r="FI368" s="305"/>
      <c r="FJ368" s="305"/>
      <c r="FK368" s="305"/>
      <c r="FL368" s="305"/>
      <c r="FM368" s="305"/>
      <c r="FN368" s="305"/>
      <c r="FO368" s="305"/>
      <c r="FP368" s="305"/>
      <c r="FQ368" s="305"/>
      <c r="FR368" s="305"/>
      <c r="FS368" s="305"/>
      <c r="FT368" s="305"/>
      <c r="FU368" s="305"/>
      <c r="FV368" s="305"/>
      <c r="FW368" s="305"/>
      <c r="FX368" s="305"/>
      <c r="FY368" s="305"/>
      <c r="FZ368" s="305"/>
      <c r="GA368" s="305"/>
      <c r="GB368" s="305"/>
      <c r="GC368" s="305"/>
      <c r="GD368" s="305"/>
      <c r="GE368" s="305"/>
      <c r="GF368" s="305"/>
      <c r="GG368" s="305"/>
      <c r="GH368" s="305"/>
      <c r="GI368" s="305"/>
      <c r="GJ368" s="305"/>
      <c r="GK368" s="305"/>
      <c r="GL368" s="305"/>
      <c r="GM368" s="305"/>
      <c r="GN368" s="305"/>
      <c r="GO368" s="305"/>
      <c r="GP368" s="305"/>
      <c r="GQ368" s="305"/>
      <c r="GR368" s="305"/>
    </row>
    <row r="369" spans="3:200" s="318" customFormat="1" ht="12.75" customHeight="1" x14ac:dyDescent="0.2">
      <c r="C369" s="367"/>
      <c r="D369" s="403"/>
      <c r="E369" s="369"/>
      <c r="F369" s="369"/>
      <c r="G369" s="369"/>
      <c r="H369" s="369"/>
      <c r="I369" s="370"/>
      <c r="J369"/>
      <c r="K369" s="371"/>
      <c r="L369" s="371"/>
      <c r="M369" s="371"/>
      <c r="N369" s="371"/>
      <c r="O369" s="305"/>
      <c r="P369" s="305"/>
      <c r="Q369" s="305"/>
      <c r="R369" s="305"/>
      <c r="S369" s="305"/>
      <c r="T369" s="305"/>
      <c r="U369" s="305"/>
      <c r="V369" s="305"/>
      <c r="W369" s="305"/>
      <c r="X369" s="305"/>
      <c r="Y369" s="305"/>
      <c r="Z369" s="305"/>
      <c r="AA369" s="305"/>
      <c r="AB369" s="305"/>
      <c r="AC369" s="305"/>
      <c r="AD369" s="305"/>
      <c r="AE369" s="305"/>
      <c r="AF369" s="305"/>
      <c r="AG369" s="305"/>
      <c r="AH369" s="305"/>
      <c r="AI369" s="305"/>
      <c r="AJ369" s="305"/>
      <c r="AK369" s="305"/>
      <c r="AL369" s="305"/>
      <c r="AM369" s="305"/>
      <c r="AN369" s="305"/>
      <c r="AO369" s="305"/>
      <c r="AP369" s="305"/>
      <c r="AQ369" s="305"/>
      <c r="AR369" s="305"/>
      <c r="AS369" s="305"/>
      <c r="AT369" s="305"/>
      <c r="AU369" s="305"/>
      <c r="AV369" s="305"/>
      <c r="AW369" s="305"/>
      <c r="AX369" s="305"/>
      <c r="AY369" s="305"/>
      <c r="AZ369" s="305"/>
      <c r="BA369" s="305"/>
      <c r="BB369" s="305"/>
      <c r="BC369" s="305"/>
      <c r="BD369" s="305"/>
      <c r="BE369" s="305"/>
      <c r="BF369" s="305"/>
      <c r="BG369" s="305"/>
      <c r="BH369" s="305"/>
      <c r="BI369" s="305"/>
      <c r="BJ369" s="305"/>
      <c r="BK369" s="305"/>
      <c r="BL369" s="305"/>
      <c r="BM369" s="305"/>
      <c r="BN369" s="305"/>
      <c r="BO369" s="305"/>
      <c r="BP369" s="305"/>
      <c r="BQ369" s="305"/>
      <c r="BR369" s="305"/>
      <c r="BS369" s="305"/>
      <c r="BT369" s="305"/>
      <c r="BU369" s="305"/>
      <c r="BV369" s="305"/>
      <c r="BW369" s="305"/>
      <c r="BX369" s="305"/>
      <c r="BY369" s="305"/>
      <c r="BZ369" s="305"/>
      <c r="CA369" s="305"/>
      <c r="CB369" s="305"/>
      <c r="CC369" s="305"/>
      <c r="CD369" s="305"/>
      <c r="CE369" s="305"/>
      <c r="CF369" s="305"/>
      <c r="CG369" s="305"/>
      <c r="CH369" s="305"/>
      <c r="CI369" s="305"/>
      <c r="CJ369" s="305"/>
      <c r="CK369" s="305"/>
      <c r="CL369" s="305"/>
      <c r="CM369" s="305"/>
      <c r="CN369" s="305"/>
      <c r="CO369" s="305"/>
      <c r="CP369" s="305"/>
      <c r="CQ369" s="305"/>
      <c r="CR369" s="305"/>
      <c r="CS369" s="305"/>
      <c r="CT369" s="305"/>
      <c r="CU369" s="305"/>
      <c r="CV369" s="305"/>
      <c r="CW369" s="305"/>
      <c r="CX369" s="305"/>
      <c r="CY369" s="305"/>
      <c r="CZ369" s="305"/>
      <c r="DA369" s="305"/>
      <c r="DB369" s="305"/>
      <c r="DC369" s="305"/>
      <c r="DD369" s="305"/>
      <c r="DE369" s="305"/>
      <c r="DF369" s="305"/>
      <c r="DG369" s="305"/>
      <c r="DH369" s="305"/>
      <c r="DI369" s="305"/>
      <c r="DJ369" s="305"/>
      <c r="DK369" s="305"/>
      <c r="DL369" s="305"/>
      <c r="DM369" s="305"/>
      <c r="DN369" s="305"/>
      <c r="DO369" s="305"/>
      <c r="DP369" s="305"/>
      <c r="DQ369" s="305"/>
      <c r="DR369" s="305"/>
      <c r="DS369" s="305"/>
      <c r="DT369" s="305"/>
      <c r="DU369" s="305"/>
      <c r="DV369" s="305"/>
      <c r="DW369" s="305"/>
      <c r="DX369" s="305"/>
      <c r="DY369" s="305"/>
      <c r="DZ369" s="305"/>
      <c r="EA369" s="305"/>
      <c r="EB369" s="305"/>
      <c r="EC369" s="305"/>
      <c r="ED369" s="305"/>
      <c r="EE369" s="305"/>
      <c r="EF369" s="305"/>
      <c r="EG369" s="305"/>
      <c r="EH369" s="305"/>
      <c r="EI369" s="305"/>
      <c r="EJ369" s="305"/>
      <c r="EK369" s="305"/>
      <c r="EL369" s="305"/>
      <c r="EM369" s="305"/>
      <c r="EN369" s="305"/>
      <c r="EO369" s="305"/>
      <c r="EP369" s="305"/>
      <c r="EQ369" s="305"/>
      <c r="ER369" s="305"/>
      <c r="ES369" s="305"/>
      <c r="ET369" s="305"/>
      <c r="EU369" s="305"/>
      <c r="EV369" s="305"/>
      <c r="EW369" s="305"/>
      <c r="EX369" s="305"/>
      <c r="EY369" s="305"/>
      <c r="EZ369" s="305"/>
      <c r="FA369" s="305"/>
      <c r="FB369" s="305"/>
      <c r="FC369" s="305"/>
      <c r="FD369" s="305"/>
      <c r="FE369" s="305"/>
      <c r="FF369" s="305"/>
      <c r="FG369" s="305"/>
      <c r="FH369" s="305"/>
      <c r="FI369" s="305"/>
      <c r="FJ369" s="305"/>
      <c r="FK369" s="305"/>
      <c r="FL369" s="305"/>
      <c r="FM369" s="305"/>
      <c r="FN369" s="305"/>
      <c r="FO369" s="305"/>
      <c r="FP369" s="305"/>
      <c r="FQ369" s="305"/>
      <c r="FR369" s="305"/>
      <c r="FS369" s="305"/>
      <c r="FT369" s="305"/>
      <c r="FU369" s="305"/>
      <c r="FV369" s="305"/>
      <c r="FW369" s="305"/>
      <c r="FX369" s="305"/>
      <c r="FY369" s="305"/>
      <c r="FZ369" s="305"/>
      <c r="GA369" s="305"/>
      <c r="GB369" s="305"/>
      <c r="GC369" s="305"/>
      <c r="GD369" s="305"/>
      <c r="GE369" s="305"/>
      <c r="GF369" s="305"/>
      <c r="GG369" s="305"/>
      <c r="GH369" s="305"/>
      <c r="GI369" s="305"/>
      <c r="GJ369" s="305"/>
      <c r="GK369" s="305"/>
      <c r="GL369" s="305"/>
      <c r="GM369" s="305"/>
      <c r="GN369" s="305"/>
      <c r="GO369" s="305"/>
      <c r="GP369" s="305"/>
      <c r="GQ369" s="305"/>
      <c r="GR369" s="305"/>
    </row>
    <row r="370" spans="3:200" s="318" customFormat="1" ht="12.75" customHeight="1" x14ac:dyDescent="0.2">
      <c r="C370" s="367"/>
      <c r="D370" s="403"/>
      <c r="E370" s="369"/>
      <c r="F370" s="369"/>
      <c r="G370" s="369"/>
      <c r="H370" s="369"/>
      <c r="I370" s="370"/>
      <c r="J370"/>
      <c r="K370" s="371"/>
      <c r="L370" s="371"/>
      <c r="M370" s="371"/>
      <c r="N370" s="371"/>
      <c r="O370" s="305"/>
      <c r="P370" s="305"/>
      <c r="Q370" s="305"/>
      <c r="R370" s="305"/>
      <c r="S370" s="305"/>
      <c r="T370" s="305"/>
      <c r="U370" s="305"/>
      <c r="V370" s="305"/>
      <c r="W370" s="305"/>
      <c r="X370" s="305"/>
      <c r="Y370" s="305"/>
      <c r="Z370" s="305"/>
      <c r="AA370" s="305"/>
      <c r="AB370" s="305"/>
      <c r="AC370" s="305"/>
      <c r="AD370" s="305"/>
      <c r="AE370" s="305"/>
      <c r="AF370" s="305"/>
      <c r="AG370" s="305"/>
      <c r="AH370" s="305"/>
      <c r="AI370" s="305"/>
      <c r="AJ370" s="305"/>
      <c r="AK370" s="305"/>
      <c r="AL370" s="305"/>
      <c r="AM370" s="305"/>
      <c r="AN370" s="305"/>
      <c r="AO370" s="305"/>
      <c r="AP370" s="305"/>
      <c r="AQ370" s="305"/>
      <c r="AR370" s="305"/>
      <c r="AS370" s="305"/>
      <c r="AT370" s="305"/>
      <c r="AU370" s="305"/>
      <c r="AV370" s="305"/>
      <c r="AW370" s="305"/>
      <c r="AX370" s="305"/>
      <c r="AY370" s="305"/>
      <c r="AZ370" s="305"/>
      <c r="BA370" s="305"/>
      <c r="BB370" s="305"/>
      <c r="BC370" s="305"/>
      <c r="BD370" s="305"/>
      <c r="BE370" s="305"/>
      <c r="BF370" s="305"/>
      <c r="BG370" s="305"/>
      <c r="BH370" s="305"/>
      <c r="BI370" s="305"/>
      <c r="BJ370" s="305"/>
      <c r="BK370" s="305"/>
      <c r="BL370" s="305"/>
      <c r="BM370" s="305"/>
      <c r="BN370" s="305"/>
      <c r="BO370" s="305"/>
      <c r="BP370" s="305"/>
      <c r="BQ370" s="305"/>
      <c r="BR370" s="305"/>
      <c r="BS370" s="305"/>
      <c r="BT370" s="305"/>
      <c r="BU370" s="305"/>
      <c r="BV370" s="305"/>
      <c r="BW370" s="305"/>
      <c r="BX370" s="305"/>
      <c r="BY370" s="305"/>
      <c r="BZ370" s="305"/>
      <c r="CA370" s="305"/>
      <c r="CB370" s="305"/>
      <c r="CC370" s="305"/>
      <c r="CD370" s="305"/>
      <c r="CE370" s="305"/>
      <c r="CF370" s="305"/>
      <c r="CG370" s="305"/>
      <c r="CH370" s="305"/>
      <c r="CI370" s="305"/>
      <c r="CJ370" s="305"/>
      <c r="CK370" s="305"/>
      <c r="CL370" s="305"/>
      <c r="CM370" s="305"/>
      <c r="CN370" s="305"/>
      <c r="CO370" s="305"/>
      <c r="CP370" s="305"/>
      <c r="CQ370" s="305"/>
      <c r="CR370" s="305"/>
      <c r="CS370" s="305"/>
      <c r="CT370" s="305"/>
      <c r="CU370" s="305"/>
      <c r="CV370" s="305"/>
      <c r="CW370" s="305"/>
      <c r="CX370" s="305"/>
      <c r="CY370" s="305"/>
      <c r="CZ370" s="305"/>
      <c r="DA370" s="305"/>
      <c r="DB370" s="305"/>
      <c r="DC370" s="305"/>
      <c r="DD370" s="305"/>
      <c r="DE370" s="305"/>
      <c r="DF370" s="305"/>
      <c r="DG370" s="305"/>
      <c r="DH370" s="305"/>
      <c r="DI370" s="305"/>
      <c r="DJ370" s="305"/>
      <c r="DK370" s="305"/>
      <c r="DL370" s="305"/>
      <c r="DM370" s="305"/>
      <c r="DN370" s="305"/>
      <c r="DO370" s="305"/>
      <c r="DP370" s="305"/>
      <c r="DQ370" s="305"/>
      <c r="DR370" s="305"/>
      <c r="DS370" s="305"/>
      <c r="DT370" s="305"/>
      <c r="DU370" s="305"/>
      <c r="DV370" s="305"/>
      <c r="DW370" s="305"/>
      <c r="DX370" s="305"/>
      <c r="DY370" s="305"/>
      <c r="DZ370" s="305"/>
      <c r="EA370" s="305"/>
      <c r="EB370" s="305"/>
      <c r="EC370" s="305"/>
      <c r="ED370" s="305"/>
      <c r="EE370" s="305"/>
      <c r="EF370" s="305"/>
      <c r="EG370" s="305"/>
      <c r="EH370" s="305"/>
      <c r="EI370" s="305"/>
      <c r="EJ370" s="305"/>
      <c r="EK370" s="305"/>
      <c r="EL370" s="305"/>
      <c r="EM370" s="305"/>
      <c r="EN370" s="305"/>
      <c r="EO370" s="305"/>
      <c r="EP370" s="305"/>
      <c r="EQ370" s="305"/>
      <c r="ER370" s="305"/>
      <c r="ES370" s="305"/>
      <c r="ET370" s="305"/>
      <c r="EU370" s="305"/>
      <c r="EV370" s="305"/>
      <c r="EW370" s="305"/>
      <c r="EX370" s="305"/>
      <c r="EY370" s="305"/>
      <c r="EZ370" s="305"/>
      <c r="FA370" s="305"/>
      <c r="FB370" s="305"/>
      <c r="FC370" s="305"/>
      <c r="FD370" s="305"/>
      <c r="FE370" s="305"/>
      <c r="FF370" s="305"/>
      <c r="FG370" s="305"/>
      <c r="FH370" s="305"/>
      <c r="FI370" s="305"/>
      <c r="FJ370" s="305"/>
      <c r="FK370" s="305"/>
      <c r="FL370" s="305"/>
      <c r="FM370" s="305"/>
      <c r="FN370" s="305"/>
      <c r="FO370" s="305"/>
      <c r="FP370" s="305"/>
      <c r="FQ370" s="305"/>
      <c r="FR370" s="305"/>
      <c r="FS370" s="305"/>
      <c r="FT370" s="305"/>
      <c r="FU370" s="305"/>
      <c r="FV370" s="305"/>
      <c r="FW370" s="305"/>
      <c r="FX370" s="305"/>
      <c r="FY370" s="305"/>
      <c r="FZ370" s="305"/>
      <c r="GA370" s="305"/>
      <c r="GB370" s="305"/>
      <c r="GC370" s="305"/>
      <c r="GD370" s="305"/>
      <c r="GE370" s="305"/>
      <c r="GF370" s="305"/>
      <c r="GG370" s="305"/>
      <c r="GH370" s="305"/>
      <c r="GI370" s="305"/>
      <c r="GJ370" s="305"/>
      <c r="GK370" s="305"/>
      <c r="GL370" s="305"/>
      <c r="GM370" s="305"/>
      <c r="GN370" s="305"/>
      <c r="GO370" s="305"/>
      <c r="GP370" s="305"/>
      <c r="GQ370" s="305"/>
      <c r="GR370" s="305"/>
    </row>
    <row r="371" spans="3:200" s="318" customFormat="1" ht="12.75" customHeight="1" x14ac:dyDescent="0.2">
      <c r="C371" s="367"/>
      <c r="D371" s="403"/>
      <c r="E371" s="369"/>
      <c r="F371" s="369"/>
      <c r="G371" s="369"/>
      <c r="H371" s="369"/>
      <c r="I371" s="370"/>
      <c r="J371"/>
      <c r="K371" s="371"/>
      <c r="L371" s="371"/>
      <c r="M371" s="371"/>
      <c r="N371" s="371"/>
      <c r="O371" s="305"/>
      <c r="P371" s="305"/>
      <c r="Q371" s="305"/>
      <c r="R371" s="305"/>
      <c r="S371" s="305"/>
      <c r="T371" s="305"/>
      <c r="U371" s="305"/>
      <c r="V371" s="305"/>
      <c r="W371" s="305"/>
      <c r="X371" s="305"/>
      <c r="Y371" s="305"/>
      <c r="Z371" s="305"/>
      <c r="AA371" s="305"/>
      <c r="AB371" s="305"/>
      <c r="AC371" s="305"/>
      <c r="AD371" s="305"/>
      <c r="AE371" s="305"/>
      <c r="AF371" s="305"/>
      <c r="AG371" s="305"/>
      <c r="AH371" s="305"/>
      <c r="AI371" s="305"/>
      <c r="AJ371" s="305"/>
      <c r="AK371" s="305"/>
      <c r="AL371" s="305"/>
      <c r="AM371" s="305"/>
      <c r="AN371" s="305"/>
      <c r="AO371" s="305"/>
      <c r="AP371" s="305"/>
      <c r="AQ371" s="305"/>
      <c r="AR371" s="305"/>
      <c r="AS371" s="305"/>
      <c r="AT371" s="305"/>
      <c r="AU371" s="305"/>
      <c r="AV371" s="305"/>
      <c r="AW371" s="305"/>
      <c r="AX371" s="305"/>
      <c r="AY371" s="305"/>
      <c r="AZ371" s="305"/>
      <c r="BA371" s="305"/>
      <c r="BB371" s="305"/>
      <c r="BC371" s="305"/>
      <c r="BD371" s="305"/>
      <c r="BE371" s="305"/>
      <c r="BF371" s="305"/>
      <c r="BG371" s="305"/>
      <c r="BH371" s="305"/>
      <c r="BI371" s="305"/>
      <c r="BJ371" s="305"/>
      <c r="BK371" s="305"/>
      <c r="BL371" s="305"/>
      <c r="BM371" s="305"/>
      <c r="BN371" s="305"/>
      <c r="BO371" s="305"/>
      <c r="BP371" s="305"/>
      <c r="BQ371" s="305"/>
      <c r="BR371" s="305"/>
      <c r="BS371" s="305"/>
      <c r="BT371" s="305"/>
      <c r="BU371" s="305"/>
      <c r="BV371" s="305"/>
      <c r="BW371" s="305"/>
      <c r="BX371" s="305"/>
      <c r="BY371" s="305"/>
      <c r="BZ371" s="305"/>
      <c r="CA371" s="305"/>
      <c r="CB371" s="305"/>
      <c r="CC371" s="305"/>
      <c r="CD371" s="305"/>
      <c r="CE371" s="305"/>
      <c r="CF371" s="305"/>
      <c r="CG371" s="305"/>
      <c r="CH371" s="305"/>
      <c r="CI371" s="305"/>
      <c r="CJ371" s="305"/>
      <c r="CK371" s="305"/>
      <c r="CL371" s="305"/>
      <c r="CM371" s="305"/>
      <c r="CN371" s="305"/>
      <c r="CO371" s="305"/>
      <c r="CP371" s="305"/>
      <c r="CQ371" s="305"/>
      <c r="CR371" s="305"/>
      <c r="CS371" s="305"/>
      <c r="CT371" s="305"/>
      <c r="CU371" s="305"/>
      <c r="CV371" s="305"/>
      <c r="CW371" s="305"/>
      <c r="CX371" s="305"/>
      <c r="CY371" s="305"/>
      <c r="CZ371" s="305"/>
      <c r="DA371" s="305"/>
      <c r="DB371" s="305"/>
      <c r="DC371" s="305"/>
      <c r="DD371" s="305"/>
      <c r="DE371" s="305"/>
      <c r="DF371" s="305"/>
      <c r="DG371" s="305"/>
      <c r="DH371" s="305"/>
      <c r="DI371" s="305"/>
      <c r="DJ371" s="305"/>
      <c r="DK371" s="305"/>
      <c r="DL371" s="305"/>
      <c r="DM371" s="305"/>
      <c r="DN371" s="305"/>
      <c r="DO371" s="305"/>
      <c r="DP371" s="305"/>
      <c r="DQ371" s="305"/>
      <c r="DR371" s="305"/>
      <c r="DS371" s="305"/>
      <c r="DT371" s="305"/>
      <c r="DU371" s="305"/>
      <c r="DV371" s="305"/>
      <c r="DW371" s="305"/>
      <c r="DX371" s="305"/>
      <c r="DY371" s="305"/>
      <c r="DZ371" s="305"/>
      <c r="EA371" s="305"/>
      <c r="EB371" s="305"/>
      <c r="EC371" s="305"/>
      <c r="ED371" s="305"/>
      <c r="EE371" s="305"/>
      <c r="EF371" s="305"/>
      <c r="EG371" s="305"/>
      <c r="EH371" s="305"/>
      <c r="EI371" s="305"/>
      <c r="EJ371" s="305"/>
      <c r="EK371" s="305"/>
      <c r="EL371" s="305"/>
      <c r="EM371" s="305"/>
      <c r="EN371" s="305"/>
      <c r="EO371" s="305"/>
      <c r="EP371" s="305"/>
      <c r="EQ371" s="305"/>
      <c r="ER371" s="305"/>
      <c r="ES371" s="305"/>
      <c r="ET371" s="305"/>
      <c r="EU371" s="305"/>
      <c r="EV371" s="305"/>
      <c r="EW371" s="305"/>
      <c r="EX371" s="305"/>
      <c r="EY371" s="305"/>
      <c r="EZ371" s="305"/>
      <c r="FA371" s="305"/>
      <c r="FB371" s="305"/>
      <c r="FC371" s="305"/>
      <c r="FD371" s="305"/>
      <c r="FE371" s="305"/>
      <c r="FF371" s="305"/>
      <c r="FG371" s="305"/>
      <c r="FH371" s="305"/>
      <c r="FI371" s="305"/>
      <c r="FJ371" s="305"/>
      <c r="FK371" s="305"/>
      <c r="FL371" s="305"/>
      <c r="FM371" s="305"/>
      <c r="FN371" s="305"/>
      <c r="FO371" s="305"/>
      <c r="FP371" s="305"/>
      <c r="FQ371" s="305"/>
      <c r="FR371" s="305"/>
      <c r="FS371" s="305"/>
      <c r="FT371" s="305"/>
      <c r="FU371" s="305"/>
      <c r="FV371" s="305"/>
      <c r="FW371" s="305"/>
      <c r="FX371" s="305"/>
      <c r="FY371" s="305"/>
      <c r="FZ371" s="305"/>
      <c r="GA371" s="305"/>
      <c r="GB371" s="305"/>
      <c r="GC371" s="305"/>
      <c r="GD371" s="305"/>
      <c r="GE371" s="305"/>
      <c r="GF371" s="305"/>
      <c r="GG371" s="305"/>
      <c r="GH371" s="305"/>
      <c r="GI371" s="305"/>
      <c r="GJ371" s="305"/>
      <c r="GK371" s="305"/>
      <c r="GL371" s="305"/>
      <c r="GM371" s="305"/>
      <c r="GN371" s="305"/>
      <c r="GO371" s="305"/>
      <c r="GP371" s="305"/>
      <c r="GQ371" s="305"/>
      <c r="GR371" s="305"/>
    </row>
    <row r="372" spans="3:200" s="318" customFormat="1" ht="12.75" customHeight="1" x14ac:dyDescent="0.2">
      <c r="C372" s="367"/>
      <c r="D372" s="403"/>
      <c r="E372" s="369"/>
      <c r="F372" s="369"/>
      <c r="G372" s="369"/>
      <c r="H372" s="369"/>
      <c r="I372" s="370"/>
      <c r="J372"/>
      <c r="K372" s="371"/>
      <c r="L372" s="371"/>
      <c r="M372" s="371"/>
      <c r="N372" s="371"/>
      <c r="O372" s="305"/>
      <c r="P372" s="305"/>
      <c r="Q372" s="305"/>
      <c r="R372" s="305"/>
      <c r="S372" s="305"/>
      <c r="T372" s="305"/>
      <c r="U372" s="305"/>
      <c r="V372" s="305"/>
      <c r="W372" s="305"/>
      <c r="X372" s="305"/>
      <c r="Y372" s="305"/>
      <c r="Z372" s="305"/>
      <c r="AA372" s="305"/>
      <c r="AB372" s="305"/>
      <c r="AC372" s="305"/>
      <c r="AD372" s="305"/>
      <c r="AE372" s="305"/>
      <c r="AF372" s="305"/>
      <c r="AG372" s="305"/>
      <c r="AH372" s="305"/>
      <c r="AI372" s="305"/>
      <c r="AJ372" s="305"/>
      <c r="AK372" s="305"/>
      <c r="AL372" s="305"/>
      <c r="AM372" s="305"/>
      <c r="AN372" s="305"/>
      <c r="AO372" s="305"/>
      <c r="AP372" s="305"/>
      <c r="AQ372" s="305"/>
      <c r="AR372" s="305"/>
      <c r="AS372" s="305"/>
      <c r="AT372" s="305"/>
      <c r="AU372" s="305"/>
      <c r="AV372" s="305"/>
      <c r="AW372" s="305"/>
      <c r="AX372" s="305"/>
      <c r="AY372" s="305"/>
      <c r="AZ372" s="305"/>
      <c r="BA372" s="305"/>
      <c r="BB372" s="305"/>
      <c r="BC372" s="305"/>
      <c r="BD372" s="305"/>
      <c r="BE372" s="305"/>
      <c r="BF372" s="305"/>
      <c r="BG372" s="305"/>
      <c r="BH372" s="305"/>
      <c r="BI372" s="305"/>
      <c r="BJ372" s="305"/>
      <c r="BK372" s="305"/>
      <c r="BL372" s="305"/>
      <c r="BM372" s="305"/>
      <c r="BN372" s="305"/>
      <c r="BO372" s="305"/>
      <c r="BP372" s="305"/>
      <c r="BQ372" s="305"/>
      <c r="BR372" s="305"/>
      <c r="BS372" s="305"/>
      <c r="BT372" s="305"/>
      <c r="BU372" s="305"/>
      <c r="BV372" s="305"/>
      <c r="BW372" s="305"/>
      <c r="BX372" s="305"/>
      <c r="BY372" s="305"/>
      <c r="BZ372" s="305"/>
      <c r="CA372" s="305"/>
      <c r="CB372" s="305"/>
      <c r="CC372" s="305"/>
      <c r="CD372" s="305"/>
      <c r="CE372" s="305"/>
      <c r="CF372" s="305"/>
      <c r="CG372" s="305"/>
      <c r="CH372" s="305"/>
      <c r="CI372" s="305"/>
      <c r="CJ372" s="305"/>
      <c r="CK372" s="305"/>
      <c r="CL372" s="305"/>
      <c r="CM372" s="305"/>
      <c r="CN372" s="305"/>
      <c r="CO372" s="305"/>
      <c r="CP372" s="305"/>
      <c r="CQ372" s="305"/>
      <c r="CR372" s="305"/>
      <c r="CS372" s="305"/>
      <c r="CT372" s="305"/>
      <c r="CU372" s="305"/>
      <c r="CV372" s="305"/>
      <c r="CW372" s="305"/>
      <c r="CX372" s="305"/>
      <c r="CY372" s="305"/>
      <c r="CZ372" s="305"/>
      <c r="DA372" s="305"/>
      <c r="DB372" s="305"/>
      <c r="DC372" s="305"/>
      <c r="DD372" s="305"/>
      <c r="DE372" s="305"/>
      <c r="DF372" s="305"/>
      <c r="DG372" s="305"/>
      <c r="DH372" s="305"/>
      <c r="DI372" s="305"/>
      <c r="DJ372" s="305"/>
      <c r="DK372" s="305"/>
      <c r="DL372" s="305"/>
      <c r="DM372" s="305"/>
      <c r="DN372" s="305"/>
      <c r="DO372" s="305"/>
      <c r="DP372" s="305"/>
      <c r="DQ372" s="305"/>
      <c r="DR372" s="305"/>
      <c r="DS372" s="305"/>
      <c r="DT372" s="305"/>
      <c r="DU372" s="305"/>
      <c r="DV372" s="305"/>
      <c r="DW372" s="305"/>
      <c r="DX372" s="305"/>
      <c r="DY372" s="305"/>
      <c r="DZ372" s="305"/>
      <c r="EA372" s="305"/>
      <c r="EB372" s="305"/>
      <c r="EC372" s="305"/>
      <c r="ED372" s="305"/>
      <c r="EE372" s="305"/>
      <c r="EF372" s="305"/>
      <c r="EG372" s="305"/>
      <c r="EH372" s="305"/>
      <c r="EI372" s="305"/>
      <c r="EJ372" s="305"/>
      <c r="EK372" s="305"/>
      <c r="EL372" s="305"/>
      <c r="EM372" s="305"/>
      <c r="EN372" s="305"/>
      <c r="EO372" s="305"/>
      <c r="EP372" s="305"/>
      <c r="EQ372" s="305"/>
      <c r="ER372" s="305"/>
      <c r="ES372" s="305"/>
      <c r="ET372" s="305"/>
      <c r="EU372" s="305"/>
      <c r="EV372" s="305"/>
      <c r="EW372" s="305"/>
      <c r="EX372" s="305"/>
      <c r="EY372" s="305"/>
      <c r="EZ372" s="305"/>
      <c r="FA372" s="305"/>
      <c r="FB372" s="305"/>
      <c r="FC372" s="305"/>
      <c r="FD372" s="305"/>
      <c r="FE372" s="305"/>
      <c r="FF372" s="305"/>
      <c r="FG372" s="305"/>
      <c r="FH372" s="305"/>
      <c r="FI372" s="305"/>
      <c r="FJ372" s="305"/>
      <c r="FK372" s="305"/>
      <c r="FL372" s="305"/>
      <c r="FM372" s="305"/>
      <c r="FN372" s="305"/>
      <c r="FO372" s="305"/>
      <c r="FP372" s="305"/>
      <c r="FQ372" s="305"/>
      <c r="FR372" s="305"/>
      <c r="FS372" s="305"/>
      <c r="FT372" s="305"/>
      <c r="FU372" s="305"/>
      <c r="FV372" s="305"/>
      <c r="FW372" s="305"/>
      <c r="FX372" s="305"/>
      <c r="FY372" s="305"/>
      <c r="FZ372" s="305"/>
      <c r="GA372" s="305"/>
      <c r="GB372" s="305"/>
      <c r="GC372" s="305"/>
      <c r="GD372" s="305"/>
      <c r="GE372" s="305"/>
      <c r="GF372" s="305"/>
      <c r="GG372" s="305"/>
      <c r="GH372" s="305"/>
      <c r="GI372" s="305"/>
      <c r="GJ372" s="305"/>
      <c r="GK372" s="305"/>
      <c r="GL372" s="305"/>
      <c r="GM372" s="305"/>
      <c r="GN372" s="305"/>
      <c r="GO372" s="305"/>
      <c r="GP372" s="305"/>
      <c r="GQ372" s="305"/>
      <c r="GR372" s="305"/>
    </row>
    <row r="373" spans="3:200" s="318" customFormat="1" ht="12.75" customHeight="1" x14ac:dyDescent="0.2">
      <c r="C373" s="367"/>
      <c r="D373" s="403"/>
      <c r="E373" s="369"/>
      <c r="F373" s="369"/>
      <c r="G373" s="369"/>
      <c r="H373" s="369"/>
      <c r="I373" s="370"/>
      <c r="J373"/>
      <c r="K373" s="371"/>
      <c r="L373" s="371"/>
      <c r="M373" s="371"/>
      <c r="N373" s="371"/>
      <c r="O373" s="305"/>
      <c r="P373" s="305"/>
      <c r="Q373" s="305"/>
      <c r="R373" s="305"/>
      <c r="S373" s="305"/>
      <c r="T373" s="305"/>
      <c r="U373" s="305"/>
      <c r="V373" s="305"/>
      <c r="W373" s="305"/>
      <c r="X373" s="305"/>
      <c r="Y373" s="305"/>
      <c r="Z373" s="305"/>
      <c r="AA373" s="305"/>
      <c r="AB373" s="305"/>
      <c r="AC373" s="305"/>
      <c r="AD373" s="305"/>
      <c r="AE373" s="305"/>
      <c r="AF373" s="305"/>
      <c r="AG373" s="305"/>
      <c r="AH373" s="305"/>
      <c r="AI373" s="305"/>
      <c r="AJ373" s="305"/>
      <c r="AK373" s="305"/>
      <c r="AL373" s="305"/>
      <c r="AM373" s="305"/>
      <c r="AN373" s="305"/>
      <c r="AO373" s="305"/>
      <c r="AP373" s="305"/>
      <c r="AQ373" s="305"/>
      <c r="AR373" s="305"/>
      <c r="AS373" s="305"/>
      <c r="AT373" s="305"/>
      <c r="AU373" s="305"/>
      <c r="AV373" s="305"/>
      <c r="AW373" s="305"/>
      <c r="AX373" s="305"/>
      <c r="AY373" s="305"/>
      <c r="AZ373" s="305"/>
      <c r="BA373" s="305"/>
      <c r="BB373" s="305"/>
      <c r="BC373" s="305"/>
      <c r="BD373" s="305"/>
      <c r="BE373" s="305"/>
      <c r="BF373" s="305"/>
      <c r="BG373" s="305"/>
      <c r="BH373" s="305"/>
      <c r="BI373" s="305"/>
      <c r="BJ373" s="305"/>
      <c r="BK373" s="305"/>
      <c r="BL373" s="305"/>
      <c r="BM373" s="305"/>
      <c r="BN373" s="305"/>
      <c r="BO373" s="305"/>
      <c r="BP373" s="305"/>
      <c r="BQ373" s="305"/>
      <c r="BR373" s="305"/>
      <c r="BS373" s="305"/>
      <c r="BT373" s="305"/>
      <c r="BU373" s="305"/>
      <c r="BV373" s="305"/>
      <c r="BW373" s="305"/>
      <c r="BX373" s="305"/>
      <c r="BY373" s="305"/>
      <c r="BZ373" s="305"/>
      <c r="CA373" s="305"/>
      <c r="CB373" s="305"/>
      <c r="CC373" s="305"/>
      <c r="CD373" s="305"/>
      <c r="CE373" s="305"/>
      <c r="CF373" s="305"/>
      <c r="CG373" s="305"/>
      <c r="CH373" s="305"/>
      <c r="CI373" s="305"/>
      <c r="CJ373" s="305"/>
      <c r="CK373" s="305"/>
      <c r="CL373" s="305"/>
      <c r="CM373" s="305"/>
      <c r="CN373" s="305"/>
      <c r="CO373" s="305"/>
      <c r="CP373" s="305"/>
      <c r="CQ373" s="305"/>
      <c r="CR373" s="305"/>
      <c r="CS373" s="305"/>
      <c r="CT373" s="305"/>
      <c r="CU373" s="305"/>
      <c r="CV373" s="305"/>
      <c r="CW373" s="305"/>
      <c r="CX373" s="305"/>
      <c r="CY373" s="305"/>
      <c r="CZ373" s="305"/>
      <c r="DA373" s="305"/>
      <c r="DB373" s="305"/>
      <c r="DC373" s="305"/>
      <c r="DD373" s="305"/>
      <c r="DE373" s="305"/>
      <c r="DF373" s="305"/>
      <c r="DG373" s="305"/>
      <c r="DH373" s="305"/>
      <c r="DI373" s="305"/>
      <c r="DJ373" s="305"/>
      <c r="DK373" s="305"/>
      <c r="DL373" s="305"/>
      <c r="DM373" s="305"/>
      <c r="DN373" s="305"/>
      <c r="DO373" s="305"/>
      <c r="DP373" s="305"/>
      <c r="DQ373" s="305"/>
      <c r="DR373" s="305"/>
      <c r="DS373" s="305"/>
      <c r="DT373" s="305"/>
      <c r="DU373" s="305"/>
      <c r="DV373" s="305"/>
      <c r="DW373" s="305"/>
      <c r="DX373" s="305"/>
      <c r="DY373" s="305"/>
      <c r="DZ373" s="305"/>
      <c r="EA373" s="305"/>
      <c r="EB373" s="305"/>
      <c r="EC373" s="305"/>
      <c r="ED373" s="305"/>
      <c r="EE373" s="305"/>
      <c r="EF373" s="305"/>
      <c r="EG373" s="305"/>
      <c r="EH373" s="305"/>
      <c r="EI373" s="305"/>
      <c r="EJ373" s="305"/>
      <c r="EK373" s="305"/>
      <c r="EL373" s="305"/>
      <c r="EM373" s="305"/>
      <c r="EN373" s="305"/>
      <c r="EO373" s="305"/>
      <c r="EP373" s="305"/>
      <c r="EQ373" s="305"/>
      <c r="ER373" s="305"/>
      <c r="ES373" s="305"/>
      <c r="ET373" s="305"/>
      <c r="EU373" s="305"/>
      <c r="EV373" s="305"/>
      <c r="EW373" s="305"/>
      <c r="EX373" s="305"/>
      <c r="EY373" s="305"/>
      <c r="EZ373" s="305"/>
      <c r="FA373" s="305"/>
      <c r="FB373" s="305"/>
      <c r="FC373" s="305"/>
      <c r="FD373" s="305"/>
      <c r="FE373" s="305"/>
      <c r="FF373" s="305"/>
      <c r="FG373" s="305"/>
      <c r="FH373" s="305"/>
      <c r="FI373" s="305"/>
      <c r="FJ373" s="305"/>
      <c r="FK373" s="305"/>
      <c r="FL373" s="305"/>
      <c r="FM373" s="305"/>
      <c r="FN373" s="305"/>
      <c r="FO373" s="305"/>
      <c r="FP373" s="305"/>
      <c r="FQ373" s="305"/>
      <c r="FR373" s="305"/>
      <c r="FS373" s="305"/>
      <c r="FT373" s="305"/>
      <c r="FU373" s="305"/>
      <c r="FV373" s="305"/>
      <c r="FW373" s="305"/>
      <c r="FX373" s="305"/>
      <c r="FY373" s="305"/>
      <c r="FZ373" s="305"/>
      <c r="GA373" s="305"/>
      <c r="GB373" s="305"/>
      <c r="GC373" s="305"/>
      <c r="GD373" s="305"/>
      <c r="GE373" s="305"/>
      <c r="GF373" s="305"/>
      <c r="GG373" s="305"/>
      <c r="GH373" s="305"/>
      <c r="GI373" s="305"/>
      <c r="GJ373" s="305"/>
      <c r="GK373" s="305"/>
      <c r="GL373" s="305"/>
      <c r="GM373" s="305"/>
      <c r="GN373" s="305"/>
      <c r="GO373" s="305"/>
      <c r="GP373" s="305"/>
      <c r="GQ373" s="305"/>
      <c r="GR373" s="305"/>
    </row>
    <row r="374" spans="3:200" s="318" customFormat="1" ht="12.75" customHeight="1" x14ac:dyDescent="0.2">
      <c r="C374" s="367"/>
      <c r="D374" s="403"/>
      <c r="E374" s="369"/>
      <c r="F374" s="369"/>
      <c r="G374" s="369"/>
      <c r="H374" s="369"/>
      <c r="I374" s="370"/>
      <c r="J374"/>
      <c r="K374" s="371"/>
      <c r="L374" s="371"/>
      <c r="M374" s="371"/>
      <c r="N374" s="371"/>
      <c r="O374" s="305"/>
      <c r="P374" s="305"/>
      <c r="Q374" s="305"/>
      <c r="R374" s="305"/>
      <c r="S374" s="305"/>
      <c r="T374" s="305"/>
      <c r="U374" s="305"/>
      <c r="V374" s="305"/>
      <c r="W374" s="305"/>
      <c r="X374" s="305"/>
      <c r="Y374" s="305"/>
      <c r="Z374" s="305"/>
      <c r="AA374" s="305"/>
      <c r="AB374" s="305"/>
      <c r="AC374" s="305"/>
      <c r="AD374" s="305"/>
      <c r="AE374" s="305"/>
      <c r="AF374" s="305"/>
      <c r="AG374" s="305"/>
      <c r="AH374" s="305"/>
      <c r="AI374" s="305"/>
      <c r="AJ374" s="305"/>
      <c r="AK374" s="305"/>
      <c r="AL374" s="305"/>
      <c r="AM374" s="305"/>
      <c r="AN374" s="305"/>
      <c r="AO374" s="305"/>
      <c r="AP374" s="305"/>
      <c r="AQ374" s="305"/>
      <c r="AR374" s="305"/>
      <c r="AS374" s="305"/>
      <c r="AT374" s="305"/>
      <c r="AU374" s="305"/>
      <c r="AV374" s="305"/>
      <c r="AW374" s="305"/>
      <c r="AX374" s="305"/>
      <c r="AY374" s="305"/>
      <c r="AZ374" s="305"/>
      <c r="BA374" s="305"/>
      <c r="BB374" s="305"/>
      <c r="BC374" s="305"/>
      <c r="BD374" s="305"/>
      <c r="BE374" s="305"/>
      <c r="BF374" s="305"/>
      <c r="BG374" s="305"/>
      <c r="BH374" s="305"/>
      <c r="BI374" s="305"/>
      <c r="BJ374" s="305"/>
      <c r="BK374" s="305"/>
      <c r="BL374" s="305"/>
      <c r="BM374" s="305"/>
      <c r="BN374" s="305"/>
      <c r="BO374" s="305"/>
      <c r="BP374" s="305"/>
      <c r="BQ374" s="305"/>
      <c r="BR374" s="305"/>
      <c r="BS374" s="305"/>
      <c r="BT374" s="305"/>
      <c r="BU374" s="305"/>
      <c r="BV374" s="305"/>
      <c r="BW374" s="305"/>
      <c r="BX374" s="305"/>
      <c r="BY374" s="305"/>
      <c r="BZ374" s="305"/>
      <c r="CA374" s="305"/>
      <c r="CB374" s="305"/>
      <c r="CC374" s="305"/>
      <c r="CD374" s="305"/>
      <c r="CE374" s="305"/>
      <c r="CF374" s="305"/>
      <c r="CG374" s="305"/>
      <c r="CH374" s="305"/>
      <c r="CI374" s="305"/>
      <c r="CJ374" s="305"/>
      <c r="CK374" s="305"/>
      <c r="CL374" s="305"/>
      <c r="CM374" s="305"/>
      <c r="CN374" s="305"/>
      <c r="CO374" s="305"/>
      <c r="CP374" s="305"/>
      <c r="CQ374" s="305"/>
      <c r="CR374" s="305"/>
      <c r="CS374" s="305"/>
      <c r="CT374" s="305"/>
      <c r="CU374" s="305"/>
      <c r="CV374" s="305"/>
      <c r="CW374" s="305"/>
      <c r="CX374" s="305"/>
      <c r="CY374" s="305"/>
      <c r="CZ374" s="305"/>
      <c r="DA374" s="305"/>
      <c r="DB374" s="305"/>
      <c r="DC374" s="305"/>
      <c r="DD374" s="305"/>
      <c r="DE374" s="305"/>
      <c r="DF374" s="305"/>
      <c r="DG374" s="305"/>
      <c r="DH374" s="305"/>
      <c r="DI374" s="305"/>
      <c r="DJ374" s="305"/>
      <c r="DK374" s="305"/>
      <c r="DL374" s="305"/>
      <c r="DM374" s="305"/>
      <c r="DN374" s="305"/>
      <c r="DO374" s="305"/>
      <c r="DP374" s="305"/>
      <c r="DQ374" s="305"/>
      <c r="DR374" s="305"/>
      <c r="DS374" s="305"/>
      <c r="DT374" s="305"/>
      <c r="DU374" s="305"/>
      <c r="DV374" s="305"/>
      <c r="DW374" s="305"/>
      <c r="DX374" s="305"/>
      <c r="DY374" s="305"/>
      <c r="DZ374" s="305"/>
      <c r="EA374" s="305"/>
      <c r="EB374" s="305"/>
      <c r="EC374" s="305"/>
      <c r="ED374" s="305"/>
      <c r="EE374" s="305"/>
      <c r="EF374" s="305"/>
      <c r="EG374" s="305"/>
      <c r="EH374" s="305"/>
      <c r="EI374" s="305"/>
      <c r="EJ374" s="305"/>
      <c r="EK374" s="305"/>
      <c r="EL374" s="305"/>
      <c r="EM374" s="305"/>
      <c r="EN374" s="305"/>
      <c r="EO374" s="305"/>
      <c r="EP374" s="305"/>
      <c r="EQ374" s="305"/>
      <c r="ER374" s="305"/>
      <c r="ES374" s="305"/>
      <c r="ET374" s="305"/>
      <c r="EU374" s="305"/>
      <c r="EV374" s="305"/>
      <c r="EW374" s="305"/>
      <c r="EX374" s="305"/>
      <c r="EY374" s="305"/>
      <c r="EZ374" s="305"/>
      <c r="FA374" s="305"/>
      <c r="FB374" s="305"/>
      <c r="FC374" s="305"/>
      <c r="FD374" s="305"/>
      <c r="FE374" s="305"/>
      <c r="FF374" s="305"/>
      <c r="FG374" s="305"/>
      <c r="FH374" s="305"/>
      <c r="FI374" s="305"/>
      <c r="FJ374" s="305"/>
      <c r="FK374" s="305"/>
      <c r="FL374" s="305"/>
      <c r="FM374" s="305"/>
      <c r="FN374" s="305"/>
      <c r="FO374" s="305"/>
      <c r="FP374" s="305"/>
      <c r="FQ374" s="305"/>
      <c r="FR374" s="305"/>
      <c r="FS374" s="305"/>
      <c r="FT374" s="305"/>
      <c r="FU374" s="305"/>
      <c r="FV374" s="305"/>
      <c r="FW374" s="305"/>
      <c r="FX374" s="305"/>
      <c r="FY374" s="305"/>
      <c r="FZ374" s="305"/>
      <c r="GA374" s="305"/>
      <c r="GB374" s="305"/>
      <c r="GC374" s="305"/>
      <c r="GD374" s="305"/>
      <c r="GE374" s="305"/>
      <c r="GF374" s="305"/>
      <c r="GG374" s="305"/>
      <c r="GH374" s="305"/>
      <c r="GI374" s="305"/>
      <c r="GJ374" s="305"/>
      <c r="GK374" s="305"/>
      <c r="GL374" s="305"/>
      <c r="GM374" s="305"/>
      <c r="GN374" s="305"/>
      <c r="GO374" s="305"/>
      <c r="GP374" s="305"/>
      <c r="GQ374" s="305"/>
      <c r="GR374" s="305"/>
    </row>
    <row r="375" spans="3:200" s="318" customFormat="1" ht="12.75" customHeight="1" x14ac:dyDescent="0.2">
      <c r="C375" s="367"/>
      <c r="D375" s="403"/>
      <c r="E375" s="369"/>
      <c r="F375" s="369"/>
      <c r="G375" s="369"/>
      <c r="H375" s="369"/>
      <c r="I375" s="370"/>
      <c r="J375"/>
      <c r="K375" s="371"/>
      <c r="L375" s="371"/>
      <c r="M375" s="371"/>
      <c r="N375" s="371"/>
      <c r="O375" s="305"/>
      <c r="P375" s="305"/>
      <c r="Q375" s="305"/>
      <c r="R375" s="305"/>
      <c r="S375" s="305"/>
      <c r="T375" s="305"/>
      <c r="U375" s="305"/>
      <c r="V375" s="305"/>
      <c r="W375" s="305"/>
      <c r="X375" s="305"/>
      <c r="Y375" s="305"/>
      <c r="Z375" s="305"/>
      <c r="AA375" s="305"/>
      <c r="AB375" s="305"/>
      <c r="AC375" s="305"/>
      <c r="AD375" s="305"/>
      <c r="AE375" s="305"/>
      <c r="AF375" s="305"/>
      <c r="AG375" s="305"/>
      <c r="AH375" s="305"/>
      <c r="AI375" s="305"/>
      <c r="AJ375" s="305"/>
      <c r="AK375" s="305"/>
      <c r="AL375" s="305"/>
      <c r="AM375" s="305"/>
      <c r="AN375" s="305"/>
      <c r="AO375" s="305"/>
      <c r="AP375" s="305"/>
      <c r="AQ375" s="305"/>
      <c r="AR375" s="305"/>
      <c r="AS375" s="305"/>
      <c r="AT375" s="305"/>
      <c r="AU375" s="305"/>
      <c r="AV375" s="305"/>
      <c r="AW375" s="305"/>
      <c r="AX375" s="305"/>
      <c r="AY375" s="305"/>
      <c r="AZ375" s="305"/>
      <c r="BA375" s="305"/>
      <c r="BB375" s="305"/>
      <c r="BC375" s="305"/>
      <c r="BD375" s="305"/>
      <c r="BE375" s="305"/>
      <c r="BF375" s="305"/>
      <c r="BG375" s="305"/>
      <c r="BH375" s="305"/>
      <c r="BI375" s="305"/>
      <c r="BJ375" s="305"/>
      <c r="BK375" s="305"/>
      <c r="BL375" s="305"/>
      <c r="BM375" s="305"/>
      <c r="BN375" s="305"/>
      <c r="BO375" s="305"/>
      <c r="BP375" s="305"/>
      <c r="BQ375" s="305"/>
      <c r="BR375" s="305"/>
      <c r="BS375" s="305"/>
      <c r="BT375" s="305"/>
      <c r="BU375" s="305"/>
      <c r="BV375" s="305"/>
      <c r="BW375" s="305"/>
      <c r="BX375" s="305"/>
      <c r="BY375" s="305"/>
      <c r="BZ375" s="305"/>
      <c r="CA375" s="305"/>
      <c r="CB375" s="305"/>
      <c r="CC375" s="305"/>
      <c r="CD375" s="305"/>
      <c r="CE375" s="305"/>
      <c r="CF375" s="305"/>
      <c r="CG375" s="305"/>
      <c r="CH375" s="305"/>
      <c r="CI375" s="305"/>
      <c r="CJ375" s="305"/>
      <c r="CK375" s="305"/>
      <c r="CL375" s="305"/>
      <c r="CM375" s="305"/>
      <c r="CN375" s="305"/>
      <c r="CO375" s="305"/>
      <c r="CP375" s="305"/>
      <c r="CQ375" s="305"/>
      <c r="CR375" s="305"/>
      <c r="CS375" s="305"/>
      <c r="CT375" s="305"/>
      <c r="CU375" s="305"/>
      <c r="CV375" s="305"/>
      <c r="CW375" s="305"/>
      <c r="CX375" s="305"/>
      <c r="CY375" s="305"/>
      <c r="CZ375" s="305"/>
      <c r="DA375" s="305"/>
      <c r="DB375" s="305"/>
      <c r="DC375" s="305"/>
      <c r="DD375" s="305"/>
      <c r="DE375" s="305"/>
      <c r="DF375" s="305"/>
      <c r="DG375" s="305"/>
      <c r="DH375" s="305"/>
      <c r="DI375" s="305"/>
      <c r="DJ375" s="305"/>
      <c r="DK375" s="305"/>
      <c r="DL375" s="305"/>
      <c r="DM375" s="305"/>
      <c r="DN375" s="305"/>
      <c r="DO375" s="305"/>
      <c r="DP375" s="305"/>
      <c r="DQ375" s="305"/>
      <c r="DR375" s="305"/>
      <c r="DS375" s="305"/>
      <c r="DT375" s="305"/>
      <c r="DU375" s="305"/>
      <c r="DV375" s="305"/>
      <c r="DW375" s="305"/>
      <c r="DX375" s="305"/>
      <c r="DY375" s="305"/>
      <c r="DZ375" s="305"/>
      <c r="EA375" s="305"/>
      <c r="EB375" s="305"/>
      <c r="EC375" s="305"/>
      <c r="ED375" s="305"/>
      <c r="EE375" s="305"/>
      <c r="EF375" s="305"/>
      <c r="EG375" s="305"/>
      <c r="EH375" s="305"/>
      <c r="EI375" s="305"/>
      <c r="EJ375" s="305"/>
      <c r="EK375" s="305"/>
      <c r="EL375" s="305"/>
      <c r="EM375" s="305"/>
      <c r="EN375" s="305"/>
      <c r="EO375" s="305"/>
      <c r="EP375" s="305"/>
      <c r="EQ375" s="305"/>
      <c r="ER375" s="305"/>
      <c r="ES375" s="305"/>
      <c r="ET375" s="305"/>
      <c r="EU375" s="305"/>
      <c r="EV375" s="305"/>
      <c r="EW375" s="305"/>
      <c r="EX375" s="305"/>
      <c r="EY375" s="305"/>
      <c r="EZ375" s="305"/>
      <c r="FA375" s="305"/>
      <c r="FB375" s="305"/>
      <c r="FC375" s="305"/>
      <c r="FD375" s="305"/>
      <c r="FE375" s="305"/>
      <c r="FF375" s="305"/>
      <c r="FG375" s="305"/>
      <c r="FH375" s="305"/>
      <c r="FI375" s="305"/>
      <c r="FJ375" s="305"/>
      <c r="FK375" s="305"/>
      <c r="FL375" s="305"/>
      <c r="FM375" s="305"/>
      <c r="FN375" s="305"/>
      <c r="FO375" s="305"/>
      <c r="FP375" s="305"/>
      <c r="FQ375" s="305"/>
      <c r="FR375" s="305"/>
      <c r="FS375" s="305"/>
      <c r="FT375" s="305"/>
      <c r="FU375" s="305"/>
      <c r="FV375" s="305"/>
      <c r="FW375" s="305"/>
      <c r="FX375" s="305"/>
      <c r="FY375" s="305"/>
      <c r="FZ375" s="305"/>
      <c r="GA375" s="305"/>
      <c r="GB375" s="305"/>
      <c r="GC375" s="305"/>
      <c r="GD375" s="305"/>
      <c r="GE375" s="305"/>
      <c r="GF375" s="305"/>
      <c r="GG375" s="305"/>
      <c r="GH375" s="305"/>
      <c r="GI375" s="305"/>
      <c r="GJ375" s="305"/>
      <c r="GK375" s="305"/>
      <c r="GL375" s="305"/>
      <c r="GM375" s="305"/>
      <c r="GN375" s="305"/>
      <c r="GO375" s="305"/>
      <c r="GP375" s="305"/>
      <c r="GQ375" s="305"/>
      <c r="GR375" s="305"/>
    </row>
    <row r="376" spans="3:200" s="318" customFormat="1" ht="12.75" customHeight="1" x14ac:dyDescent="0.2">
      <c r="C376" s="367"/>
      <c r="D376" s="403"/>
      <c r="E376" s="369"/>
      <c r="F376" s="369"/>
      <c r="G376" s="369"/>
      <c r="H376" s="369"/>
      <c r="I376" s="370"/>
      <c r="J376"/>
      <c r="K376" s="371"/>
      <c r="L376" s="371"/>
      <c r="M376" s="371"/>
      <c r="N376" s="371"/>
      <c r="O376" s="305"/>
      <c r="P376" s="305"/>
      <c r="Q376" s="305"/>
      <c r="R376" s="305"/>
      <c r="S376" s="305"/>
      <c r="T376" s="305"/>
      <c r="U376" s="305"/>
      <c r="V376" s="305"/>
      <c r="W376" s="305"/>
      <c r="X376" s="305"/>
      <c r="Y376" s="305"/>
      <c r="Z376" s="305"/>
      <c r="AA376" s="305"/>
      <c r="AB376" s="305"/>
      <c r="AC376" s="305"/>
      <c r="AD376" s="305"/>
      <c r="AE376" s="305"/>
      <c r="AF376" s="305"/>
      <c r="AG376" s="305"/>
      <c r="AH376" s="305"/>
      <c r="AI376" s="305"/>
      <c r="AJ376" s="305"/>
      <c r="AK376" s="305"/>
      <c r="AL376" s="305"/>
      <c r="AM376" s="305"/>
      <c r="AN376" s="305"/>
      <c r="AO376" s="305"/>
      <c r="AP376" s="305"/>
      <c r="AQ376" s="305"/>
      <c r="AR376" s="305"/>
      <c r="AS376" s="305"/>
      <c r="AT376" s="305"/>
      <c r="AU376" s="305"/>
      <c r="AV376" s="305"/>
      <c r="AW376" s="305"/>
      <c r="AX376" s="305"/>
      <c r="AY376" s="305"/>
      <c r="AZ376" s="305"/>
      <c r="BA376" s="305"/>
      <c r="BB376" s="305"/>
      <c r="BC376" s="305"/>
      <c r="BD376" s="305"/>
      <c r="BE376" s="305"/>
      <c r="BF376" s="305"/>
      <c r="BG376" s="305"/>
      <c r="BH376" s="305"/>
      <c r="BI376" s="305"/>
      <c r="BJ376" s="305"/>
      <c r="BK376" s="305"/>
      <c r="BL376" s="305"/>
      <c r="BM376" s="305"/>
      <c r="BN376" s="305"/>
      <c r="BO376" s="305"/>
      <c r="BP376" s="305"/>
      <c r="BQ376" s="305"/>
      <c r="BR376" s="305"/>
      <c r="BS376" s="305"/>
      <c r="BT376" s="305"/>
      <c r="BU376" s="305"/>
      <c r="BV376" s="305"/>
      <c r="BW376" s="305"/>
      <c r="BX376" s="305"/>
      <c r="BY376" s="305"/>
      <c r="BZ376" s="305"/>
      <c r="CA376" s="305"/>
      <c r="CB376" s="305"/>
      <c r="CC376" s="305"/>
      <c r="CD376" s="305"/>
      <c r="CE376" s="305"/>
      <c r="CF376" s="305"/>
      <c r="CG376" s="305"/>
      <c r="CH376" s="305"/>
      <c r="CI376" s="305"/>
      <c r="CJ376" s="305"/>
      <c r="CK376" s="305"/>
      <c r="CL376" s="305"/>
      <c r="CM376" s="305"/>
      <c r="CN376" s="305"/>
      <c r="CO376" s="305"/>
      <c r="CP376" s="305"/>
      <c r="CQ376" s="305"/>
      <c r="CR376" s="305"/>
      <c r="CS376" s="305"/>
      <c r="CT376" s="305"/>
      <c r="CU376" s="305"/>
      <c r="CV376" s="305"/>
      <c r="CW376" s="305"/>
      <c r="CX376" s="305"/>
      <c r="CY376" s="305"/>
      <c r="CZ376" s="305"/>
      <c r="DA376" s="305"/>
      <c r="DB376" s="305"/>
      <c r="DC376" s="305"/>
      <c r="DD376" s="305"/>
      <c r="DE376" s="305"/>
      <c r="DF376" s="305"/>
      <c r="DG376" s="305"/>
      <c r="DH376" s="305"/>
      <c r="DI376" s="305"/>
      <c r="DJ376" s="305"/>
      <c r="DK376" s="305"/>
      <c r="DL376" s="305"/>
      <c r="DM376" s="305"/>
      <c r="DN376" s="305"/>
      <c r="DO376" s="305"/>
      <c r="DP376" s="305"/>
      <c r="DQ376" s="305"/>
      <c r="DR376" s="305"/>
      <c r="DS376" s="305"/>
      <c r="DT376" s="305"/>
      <c r="DU376" s="305"/>
      <c r="DV376" s="305"/>
      <c r="DW376" s="305"/>
      <c r="DX376" s="305"/>
      <c r="DY376" s="305"/>
      <c r="DZ376" s="305"/>
      <c r="EA376" s="305"/>
      <c r="EB376" s="305"/>
      <c r="EC376" s="305"/>
      <c r="ED376" s="305"/>
      <c r="EE376" s="305"/>
      <c r="EF376" s="305"/>
      <c r="EG376" s="305"/>
      <c r="EH376" s="305"/>
      <c r="EI376" s="305"/>
      <c r="EJ376" s="305"/>
      <c r="EK376" s="305"/>
      <c r="EL376" s="305"/>
      <c r="EM376" s="305"/>
      <c r="EN376" s="305"/>
      <c r="EO376" s="305"/>
      <c r="EP376" s="305"/>
      <c r="EQ376" s="305"/>
      <c r="ER376" s="305"/>
      <c r="ES376" s="305"/>
      <c r="ET376" s="305"/>
      <c r="EU376" s="305"/>
      <c r="EV376" s="305"/>
      <c r="EW376" s="305"/>
      <c r="EX376" s="305"/>
      <c r="EY376" s="305"/>
      <c r="EZ376" s="305"/>
      <c r="FA376" s="305"/>
      <c r="FB376" s="305"/>
      <c r="FC376" s="305"/>
      <c r="FD376" s="305"/>
      <c r="FE376" s="305"/>
      <c r="FF376" s="305"/>
      <c r="FG376" s="305"/>
      <c r="FH376" s="305"/>
      <c r="FI376" s="305"/>
      <c r="FJ376" s="305"/>
      <c r="FK376" s="305"/>
      <c r="FL376" s="305"/>
      <c r="FM376" s="305"/>
      <c r="FN376" s="305"/>
      <c r="FO376" s="305"/>
      <c r="FP376" s="305"/>
      <c r="FQ376" s="305"/>
      <c r="FR376" s="305"/>
      <c r="FS376" s="305"/>
      <c r="FT376" s="305"/>
      <c r="FU376" s="305"/>
      <c r="FV376" s="305"/>
      <c r="FW376" s="305"/>
      <c r="FX376" s="305"/>
      <c r="FY376" s="305"/>
      <c r="FZ376" s="305"/>
      <c r="GA376" s="305"/>
      <c r="GB376" s="305"/>
      <c r="GC376" s="305"/>
      <c r="GD376" s="305"/>
      <c r="GE376" s="305"/>
      <c r="GF376" s="305"/>
      <c r="GG376" s="305"/>
      <c r="GH376" s="305"/>
      <c r="GI376" s="305"/>
      <c r="GJ376" s="305"/>
      <c r="GK376" s="305"/>
      <c r="GL376" s="305"/>
      <c r="GM376" s="305"/>
      <c r="GN376" s="305"/>
      <c r="GO376" s="305"/>
      <c r="GP376" s="305"/>
      <c r="GQ376" s="305"/>
      <c r="GR376" s="305"/>
    </row>
    <row r="377" spans="3:200" s="318" customFormat="1" ht="12.75" customHeight="1" x14ac:dyDescent="0.2">
      <c r="C377" s="367"/>
      <c r="D377" s="403"/>
      <c r="E377" s="369"/>
      <c r="F377" s="369"/>
      <c r="G377" s="369"/>
      <c r="H377" s="369"/>
      <c r="I377" s="370"/>
      <c r="J377"/>
      <c r="K377" s="371"/>
      <c r="L377" s="371"/>
      <c r="M377" s="371"/>
      <c r="N377" s="371"/>
      <c r="O377" s="305"/>
      <c r="P377" s="305"/>
      <c r="Q377" s="305"/>
      <c r="R377" s="305"/>
      <c r="S377" s="305"/>
      <c r="T377" s="305"/>
      <c r="U377" s="305"/>
      <c r="V377" s="305"/>
      <c r="W377" s="305"/>
      <c r="X377" s="305"/>
      <c r="Y377" s="305"/>
      <c r="Z377" s="305"/>
      <c r="AA377" s="305"/>
      <c r="AB377" s="305"/>
      <c r="AC377" s="305"/>
      <c r="AD377" s="305"/>
      <c r="AE377" s="305"/>
      <c r="AF377" s="305"/>
      <c r="AG377" s="305"/>
      <c r="AH377" s="305"/>
      <c r="AI377" s="305"/>
      <c r="AJ377" s="305"/>
      <c r="AK377" s="305"/>
      <c r="AL377" s="305"/>
      <c r="AM377" s="305"/>
      <c r="AN377" s="305"/>
      <c r="AO377" s="305"/>
      <c r="AP377" s="305"/>
      <c r="AQ377" s="305"/>
      <c r="AR377" s="305"/>
      <c r="AS377" s="305"/>
      <c r="AT377" s="305"/>
      <c r="AU377" s="305"/>
      <c r="AV377" s="305"/>
      <c r="AW377" s="305"/>
      <c r="AX377" s="305"/>
      <c r="AY377" s="305"/>
      <c r="AZ377" s="305"/>
      <c r="BA377" s="305"/>
      <c r="BB377" s="305"/>
      <c r="BC377" s="305"/>
      <c r="BD377" s="305"/>
      <c r="BE377" s="305"/>
      <c r="BF377" s="305"/>
      <c r="BG377" s="305"/>
      <c r="BH377" s="305"/>
      <c r="BI377" s="305"/>
      <c r="BJ377" s="305"/>
      <c r="BK377" s="305"/>
      <c r="BL377" s="305"/>
      <c r="BM377" s="305"/>
      <c r="BN377" s="305"/>
      <c r="BO377" s="305"/>
      <c r="BP377" s="305"/>
      <c r="BQ377" s="305"/>
      <c r="BR377" s="305"/>
      <c r="BS377" s="305"/>
      <c r="BT377" s="305"/>
      <c r="BU377" s="305"/>
      <c r="BV377" s="305"/>
      <c r="BW377" s="305"/>
      <c r="BX377" s="305"/>
      <c r="BY377" s="305"/>
      <c r="BZ377" s="305"/>
      <c r="CA377" s="305"/>
      <c r="CB377" s="305"/>
      <c r="CC377" s="305"/>
      <c r="CD377" s="305"/>
      <c r="CE377" s="305"/>
      <c r="CF377" s="305"/>
      <c r="CG377" s="305"/>
      <c r="CH377" s="305"/>
      <c r="CI377" s="305"/>
      <c r="CJ377" s="305"/>
      <c r="CK377" s="305"/>
      <c r="CL377" s="305"/>
      <c r="CM377" s="305"/>
      <c r="CN377" s="305"/>
      <c r="CO377" s="305"/>
      <c r="CP377" s="305"/>
      <c r="CQ377" s="305"/>
      <c r="CR377" s="305"/>
      <c r="CS377" s="305"/>
      <c r="CT377" s="305"/>
      <c r="CU377" s="305"/>
      <c r="CV377" s="305"/>
      <c r="CW377" s="305"/>
      <c r="CX377" s="305"/>
      <c r="CY377" s="305"/>
      <c r="CZ377" s="305"/>
      <c r="DA377" s="305"/>
      <c r="DB377" s="305"/>
      <c r="DC377" s="305"/>
      <c r="DD377" s="305"/>
      <c r="DE377" s="305"/>
      <c r="DF377" s="305"/>
      <c r="DG377" s="305"/>
      <c r="DH377" s="305"/>
      <c r="DI377" s="305"/>
      <c r="DJ377" s="305"/>
      <c r="DK377" s="305"/>
      <c r="DL377" s="305"/>
      <c r="DM377" s="305"/>
      <c r="DN377" s="305"/>
      <c r="DO377" s="305"/>
      <c r="DP377" s="305"/>
      <c r="DQ377" s="305"/>
      <c r="DR377" s="305"/>
      <c r="DS377" s="305"/>
      <c r="DT377" s="305"/>
      <c r="DU377" s="305"/>
      <c r="DV377" s="305"/>
      <c r="DW377" s="305"/>
      <c r="DX377" s="305"/>
      <c r="DY377" s="305"/>
      <c r="DZ377" s="305"/>
      <c r="EA377" s="305"/>
      <c r="EB377" s="305"/>
      <c r="EC377" s="305"/>
      <c r="ED377" s="305"/>
      <c r="EE377" s="305"/>
      <c r="EF377" s="305"/>
      <c r="EG377" s="305"/>
      <c r="EH377" s="305"/>
      <c r="EI377" s="305"/>
      <c r="EJ377" s="305"/>
      <c r="EK377" s="305"/>
      <c r="EL377" s="305"/>
      <c r="EM377" s="305"/>
      <c r="EN377" s="305"/>
      <c r="EO377" s="305"/>
      <c r="EP377" s="305"/>
      <c r="EQ377" s="305"/>
      <c r="ER377" s="305"/>
      <c r="ES377" s="305"/>
      <c r="ET377" s="305"/>
      <c r="EU377" s="305"/>
      <c r="EV377" s="305"/>
      <c r="EW377" s="305"/>
      <c r="EX377" s="305"/>
      <c r="EY377" s="305"/>
      <c r="EZ377" s="305"/>
      <c r="FA377" s="305"/>
      <c r="FB377" s="305"/>
      <c r="FC377" s="305"/>
      <c r="FD377" s="305"/>
      <c r="FE377" s="305"/>
      <c r="FF377" s="305"/>
      <c r="FG377" s="305"/>
      <c r="FH377" s="305"/>
      <c r="FI377" s="305"/>
      <c r="FJ377" s="305"/>
      <c r="FK377" s="305"/>
      <c r="FL377" s="305"/>
      <c r="FM377" s="305"/>
      <c r="FN377" s="305"/>
      <c r="FO377" s="305"/>
      <c r="FP377" s="305"/>
      <c r="FQ377" s="305"/>
      <c r="FR377" s="305"/>
      <c r="FS377" s="305"/>
      <c r="FT377" s="305"/>
      <c r="FU377" s="305"/>
      <c r="FV377" s="305"/>
      <c r="FW377" s="305"/>
      <c r="FX377" s="305"/>
      <c r="FY377" s="305"/>
      <c r="FZ377" s="305"/>
      <c r="GA377" s="305"/>
      <c r="GB377" s="305"/>
      <c r="GC377" s="305"/>
      <c r="GD377" s="305"/>
      <c r="GE377" s="305"/>
      <c r="GF377" s="305"/>
      <c r="GG377" s="305"/>
      <c r="GH377" s="305"/>
      <c r="GI377" s="305"/>
      <c r="GJ377" s="305"/>
      <c r="GK377" s="305"/>
      <c r="GL377" s="305"/>
      <c r="GM377" s="305"/>
      <c r="GN377" s="305"/>
      <c r="GO377" s="305"/>
      <c r="GP377" s="305"/>
      <c r="GQ377" s="305"/>
      <c r="GR377" s="305"/>
    </row>
    <row r="378" spans="3:200" s="318" customFormat="1" ht="12.75" customHeight="1" x14ac:dyDescent="0.2">
      <c r="C378" s="367"/>
      <c r="D378" s="403"/>
      <c r="E378" s="369"/>
      <c r="F378" s="369"/>
      <c r="G378" s="369"/>
      <c r="H378" s="369"/>
      <c r="I378" s="370"/>
      <c r="J378"/>
      <c r="K378" s="371"/>
      <c r="L378" s="371"/>
      <c r="M378" s="371"/>
      <c r="N378" s="371"/>
      <c r="O378" s="305"/>
      <c r="P378" s="305"/>
      <c r="Q378" s="305"/>
      <c r="R378" s="305"/>
      <c r="S378" s="305"/>
      <c r="T378" s="305"/>
      <c r="U378" s="305"/>
      <c r="V378" s="305"/>
      <c r="W378" s="305"/>
      <c r="X378" s="305"/>
      <c r="Y378" s="305"/>
      <c r="Z378" s="305"/>
      <c r="AA378" s="305"/>
      <c r="AB378" s="305"/>
      <c r="AC378" s="305"/>
      <c r="AD378" s="305"/>
      <c r="AE378" s="305"/>
      <c r="AF378" s="305"/>
      <c r="AG378" s="305"/>
      <c r="AH378" s="305"/>
      <c r="AI378" s="305"/>
      <c r="AJ378" s="305"/>
      <c r="AK378" s="305"/>
      <c r="AL378" s="305"/>
      <c r="AM378" s="305"/>
      <c r="AN378" s="305"/>
      <c r="AO378" s="305"/>
      <c r="AP378" s="305"/>
      <c r="AQ378" s="305"/>
      <c r="AR378" s="305"/>
      <c r="AS378" s="305"/>
      <c r="AT378" s="305"/>
      <c r="AU378" s="305"/>
      <c r="AV378" s="305"/>
      <c r="AW378" s="305"/>
      <c r="AX378" s="305"/>
      <c r="AY378" s="305"/>
      <c r="AZ378" s="305"/>
      <c r="BA378" s="305"/>
      <c r="BB378" s="305"/>
      <c r="BC378" s="305"/>
      <c r="BD378" s="305"/>
      <c r="BE378" s="305"/>
      <c r="BF378" s="305"/>
      <c r="BG378" s="305"/>
      <c r="BH378" s="305"/>
      <c r="BI378" s="305"/>
      <c r="BJ378" s="305"/>
      <c r="BK378" s="305"/>
      <c r="BL378" s="305"/>
      <c r="BM378" s="305"/>
      <c r="BN378" s="305"/>
      <c r="BO378" s="305"/>
      <c r="BP378" s="305"/>
      <c r="BQ378" s="305"/>
      <c r="BR378" s="305"/>
      <c r="BS378" s="305"/>
      <c r="BT378" s="305"/>
      <c r="BU378" s="305"/>
      <c r="BV378" s="305"/>
      <c r="BW378" s="305"/>
      <c r="BX378" s="305"/>
      <c r="BY378" s="305"/>
      <c r="BZ378" s="305"/>
      <c r="CA378" s="305"/>
      <c r="CB378" s="305"/>
      <c r="CC378" s="305"/>
      <c r="CD378" s="305"/>
      <c r="CE378" s="305"/>
      <c r="CF378" s="305"/>
      <c r="CG378" s="305"/>
      <c r="CH378" s="305"/>
      <c r="CI378" s="305"/>
      <c r="CJ378" s="305"/>
      <c r="CK378" s="305"/>
      <c r="CL378" s="305"/>
      <c r="CM378" s="305"/>
      <c r="CN378" s="305"/>
      <c r="CO378" s="305"/>
      <c r="CP378" s="305"/>
      <c r="CQ378" s="305"/>
      <c r="CR378" s="305"/>
      <c r="CS378" s="305"/>
      <c r="CT378" s="305"/>
      <c r="CU378" s="305"/>
      <c r="CV378" s="305"/>
      <c r="CW378" s="305"/>
      <c r="CX378" s="305"/>
      <c r="CY378" s="305"/>
      <c r="CZ378" s="305"/>
      <c r="DA378" s="305"/>
      <c r="DB378" s="305"/>
      <c r="DC378" s="305"/>
      <c r="DD378" s="305"/>
      <c r="DE378" s="305"/>
      <c r="DF378" s="305"/>
      <c r="DG378" s="305"/>
      <c r="DH378" s="305"/>
      <c r="DI378" s="305"/>
      <c r="DJ378" s="305"/>
      <c r="DK378" s="305"/>
      <c r="DL378" s="305"/>
      <c r="DM378" s="305"/>
      <c r="DN378" s="305"/>
      <c r="DO378" s="305"/>
      <c r="DP378" s="305"/>
      <c r="DQ378" s="305"/>
      <c r="DR378" s="305"/>
      <c r="DS378" s="305"/>
      <c r="DT378" s="305"/>
      <c r="DU378" s="305"/>
      <c r="DV378" s="305"/>
      <c r="DW378" s="305"/>
      <c r="DX378" s="305"/>
      <c r="DY378" s="305"/>
      <c r="DZ378" s="305"/>
      <c r="EA378" s="305"/>
      <c r="EB378" s="305"/>
      <c r="EC378" s="305"/>
      <c r="ED378" s="305"/>
      <c r="EE378" s="305"/>
      <c r="EF378" s="305"/>
      <c r="EG378" s="305"/>
      <c r="EH378" s="305"/>
      <c r="EI378" s="305"/>
      <c r="EJ378" s="305"/>
      <c r="EK378" s="305"/>
      <c r="EL378" s="305"/>
      <c r="EM378" s="305"/>
      <c r="EN378" s="305"/>
      <c r="EO378" s="305"/>
      <c r="EP378" s="305"/>
      <c r="EQ378" s="305"/>
      <c r="ER378" s="305"/>
      <c r="ES378" s="305"/>
      <c r="ET378" s="305"/>
      <c r="EU378" s="305"/>
      <c r="EV378" s="305"/>
      <c r="EW378" s="305"/>
      <c r="EX378" s="305"/>
      <c r="EY378" s="305"/>
      <c r="EZ378" s="305"/>
      <c r="FA378" s="305"/>
      <c r="FB378" s="305"/>
      <c r="FC378" s="305"/>
      <c r="FD378" s="305"/>
      <c r="FE378" s="305"/>
      <c r="FF378" s="305"/>
      <c r="FG378" s="305"/>
      <c r="FH378" s="305"/>
      <c r="FI378" s="305"/>
      <c r="FJ378" s="305"/>
      <c r="FK378" s="305"/>
      <c r="FL378" s="305"/>
      <c r="FM378" s="305"/>
      <c r="FN378" s="305"/>
      <c r="FO378" s="305"/>
      <c r="FP378" s="305"/>
      <c r="FQ378" s="305"/>
      <c r="FR378" s="305"/>
      <c r="FS378" s="305"/>
      <c r="FT378" s="305"/>
      <c r="FU378" s="305"/>
      <c r="FV378" s="305"/>
      <c r="FW378" s="305"/>
      <c r="FX378" s="305"/>
      <c r="FY378" s="305"/>
      <c r="FZ378" s="305"/>
      <c r="GA378" s="305"/>
      <c r="GB378" s="305"/>
      <c r="GC378" s="305"/>
      <c r="GD378" s="305"/>
      <c r="GE378" s="305"/>
      <c r="GF378" s="305"/>
      <c r="GG378" s="305"/>
      <c r="GH378" s="305"/>
      <c r="GI378" s="305"/>
      <c r="GJ378" s="305"/>
      <c r="GK378" s="305"/>
      <c r="GL378" s="305"/>
      <c r="GM378" s="305"/>
      <c r="GN378" s="305"/>
      <c r="GO378" s="305"/>
      <c r="GP378" s="305"/>
      <c r="GQ378" s="305"/>
      <c r="GR378" s="305"/>
    </row>
    <row r="379" spans="3:200" s="318" customFormat="1" ht="12.75" customHeight="1" x14ac:dyDescent="0.2">
      <c r="C379" s="367"/>
      <c r="D379" s="403"/>
      <c r="E379" s="369"/>
      <c r="F379" s="369"/>
      <c r="G379" s="369"/>
      <c r="H379" s="369"/>
      <c r="I379" s="370"/>
      <c r="J379"/>
      <c r="K379" s="371"/>
      <c r="L379" s="371"/>
      <c r="M379" s="371"/>
      <c r="N379" s="371"/>
      <c r="O379" s="305"/>
      <c r="P379" s="305"/>
      <c r="Q379" s="305"/>
      <c r="R379" s="305"/>
      <c r="S379" s="305"/>
      <c r="T379" s="305"/>
      <c r="U379" s="305"/>
      <c r="V379" s="305"/>
      <c r="W379" s="305"/>
      <c r="X379" s="305"/>
      <c r="Y379" s="305"/>
      <c r="Z379" s="305"/>
      <c r="AA379" s="305"/>
      <c r="AB379" s="305"/>
      <c r="AC379" s="305"/>
      <c r="AD379" s="305"/>
      <c r="AE379" s="305"/>
      <c r="AF379" s="305"/>
      <c r="AG379" s="305"/>
      <c r="AH379" s="305"/>
      <c r="AI379" s="305"/>
      <c r="AJ379" s="305"/>
      <c r="AK379" s="305"/>
      <c r="AL379" s="305"/>
      <c r="AM379" s="305"/>
      <c r="AN379" s="305"/>
      <c r="AO379" s="305"/>
      <c r="AP379" s="305"/>
      <c r="AQ379" s="305"/>
      <c r="AR379" s="305"/>
      <c r="AS379" s="305"/>
      <c r="AT379" s="305"/>
      <c r="AU379" s="305"/>
      <c r="AV379" s="305"/>
      <c r="AW379" s="305"/>
      <c r="AX379" s="305"/>
      <c r="AY379" s="305"/>
      <c r="AZ379" s="305"/>
      <c r="BA379" s="305"/>
      <c r="BB379" s="305"/>
      <c r="BC379" s="305"/>
      <c r="BD379" s="305"/>
      <c r="BE379" s="305"/>
      <c r="BF379" s="305"/>
      <c r="BG379" s="305"/>
      <c r="BH379" s="305"/>
      <c r="BI379" s="305"/>
      <c r="BJ379" s="305"/>
      <c r="BK379" s="305"/>
      <c r="BL379" s="305"/>
      <c r="BM379" s="305"/>
      <c r="BN379" s="305"/>
      <c r="BO379" s="305"/>
      <c r="BP379" s="305"/>
      <c r="BQ379" s="305"/>
      <c r="BR379" s="305"/>
      <c r="BS379" s="305"/>
      <c r="BT379" s="305"/>
      <c r="BU379" s="305"/>
      <c r="BV379" s="305"/>
      <c r="BW379" s="305"/>
      <c r="BX379" s="305"/>
      <c r="BY379" s="305"/>
      <c r="BZ379" s="305"/>
      <c r="CA379" s="305"/>
      <c r="CB379" s="305"/>
      <c r="CC379" s="305"/>
      <c r="CD379" s="305"/>
      <c r="CE379" s="305"/>
      <c r="CF379" s="305"/>
      <c r="CG379" s="305"/>
      <c r="CH379" s="305"/>
      <c r="CI379" s="305"/>
      <c r="CJ379" s="305"/>
      <c r="CK379" s="305"/>
      <c r="CL379" s="305"/>
      <c r="CM379" s="305"/>
      <c r="CN379" s="305"/>
      <c r="CO379" s="305"/>
      <c r="CP379" s="305"/>
      <c r="CQ379" s="305"/>
      <c r="CR379" s="305"/>
      <c r="CS379" s="305"/>
      <c r="CT379" s="305"/>
      <c r="CU379" s="305"/>
      <c r="CV379" s="305"/>
      <c r="CW379" s="305"/>
      <c r="CX379" s="305"/>
      <c r="CY379" s="305"/>
      <c r="CZ379" s="305"/>
      <c r="DA379" s="305"/>
      <c r="DB379" s="305"/>
      <c r="DC379" s="305"/>
      <c r="DD379" s="305"/>
      <c r="DE379" s="305"/>
      <c r="DF379" s="305"/>
      <c r="DG379" s="305"/>
      <c r="DH379" s="305"/>
      <c r="DI379" s="305"/>
      <c r="DJ379" s="305"/>
      <c r="DK379" s="305"/>
      <c r="DL379" s="305"/>
      <c r="DM379" s="305"/>
      <c r="DN379" s="305"/>
      <c r="DO379" s="305"/>
      <c r="DP379" s="305"/>
      <c r="DQ379" s="305"/>
      <c r="DR379" s="305"/>
      <c r="DS379" s="305"/>
      <c r="DT379" s="305"/>
      <c r="DU379" s="305"/>
      <c r="DV379" s="305"/>
      <c r="DW379" s="305"/>
      <c r="DX379" s="305"/>
      <c r="DY379" s="305"/>
      <c r="DZ379" s="305"/>
      <c r="EA379" s="305"/>
      <c r="EB379" s="305"/>
      <c r="EC379" s="305"/>
      <c r="ED379" s="305"/>
      <c r="EE379" s="305"/>
      <c r="EF379" s="305"/>
      <c r="EG379" s="305"/>
      <c r="EH379" s="305"/>
      <c r="EI379" s="305"/>
      <c r="EJ379" s="305"/>
      <c r="EK379" s="305"/>
      <c r="EL379" s="305"/>
      <c r="EM379" s="305"/>
      <c r="EN379" s="305"/>
      <c r="EO379" s="305"/>
      <c r="EP379" s="305"/>
      <c r="EQ379" s="305"/>
      <c r="ER379" s="305"/>
      <c r="ES379" s="305"/>
      <c r="ET379" s="305"/>
      <c r="EU379" s="305"/>
      <c r="EV379" s="305"/>
      <c r="EW379" s="305"/>
      <c r="EX379" s="305"/>
      <c r="EY379" s="305"/>
      <c r="EZ379" s="305"/>
      <c r="FA379" s="305"/>
      <c r="FB379" s="305"/>
      <c r="FC379" s="305"/>
      <c r="FD379" s="305"/>
      <c r="FE379" s="305"/>
      <c r="FF379" s="305"/>
      <c r="FG379" s="305"/>
      <c r="FH379" s="305"/>
      <c r="FI379" s="305"/>
      <c r="FJ379" s="305"/>
      <c r="FK379" s="305"/>
      <c r="FL379" s="305"/>
      <c r="FM379" s="305"/>
      <c r="FN379" s="305"/>
      <c r="FO379" s="305"/>
      <c r="FP379" s="305"/>
      <c r="FQ379" s="305"/>
      <c r="FR379" s="305"/>
      <c r="FS379" s="305"/>
      <c r="FT379" s="305"/>
      <c r="FU379" s="305"/>
      <c r="FV379" s="305"/>
      <c r="FW379" s="305"/>
      <c r="FX379" s="305"/>
      <c r="FY379" s="305"/>
      <c r="FZ379" s="305"/>
      <c r="GA379" s="305"/>
      <c r="GB379" s="305"/>
      <c r="GC379" s="305"/>
      <c r="GD379" s="305"/>
      <c r="GE379" s="305"/>
      <c r="GF379" s="305"/>
      <c r="GG379" s="305"/>
      <c r="GH379" s="305"/>
      <c r="GI379" s="305"/>
      <c r="GJ379" s="305"/>
      <c r="GK379" s="305"/>
      <c r="GL379" s="305"/>
      <c r="GM379" s="305"/>
      <c r="GN379" s="305"/>
      <c r="GO379" s="305"/>
      <c r="GP379" s="305"/>
      <c r="GQ379" s="305"/>
      <c r="GR379" s="305"/>
    </row>
    <row r="380" spans="3:200" s="318" customFormat="1" ht="12.75" customHeight="1" x14ac:dyDescent="0.2">
      <c r="C380" s="367"/>
      <c r="D380" s="403"/>
      <c r="E380" s="369"/>
      <c r="F380" s="369"/>
      <c r="G380" s="369"/>
      <c r="H380" s="369"/>
      <c r="I380" s="370"/>
      <c r="J380"/>
      <c r="K380" s="371"/>
      <c r="L380" s="371"/>
      <c r="M380" s="371"/>
      <c r="N380" s="371"/>
      <c r="O380" s="305"/>
      <c r="P380" s="305"/>
      <c r="Q380" s="305"/>
      <c r="R380" s="305"/>
      <c r="S380" s="305"/>
      <c r="T380" s="305"/>
      <c r="U380" s="305"/>
      <c r="V380" s="305"/>
      <c r="W380" s="305"/>
      <c r="X380" s="305"/>
      <c r="Y380" s="305"/>
      <c r="Z380" s="305"/>
      <c r="AA380" s="305"/>
      <c r="AB380" s="305"/>
      <c r="AC380" s="305"/>
      <c r="AD380" s="305"/>
      <c r="AE380" s="305"/>
      <c r="AF380" s="305"/>
      <c r="AG380" s="305"/>
      <c r="AH380" s="305"/>
      <c r="AI380" s="305"/>
      <c r="AJ380" s="305"/>
      <c r="AK380" s="305"/>
      <c r="AL380" s="305"/>
      <c r="AM380" s="305"/>
      <c r="AN380" s="305"/>
      <c r="AO380" s="305"/>
      <c r="AP380" s="305"/>
      <c r="AQ380" s="305"/>
      <c r="AR380" s="305"/>
      <c r="AS380" s="305"/>
      <c r="AT380" s="305"/>
      <c r="AU380" s="305"/>
      <c r="AV380" s="305"/>
      <c r="AW380" s="305"/>
      <c r="AX380" s="305"/>
      <c r="AY380" s="305"/>
      <c r="AZ380" s="305"/>
      <c r="BA380" s="305"/>
      <c r="BB380" s="305"/>
      <c r="BC380" s="305"/>
      <c r="BD380" s="305"/>
      <c r="BE380" s="305"/>
      <c r="BF380" s="305"/>
      <c r="BG380" s="305"/>
      <c r="BH380" s="305"/>
      <c r="BI380" s="305"/>
      <c r="BJ380" s="305"/>
      <c r="BK380" s="305"/>
      <c r="BL380" s="305"/>
      <c r="BM380" s="305"/>
      <c r="BN380" s="305"/>
      <c r="BO380" s="305"/>
      <c r="BP380" s="305"/>
      <c r="BQ380" s="305"/>
      <c r="BR380" s="305"/>
      <c r="BS380" s="305"/>
      <c r="BT380" s="305"/>
      <c r="BU380" s="305"/>
      <c r="BV380" s="305"/>
      <c r="BW380" s="305"/>
      <c r="BX380" s="305"/>
      <c r="BY380" s="305"/>
      <c r="BZ380" s="305"/>
      <c r="CA380" s="305"/>
      <c r="CB380" s="305"/>
      <c r="CC380" s="305"/>
      <c r="CD380" s="305"/>
      <c r="CE380" s="305"/>
      <c r="CF380" s="305"/>
      <c r="CG380" s="305"/>
      <c r="CH380" s="305"/>
      <c r="CI380" s="305"/>
      <c r="CJ380" s="305"/>
      <c r="CK380" s="305"/>
      <c r="CL380" s="305"/>
      <c r="CM380" s="305"/>
      <c r="CN380" s="305"/>
      <c r="CO380" s="305"/>
      <c r="CP380" s="305"/>
      <c r="CQ380" s="305"/>
      <c r="CR380" s="305"/>
      <c r="CS380" s="305"/>
      <c r="CT380" s="305"/>
      <c r="CU380" s="305"/>
      <c r="CV380" s="305"/>
      <c r="CW380" s="305"/>
      <c r="CX380" s="305"/>
      <c r="CY380" s="305"/>
      <c r="CZ380" s="305"/>
      <c r="DA380" s="305"/>
      <c r="DB380" s="305"/>
      <c r="DC380" s="305"/>
      <c r="DD380" s="305"/>
      <c r="DE380" s="305"/>
      <c r="DF380" s="305"/>
      <c r="DG380" s="305"/>
      <c r="DH380" s="305"/>
      <c r="DI380" s="305"/>
      <c r="DJ380" s="305"/>
      <c r="DK380" s="305"/>
      <c r="DL380" s="305"/>
      <c r="DM380" s="305"/>
      <c r="DN380" s="305"/>
      <c r="DO380" s="305"/>
      <c r="DP380" s="305"/>
      <c r="DQ380" s="305"/>
      <c r="DR380" s="305"/>
      <c r="DS380" s="305"/>
      <c r="DT380" s="305"/>
      <c r="DU380" s="305"/>
      <c r="DV380" s="305"/>
      <c r="DW380" s="305"/>
      <c r="DX380" s="305"/>
      <c r="DY380" s="305"/>
      <c r="DZ380" s="305"/>
      <c r="EA380" s="305"/>
      <c r="EB380" s="305"/>
      <c r="EC380" s="305"/>
      <c r="ED380" s="305"/>
      <c r="EE380" s="305"/>
      <c r="EF380" s="305"/>
      <c r="EG380" s="305"/>
      <c r="EH380" s="305"/>
      <c r="EI380" s="305"/>
      <c r="EJ380" s="305"/>
      <c r="EK380" s="305"/>
      <c r="EL380" s="305"/>
      <c r="EM380" s="305"/>
      <c r="EN380" s="305"/>
      <c r="EO380" s="305"/>
      <c r="EP380" s="305"/>
      <c r="EQ380" s="305"/>
      <c r="ER380" s="305"/>
      <c r="ES380" s="305"/>
      <c r="ET380" s="305"/>
      <c r="EU380" s="305"/>
      <c r="EV380" s="305"/>
      <c r="EW380" s="305"/>
      <c r="EX380" s="305"/>
      <c r="EY380" s="305"/>
      <c r="EZ380" s="305"/>
      <c r="FA380" s="305"/>
      <c r="FB380" s="305"/>
      <c r="FC380" s="305"/>
      <c r="FD380" s="305"/>
      <c r="FE380" s="305"/>
      <c r="FF380" s="305"/>
      <c r="FG380" s="305"/>
      <c r="FH380" s="305"/>
      <c r="FI380" s="305"/>
      <c r="FJ380" s="305"/>
      <c r="FK380" s="305"/>
      <c r="FL380" s="305"/>
      <c r="FM380" s="305"/>
      <c r="FN380" s="305"/>
      <c r="FO380" s="305"/>
      <c r="FP380" s="305"/>
      <c r="FQ380" s="305"/>
      <c r="FR380" s="305"/>
      <c r="FS380" s="305"/>
      <c r="FT380" s="305"/>
      <c r="FU380" s="305"/>
      <c r="FV380" s="305"/>
      <c r="FW380" s="305"/>
      <c r="FX380" s="305"/>
      <c r="FY380" s="305"/>
      <c r="FZ380" s="305"/>
      <c r="GA380" s="305"/>
      <c r="GB380" s="305"/>
      <c r="GC380" s="305"/>
      <c r="GD380" s="305"/>
      <c r="GE380" s="305"/>
      <c r="GF380" s="305"/>
      <c r="GG380" s="305"/>
      <c r="GH380" s="305"/>
      <c r="GI380" s="305"/>
      <c r="GJ380" s="305"/>
      <c r="GK380" s="305"/>
      <c r="GL380" s="305"/>
      <c r="GM380" s="305"/>
      <c r="GN380" s="305"/>
      <c r="GO380" s="305"/>
      <c r="GP380" s="305"/>
      <c r="GQ380" s="305"/>
      <c r="GR380" s="305"/>
    </row>
    <row r="381" spans="3:200" s="318" customFormat="1" ht="12.75" customHeight="1" x14ac:dyDescent="0.2">
      <c r="C381" s="367"/>
      <c r="D381" s="403"/>
      <c r="E381" s="369"/>
      <c r="F381" s="369"/>
      <c r="G381" s="369"/>
      <c r="H381" s="369"/>
      <c r="I381" s="370"/>
      <c r="J381"/>
      <c r="K381" s="371"/>
      <c r="L381" s="371"/>
      <c r="M381" s="371"/>
      <c r="N381" s="371"/>
      <c r="O381" s="305"/>
      <c r="P381" s="305"/>
      <c r="Q381" s="305"/>
      <c r="R381" s="305"/>
      <c r="S381" s="305"/>
      <c r="T381" s="305"/>
      <c r="U381" s="305"/>
      <c r="V381" s="305"/>
      <c r="W381" s="305"/>
      <c r="X381" s="305"/>
      <c r="Y381" s="305"/>
      <c r="Z381" s="305"/>
      <c r="AA381" s="305"/>
      <c r="AB381" s="305"/>
      <c r="AC381" s="305"/>
      <c r="AD381" s="305"/>
      <c r="AE381" s="305"/>
      <c r="AF381" s="305"/>
      <c r="AG381" s="305"/>
      <c r="AH381" s="305"/>
      <c r="AI381" s="305"/>
      <c r="AJ381" s="305"/>
      <c r="AK381" s="305"/>
      <c r="AL381" s="305"/>
      <c r="AM381" s="305"/>
      <c r="AN381" s="305"/>
      <c r="AO381" s="305"/>
      <c r="AP381" s="305"/>
      <c r="AQ381" s="305"/>
      <c r="AR381" s="305"/>
      <c r="AS381" s="305"/>
      <c r="AT381" s="305"/>
      <c r="AU381" s="305"/>
      <c r="AV381" s="305"/>
      <c r="AW381" s="305"/>
      <c r="AX381" s="305"/>
      <c r="AY381" s="305"/>
      <c r="AZ381" s="305"/>
      <c r="BA381" s="305"/>
      <c r="BB381" s="305"/>
      <c r="BC381" s="305"/>
      <c r="BD381" s="305"/>
      <c r="BE381" s="305"/>
      <c r="BF381" s="305"/>
      <c r="BG381" s="305"/>
      <c r="BH381" s="305"/>
      <c r="BI381" s="305"/>
      <c r="BJ381" s="305"/>
      <c r="BK381" s="305"/>
      <c r="BL381" s="305"/>
      <c r="BM381" s="305"/>
      <c r="BN381" s="305"/>
      <c r="BO381" s="305"/>
      <c r="BP381" s="305"/>
      <c r="BQ381" s="305"/>
      <c r="BR381" s="305"/>
      <c r="BS381" s="305"/>
      <c r="BT381" s="305"/>
      <c r="BU381" s="305"/>
      <c r="BV381" s="305"/>
      <c r="BW381" s="305"/>
      <c r="BX381" s="305"/>
      <c r="BY381" s="305"/>
      <c r="BZ381" s="305"/>
      <c r="CA381" s="305"/>
      <c r="CB381" s="305"/>
      <c r="CC381" s="305"/>
      <c r="CD381" s="305"/>
      <c r="CE381" s="305"/>
      <c r="CF381" s="305"/>
      <c r="CG381" s="305"/>
      <c r="CH381" s="305"/>
      <c r="CI381" s="305"/>
      <c r="CJ381" s="305"/>
      <c r="CK381" s="305"/>
      <c r="CL381" s="305"/>
      <c r="CM381" s="305"/>
      <c r="CN381" s="305"/>
      <c r="CO381" s="305"/>
      <c r="CP381" s="305"/>
      <c r="CQ381" s="305"/>
      <c r="CR381" s="305"/>
      <c r="CS381" s="305"/>
      <c r="CT381" s="305"/>
      <c r="CU381" s="305"/>
      <c r="CV381" s="305"/>
      <c r="CW381" s="305"/>
      <c r="CX381" s="305"/>
      <c r="CY381" s="305"/>
      <c r="CZ381" s="305"/>
      <c r="DA381" s="305"/>
      <c r="DB381" s="305"/>
      <c r="DC381" s="305"/>
      <c r="DD381" s="305"/>
      <c r="DE381" s="305"/>
      <c r="DF381" s="305"/>
      <c r="DG381" s="305"/>
      <c r="DH381" s="305"/>
      <c r="DI381" s="305"/>
      <c r="DJ381" s="305"/>
      <c r="DK381" s="305"/>
      <c r="DL381" s="305"/>
      <c r="DM381" s="305"/>
      <c r="DN381" s="305"/>
      <c r="DO381" s="305"/>
      <c r="DP381" s="305"/>
      <c r="DQ381" s="305"/>
      <c r="DR381" s="305"/>
      <c r="DS381" s="305"/>
      <c r="DT381" s="305"/>
      <c r="DU381" s="305"/>
      <c r="DV381" s="305"/>
      <c r="DW381" s="305"/>
      <c r="DX381" s="305"/>
      <c r="DY381" s="305"/>
      <c r="DZ381" s="305"/>
      <c r="EA381" s="305"/>
      <c r="EB381" s="305"/>
      <c r="EC381" s="305"/>
      <c r="ED381" s="305"/>
      <c r="EE381" s="305"/>
      <c r="EF381" s="305"/>
      <c r="EG381" s="305"/>
      <c r="EH381" s="305"/>
      <c r="EI381" s="305"/>
      <c r="EJ381" s="305"/>
      <c r="EK381" s="305"/>
      <c r="EL381" s="305"/>
      <c r="EM381" s="305"/>
      <c r="EN381" s="305"/>
      <c r="EO381" s="305"/>
      <c r="EP381" s="305"/>
      <c r="EQ381" s="305"/>
      <c r="ER381" s="305"/>
      <c r="ES381" s="305"/>
      <c r="ET381" s="305"/>
      <c r="EU381" s="305"/>
      <c r="EV381" s="305"/>
      <c r="EW381" s="305"/>
      <c r="EX381" s="305"/>
      <c r="EY381" s="305"/>
      <c r="EZ381" s="305"/>
      <c r="FA381" s="305"/>
      <c r="FB381" s="305"/>
      <c r="FC381" s="305"/>
      <c r="FD381" s="305"/>
      <c r="FE381" s="305"/>
      <c r="FF381" s="305"/>
      <c r="FG381" s="305"/>
      <c r="FH381" s="305"/>
      <c r="FI381" s="305"/>
      <c r="FJ381" s="305"/>
      <c r="FK381" s="305"/>
      <c r="FL381" s="305"/>
      <c r="FM381" s="305"/>
      <c r="FN381" s="305"/>
      <c r="FO381" s="305"/>
      <c r="FP381" s="305"/>
      <c r="FQ381" s="305"/>
      <c r="FR381" s="305"/>
      <c r="FS381" s="305"/>
      <c r="FT381" s="305"/>
      <c r="FU381" s="305"/>
      <c r="FV381" s="305"/>
      <c r="FW381" s="305"/>
      <c r="FX381" s="305"/>
      <c r="FY381" s="305"/>
      <c r="FZ381" s="305"/>
      <c r="GA381" s="305"/>
      <c r="GB381" s="305"/>
      <c r="GC381" s="305"/>
      <c r="GD381" s="305"/>
      <c r="GE381" s="305"/>
      <c r="GF381" s="305"/>
      <c r="GG381" s="305"/>
      <c r="GH381" s="305"/>
      <c r="GI381" s="305"/>
      <c r="GJ381" s="305"/>
      <c r="GK381" s="305"/>
      <c r="GL381" s="305"/>
      <c r="GM381" s="305"/>
      <c r="GN381" s="305"/>
      <c r="GO381" s="305"/>
      <c r="GP381" s="305"/>
      <c r="GQ381" s="305"/>
      <c r="GR381" s="305"/>
    </row>
    <row r="382" spans="3:200" s="318" customFormat="1" ht="12.75" customHeight="1" x14ac:dyDescent="0.2">
      <c r="C382" s="367"/>
      <c r="D382" s="403"/>
      <c r="E382" s="369"/>
      <c r="F382" s="369"/>
      <c r="G382" s="369"/>
      <c r="H382" s="369"/>
      <c r="I382" s="370"/>
      <c r="J382"/>
      <c r="K382" s="371"/>
      <c r="L382" s="371"/>
      <c r="M382" s="371"/>
      <c r="N382" s="371"/>
      <c r="O382" s="305"/>
      <c r="P382" s="305"/>
      <c r="Q382" s="305"/>
      <c r="R382" s="305"/>
      <c r="S382" s="305"/>
      <c r="T382" s="305"/>
      <c r="U382" s="305"/>
      <c r="V382" s="305"/>
      <c r="W382" s="305"/>
      <c r="X382" s="305"/>
      <c r="Y382" s="305"/>
      <c r="Z382" s="305"/>
      <c r="AA382" s="305"/>
      <c r="AB382" s="305"/>
      <c r="AC382" s="305"/>
      <c r="AD382" s="305"/>
      <c r="AE382" s="305"/>
      <c r="AF382" s="305"/>
      <c r="AG382" s="305"/>
      <c r="AH382" s="305"/>
      <c r="AI382" s="305"/>
      <c r="AJ382" s="305"/>
      <c r="AK382" s="305"/>
      <c r="AL382" s="305"/>
      <c r="AM382" s="305"/>
      <c r="AN382" s="305"/>
      <c r="AO382" s="305"/>
      <c r="AP382" s="305"/>
      <c r="AQ382" s="305"/>
      <c r="AR382" s="305"/>
      <c r="AS382" s="305"/>
      <c r="AT382" s="305"/>
      <c r="AU382" s="305"/>
      <c r="AV382" s="305"/>
      <c r="AW382" s="305"/>
      <c r="AX382" s="305"/>
      <c r="AY382" s="305"/>
      <c r="AZ382" s="305"/>
      <c r="BA382" s="305"/>
      <c r="BB382" s="305"/>
      <c r="BC382" s="305"/>
      <c r="BD382" s="305"/>
      <c r="BE382" s="305"/>
      <c r="BF382" s="305"/>
      <c r="BG382" s="305"/>
      <c r="BH382" s="305"/>
      <c r="BI382" s="305"/>
      <c r="BJ382" s="305"/>
      <c r="BK382" s="305"/>
      <c r="BL382" s="305"/>
      <c r="BM382" s="305"/>
      <c r="BN382" s="305"/>
      <c r="BO382" s="305"/>
      <c r="BP382" s="305"/>
      <c r="BQ382" s="305"/>
      <c r="BR382" s="305"/>
      <c r="BS382" s="305"/>
      <c r="BT382" s="305"/>
      <c r="BU382" s="305"/>
      <c r="BV382" s="305"/>
      <c r="BW382" s="305"/>
      <c r="BX382" s="305"/>
      <c r="BY382" s="305"/>
      <c r="BZ382" s="305"/>
      <c r="CA382" s="305"/>
      <c r="CB382" s="305"/>
      <c r="CC382" s="305"/>
      <c r="CD382" s="305"/>
      <c r="CE382" s="305"/>
      <c r="CF382" s="305"/>
      <c r="CG382" s="305"/>
      <c r="CH382" s="305"/>
      <c r="CI382" s="305"/>
      <c r="CJ382" s="305"/>
      <c r="CK382" s="305"/>
      <c r="CL382" s="305"/>
      <c r="CM382" s="305"/>
      <c r="CN382" s="305"/>
      <c r="CO382" s="305"/>
      <c r="CP382" s="305"/>
      <c r="CQ382" s="305"/>
      <c r="CR382" s="305"/>
      <c r="CS382" s="305"/>
      <c r="CT382" s="305"/>
      <c r="CU382" s="305"/>
      <c r="CV382" s="305"/>
      <c r="CW382" s="305"/>
      <c r="CX382" s="305"/>
      <c r="CY382" s="305"/>
      <c r="CZ382" s="305"/>
      <c r="DA382" s="305"/>
      <c r="DB382" s="305"/>
      <c r="DC382" s="305"/>
      <c r="DD382" s="305"/>
      <c r="DE382" s="305"/>
      <c r="DF382" s="305"/>
      <c r="DG382" s="305"/>
      <c r="DH382" s="305"/>
      <c r="DI382" s="305"/>
      <c r="DJ382" s="305"/>
      <c r="DK382" s="305"/>
      <c r="DL382" s="305"/>
      <c r="DM382" s="305"/>
      <c r="DN382" s="305"/>
      <c r="DO382" s="305"/>
      <c r="DP382" s="305"/>
      <c r="DQ382" s="305"/>
      <c r="DR382" s="305"/>
      <c r="DS382" s="305"/>
      <c r="DT382" s="305"/>
      <c r="DU382" s="305"/>
      <c r="DV382" s="305"/>
      <c r="DW382" s="305"/>
      <c r="DX382" s="305"/>
      <c r="DY382" s="305"/>
      <c r="DZ382" s="305"/>
      <c r="EA382" s="305"/>
      <c r="EB382" s="305"/>
      <c r="EC382" s="305"/>
      <c r="ED382" s="305"/>
      <c r="EE382" s="305"/>
      <c r="EF382" s="305"/>
      <c r="EG382" s="305"/>
      <c r="EH382" s="305"/>
      <c r="EI382" s="305"/>
      <c r="EJ382" s="305"/>
      <c r="EK382" s="305"/>
      <c r="EL382" s="305"/>
      <c r="EM382" s="305"/>
      <c r="EN382" s="305"/>
      <c r="EO382" s="305"/>
      <c r="EP382" s="305"/>
      <c r="EQ382" s="305"/>
      <c r="ER382" s="305"/>
      <c r="ES382" s="305"/>
      <c r="ET382" s="305"/>
      <c r="EU382" s="305"/>
      <c r="EV382" s="305"/>
      <c r="EW382" s="305"/>
      <c r="EX382" s="305"/>
      <c r="EY382" s="305"/>
      <c r="EZ382" s="305"/>
      <c r="FA382" s="305"/>
      <c r="FB382" s="305"/>
      <c r="FC382" s="305"/>
      <c r="FD382" s="305"/>
      <c r="FE382" s="305"/>
      <c r="FF382" s="305"/>
      <c r="FG382" s="305"/>
      <c r="FH382" s="305"/>
      <c r="FI382" s="305"/>
      <c r="FJ382" s="305"/>
      <c r="FK382" s="305"/>
      <c r="FL382" s="305"/>
      <c r="FM382" s="305"/>
      <c r="FN382" s="305"/>
      <c r="FO382" s="305"/>
      <c r="FP382" s="305"/>
      <c r="FQ382" s="305"/>
      <c r="FR382" s="305"/>
      <c r="FS382" s="305"/>
      <c r="FT382" s="305"/>
      <c r="FU382" s="305"/>
      <c r="FV382" s="305"/>
      <c r="FW382" s="305"/>
      <c r="FX382" s="305"/>
      <c r="FY382" s="305"/>
      <c r="FZ382" s="305"/>
      <c r="GA382" s="305"/>
      <c r="GB382" s="305"/>
      <c r="GC382" s="305"/>
      <c r="GD382" s="305"/>
      <c r="GE382" s="305"/>
      <c r="GF382" s="305"/>
      <c r="GG382" s="305"/>
      <c r="GH382" s="305"/>
      <c r="GI382" s="305"/>
      <c r="GJ382" s="305"/>
      <c r="GK382" s="305"/>
      <c r="GL382" s="305"/>
      <c r="GM382" s="305"/>
      <c r="GN382" s="305"/>
      <c r="GO382" s="305"/>
      <c r="GP382" s="305"/>
      <c r="GQ382" s="305"/>
      <c r="GR382" s="305"/>
    </row>
    <row r="383" spans="3:200" s="318" customFormat="1" ht="12.75" customHeight="1" x14ac:dyDescent="0.2">
      <c r="C383" s="367"/>
      <c r="D383" s="403"/>
      <c r="E383" s="369"/>
      <c r="F383" s="369"/>
      <c r="G383" s="369"/>
      <c r="H383" s="369"/>
      <c r="I383" s="370"/>
      <c r="J383"/>
      <c r="K383" s="371"/>
      <c r="L383" s="371"/>
      <c r="M383" s="371"/>
      <c r="N383" s="371"/>
      <c r="O383" s="305"/>
      <c r="P383" s="305"/>
      <c r="Q383" s="305"/>
      <c r="R383" s="305"/>
      <c r="S383" s="305"/>
      <c r="T383" s="305"/>
      <c r="U383" s="305"/>
      <c r="V383" s="305"/>
      <c r="W383" s="305"/>
      <c r="X383" s="305"/>
      <c r="Y383" s="305"/>
      <c r="Z383" s="305"/>
      <c r="AA383" s="305"/>
      <c r="AB383" s="305"/>
      <c r="AC383" s="305"/>
      <c r="AD383" s="305"/>
      <c r="AE383" s="305"/>
      <c r="AF383" s="305"/>
      <c r="AG383" s="305"/>
      <c r="AH383" s="305"/>
      <c r="AI383" s="305"/>
      <c r="AJ383" s="305"/>
      <c r="AK383" s="305"/>
      <c r="AL383" s="305"/>
      <c r="AM383" s="305"/>
      <c r="AN383" s="305"/>
      <c r="AO383" s="305"/>
      <c r="AP383" s="305"/>
      <c r="AQ383" s="305"/>
      <c r="AR383" s="305"/>
      <c r="AS383" s="305"/>
      <c r="AT383" s="305"/>
      <c r="AU383" s="305"/>
      <c r="AV383" s="305"/>
      <c r="AW383" s="305"/>
      <c r="AX383" s="305"/>
      <c r="AY383" s="305"/>
      <c r="AZ383" s="305"/>
      <c r="BA383" s="305"/>
      <c r="BB383" s="305"/>
      <c r="BC383" s="305"/>
      <c r="BD383" s="305"/>
      <c r="BE383" s="305"/>
      <c r="BF383" s="305"/>
      <c r="BG383" s="305"/>
      <c r="BH383" s="305"/>
      <c r="BI383" s="305"/>
      <c r="BJ383" s="305"/>
      <c r="BK383" s="305"/>
      <c r="BL383" s="305"/>
      <c r="BM383" s="305"/>
      <c r="BN383" s="305"/>
      <c r="BO383" s="305"/>
      <c r="BP383" s="305"/>
      <c r="BQ383" s="305"/>
      <c r="BR383" s="305"/>
      <c r="BS383" s="305"/>
      <c r="BT383" s="305"/>
      <c r="BU383" s="305"/>
      <c r="BV383" s="305"/>
      <c r="BW383" s="305"/>
      <c r="BX383" s="305"/>
      <c r="BY383" s="305"/>
      <c r="BZ383" s="305"/>
      <c r="CA383" s="305"/>
      <c r="CB383" s="305"/>
      <c r="CC383" s="305"/>
      <c r="CD383" s="305"/>
      <c r="CE383" s="305"/>
      <c r="CF383" s="305"/>
      <c r="CG383" s="305"/>
      <c r="CH383" s="305"/>
      <c r="CI383" s="305"/>
      <c r="CJ383" s="305"/>
      <c r="CK383" s="305"/>
      <c r="CL383" s="305"/>
      <c r="CM383" s="305"/>
      <c r="CN383" s="305"/>
      <c r="CO383" s="305"/>
      <c r="CP383" s="305"/>
      <c r="CQ383" s="305"/>
      <c r="CR383" s="305"/>
      <c r="CS383" s="305"/>
      <c r="CT383" s="305"/>
      <c r="CU383" s="305"/>
      <c r="CV383" s="305"/>
      <c r="CW383" s="305"/>
      <c r="CX383" s="305"/>
      <c r="CY383" s="305"/>
      <c r="CZ383" s="305"/>
      <c r="DA383" s="305"/>
      <c r="DB383" s="305"/>
      <c r="DC383" s="305"/>
      <c r="DD383" s="305"/>
      <c r="DE383" s="305"/>
      <c r="DF383" s="305"/>
      <c r="DG383" s="305"/>
      <c r="DH383" s="305"/>
      <c r="DI383" s="305"/>
      <c r="DJ383" s="305"/>
      <c r="DK383" s="305"/>
      <c r="DL383" s="305"/>
      <c r="DM383" s="305"/>
      <c r="DN383" s="305"/>
      <c r="DO383" s="305"/>
      <c r="DP383" s="305"/>
      <c r="DQ383" s="305"/>
      <c r="DR383" s="305"/>
      <c r="DS383" s="305"/>
      <c r="DT383" s="305"/>
      <c r="DU383" s="305"/>
      <c r="DV383" s="305"/>
      <c r="DW383" s="305"/>
      <c r="DX383" s="305"/>
      <c r="DY383" s="305"/>
      <c r="DZ383" s="305"/>
      <c r="EA383" s="305"/>
      <c r="EB383" s="305"/>
      <c r="EC383" s="305"/>
      <c r="ED383" s="305"/>
      <c r="EE383" s="305"/>
      <c r="EF383" s="305"/>
      <c r="EG383" s="305"/>
      <c r="EH383" s="305"/>
      <c r="EI383" s="305"/>
      <c r="EJ383" s="305"/>
      <c r="EK383" s="305"/>
      <c r="EL383" s="305"/>
      <c r="EM383" s="305"/>
      <c r="EN383" s="305"/>
      <c r="EO383" s="305"/>
      <c r="EP383" s="305"/>
      <c r="EQ383" s="305"/>
      <c r="ER383" s="305"/>
      <c r="ES383" s="305"/>
      <c r="ET383" s="305"/>
      <c r="EU383" s="305"/>
      <c r="EV383" s="305"/>
      <c r="EW383" s="305"/>
      <c r="EX383" s="305"/>
      <c r="EY383" s="305"/>
      <c r="EZ383" s="305"/>
      <c r="FA383" s="305"/>
      <c r="FB383" s="305"/>
      <c r="FC383" s="305"/>
      <c r="FD383" s="305"/>
      <c r="FE383" s="305"/>
      <c r="FF383" s="305"/>
      <c r="FG383" s="305"/>
      <c r="FH383" s="305"/>
      <c r="FI383" s="305"/>
      <c r="FJ383" s="305"/>
      <c r="FK383" s="305"/>
      <c r="FL383" s="305"/>
      <c r="FM383" s="305"/>
      <c r="FN383" s="305"/>
      <c r="FO383" s="305"/>
      <c r="FP383" s="305"/>
      <c r="FQ383" s="305"/>
      <c r="FR383" s="305"/>
      <c r="FS383" s="305"/>
      <c r="FT383" s="305"/>
      <c r="FU383" s="305"/>
      <c r="FV383" s="305"/>
      <c r="FW383" s="305"/>
      <c r="FX383" s="305"/>
      <c r="FY383" s="305"/>
      <c r="FZ383" s="305"/>
      <c r="GA383" s="305"/>
      <c r="GB383" s="305"/>
      <c r="GC383" s="305"/>
      <c r="GD383" s="305"/>
      <c r="GE383" s="305"/>
      <c r="GF383" s="305"/>
      <c r="GG383" s="305"/>
      <c r="GH383" s="305"/>
      <c r="GI383" s="305"/>
      <c r="GJ383" s="305"/>
      <c r="GK383" s="305"/>
      <c r="GL383" s="305"/>
      <c r="GM383" s="305"/>
      <c r="GN383" s="305"/>
      <c r="GO383" s="305"/>
      <c r="GP383" s="305"/>
      <c r="GQ383" s="305"/>
      <c r="GR383" s="305"/>
    </row>
    <row r="384" spans="3:200" s="318" customFormat="1" ht="12.75" customHeight="1" x14ac:dyDescent="0.2">
      <c r="C384" s="367"/>
      <c r="D384" s="403"/>
      <c r="E384" s="369"/>
      <c r="F384" s="369"/>
      <c r="G384" s="369"/>
      <c r="H384" s="369"/>
      <c r="I384" s="370"/>
      <c r="J384"/>
      <c r="K384" s="371"/>
      <c r="L384" s="371"/>
      <c r="M384" s="371"/>
      <c r="N384" s="371"/>
      <c r="O384" s="305"/>
      <c r="P384" s="305"/>
      <c r="Q384" s="305"/>
      <c r="R384" s="305"/>
      <c r="S384" s="305"/>
      <c r="T384" s="305"/>
      <c r="U384" s="305"/>
      <c r="V384" s="305"/>
      <c r="W384" s="305"/>
      <c r="X384" s="305"/>
      <c r="Y384" s="305"/>
      <c r="Z384" s="305"/>
      <c r="AA384" s="305"/>
      <c r="AB384" s="305"/>
      <c r="AC384" s="305"/>
      <c r="AD384" s="305"/>
      <c r="AE384" s="305"/>
      <c r="AF384" s="305"/>
      <c r="AG384" s="305"/>
      <c r="AH384" s="305"/>
      <c r="AI384" s="305"/>
      <c r="AJ384" s="305"/>
      <c r="AK384" s="305"/>
      <c r="AL384" s="305"/>
      <c r="AM384" s="305"/>
      <c r="AN384" s="305"/>
      <c r="AO384" s="305"/>
      <c r="AP384" s="305"/>
      <c r="AQ384" s="305"/>
      <c r="AR384" s="305"/>
      <c r="AS384" s="305"/>
      <c r="AT384" s="305"/>
      <c r="AU384" s="305"/>
      <c r="AV384" s="305"/>
      <c r="AW384" s="305"/>
      <c r="AX384" s="305"/>
      <c r="AY384" s="305"/>
      <c r="AZ384" s="305"/>
      <c r="BA384" s="305"/>
      <c r="BB384" s="305"/>
      <c r="BC384" s="305"/>
      <c r="BD384" s="305"/>
      <c r="BE384" s="305"/>
      <c r="BF384" s="305"/>
      <c r="BG384" s="305"/>
      <c r="BH384" s="305"/>
      <c r="BI384" s="305"/>
      <c r="BJ384" s="305"/>
      <c r="BK384" s="305"/>
      <c r="BL384" s="305"/>
      <c r="BM384" s="305"/>
      <c r="BN384" s="305"/>
      <c r="BO384" s="305"/>
      <c r="BP384" s="305"/>
      <c r="BQ384" s="305"/>
      <c r="BR384" s="305"/>
      <c r="BS384" s="305"/>
      <c r="BT384" s="305"/>
      <c r="BU384" s="305"/>
      <c r="BV384" s="305"/>
      <c r="BW384" s="305"/>
      <c r="BX384" s="305"/>
      <c r="BY384" s="305"/>
      <c r="BZ384" s="305"/>
      <c r="CA384" s="305"/>
      <c r="CB384" s="305"/>
      <c r="CC384" s="305"/>
      <c r="CD384" s="305"/>
      <c r="CE384" s="305"/>
      <c r="CF384" s="305"/>
      <c r="CG384" s="305"/>
      <c r="CH384" s="305"/>
      <c r="CI384" s="305"/>
      <c r="CJ384" s="305"/>
      <c r="CK384" s="305"/>
      <c r="CL384" s="305"/>
      <c r="CM384" s="305"/>
      <c r="CN384" s="305"/>
      <c r="CO384" s="305"/>
      <c r="CP384" s="305"/>
      <c r="CQ384" s="305"/>
      <c r="CR384" s="305"/>
      <c r="CS384" s="305"/>
      <c r="CT384" s="305"/>
      <c r="CU384" s="305"/>
      <c r="CV384" s="305"/>
      <c r="CW384" s="305"/>
      <c r="CX384" s="305"/>
      <c r="CY384" s="305"/>
      <c r="CZ384" s="305"/>
      <c r="DA384" s="305"/>
      <c r="DB384" s="305"/>
      <c r="DC384" s="305"/>
      <c r="DD384" s="305"/>
      <c r="DE384" s="305"/>
      <c r="DF384" s="305"/>
      <c r="DG384" s="305"/>
      <c r="DH384" s="305"/>
      <c r="DI384" s="305"/>
      <c r="DJ384" s="305"/>
      <c r="DK384" s="305"/>
      <c r="DL384" s="305"/>
      <c r="DM384" s="305"/>
      <c r="DN384" s="305"/>
      <c r="DO384" s="305"/>
      <c r="DP384" s="305"/>
      <c r="DQ384" s="305"/>
      <c r="DR384" s="305"/>
      <c r="DS384" s="305"/>
      <c r="DT384" s="305"/>
      <c r="DU384" s="305"/>
      <c r="DV384" s="305"/>
      <c r="DW384" s="305"/>
      <c r="DX384" s="305"/>
      <c r="DY384" s="305"/>
      <c r="DZ384" s="305"/>
      <c r="EA384" s="305"/>
      <c r="EB384" s="305"/>
      <c r="EC384" s="305"/>
      <c r="ED384" s="305"/>
      <c r="EE384" s="305"/>
      <c r="EF384" s="305"/>
      <c r="EG384" s="305"/>
      <c r="EH384" s="305"/>
      <c r="EI384" s="305"/>
      <c r="EJ384" s="305"/>
      <c r="EK384" s="305"/>
      <c r="EL384" s="305"/>
      <c r="EM384" s="305"/>
      <c r="EN384" s="305"/>
      <c r="EO384" s="305"/>
      <c r="EP384" s="305"/>
      <c r="EQ384" s="305"/>
      <c r="ER384" s="305"/>
      <c r="ES384" s="305"/>
      <c r="ET384" s="305"/>
      <c r="EU384" s="305"/>
      <c r="EV384" s="305"/>
      <c r="EW384" s="305"/>
      <c r="EX384" s="305"/>
      <c r="EY384" s="305"/>
      <c r="EZ384" s="305"/>
      <c r="FA384" s="305"/>
      <c r="FB384" s="305"/>
      <c r="FC384" s="305"/>
      <c r="FD384" s="305"/>
      <c r="FE384" s="305"/>
      <c r="FF384" s="305"/>
      <c r="FG384" s="305"/>
      <c r="FH384" s="305"/>
      <c r="FI384" s="305"/>
      <c r="FJ384" s="305"/>
      <c r="FK384" s="305"/>
      <c r="FL384" s="305"/>
      <c r="FM384" s="305"/>
      <c r="FN384" s="305"/>
      <c r="FO384" s="305"/>
      <c r="FP384" s="305"/>
      <c r="FQ384" s="305"/>
      <c r="FR384" s="305"/>
      <c r="FS384" s="305"/>
      <c r="FT384" s="305"/>
      <c r="FU384" s="305"/>
      <c r="FV384" s="305"/>
      <c r="FW384" s="305"/>
      <c r="FX384" s="305"/>
      <c r="FY384" s="305"/>
      <c r="FZ384" s="305"/>
      <c r="GA384" s="305"/>
      <c r="GB384" s="305"/>
      <c r="GC384" s="305"/>
      <c r="GD384" s="305"/>
      <c r="GE384" s="305"/>
      <c r="GF384" s="305"/>
      <c r="GG384" s="305"/>
      <c r="GH384" s="305"/>
      <c r="GI384" s="305"/>
      <c r="GJ384" s="305"/>
      <c r="GK384" s="305"/>
      <c r="GL384" s="305"/>
      <c r="GM384" s="305"/>
      <c r="GN384" s="305"/>
      <c r="GO384" s="305"/>
      <c r="GP384" s="305"/>
      <c r="GQ384" s="305"/>
      <c r="GR384" s="305"/>
    </row>
    <row r="385" spans="3:200" s="318" customFormat="1" ht="12.75" customHeight="1" x14ac:dyDescent="0.2">
      <c r="C385" s="367"/>
      <c r="D385" s="403"/>
      <c r="E385" s="369"/>
      <c r="F385" s="369"/>
      <c r="G385" s="369"/>
      <c r="H385" s="369"/>
      <c r="I385" s="370"/>
      <c r="J385"/>
      <c r="K385" s="371"/>
      <c r="L385" s="371"/>
      <c r="M385" s="371"/>
      <c r="N385" s="371"/>
      <c r="O385" s="305"/>
      <c r="P385" s="305"/>
      <c r="Q385" s="305"/>
      <c r="R385" s="305"/>
      <c r="S385" s="305"/>
      <c r="T385" s="305"/>
      <c r="U385" s="305"/>
      <c r="V385" s="305"/>
      <c r="W385" s="305"/>
      <c r="X385" s="305"/>
      <c r="Y385" s="305"/>
      <c r="Z385" s="305"/>
      <c r="AA385" s="305"/>
      <c r="AB385" s="305"/>
      <c r="AC385" s="305"/>
      <c r="AD385" s="305"/>
      <c r="AE385" s="305"/>
      <c r="AF385" s="305"/>
      <c r="AG385" s="305"/>
      <c r="AH385" s="305"/>
      <c r="AI385" s="305"/>
      <c r="AJ385" s="305"/>
      <c r="AK385" s="305"/>
      <c r="AL385" s="305"/>
      <c r="AM385" s="305"/>
      <c r="AN385" s="305"/>
      <c r="AO385" s="305"/>
      <c r="AP385" s="305"/>
      <c r="AQ385" s="305"/>
      <c r="AR385" s="305"/>
      <c r="AS385" s="305"/>
      <c r="AT385" s="305"/>
      <c r="AU385" s="305"/>
      <c r="AV385" s="305"/>
      <c r="AW385" s="305"/>
      <c r="AX385" s="305"/>
      <c r="AY385" s="305"/>
      <c r="AZ385" s="305"/>
      <c r="BA385" s="305"/>
      <c r="BB385" s="305"/>
      <c r="BC385" s="305"/>
      <c r="BD385" s="305"/>
      <c r="BE385" s="305"/>
      <c r="BF385" s="305"/>
      <c r="BG385" s="305"/>
      <c r="BH385" s="305"/>
      <c r="BI385" s="305"/>
      <c r="BJ385" s="305"/>
      <c r="BK385" s="305"/>
      <c r="BL385" s="305"/>
      <c r="BM385" s="305"/>
      <c r="BN385" s="305"/>
      <c r="BO385" s="305"/>
      <c r="BP385" s="305"/>
      <c r="BQ385" s="305"/>
      <c r="BR385" s="305"/>
      <c r="BS385" s="305"/>
      <c r="BT385" s="305"/>
      <c r="BU385" s="305"/>
      <c r="BV385" s="305"/>
      <c r="BW385" s="305"/>
      <c r="BX385" s="305"/>
      <c r="BY385" s="305"/>
      <c r="BZ385" s="305"/>
      <c r="CA385" s="305"/>
      <c r="CB385" s="305"/>
      <c r="CC385" s="305"/>
      <c r="CD385" s="305"/>
      <c r="CE385" s="305"/>
      <c r="CF385" s="305"/>
      <c r="CG385" s="305"/>
      <c r="CH385" s="305"/>
      <c r="CI385" s="305"/>
      <c r="CJ385" s="305"/>
      <c r="CK385" s="305"/>
      <c r="CL385" s="305"/>
      <c r="CM385" s="305"/>
      <c r="CN385" s="305"/>
      <c r="CO385" s="305"/>
      <c r="CP385" s="305"/>
      <c r="CQ385" s="305"/>
      <c r="CR385" s="305"/>
      <c r="CS385" s="305"/>
      <c r="CT385" s="305"/>
      <c r="CU385" s="305"/>
      <c r="CV385" s="305"/>
      <c r="CW385" s="305"/>
      <c r="CX385" s="305"/>
      <c r="CY385" s="305"/>
      <c r="CZ385" s="305"/>
      <c r="DA385" s="305"/>
      <c r="DB385" s="305"/>
      <c r="DC385" s="305"/>
      <c r="DD385" s="305"/>
      <c r="DE385" s="305"/>
      <c r="DF385" s="305"/>
      <c r="DG385" s="305"/>
      <c r="DH385" s="305"/>
      <c r="DI385" s="305"/>
      <c r="DJ385" s="305"/>
      <c r="DK385" s="305"/>
      <c r="DL385" s="305"/>
      <c r="DM385" s="305"/>
      <c r="DN385" s="305"/>
      <c r="DO385" s="305"/>
      <c r="DP385" s="305"/>
      <c r="DQ385" s="305"/>
      <c r="DR385" s="305"/>
      <c r="DS385" s="305"/>
      <c r="DT385" s="305"/>
      <c r="DU385" s="305"/>
      <c r="DV385" s="305"/>
      <c r="DW385" s="305"/>
      <c r="DX385" s="305"/>
      <c r="DY385" s="305"/>
      <c r="DZ385" s="305"/>
      <c r="EA385" s="305"/>
      <c r="EB385" s="305"/>
      <c r="EC385" s="305"/>
      <c r="ED385" s="305"/>
      <c r="EE385" s="305"/>
      <c r="EF385" s="305"/>
      <c r="EG385" s="305"/>
      <c r="EH385" s="305"/>
      <c r="EI385" s="305"/>
      <c r="EJ385" s="305"/>
      <c r="EK385" s="305"/>
      <c r="EL385" s="305"/>
      <c r="EM385" s="305"/>
      <c r="EN385" s="305"/>
      <c r="EO385" s="305"/>
      <c r="EP385" s="305"/>
      <c r="EQ385" s="305"/>
      <c r="ER385" s="305"/>
      <c r="ES385" s="305"/>
      <c r="ET385" s="305"/>
      <c r="EU385" s="305"/>
      <c r="EV385" s="305"/>
      <c r="EW385" s="305"/>
      <c r="EX385" s="305"/>
      <c r="EY385" s="305"/>
      <c r="EZ385" s="305"/>
      <c r="FA385" s="305"/>
      <c r="FB385" s="305"/>
      <c r="FC385" s="305"/>
      <c r="FD385" s="305"/>
      <c r="FE385" s="305"/>
      <c r="FF385" s="305"/>
      <c r="FG385" s="305"/>
      <c r="FH385" s="305"/>
      <c r="FI385" s="305"/>
      <c r="FJ385" s="305"/>
      <c r="FK385" s="305"/>
      <c r="FL385" s="305"/>
      <c r="FM385" s="305"/>
      <c r="FN385" s="305"/>
      <c r="FO385" s="305"/>
      <c r="FP385" s="305"/>
      <c r="FQ385" s="305"/>
      <c r="FR385" s="305"/>
      <c r="FS385" s="305"/>
      <c r="FT385" s="305"/>
      <c r="FU385" s="305"/>
      <c r="FV385" s="305"/>
      <c r="FW385" s="305"/>
      <c r="FX385" s="305"/>
      <c r="FY385" s="305"/>
      <c r="FZ385" s="305"/>
      <c r="GA385" s="305"/>
      <c r="GB385" s="305"/>
      <c r="GC385" s="305"/>
      <c r="GD385" s="305"/>
      <c r="GE385" s="305"/>
      <c r="GF385" s="305"/>
      <c r="GG385" s="305"/>
      <c r="GH385" s="305"/>
      <c r="GI385" s="305"/>
      <c r="GJ385" s="305"/>
      <c r="GK385" s="305"/>
      <c r="GL385" s="305"/>
      <c r="GM385" s="305"/>
      <c r="GN385" s="305"/>
      <c r="GO385" s="305"/>
      <c r="GP385" s="305"/>
      <c r="GQ385" s="305"/>
      <c r="GR385" s="305"/>
    </row>
    <row r="386" spans="3:200" s="318" customFormat="1" ht="12.75" customHeight="1" x14ac:dyDescent="0.2">
      <c r="C386" s="367"/>
      <c r="D386" s="403"/>
      <c r="E386" s="369"/>
      <c r="F386" s="369"/>
      <c r="G386" s="369"/>
      <c r="H386" s="369"/>
      <c r="I386" s="370"/>
      <c r="J386"/>
      <c r="K386" s="371"/>
      <c r="L386" s="371"/>
      <c r="M386" s="371"/>
      <c r="N386" s="371"/>
      <c r="O386" s="305"/>
      <c r="P386" s="305"/>
      <c r="Q386" s="305"/>
      <c r="R386" s="305"/>
      <c r="S386" s="305"/>
      <c r="T386" s="305"/>
      <c r="U386" s="305"/>
      <c r="V386" s="305"/>
      <c r="W386" s="305"/>
      <c r="X386" s="305"/>
      <c r="Y386" s="305"/>
      <c r="Z386" s="305"/>
      <c r="AA386" s="305"/>
      <c r="AB386" s="305"/>
      <c r="AC386" s="305"/>
      <c r="AD386" s="305"/>
      <c r="AE386" s="305"/>
      <c r="AF386" s="305"/>
      <c r="AG386" s="305"/>
      <c r="AH386" s="305"/>
      <c r="AI386" s="305"/>
      <c r="AJ386" s="305"/>
      <c r="AK386" s="305"/>
      <c r="AL386" s="305"/>
      <c r="AM386" s="305"/>
      <c r="AN386" s="305"/>
      <c r="AO386" s="305"/>
      <c r="AP386" s="305"/>
      <c r="AQ386" s="305"/>
      <c r="AR386" s="305"/>
      <c r="AS386" s="305"/>
      <c r="AT386" s="305"/>
      <c r="AU386" s="305"/>
      <c r="AV386" s="305"/>
      <c r="AW386" s="305"/>
      <c r="AX386" s="305"/>
      <c r="AY386" s="305"/>
      <c r="AZ386" s="305"/>
      <c r="BA386" s="305"/>
      <c r="BB386" s="305"/>
      <c r="BC386" s="305"/>
      <c r="BD386" s="305"/>
      <c r="BE386" s="305"/>
      <c r="BF386" s="305"/>
      <c r="BG386" s="305"/>
      <c r="BH386" s="305"/>
      <c r="BI386" s="305"/>
      <c r="BJ386" s="305"/>
      <c r="BK386" s="305"/>
      <c r="BL386" s="305"/>
      <c r="BM386" s="305"/>
      <c r="BN386" s="305"/>
      <c r="BO386" s="305"/>
      <c r="BP386" s="305"/>
      <c r="BQ386" s="305"/>
      <c r="BR386" s="305"/>
      <c r="BS386" s="305"/>
      <c r="BT386" s="305"/>
      <c r="BU386" s="305"/>
      <c r="BV386" s="305"/>
      <c r="BW386" s="305"/>
      <c r="BX386" s="305"/>
      <c r="BY386" s="305"/>
      <c r="BZ386" s="305"/>
      <c r="CA386" s="305"/>
      <c r="CB386" s="305"/>
      <c r="CC386" s="305"/>
      <c r="CD386" s="305"/>
      <c r="CE386" s="305"/>
      <c r="CF386" s="305"/>
      <c r="CG386" s="305"/>
      <c r="CH386" s="305"/>
      <c r="CI386" s="305"/>
      <c r="CJ386" s="305"/>
      <c r="CK386" s="305"/>
      <c r="CL386" s="305"/>
      <c r="CM386" s="305"/>
      <c r="CN386" s="305"/>
      <c r="CO386" s="305"/>
      <c r="CP386" s="305"/>
      <c r="CQ386" s="305"/>
      <c r="CR386" s="305"/>
      <c r="CS386" s="305"/>
      <c r="CT386" s="305"/>
      <c r="CU386" s="305"/>
      <c r="CV386" s="305"/>
      <c r="CW386" s="305"/>
      <c r="CX386" s="305"/>
      <c r="CY386" s="305"/>
      <c r="CZ386" s="305"/>
      <c r="DA386" s="305"/>
      <c r="DB386" s="305"/>
      <c r="DC386" s="305"/>
      <c r="DD386" s="305"/>
      <c r="DE386" s="305"/>
      <c r="DF386" s="305"/>
      <c r="DG386" s="305"/>
      <c r="DH386" s="305"/>
      <c r="DI386" s="305"/>
      <c r="DJ386" s="305"/>
      <c r="DK386" s="305"/>
      <c r="DL386" s="305"/>
      <c r="DM386" s="305"/>
      <c r="DN386" s="305"/>
      <c r="DO386" s="305"/>
      <c r="DP386" s="305"/>
      <c r="DQ386" s="305"/>
      <c r="DR386" s="305"/>
      <c r="DS386" s="305"/>
      <c r="DT386" s="305"/>
      <c r="DU386" s="305"/>
      <c r="DV386" s="305"/>
      <c r="DW386" s="305"/>
      <c r="DX386" s="305"/>
      <c r="DY386" s="305"/>
      <c r="DZ386" s="305"/>
      <c r="EA386" s="305"/>
      <c r="EB386" s="305"/>
      <c r="EC386" s="305"/>
      <c r="ED386" s="305"/>
      <c r="EE386" s="305"/>
      <c r="EF386" s="305"/>
      <c r="EG386" s="305"/>
      <c r="EH386" s="305"/>
      <c r="EI386" s="305"/>
      <c r="EJ386" s="305"/>
      <c r="EK386" s="305"/>
      <c r="EL386" s="305"/>
      <c r="EM386" s="305"/>
      <c r="EN386" s="305"/>
      <c r="EO386" s="305"/>
      <c r="EP386" s="305"/>
      <c r="EQ386" s="305"/>
      <c r="ER386" s="305"/>
      <c r="ES386" s="305"/>
      <c r="ET386" s="305"/>
      <c r="EU386" s="305"/>
      <c r="EV386" s="305"/>
      <c r="EW386" s="305"/>
      <c r="EX386" s="305"/>
      <c r="EY386" s="305"/>
      <c r="EZ386" s="305"/>
      <c r="FA386" s="305"/>
      <c r="FB386" s="305"/>
      <c r="FC386" s="305"/>
      <c r="FD386" s="305"/>
      <c r="FE386" s="305"/>
      <c r="FF386" s="305"/>
      <c r="FG386" s="305"/>
      <c r="FH386" s="305"/>
      <c r="FI386" s="305"/>
      <c r="FJ386" s="305"/>
      <c r="FK386" s="305"/>
      <c r="FL386" s="305"/>
      <c r="FM386" s="305"/>
      <c r="FN386" s="305"/>
      <c r="FO386" s="305"/>
      <c r="FP386" s="305"/>
      <c r="FQ386" s="305"/>
      <c r="FR386" s="305"/>
      <c r="FS386" s="305"/>
      <c r="FT386" s="305"/>
      <c r="FU386" s="305"/>
      <c r="FV386" s="305"/>
      <c r="FW386" s="305"/>
      <c r="FX386" s="305"/>
      <c r="FY386" s="305"/>
      <c r="FZ386" s="305"/>
      <c r="GA386" s="305"/>
      <c r="GB386" s="305"/>
      <c r="GC386" s="305"/>
      <c r="GD386" s="305"/>
      <c r="GE386" s="305"/>
      <c r="GF386" s="305"/>
      <c r="GG386" s="305"/>
      <c r="GH386" s="305"/>
      <c r="GI386" s="305"/>
      <c r="GJ386" s="305"/>
      <c r="GK386" s="305"/>
      <c r="GL386" s="305"/>
      <c r="GM386" s="305"/>
      <c r="GN386" s="305"/>
      <c r="GO386" s="305"/>
      <c r="GP386" s="305"/>
      <c r="GQ386" s="305"/>
      <c r="GR386" s="305"/>
    </row>
    <row r="387" spans="3:200" s="318" customFormat="1" ht="12.75" customHeight="1" x14ac:dyDescent="0.2">
      <c r="C387" s="367"/>
      <c r="D387" s="403"/>
      <c r="E387" s="369"/>
      <c r="F387" s="369"/>
      <c r="G387" s="369"/>
      <c r="H387" s="369"/>
      <c r="I387" s="370"/>
      <c r="J387"/>
      <c r="K387" s="371"/>
      <c r="L387" s="371"/>
      <c r="M387" s="371"/>
      <c r="N387" s="371"/>
      <c r="O387" s="305"/>
      <c r="P387" s="305"/>
      <c r="Q387" s="305"/>
      <c r="R387" s="305"/>
      <c r="S387" s="305"/>
      <c r="T387" s="305"/>
      <c r="U387" s="305"/>
      <c r="V387" s="305"/>
      <c r="W387" s="305"/>
      <c r="X387" s="305"/>
      <c r="Y387" s="305"/>
      <c r="Z387" s="305"/>
      <c r="AA387" s="305"/>
      <c r="AB387" s="305"/>
      <c r="AC387" s="305"/>
      <c r="AD387" s="305"/>
      <c r="AE387" s="305"/>
      <c r="AF387" s="305"/>
      <c r="AG387" s="305"/>
      <c r="AH387" s="305"/>
      <c r="AI387" s="305"/>
      <c r="AJ387" s="305"/>
      <c r="AK387" s="305"/>
      <c r="AL387" s="305"/>
      <c r="AM387" s="305"/>
      <c r="AN387" s="305"/>
      <c r="AO387" s="305"/>
      <c r="AP387" s="305"/>
      <c r="AQ387" s="305"/>
      <c r="AR387" s="305"/>
      <c r="AS387" s="305"/>
      <c r="AT387" s="305"/>
      <c r="AU387" s="305"/>
      <c r="AV387" s="305"/>
      <c r="AW387" s="305"/>
      <c r="AX387" s="305"/>
      <c r="AY387" s="305"/>
      <c r="AZ387" s="305"/>
      <c r="BA387" s="305"/>
      <c r="BB387" s="305"/>
      <c r="BC387" s="305"/>
      <c r="BD387" s="305"/>
      <c r="BE387" s="305"/>
      <c r="BF387" s="305"/>
      <c r="BG387" s="305"/>
      <c r="BH387" s="305"/>
      <c r="BI387" s="305"/>
      <c r="BJ387" s="305"/>
      <c r="BK387" s="305"/>
      <c r="BL387" s="305"/>
      <c r="BM387" s="305"/>
      <c r="BN387" s="305"/>
      <c r="BO387" s="305"/>
      <c r="BP387" s="305"/>
      <c r="BQ387" s="305"/>
      <c r="BR387" s="305"/>
      <c r="BS387" s="305"/>
      <c r="BT387" s="305"/>
      <c r="BU387" s="305"/>
      <c r="BV387" s="305"/>
      <c r="BW387" s="305"/>
      <c r="BX387" s="305"/>
      <c r="BY387" s="305"/>
      <c r="BZ387" s="305"/>
      <c r="CA387" s="305"/>
      <c r="CB387" s="305"/>
      <c r="CC387" s="305"/>
      <c r="CD387" s="305"/>
      <c r="CE387" s="305"/>
      <c r="CF387" s="305"/>
      <c r="CG387" s="305"/>
      <c r="CH387" s="305"/>
      <c r="CI387" s="305"/>
      <c r="CJ387" s="305"/>
      <c r="CK387" s="305"/>
      <c r="CL387" s="305"/>
      <c r="CM387" s="305"/>
      <c r="CN387" s="305"/>
      <c r="CO387" s="305"/>
      <c r="CP387" s="305"/>
      <c r="CQ387" s="305"/>
      <c r="CR387" s="305"/>
      <c r="CS387" s="305"/>
      <c r="CT387" s="305"/>
      <c r="CU387" s="305"/>
      <c r="CV387" s="305"/>
      <c r="CW387" s="305"/>
      <c r="CX387" s="305"/>
      <c r="CY387" s="305"/>
      <c r="CZ387" s="305"/>
      <c r="DA387" s="305"/>
      <c r="DB387" s="305"/>
      <c r="DC387" s="305"/>
      <c r="DD387" s="305"/>
      <c r="DE387" s="305"/>
      <c r="DF387" s="305"/>
      <c r="DG387" s="305"/>
      <c r="DH387" s="305"/>
      <c r="DI387" s="305"/>
      <c r="DJ387" s="305"/>
      <c r="DK387" s="305"/>
      <c r="DL387" s="305"/>
      <c r="DM387" s="305"/>
      <c r="DN387" s="305"/>
      <c r="DO387" s="305"/>
      <c r="DP387" s="305"/>
      <c r="DQ387" s="305"/>
      <c r="DR387" s="305"/>
      <c r="DS387" s="305"/>
      <c r="DT387" s="305"/>
      <c r="DU387" s="305"/>
      <c r="DV387" s="305"/>
      <c r="DW387" s="305"/>
      <c r="DX387" s="305"/>
      <c r="DY387" s="305"/>
      <c r="DZ387" s="305"/>
      <c r="EA387" s="305"/>
      <c r="EB387" s="305"/>
      <c r="EC387" s="305"/>
      <c r="ED387" s="305"/>
      <c r="EE387" s="305"/>
      <c r="EF387" s="305"/>
      <c r="EG387" s="305"/>
      <c r="EH387" s="305"/>
      <c r="EI387" s="305"/>
      <c r="EJ387" s="305"/>
      <c r="EK387" s="305"/>
      <c r="EL387" s="305"/>
      <c r="EM387" s="305"/>
      <c r="EN387" s="305"/>
      <c r="EO387" s="305"/>
      <c r="EP387" s="305"/>
      <c r="EQ387" s="305"/>
      <c r="ER387" s="305"/>
      <c r="ES387" s="305"/>
      <c r="ET387" s="305"/>
      <c r="EU387" s="305"/>
      <c r="EV387" s="305"/>
      <c r="EW387" s="305"/>
      <c r="EX387" s="305"/>
      <c r="EY387" s="305"/>
      <c r="EZ387" s="305"/>
      <c r="FA387" s="305"/>
      <c r="FB387" s="305"/>
      <c r="FC387" s="305"/>
      <c r="FD387" s="305"/>
      <c r="FE387" s="305"/>
      <c r="FF387" s="305"/>
      <c r="FG387" s="305"/>
      <c r="FH387" s="305"/>
      <c r="FI387" s="305"/>
      <c r="FJ387" s="305"/>
      <c r="FK387" s="305"/>
      <c r="FL387" s="305"/>
      <c r="FM387" s="305"/>
      <c r="FN387" s="305"/>
      <c r="FO387" s="305"/>
      <c r="FP387" s="305"/>
      <c r="FQ387" s="305"/>
      <c r="FR387" s="305"/>
      <c r="FS387" s="305"/>
      <c r="FT387" s="305"/>
      <c r="FU387" s="305"/>
      <c r="FV387" s="305"/>
      <c r="FW387" s="305"/>
      <c r="FX387" s="305"/>
      <c r="FY387" s="305"/>
      <c r="FZ387" s="305"/>
      <c r="GA387" s="305"/>
      <c r="GB387" s="305"/>
      <c r="GC387" s="305"/>
      <c r="GD387" s="305"/>
      <c r="GE387" s="305"/>
      <c r="GF387" s="305"/>
      <c r="GG387" s="305"/>
      <c r="GH387" s="305"/>
      <c r="GI387" s="305"/>
      <c r="GJ387" s="305"/>
      <c r="GK387" s="305"/>
      <c r="GL387" s="305"/>
      <c r="GM387" s="305"/>
      <c r="GN387" s="305"/>
      <c r="GO387" s="305"/>
      <c r="GP387" s="305"/>
      <c r="GQ387" s="305"/>
      <c r="GR387" s="305"/>
    </row>
    <row r="388" spans="3:200" s="318" customFormat="1" ht="12.75" customHeight="1" x14ac:dyDescent="0.2">
      <c r="C388" s="367"/>
      <c r="D388" s="403"/>
      <c r="E388" s="369"/>
      <c r="F388" s="369"/>
      <c r="G388" s="369"/>
      <c r="H388" s="369"/>
      <c r="I388" s="370"/>
      <c r="J388"/>
      <c r="K388" s="371"/>
      <c r="L388" s="371"/>
      <c r="M388" s="371"/>
      <c r="N388" s="371"/>
      <c r="O388" s="305"/>
      <c r="P388" s="305"/>
      <c r="Q388" s="305"/>
      <c r="R388" s="305"/>
      <c r="S388" s="305"/>
      <c r="T388" s="305"/>
      <c r="U388" s="305"/>
      <c r="V388" s="305"/>
      <c r="W388" s="305"/>
      <c r="X388" s="305"/>
      <c r="Y388" s="305"/>
      <c r="Z388" s="305"/>
      <c r="AA388" s="305"/>
      <c r="AB388" s="305"/>
      <c r="AC388" s="305"/>
      <c r="AD388" s="305"/>
      <c r="AE388" s="305"/>
      <c r="AF388" s="305"/>
      <c r="AG388" s="305"/>
      <c r="AH388" s="305"/>
      <c r="AI388" s="305"/>
      <c r="AJ388" s="305"/>
      <c r="AK388" s="305"/>
      <c r="AL388" s="305"/>
      <c r="AM388" s="305"/>
      <c r="AN388" s="305"/>
      <c r="AO388" s="305"/>
      <c r="AP388" s="305"/>
      <c r="AQ388" s="305"/>
      <c r="AR388" s="305"/>
      <c r="AS388" s="305"/>
      <c r="AT388" s="305"/>
      <c r="AU388" s="305"/>
      <c r="AV388" s="305"/>
      <c r="AW388" s="305"/>
      <c r="AX388" s="305"/>
      <c r="AY388" s="305"/>
      <c r="AZ388" s="305"/>
      <c r="BA388" s="305"/>
      <c r="BB388" s="305"/>
      <c r="BC388" s="305"/>
      <c r="BD388" s="305"/>
      <c r="BE388" s="305"/>
      <c r="BF388" s="305"/>
      <c r="BG388" s="305"/>
      <c r="BH388" s="305"/>
      <c r="BI388" s="305"/>
      <c r="BJ388" s="305"/>
      <c r="BK388" s="305"/>
      <c r="BL388" s="305"/>
      <c r="BM388" s="305"/>
      <c r="BN388" s="305"/>
      <c r="BO388" s="305"/>
      <c r="BP388" s="305"/>
      <c r="BQ388" s="305"/>
      <c r="BR388" s="305"/>
      <c r="BS388" s="305"/>
      <c r="BT388" s="305"/>
      <c r="BU388" s="305"/>
      <c r="BV388" s="305"/>
      <c r="BW388" s="305"/>
      <c r="BX388" s="305"/>
      <c r="BY388" s="305"/>
      <c r="BZ388" s="305"/>
      <c r="CA388" s="305"/>
      <c r="CB388" s="305"/>
      <c r="CC388" s="305"/>
      <c r="CD388" s="305"/>
      <c r="CE388" s="305"/>
      <c r="CF388" s="305"/>
      <c r="CG388" s="305"/>
      <c r="CH388" s="305"/>
      <c r="CI388" s="305"/>
      <c r="CJ388" s="305"/>
      <c r="CK388" s="305"/>
      <c r="CL388" s="305"/>
      <c r="CM388" s="305"/>
      <c r="CN388" s="305"/>
      <c r="CO388" s="305"/>
      <c r="CP388" s="305"/>
      <c r="CQ388" s="305"/>
      <c r="CR388" s="305"/>
      <c r="CS388" s="305"/>
      <c r="CT388" s="305"/>
      <c r="CU388" s="305"/>
      <c r="CV388" s="305"/>
      <c r="CW388" s="305"/>
      <c r="CX388" s="305"/>
      <c r="CY388" s="305"/>
      <c r="CZ388" s="305"/>
      <c r="DA388" s="305"/>
      <c r="DB388" s="305"/>
      <c r="DC388" s="305"/>
      <c r="DD388" s="305"/>
      <c r="DE388" s="305"/>
      <c r="DF388" s="305"/>
      <c r="DG388" s="305"/>
      <c r="DH388" s="305"/>
      <c r="DI388" s="305"/>
      <c r="DJ388" s="305"/>
      <c r="DK388" s="305"/>
      <c r="DL388" s="305"/>
      <c r="DM388" s="305"/>
      <c r="DN388" s="305"/>
      <c r="DO388" s="305"/>
      <c r="DP388" s="305"/>
      <c r="DQ388" s="305"/>
      <c r="DR388" s="305"/>
      <c r="DS388" s="305"/>
      <c r="DT388" s="305"/>
      <c r="DU388" s="305"/>
      <c r="DV388" s="305"/>
      <c r="DW388" s="305"/>
      <c r="DX388" s="305"/>
      <c r="DY388" s="305"/>
      <c r="DZ388" s="305"/>
      <c r="EA388" s="305"/>
      <c r="EB388" s="305"/>
      <c r="EC388" s="305"/>
      <c r="ED388" s="305"/>
      <c r="EE388" s="305"/>
      <c r="EF388" s="305"/>
      <c r="EG388" s="305"/>
      <c r="EH388" s="305"/>
      <c r="EI388" s="305"/>
      <c r="EJ388" s="305"/>
      <c r="EK388" s="305"/>
      <c r="EL388" s="305"/>
      <c r="EM388" s="305"/>
      <c r="EN388" s="305"/>
      <c r="EO388" s="305"/>
      <c r="EP388" s="305"/>
      <c r="EQ388" s="305"/>
      <c r="ER388" s="305"/>
      <c r="ES388" s="305"/>
      <c r="ET388" s="305"/>
      <c r="EU388" s="305"/>
      <c r="EV388" s="305"/>
      <c r="EW388" s="305"/>
      <c r="EX388" s="305"/>
      <c r="EY388" s="305"/>
      <c r="EZ388" s="305"/>
      <c r="FA388" s="305"/>
      <c r="FB388" s="305"/>
      <c r="FC388" s="305"/>
      <c r="FD388" s="305"/>
      <c r="FE388" s="305"/>
      <c r="FF388" s="305"/>
      <c r="FG388" s="305"/>
      <c r="FH388" s="305"/>
      <c r="FI388" s="305"/>
      <c r="FJ388" s="305"/>
      <c r="FK388" s="305"/>
      <c r="FL388" s="305"/>
      <c r="FM388" s="305"/>
      <c r="FN388" s="305"/>
      <c r="FO388" s="305"/>
      <c r="FP388" s="305"/>
      <c r="FQ388" s="305"/>
      <c r="FR388" s="305"/>
      <c r="FS388" s="305"/>
      <c r="FT388" s="305"/>
      <c r="FU388" s="305"/>
      <c r="FV388" s="305"/>
      <c r="FW388" s="305"/>
      <c r="FX388" s="305"/>
      <c r="FY388" s="305"/>
      <c r="FZ388" s="305"/>
      <c r="GA388" s="305"/>
      <c r="GB388" s="305"/>
      <c r="GC388" s="305"/>
      <c r="GD388" s="305"/>
      <c r="GE388" s="305"/>
      <c r="GF388" s="305"/>
      <c r="GG388" s="305"/>
      <c r="GH388" s="305"/>
      <c r="GI388" s="305"/>
      <c r="GJ388" s="305"/>
      <c r="GK388" s="305"/>
      <c r="GL388" s="305"/>
      <c r="GM388" s="305"/>
      <c r="GN388" s="305"/>
      <c r="GO388" s="305"/>
      <c r="GP388" s="305"/>
      <c r="GQ388" s="305"/>
      <c r="GR388" s="305"/>
    </row>
    <row r="389" spans="3:200" s="318" customFormat="1" ht="12.75" customHeight="1" x14ac:dyDescent="0.2">
      <c r="C389" s="367"/>
      <c r="D389" s="403"/>
      <c r="E389" s="369"/>
      <c r="F389" s="369"/>
      <c r="G389" s="369"/>
      <c r="H389" s="369"/>
      <c r="I389" s="370"/>
      <c r="J389"/>
      <c r="K389" s="371"/>
      <c r="L389" s="371"/>
      <c r="M389" s="371"/>
      <c r="N389" s="371"/>
      <c r="O389" s="305"/>
      <c r="P389" s="305"/>
      <c r="Q389" s="305"/>
      <c r="R389" s="305"/>
      <c r="S389" s="305"/>
      <c r="T389" s="305"/>
      <c r="U389" s="305"/>
      <c r="V389" s="305"/>
      <c r="W389" s="305"/>
      <c r="X389" s="305"/>
      <c r="Y389" s="305"/>
      <c r="Z389" s="305"/>
      <c r="AA389" s="305"/>
      <c r="AB389" s="305"/>
      <c r="AC389" s="305"/>
      <c r="AD389" s="305"/>
      <c r="AE389" s="305"/>
      <c r="AF389" s="305"/>
      <c r="AG389" s="305"/>
      <c r="AH389" s="305"/>
      <c r="AI389" s="305"/>
      <c r="AJ389" s="305"/>
      <c r="AK389" s="305"/>
      <c r="AL389" s="305"/>
      <c r="AM389" s="305"/>
      <c r="AN389" s="305"/>
      <c r="AO389" s="305"/>
      <c r="AP389" s="305"/>
      <c r="AQ389" s="305"/>
      <c r="AR389" s="305"/>
      <c r="AS389" s="305"/>
      <c r="AT389" s="305"/>
      <c r="AU389" s="305"/>
      <c r="AV389" s="305"/>
      <c r="AW389" s="305"/>
      <c r="AX389" s="305"/>
      <c r="AY389" s="305"/>
      <c r="AZ389" s="305"/>
      <c r="BA389" s="305"/>
      <c r="BB389" s="305"/>
      <c r="BC389" s="305"/>
      <c r="BD389" s="305"/>
      <c r="BE389" s="305"/>
      <c r="BF389" s="305"/>
      <c r="BG389" s="305"/>
      <c r="BH389" s="305"/>
      <c r="BI389" s="305"/>
      <c r="BJ389" s="305"/>
      <c r="BK389" s="305"/>
      <c r="BL389" s="305"/>
      <c r="BM389" s="305"/>
      <c r="BN389" s="305"/>
      <c r="BO389" s="305"/>
      <c r="BP389" s="305"/>
      <c r="BQ389" s="305"/>
      <c r="BR389" s="305"/>
      <c r="BS389" s="305"/>
      <c r="BT389" s="305"/>
      <c r="BU389" s="305"/>
      <c r="BV389" s="305"/>
      <c r="BW389" s="305"/>
      <c r="BX389" s="305"/>
      <c r="BY389" s="305"/>
      <c r="BZ389" s="305"/>
      <c r="CA389" s="305"/>
      <c r="CB389" s="305"/>
      <c r="CC389" s="305"/>
      <c r="CD389" s="305"/>
      <c r="CE389" s="305"/>
      <c r="CF389" s="305"/>
      <c r="CG389" s="305"/>
      <c r="CH389" s="305"/>
      <c r="CI389" s="305"/>
      <c r="CJ389" s="305"/>
      <c r="CK389" s="305"/>
      <c r="CL389" s="305"/>
      <c r="CM389" s="305"/>
      <c r="CN389" s="305"/>
      <c r="CO389" s="305"/>
      <c r="CP389" s="305"/>
      <c r="CQ389" s="305"/>
      <c r="CR389" s="305"/>
      <c r="CS389" s="305"/>
      <c r="CT389" s="305"/>
      <c r="CU389" s="305"/>
      <c r="CV389" s="305"/>
      <c r="CW389" s="305"/>
      <c r="CX389" s="305"/>
      <c r="CY389" s="305"/>
      <c r="CZ389" s="305"/>
      <c r="DA389" s="305"/>
      <c r="DB389" s="305"/>
      <c r="DC389" s="305"/>
      <c r="DD389" s="305"/>
      <c r="DE389" s="305"/>
      <c r="DF389" s="305"/>
      <c r="DG389" s="305"/>
      <c r="DH389" s="305"/>
      <c r="DI389" s="305"/>
      <c r="DJ389" s="305"/>
      <c r="DK389" s="305"/>
      <c r="DL389" s="305"/>
      <c r="DM389" s="305"/>
      <c r="DN389" s="305"/>
      <c r="DO389" s="305"/>
      <c r="DP389" s="305"/>
      <c r="DQ389" s="305"/>
      <c r="DR389" s="305"/>
      <c r="DS389" s="305"/>
      <c r="DT389" s="305"/>
      <c r="DU389" s="305"/>
      <c r="DV389" s="305"/>
      <c r="DW389" s="305"/>
      <c r="DX389" s="305"/>
      <c r="DY389" s="305"/>
      <c r="DZ389" s="305"/>
      <c r="EA389" s="305"/>
      <c r="EB389" s="305"/>
      <c r="EC389" s="305"/>
      <c r="ED389" s="305"/>
      <c r="EE389" s="305"/>
      <c r="EF389" s="305"/>
      <c r="EG389" s="305"/>
      <c r="EH389" s="305"/>
      <c r="EI389" s="305"/>
      <c r="EJ389" s="305"/>
      <c r="EK389" s="305"/>
      <c r="EL389" s="305"/>
      <c r="EM389" s="305"/>
      <c r="EN389" s="305"/>
      <c r="EO389" s="305"/>
      <c r="EP389" s="305"/>
      <c r="EQ389" s="305"/>
      <c r="ER389" s="305"/>
      <c r="ES389" s="305"/>
      <c r="ET389" s="305"/>
      <c r="EU389" s="305"/>
      <c r="EV389" s="305"/>
      <c r="EW389" s="305"/>
      <c r="EX389" s="305"/>
      <c r="EY389" s="305"/>
      <c r="EZ389" s="305"/>
      <c r="FA389" s="305"/>
      <c r="FB389" s="305"/>
      <c r="FC389" s="305"/>
      <c r="FD389" s="305"/>
      <c r="FE389" s="305"/>
      <c r="FF389" s="305"/>
      <c r="FG389" s="305"/>
      <c r="FH389" s="305"/>
      <c r="FI389" s="305"/>
      <c r="FJ389" s="305"/>
      <c r="FK389" s="305"/>
      <c r="FL389" s="305"/>
      <c r="FM389" s="305"/>
      <c r="FN389" s="305"/>
      <c r="FO389" s="305"/>
      <c r="FP389" s="305"/>
      <c r="FQ389" s="305"/>
      <c r="FR389" s="305"/>
      <c r="FS389" s="305"/>
      <c r="FT389" s="305"/>
      <c r="FU389" s="305"/>
      <c r="FV389" s="305"/>
      <c r="FW389" s="305"/>
      <c r="FX389" s="305"/>
      <c r="FY389" s="305"/>
      <c r="FZ389" s="305"/>
      <c r="GA389" s="305"/>
      <c r="GB389" s="305"/>
      <c r="GC389" s="305"/>
      <c r="GD389" s="305"/>
      <c r="GE389" s="305"/>
      <c r="GF389" s="305"/>
      <c r="GG389" s="305"/>
      <c r="GH389" s="305"/>
      <c r="GI389" s="305"/>
      <c r="GJ389" s="305"/>
      <c r="GK389" s="305"/>
      <c r="GL389" s="305"/>
      <c r="GM389" s="305"/>
      <c r="GN389" s="305"/>
      <c r="GO389" s="305"/>
      <c r="GP389" s="305"/>
      <c r="GQ389" s="305"/>
      <c r="GR389" s="305"/>
    </row>
    <row r="390" spans="3:200" s="318" customFormat="1" ht="12.75" customHeight="1" x14ac:dyDescent="0.2">
      <c r="C390" s="367"/>
      <c r="D390" s="403"/>
      <c r="E390" s="369"/>
      <c r="F390" s="369"/>
      <c r="G390" s="369"/>
      <c r="H390" s="369"/>
      <c r="I390" s="370"/>
      <c r="J390"/>
      <c r="K390" s="371"/>
      <c r="L390" s="371"/>
      <c r="M390" s="371"/>
      <c r="N390" s="371"/>
      <c r="O390" s="305"/>
      <c r="P390" s="305"/>
      <c r="Q390" s="305"/>
      <c r="R390" s="305"/>
      <c r="S390" s="305"/>
      <c r="T390" s="305"/>
      <c r="U390" s="305"/>
      <c r="V390" s="305"/>
      <c r="W390" s="305"/>
      <c r="X390" s="305"/>
      <c r="Y390" s="305"/>
      <c r="Z390" s="305"/>
      <c r="AA390" s="305"/>
      <c r="AB390" s="305"/>
      <c r="AC390" s="305"/>
      <c r="AD390" s="305"/>
      <c r="AE390" s="305"/>
      <c r="AF390" s="305"/>
      <c r="AG390" s="305"/>
      <c r="AH390" s="305"/>
      <c r="AI390" s="305"/>
      <c r="AJ390" s="305"/>
      <c r="AK390" s="305"/>
      <c r="AL390" s="305"/>
      <c r="AM390" s="305"/>
      <c r="AN390" s="305"/>
      <c r="AO390" s="305"/>
      <c r="AP390" s="305"/>
      <c r="AQ390" s="305"/>
      <c r="AR390" s="305"/>
      <c r="AS390" s="305"/>
      <c r="AT390" s="305"/>
      <c r="AU390" s="305"/>
      <c r="AV390" s="305"/>
      <c r="AW390" s="305"/>
      <c r="AX390" s="305"/>
      <c r="AY390" s="305"/>
      <c r="AZ390" s="305"/>
      <c r="BA390" s="305"/>
      <c r="BB390" s="305"/>
      <c r="BC390" s="305"/>
      <c r="BD390" s="305"/>
      <c r="BE390" s="305"/>
      <c r="BF390" s="305"/>
      <c r="BG390" s="305"/>
      <c r="BH390" s="305"/>
      <c r="BI390" s="305"/>
      <c r="BJ390" s="305"/>
      <c r="BK390" s="305"/>
      <c r="BL390" s="305"/>
      <c r="BM390" s="305"/>
      <c r="BN390" s="305"/>
      <c r="BO390" s="305"/>
      <c r="BP390" s="305"/>
      <c r="BQ390" s="305"/>
      <c r="BR390" s="305"/>
      <c r="BS390" s="305"/>
      <c r="BT390" s="305"/>
      <c r="BU390" s="305"/>
      <c r="BV390" s="305"/>
      <c r="BW390" s="305"/>
      <c r="BX390" s="305"/>
      <c r="BY390" s="305"/>
      <c r="BZ390" s="305"/>
      <c r="CA390" s="305"/>
      <c r="CB390" s="305"/>
      <c r="CC390" s="305"/>
      <c r="CD390" s="305"/>
      <c r="CE390" s="305"/>
      <c r="CF390" s="305"/>
      <c r="CG390" s="305"/>
      <c r="CH390" s="305"/>
      <c r="CI390" s="305"/>
      <c r="CJ390" s="305"/>
      <c r="CK390" s="305"/>
      <c r="CL390" s="305"/>
      <c r="CM390" s="305"/>
      <c r="CN390" s="305"/>
      <c r="CO390" s="305"/>
      <c r="CP390" s="305"/>
      <c r="CQ390" s="305"/>
      <c r="CR390" s="305"/>
      <c r="CS390" s="305"/>
      <c r="CT390" s="305"/>
      <c r="CU390" s="305"/>
      <c r="CV390" s="305"/>
      <c r="CW390" s="305"/>
      <c r="CX390" s="305"/>
      <c r="CY390" s="305"/>
      <c r="CZ390" s="305"/>
      <c r="DA390" s="305"/>
      <c r="DB390" s="305"/>
      <c r="DC390" s="305"/>
      <c r="DD390" s="305"/>
      <c r="DE390" s="305"/>
      <c r="DF390" s="305"/>
      <c r="DG390" s="305"/>
      <c r="DH390" s="305"/>
      <c r="DI390" s="305"/>
      <c r="DJ390" s="305"/>
      <c r="DK390" s="305"/>
      <c r="DL390" s="305"/>
      <c r="DM390" s="305"/>
      <c r="DN390" s="305"/>
      <c r="DO390" s="305"/>
      <c r="DP390" s="305"/>
      <c r="DQ390" s="305"/>
      <c r="DR390" s="305"/>
      <c r="DS390" s="305"/>
      <c r="DT390" s="305"/>
      <c r="DU390" s="305"/>
      <c r="DV390" s="305"/>
      <c r="DW390" s="305"/>
      <c r="DX390" s="305"/>
      <c r="DY390" s="305"/>
      <c r="DZ390" s="305"/>
      <c r="EA390" s="305"/>
      <c r="EB390" s="305"/>
      <c r="EC390" s="305"/>
      <c r="ED390" s="305"/>
      <c r="EE390" s="305"/>
      <c r="EF390" s="305"/>
      <c r="EG390" s="305"/>
      <c r="EH390" s="305"/>
      <c r="EI390" s="305"/>
      <c r="EJ390" s="305"/>
      <c r="EK390" s="305"/>
      <c r="EL390" s="305"/>
      <c r="EM390" s="305"/>
      <c r="EN390" s="305"/>
      <c r="EO390" s="305"/>
      <c r="EP390" s="305"/>
      <c r="EQ390" s="305"/>
      <c r="ER390" s="305"/>
      <c r="ES390" s="305"/>
      <c r="ET390" s="305"/>
      <c r="EU390" s="305"/>
      <c r="EV390" s="305"/>
      <c r="EW390" s="305"/>
      <c r="EX390" s="305"/>
      <c r="EY390" s="305"/>
      <c r="EZ390" s="305"/>
      <c r="FA390" s="305"/>
      <c r="FB390" s="305"/>
      <c r="FC390" s="305"/>
      <c r="FD390" s="305"/>
      <c r="FE390" s="305"/>
      <c r="FF390" s="305"/>
      <c r="FG390" s="305"/>
      <c r="FH390" s="305"/>
      <c r="FI390" s="305"/>
      <c r="FJ390" s="305"/>
      <c r="FK390" s="305"/>
      <c r="FL390" s="305"/>
      <c r="FM390" s="305"/>
      <c r="FN390" s="305"/>
      <c r="FO390" s="305"/>
      <c r="FP390" s="305"/>
      <c r="FQ390" s="305"/>
      <c r="FR390" s="305"/>
      <c r="FS390" s="305"/>
      <c r="FT390" s="305"/>
      <c r="FU390" s="305"/>
      <c r="FV390" s="305"/>
      <c r="FW390" s="305"/>
      <c r="FX390" s="305"/>
      <c r="FY390" s="305"/>
      <c r="FZ390" s="305"/>
      <c r="GA390" s="305"/>
      <c r="GB390" s="305"/>
      <c r="GC390" s="305"/>
      <c r="GD390" s="305"/>
      <c r="GE390" s="305"/>
      <c r="GF390" s="305"/>
      <c r="GG390" s="305"/>
      <c r="GH390" s="305"/>
      <c r="GI390" s="305"/>
      <c r="GJ390" s="305"/>
      <c r="GK390" s="305"/>
      <c r="GL390" s="305"/>
      <c r="GM390" s="305"/>
      <c r="GN390" s="305"/>
      <c r="GO390" s="305"/>
      <c r="GP390" s="305"/>
      <c r="GQ390" s="305"/>
      <c r="GR390" s="305"/>
    </row>
    <row r="391" spans="3:200" s="318" customFormat="1" ht="12.75" customHeight="1" x14ac:dyDescent="0.2">
      <c r="C391" s="367"/>
      <c r="D391" s="403"/>
      <c r="E391" s="369"/>
      <c r="F391" s="369"/>
      <c r="G391" s="369"/>
      <c r="H391" s="369"/>
      <c r="I391" s="370"/>
      <c r="J391"/>
      <c r="K391" s="371"/>
      <c r="L391" s="371"/>
      <c r="M391" s="371"/>
      <c r="N391" s="371"/>
      <c r="O391" s="305"/>
      <c r="P391" s="305"/>
      <c r="Q391" s="305"/>
      <c r="R391" s="305"/>
      <c r="S391" s="305"/>
      <c r="T391" s="305"/>
      <c r="U391" s="305"/>
      <c r="V391" s="305"/>
      <c r="W391" s="305"/>
      <c r="X391" s="305"/>
      <c r="Y391" s="305"/>
      <c r="Z391" s="305"/>
      <c r="AA391" s="305"/>
      <c r="AB391" s="305"/>
      <c r="AC391" s="305"/>
      <c r="AD391" s="305"/>
      <c r="AE391" s="305"/>
      <c r="AF391" s="305"/>
      <c r="AG391" s="305"/>
      <c r="AH391" s="305"/>
      <c r="AI391" s="305"/>
      <c r="AJ391" s="305"/>
      <c r="AK391" s="305"/>
      <c r="AL391" s="305"/>
      <c r="AM391" s="305"/>
      <c r="AN391" s="305"/>
      <c r="AO391" s="305"/>
      <c r="AP391" s="305"/>
      <c r="AQ391" s="305"/>
      <c r="AR391" s="305"/>
      <c r="AS391" s="305"/>
      <c r="AT391" s="305"/>
      <c r="AU391" s="305"/>
      <c r="AV391" s="305"/>
      <c r="AW391" s="305"/>
      <c r="AX391" s="305"/>
      <c r="AY391" s="305"/>
      <c r="AZ391" s="305"/>
      <c r="BA391" s="305"/>
      <c r="BB391" s="305"/>
      <c r="BC391" s="305"/>
      <c r="BD391" s="305"/>
      <c r="BE391" s="305"/>
      <c r="BF391" s="305"/>
      <c r="BG391" s="305"/>
      <c r="BH391" s="305"/>
      <c r="BI391" s="305"/>
      <c r="BJ391" s="305"/>
      <c r="BK391" s="305"/>
      <c r="BL391" s="305"/>
      <c r="BM391" s="305"/>
      <c r="BN391" s="305"/>
      <c r="BO391" s="305"/>
      <c r="BP391" s="305"/>
      <c r="BQ391" s="305"/>
      <c r="BR391" s="305"/>
      <c r="BS391" s="305"/>
      <c r="BT391" s="305"/>
      <c r="BU391" s="305"/>
      <c r="BV391" s="305"/>
      <c r="BW391" s="305"/>
      <c r="BX391" s="305"/>
      <c r="BY391" s="305"/>
      <c r="BZ391" s="305"/>
      <c r="CA391" s="305"/>
      <c r="CB391" s="305"/>
      <c r="CC391" s="305"/>
      <c r="CD391" s="305"/>
      <c r="CE391" s="305"/>
      <c r="CF391" s="305"/>
      <c r="CG391" s="305"/>
      <c r="CH391" s="305"/>
      <c r="CI391" s="305"/>
      <c r="CJ391" s="305"/>
      <c r="CK391" s="305"/>
      <c r="CL391" s="305"/>
      <c r="CM391" s="305"/>
      <c r="CN391" s="305"/>
      <c r="CO391" s="305"/>
      <c r="CP391" s="305"/>
      <c r="CQ391" s="305"/>
      <c r="CR391" s="305"/>
      <c r="CS391" s="305"/>
      <c r="CT391" s="305"/>
      <c r="CU391" s="305"/>
      <c r="CV391" s="305"/>
      <c r="CW391" s="305"/>
      <c r="CX391" s="305"/>
      <c r="CY391" s="305"/>
      <c r="CZ391" s="305"/>
      <c r="DA391" s="305"/>
      <c r="DB391" s="305"/>
      <c r="DC391" s="305"/>
      <c r="DD391" s="305"/>
      <c r="DE391" s="305"/>
      <c r="DF391" s="305"/>
      <c r="DG391" s="305"/>
      <c r="DH391" s="305"/>
      <c r="DI391" s="305"/>
      <c r="DJ391" s="305"/>
      <c r="DK391" s="305"/>
      <c r="DL391" s="305"/>
      <c r="DM391" s="305"/>
      <c r="DN391" s="305"/>
      <c r="DO391" s="305"/>
      <c r="DP391" s="305"/>
      <c r="DQ391" s="305"/>
      <c r="DR391" s="305"/>
      <c r="DS391" s="305"/>
      <c r="DT391" s="305"/>
      <c r="DU391" s="305"/>
      <c r="DV391" s="305"/>
      <c r="DW391" s="305"/>
      <c r="DX391" s="305"/>
      <c r="DY391" s="305"/>
      <c r="DZ391" s="305"/>
      <c r="EA391" s="305"/>
      <c r="EB391" s="305"/>
      <c r="EC391" s="305"/>
      <c r="ED391" s="305"/>
      <c r="EE391" s="305"/>
      <c r="EF391" s="305"/>
      <c r="EG391" s="305"/>
      <c r="EH391" s="305"/>
      <c r="EI391" s="305"/>
      <c r="EJ391" s="305"/>
      <c r="EK391" s="305"/>
      <c r="EL391" s="305"/>
      <c r="EM391" s="305"/>
      <c r="EN391" s="305"/>
      <c r="EO391" s="305"/>
      <c r="EP391" s="305"/>
      <c r="EQ391" s="305"/>
      <c r="ER391" s="305"/>
      <c r="ES391" s="305"/>
      <c r="ET391" s="305"/>
      <c r="EU391" s="305"/>
      <c r="EV391" s="305"/>
      <c r="EW391" s="305"/>
      <c r="EX391" s="305"/>
      <c r="EY391" s="305"/>
      <c r="EZ391" s="305"/>
      <c r="FA391" s="305"/>
      <c r="FB391" s="305"/>
      <c r="FC391" s="305"/>
      <c r="FD391" s="305"/>
      <c r="FE391" s="305"/>
      <c r="FF391" s="305"/>
      <c r="FG391" s="305"/>
      <c r="FH391" s="305"/>
      <c r="FI391" s="305"/>
      <c r="FJ391" s="305"/>
      <c r="FK391" s="305"/>
      <c r="FL391" s="305"/>
      <c r="FM391" s="305"/>
      <c r="FN391" s="305"/>
      <c r="FO391" s="305"/>
      <c r="FP391" s="305"/>
      <c r="FQ391" s="305"/>
      <c r="FR391" s="305"/>
      <c r="FS391" s="305"/>
      <c r="FT391" s="305"/>
      <c r="FU391" s="305"/>
      <c r="FV391" s="305"/>
      <c r="FW391" s="305"/>
      <c r="FX391" s="305"/>
      <c r="FY391" s="305"/>
      <c r="FZ391" s="305"/>
      <c r="GA391" s="305"/>
      <c r="GB391" s="305"/>
      <c r="GC391" s="305"/>
      <c r="GD391" s="305"/>
      <c r="GE391" s="305"/>
      <c r="GF391" s="305"/>
      <c r="GG391" s="305"/>
      <c r="GH391" s="305"/>
      <c r="GI391" s="305"/>
      <c r="GJ391" s="305"/>
      <c r="GK391" s="305"/>
      <c r="GL391" s="305"/>
      <c r="GM391" s="305"/>
      <c r="GN391" s="305"/>
      <c r="GO391" s="305"/>
      <c r="GP391" s="305"/>
      <c r="GQ391" s="305"/>
      <c r="GR391" s="305"/>
    </row>
    <row r="392" spans="3:200" s="318" customFormat="1" ht="12.75" customHeight="1" x14ac:dyDescent="0.2">
      <c r="C392" s="367"/>
      <c r="D392" s="403"/>
      <c r="E392" s="369"/>
      <c r="F392" s="369"/>
      <c r="G392" s="369"/>
      <c r="H392" s="369"/>
      <c r="I392" s="370"/>
      <c r="J392"/>
      <c r="K392" s="371"/>
      <c r="L392" s="371"/>
      <c r="M392" s="371"/>
      <c r="N392" s="371"/>
      <c r="O392" s="305"/>
      <c r="P392" s="305"/>
      <c r="Q392" s="305"/>
      <c r="R392" s="305"/>
      <c r="S392" s="305"/>
      <c r="T392" s="305"/>
      <c r="U392" s="305"/>
      <c r="V392" s="305"/>
      <c r="W392" s="305"/>
      <c r="X392" s="305"/>
      <c r="Y392" s="305"/>
      <c r="Z392" s="305"/>
      <c r="AA392" s="305"/>
      <c r="AB392" s="305"/>
      <c r="AC392" s="305"/>
      <c r="AD392" s="305"/>
      <c r="AE392" s="305"/>
      <c r="AF392" s="305"/>
      <c r="AG392" s="305"/>
      <c r="AH392" s="305"/>
      <c r="AI392" s="305"/>
      <c r="AJ392" s="305"/>
      <c r="AK392" s="305"/>
      <c r="AL392" s="305"/>
      <c r="AM392" s="305"/>
      <c r="AN392" s="305"/>
      <c r="AO392" s="305"/>
      <c r="AP392" s="305"/>
      <c r="AQ392" s="305"/>
      <c r="AR392" s="305"/>
      <c r="AS392" s="305"/>
      <c r="AT392" s="305"/>
      <c r="AU392" s="305"/>
      <c r="AV392" s="305"/>
      <c r="AW392" s="305"/>
      <c r="AX392" s="305"/>
      <c r="AY392" s="305"/>
      <c r="AZ392" s="305"/>
      <c r="BA392" s="305"/>
      <c r="BB392" s="305"/>
      <c r="BC392" s="305"/>
      <c r="BD392" s="305"/>
      <c r="BE392" s="305"/>
      <c r="BF392" s="305"/>
      <c r="BG392" s="305"/>
      <c r="BH392" s="305"/>
      <c r="BI392" s="305"/>
      <c r="BJ392" s="305"/>
      <c r="BK392" s="305"/>
      <c r="BL392" s="305"/>
      <c r="BM392" s="305"/>
      <c r="BN392" s="305"/>
      <c r="BO392" s="305"/>
      <c r="BP392" s="305"/>
      <c r="BQ392" s="305"/>
      <c r="BR392" s="305"/>
      <c r="BS392" s="305"/>
      <c r="BT392" s="305"/>
      <c r="BU392" s="305"/>
      <c r="BV392" s="305"/>
      <c r="BW392" s="305"/>
      <c r="BX392" s="305"/>
      <c r="BY392" s="305"/>
      <c r="BZ392" s="305"/>
      <c r="CA392" s="305"/>
      <c r="CB392" s="305"/>
      <c r="CC392" s="305"/>
      <c r="CD392" s="305"/>
      <c r="CE392" s="305"/>
      <c r="CF392" s="305"/>
      <c r="CG392" s="305"/>
      <c r="CH392" s="305"/>
      <c r="CI392" s="305"/>
      <c r="CJ392" s="305"/>
      <c r="CK392" s="305"/>
      <c r="CL392" s="305"/>
      <c r="CM392" s="305"/>
      <c r="CN392" s="305"/>
      <c r="CO392" s="305"/>
      <c r="CP392" s="305"/>
      <c r="CQ392" s="305"/>
      <c r="CR392" s="305"/>
      <c r="CS392" s="305"/>
      <c r="CT392" s="305"/>
      <c r="CU392" s="305"/>
      <c r="CV392" s="305"/>
      <c r="CW392" s="305"/>
      <c r="CX392" s="305"/>
      <c r="CY392" s="305"/>
      <c r="CZ392" s="305"/>
      <c r="DA392" s="305"/>
      <c r="DB392" s="305"/>
      <c r="DC392" s="305"/>
      <c r="DD392" s="305"/>
      <c r="DE392" s="305"/>
      <c r="DF392" s="305"/>
      <c r="DG392" s="305"/>
      <c r="DH392" s="305"/>
      <c r="DI392" s="305"/>
      <c r="DJ392" s="305"/>
      <c r="DK392" s="305"/>
      <c r="DL392" s="305"/>
      <c r="DM392" s="305"/>
      <c r="DN392" s="305"/>
      <c r="DO392" s="305"/>
      <c r="DP392" s="305"/>
      <c r="DQ392" s="305"/>
      <c r="DR392" s="305"/>
      <c r="DS392" s="305"/>
      <c r="DT392" s="305"/>
      <c r="DU392" s="305"/>
      <c r="DV392" s="305"/>
      <c r="DW392" s="305"/>
      <c r="DX392" s="305"/>
      <c r="DY392" s="305"/>
      <c r="DZ392" s="305"/>
      <c r="EA392" s="305"/>
      <c r="EB392" s="305"/>
      <c r="EC392" s="305"/>
      <c r="ED392" s="305"/>
      <c r="EE392" s="305"/>
      <c r="EF392" s="305"/>
      <c r="EG392" s="305"/>
      <c r="EH392" s="305"/>
      <c r="EI392" s="305"/>
      <c r="EJ392" s="305"/>
      <c r="EK392" s="305"/>
      <c r="EL392" s="305"/>
      <c r="EM392" s="305"/>
      <c r="EN392" s="305"/>
      <c r="EO392" s="305"/>
      <c r="EP392" s="305"/>
      <c r="EQ392" s="305"/>
      <c r="ER392" s="305"/>
      <c r="ES392" s="305"/>
      <c r="ET392" s="305"/>
      <c r="EU392" s="305"/>
      <c r="EV392" s="305"/>
      <c r="EW392" s="305"/>
      <c r="EX392" s="305"/>
      <c r="EY392" s="305"/>
      <c r="EZ392" s="305"/>
      <c r="FA392" s="305"/>
      <c r="FB392" s="305"/>
      <c r="FC392" s="305"/>
      <c r="FD392" s="305"/>
      <c r="FE392" s="305"/>
      <c r="FF392" s="305"/>
      <c r="FG392" s="305"/>
      <c r="FH392" s="305"/>
      <c r="FI392" s="305"/>
      <c r="FJ392" s="305"/>
      <c r="FK392" s="305"/>
      <c r="FL392" s="305"/>
      <c r="FM392" s="305"/>
      <c r="FN392" s="305"/>
      <c r="FO392" s="305"/>
      <c r="FP392" s="305"/>
      <c r="FQ392" s="305"/>
      <c r="FR392" s="305"/>
      <c r="FS392" s="305"/>
      <c r="FT392" s="305"/>
      <c r="FU392" s="305"/>
      <c r="FV392" s="305"/>
      <c r="FW392" s="305"/>
      <c r="FX392" s="305"/>
      <c r="FY392" s="305"/>
      <c r="FZ392" s="305"/>
      <c r="GA392" s="305"/>
      <c r="GB392" s="305"/>
      <c r="GC392" s="305"/>
      <c r="GD392" s="305"/>
      <c r="GE392" s="305"/>
      <c r="GF392" s="305"/>
      <c r="GG392" s="305"/>
      <c r="GH392" s="305"/>
      <c r="GI392" s="305"/>
      <c r="GJ392" s="305"/>
      <c r="GK392" s="305"/>
      <c r="GL392" s="305"/>
      <c r="GM392" s="305"/>
      <c r="GN392" s="305"/>
      <c r="GO392" s="305"/>
      <c r="GP392" s="305"/>
      <c r="GQ392" s="305"/>
      <c r="GR392" s="305"/>
    </row>
    <row r="393" spans="3:200" s="318" customFormat="1" ht="12.75" customHeight="1" x14ac:dyDescent="0.2">
      <c r="C393" s="367"/>
      <c r="D393" s="403"/>
      <c r="E393" s="369"/>
      <c r="F393" s="369"/>
      <c r="G393" s="369"/>
      <c r="H393" s="369"/>
      <c r="I393" s="370"/>
      <c r="J393"/>
      <c r="K393" s="371"/>
      <c r="L393" s="371"/>
      <c r="M393" s="371"/>
      <c r="N393" s="371"/>
      <c r="O393" s="305"/>
      <c r="P393" s="305"/>
      <c r="Q393" s="305"/>
      <c r="R393" s="305"/>
      <c r="S393" s="305"/>
      <c r="T393" s="305"/>
      <c r="U393" s="305"/>
      <c r="V393" s="305"/>
      <c r="W393" s="305"/>
      <c r="X393" s="305"/>
      <c r="Y393" s="305"/>
      <c r="Z393" s="305"/>
      <c r="AA393" s="305"/>
      <c r="AB393" s="305"/>
      <c r="AC393" s="305"/>
      <c r="AD393" s="305"/>
      <c r="AE393" s="305"/>
      <c r="AF393" s="305"/>
      <c r="AG393" s="305"/>
      <c r="AH393" s="305"/>
      <c r="AI393" s="305"/>
      <c r="AJ393" s="305"/>
      <c r="AK393" s="305"/>
      <c r="AL393" s="305"/>
      <c r="AM393" s="305"/>
      <c r="AN393" s="305"/>
      <c r="AO393" s="305"/>
      <c r="AP393" s="305"/>
      <c r="AQ393" s="305"/>
      <c r="AR393" s="305"/>
      <c r="AS393" s="305"/>
      <c r="AT393" s="305"/>
      <c r="AU393" s="305"/>
      <c r="AV393" s="305"/>
      <c r="AW393" s="305"/>
      <c r="AX393" s="305"/>
      <c r="AY393" s="305"/>
      <c r="AZ393" s="305"/>
      <c r="BA393" s="305"/>
      <c r="BB393" s="305"/>
      <c r="BC393" s="305"/>
      <c r="BD393" s="305"/>
      <c r="BE393" s="305"/>
      <c r="BF393" s="305"/>
      <c r="BG393" s="305"/>
      <c r="BH393" s="305"/>
      <c r="BI393" s="305"/>
      <c r="BJ393" s="305"/>
      <c r="BK393" s="305"/>
      <c r="BL393" s="305"/>
      <c r="BM393" s="305"/>
      <c r="BN393" s="305"/>
      <c r="BO393" s="305"/>
      <c r="BP393" s="305"/>
      <c r="BQ393" s="305"/>
      <c r="BR393" s="305"/>
      <c r="BS393" s="305"/>
      <c r="BT393" s="305"/>
      <c r="BU393" s="305"/>
      <c r="BV393" s="305"/>
      <c r="BW393" s="305"/>
      <c r="BX393" s="305"/>
      <c r="BY393" s="305"/>
      <c r="BZ393" s="305"/>
      <c r="CA393" s="305"/>
      <c r="CB393" s="305"/>
      <c r="CC393" s="305"/>
      <c r="CD393" s="305"/>
      <c r="CE393" s="305"/>
      <c r="CF393" s="305"/>
      <c r="CG393" s="305"/>
      <c r="CH393" s="305"/>
      <c r="CI393" s="305"/>
      <c r="CJ393" s="305"/>
      <c r="CK393" s="305"/>
      <c r="CL393" s="305"/>
      <c r="CM393" s="305"/>
      <c r="CN393" s="305"/>
      <c r="CO393" s="305"/>
      <c r="CP393" s="305"/>
      <c r="CQ393" s="305"/>
      <c r="CR393" s="305"/>
      <c r="CS393" s="305"/>
      <c r="CT393" s="305"/>
      <c r="CU393" s="305"/>
      <c r="CV393" s="305"/>
      <c r="CW393" s="305"/>
      <c r="CX393" s="305"/>
      <c r="CY393" s="305"/>
      <c r="CZ393" s="305"/>
      <c r="DA393" s="305"/>
      <c r="DB393" s="305"/>
      <c r="DC393" s="305"/>
      <c r="DD393" s="305"/>
      <c r="DE393" s="305"/>
      <c r="DF393" s="305"/>
      <c r="DG393" s="305"/>
      <c r="DH393" s="305"/>
      <c r="DI393" s="305"/>
      <c r="DJ393" s="305"/>
      <c r="DK393" s="305"/>
      <c r="DL393" s="305"/>
      <c r="DM393" s="305"/>
      <c r="DN393" s="305"/>
      <c r="DO393" s="305"/>
      <c r="DP393" s="305"/>
      <c r="DQ393" s="305"/>
      <c r="DR393" s="305"/>
      <c r="DS393" s="305"/>
      <c r="DT393" s="305"/>
      <c r="DU393" s="305"/>
      <c r="DV393" s="305"/>
      <c r="DW393" s="305"/>
      <c r="DX393" s="305"/>
      <c r="DY393" s="305"/>
      <c r="DZ393" s="305"/>
      <c r="EA393" s="305"/>
      <c r="EB393" s="305"/>
      <c r="EC393" s="305"/>
      <c r="ED393" s="305"/>
      <c r="EE393" s="305"/>
      <c r="EF393" s="305"/>
      <c r="EG393" s="305"/>
      <c r="EH393" s="305"/>
      <c r="EI393" s="305"/>
      <c r="EJ393" s="305"/>
      <c r="EK393" s="305"/>
      <c r="EL393" s="305"/>
      <c r="EM393" s="305"/>
      <c r="EN393" s="305"/>
      <c r="EO393" s="305"/>
      <c r="EP393" s="305"/>
      <c r="EQ393" s="305"/>
      <c r="ER393" s="305"/>
      <c r="ES393" s="305"/>
      <c r="ET393" s="305"/>
      <c r="EU393" s="305"/>
      <c r="EV393" s="305"/>
      <c r="EW393" s="305"/>
      <c r="EX393" s="305"/>
      <c r="EY393" s="305"/>
      <c r="EZ393" s="305"/>
      <c r="FA393" s="305"/>
      <c r="FB393" s="305"/>
      <c r="FC393" s="305"/>
      <c r="FD393" s="305"/>
      <c r="FE393" s="305"/>
      <c r="FF393" s="305"/>
      <c r="FG393" s="305"/>
      <c r="FH393" s="305"/>
      <c r="FI393" s="305"/>
      <c r="FJ393" s="305"/>
      <c r="FK393" s="305"/>
      <c r="FL393" s="305"/>
      <c r="FM393" s="305"/>
      <c r="FN393" s="305"/>
      <c r="FO393" s="305"/>
      <c r="FP393" s="305"/>
      <c r="FQ393" s="305"/>
      <c r="FR393" s="305"/>
      <c r="FS393" s="305"/>
      <c r="FT393" s="305"/>
      <c r="FU393" s="305"/>
      <c r="FV393" s="305"/>
      <c r="FW393" s="305"/>
      <c r="FX393" s="305"/>
      <c r="FY393" s="305"/>
      <c r="FZ393" s="305"/>
      <c r="GA393" s="305"/>
      <c r="GB393" s="305"/>
      <c r="GC393" s="305"/>
      <c r="GD393" s="305"/>
      <c r="GE393" s="305"/>
      <c r="GF393" s="305"/>
      <c r="GG393" s="305"/>
      <c r="GH393" s="305"/>
      <c r="GI393" s="305"/>
      <c r="GJ393" s="305"/>
      <c r="GK393" s="305"/>
      <c r="GL393" s="305"/>
      <c r="GM393" s="305"/>
      <c r="GN393" s="305"/>
      <c r="GO393" s="305"/>
      <c r="GP393" s="305"/>
      <c r="GQ393" s="305"/>
      <c r="GR393" s="305"/>
    </row>
    <row r="394" spans="3:200" s="318" customFormat="1" ht="12.75" customHeight="1" x14ac:dyDescent="0.2">
      <c r="C394" s="367"/>
      <c r="D394" s="403"/>
      <c r="E394" s="369"/>
      <c r="F394" s="369"/>
      <c r="G394" s="369"/>
      <c r="H394" s="369"/>
      <c r="I394" s="370"/>
      <c r="J394"/>
      <c r="K394" s="371"/>
      <c r="L394" s="371"/>
      <c r="M394" s="371"/>
      <c r="N394" s="371"/>
      <c r="O394" s="305"/>
      <c r="P394" s="305"/>
      <c r="Q394" s="305"/>
      <c r="R394" s="305"/>
      <c r="S394" s="305"/>
      <c r="T394" s="305"/>
      <c r="U394" s="305"/>
      <c r="V394" s="305"/>
      <c r="W394" s="305"/>
      <c r="X394" s="305"/>
      <c r="Y394" s="305"/>
      <c r="Z394" s="305"/>
      <c r="AA394" s="305"/>
      <c r="AB394" s="305"/>
      <c r="AC394" s="305"/>
      <c r="AD394" s="305"/>
      <c r="AE394" s="305"/>
      <c r="AF394" s="305"/>
      <c r="AG394" s="305"/>
      <c r="AH394" s="305"/>
      <c r="AI394" s="305"/>
      <c r="AJ394" s="305"/>
      <c r="AK394" s="305"/>
      <c r="AL394" s="305"/>
      <c r="AM394" s="305"/>
      <c r="AN394" s="305"/>
      <c r="AO394" s="305"/>
      <c r="AP394" s="305"/>
      <c r="AQ394" s="305"/>
      <c r="AR394" s="305"/>
      <c r="AS394" s="305"/>
      <c r="AT394" s="305"/>
      <c r="AU394" s="305"/>
      <c r="AV394" s="305"/>
      <c r="AW394" s="305"/>
      <c r="AX394" s="305"/>
      <c r="AY394" s="305"/>
      <c r="AZ394" s="305"/>
      <c r="BA394" s="305"/>
      <c r="BB394" s="305"/>
      <c r="BC394" s="305"/>
      <c r="BD394" s="305"/>
      <c r="BE394" s="305"/>
      <c r="BF394" s="305"/>
      <c r="BG394" s="305"/>
      <c r="BH394" s="305"/>
      <c r="BI394" s="305"/>
      <c r="BJ394" s="305"/>
      <c r="BK394" s="305"/>
      <c r="BL394" s="305"/>
      <c r="BM394" s="305"/>
      <c r="BN394" s="305"/>
      <c r="BO394" s="305"/>
      <c r="BP394" s="305"/>
      <c r="BQ394" s="305"/>
      <c r="BR394" s="305"/>
      <c r="BS394" s="305"/>
      <c r="BT394" s="305"/>
      <c r="BU394" s="305"/>
      <c r="BV394" s="305"/>
      <c r="BW394" s="305"/>
      <c r="BX394" s="305"/>
      <c r="BY394" s="305"/>
      <c r="BZ394" s="305"/>
      <c r="CA394" s="305"/>
      <c r="CB394" s="305"/>
      <c r="CC394" s="305"/>
      <c r="CD394" s="305"/>
      <c r="CE394" s="305"/>
      <c r="CF394" s="305"/>
      <c r="CG394" s="305"/>
      <c r="CH394" s="305"/>
      <c r="CI394" s="305"/>
      <c r="CJ394" s="305"/>
      <c r="CK394" s="305"/>
      <c r="CL394" s="305"/>
      <c r="CM394" s="305"/>
      <c r="CN394" s="305"/>
      <c r="CO394" s="305"/>
      <c r="CP394" s="305"/>
      <c r="CQ394" s="305"/>
      <c r="CR394" s="305"/>
      <c r="CS394" s="305"/>
      <c r="CT394" s="305"/>
      <c r="CU394" s="305"/>
      <c r="CV394" s="305"/>
      <c r="CW394" s="305"/>
      <c r="CX394" s="305"/>
      <c r="CY394" s="305"/>
      <c r="CZ394" s="305"/>
      <c r="DA394" s="305"/>
      <c r="DB394" s="305"/>
      <c r="DC394" s="305"/>
      <c r="DD394" s="305"/>
      <c r="DE394" s="305"/>
      <c r="DF394" s="305"/>
      <c r="DG394" s="305"/>
      <c r="DH394" s="305"/>
      <c r="DI394" s="305"/>
      <c r="DJ394" s="305"/>
      <c r="DK394" s="305"/>
      <c r="DL394" s="305"/>
      <c r="DM394" s="305"/>
      <c r="DN394" s="305"/>
      <c r="DO394" s="305"/>
      <c r="DP394" s="305"/>
      <c r="DQ394" s="305"/>
      <c r="DR394" s="305"/>
      <c r="DS394" s="305"/>
      <c r="DT394" s="305"/>
      <c r="DU394" s="305"/>
      <c r="DV394" s="305"/>
      <c r="DW394" s="305"/>
      <c r="DX394" s="305"/>
      <c r="DY394" s="305"/>
      <c r="DZ394" s="305"/>
      <c r="EA394" s="305"/>
      <c r="EB394" s="305"/>
      <c r="EC394" s="305"/>
      <c r="ED394" s="305"/>
      <c r="EE394" s="305"/>
      <c r="EF394" s="305"/>
      <c r="EG394" s="305"/>
      <c r="EH394" s="305"/>
      <c r="EI394" s="305"/>
      <c r="EJ394" s="305"/>
      <c r="EK394" s="305"/>
      <c r="EL394" s="305"/>
      <c r="EM394" s="305"/>
      <c r="EN394" s="305"/>
      <c r="EO394" s="305"/>
      <c r="EP394" s="305"/>
      <c r="EQ394" s="305"/>
      <c r="ER394" s="305"/>
      <c r="ES394" s="305"/>
      <c r="ET394" s="305"/>
      <c r="EU394" s="305"/>
      <c r="EV394" s="305"/>
      <c r="EW394" s="305"/>
      <c r="EX394" s="305"/>
      <c r="EY394" s="305"/>
      <c r="EZ394" s="305"/>
      <c r="FA394" s="305"/>
      <c r="FB394" s="305"/>
      <c r="FC394" s="305"/>
      <c r="FD394" s="305"/>
      <c r="FE394" s="305"/>
      <c r="FF394" s="305"/>
      <c r="FG394" s="305"/>
      <c r="FH394" s="305"/>
      <c r="FI394" s="305"/>
      <c r="FJ394" s="305"/>
      <c r="FK394" s="305"/>
      <c r="FL394" s="305"/>
      <c r="FM394" s="305"/>
      <c r="FN394" s="305"/>
      <c r="FO394" s="305"/>
      <c r="FP394" s="305"/>
      <c r="FQ394" s="305"/>
      <c r="FR394" s="305"/>
      <c r="FS394" s="305"/>
      <c r="FT394" s="305"/>
      <c r="FU394" s="305"/>
      <c r="FV394" s="305"/>
      <c r="FW394" s="305"/>
      <c r="FX394" s="305"/>
      <c r="FY394" s="305"/>
      <c r="FZ394" s="305"/>
      <c r="GA394" s="305"/>
      <c r="GB394" s="305"/>
      <c r="GC394" s="305"/>
      <c r="GD394" s="305"/>
      <c r="GE394" s="305"/>
      <c r="GF394" s="305"/>
      <c r="GG394" s="305"/>
      <c r="GH394" s="305"/>
      <c r="GI394" s="305"/>
      <c r="GJ394" s="305"/>
      <c r="GK394" s="305"/>
      <c r="GL394" s="305"/>
      <c r="GM394" s="305"/>
      <c r="GN394" s="305"/>
      <c r="GO394" s="305"/>
      <c r="GP394" s="305"/>
      <c r="GQ394" s="305"/>
      <c r="GR394" s="305"/>
    </row>
    <row r="395" spans="3:200" s="318" customFormat="1" ht="12.75" customHeight="1" x14ac:dyDescent="0.2">
      <c r="C395" s="367"/>
      <c r="D395" s="403"/>
      <c r="E395" s="369"/>
      <c r="F395" s="369"/>
      <c r="G395" s="369"/>
      <c r="H395" s="369"/>
      <c r="I395" s="370"/>
      <c r="J395"/>
      <c r="K395" s="371"/>
      <c r="L395" s="371"/>
      <c r="M395" s="371"/>
      <c r="N395" s="371"/>
      <c r="O395" s="305"/>
      <c r="P395" s="305"/>
      <c r="Q395" s="305"/>
      <c r="R395" s="305"/>
      <c r="S395" s="305"/>
      <c r="T395" s="305"/>
      <c r="U395" s="305"/>
      <c r="V395" s="305"/>
      <c r="W395" s="305"/>
      <c r="X395" s="305"/>
      <c r="Y395" s="305"/>
      <c r="Z395" s="305"/>
      <c r="AA395" s="305"/>
      <c r="AB395" s="305"/>
      <c r="AC395" s="305"/>
      <c r="AD395" s="305"/>
      <c r="AE395" s="305"/>
      <c r="AF395" s="305"/>
      <c r="AG395" s="305"/>
      <c r="AH395" s="305"/>
      <c r="AI395" s="305"/>
      <c r="AJ395" s="305"/>
      <c r="AK395" s="305"/>
      <c r="AL395" s="305"/>
      <c r="AM395" s="305"/>
      <c r="AN395" s="305"/>
      <c r="AO395" s="305"/>
      <c r="AP395" s="305"/>
      <c r="AQ395" s="305"/>
      <c r="AR395" s="305"/>
      <c r="AS395" s="305"/>
      <c r="AT395" s="305"/>
      <c r="AU395" s="305"/>
      <c r="AV395" s="305"/>
      <c r="AW395" s="305"/>
      <c r="AX395" s="305"/>
      <c r="AY395" s="305"/>
      <c r="AZ395" s="305"/>
      <c r="BA395" s="305"/>
      <c r="BB395" s="305"/>
      <c r="BC395" s="305"/>
      <c r="BD395" s="305"/>
      <c r="BE395" s="305"/>
      <c r="BF395" s="305"/>
      <c r="BG395" s="305"/>
      <c r="BH395" s="305"/>
      <c r="BI395" s="305"/>
      <c r="BJ395" s="305"/>
      <c r="BK395" s="305"/>
      <c r="BL395" s="305"/>
      <c r="BM395" s="305"/>
      <c r="BN395" s="305"/>
      <c r="BO395" s="305"/>
      <c r="BP395" s="305"/>
      <c r="BQ395" s="305"/>
      <c r="BR395" s="305"/>
      <c r="BS395" s="305"/>
      <c r="BT395" s="305"/>
      <c r="BU395" s="305"/>
      <c r="BV395" s="305"/>
      <c r="BW395" s="305"/>
      <c r="BX395" s="305"/>
      <c r="BY395" s="305"/>
      <c r="BZ395" s="305"/>
      <c r="CA395" s="305"/>
      <c r="CB395" s="305"/>
      <c r="CC395" s="305"/>
      <c r="CD395" s="305"/>
      <c r="CE395" s="305"/>
      <c r="CF395" s="305"/>
      <c r="CG395" s="305"/>
      <c r="CH395" s="305"/>
      <c r="CI395" s="305"/>
      <c r="CJ395" s="305"/>
      <c r="CK395" s="305"/>
      <c r="CL395" s="305"/>
      <c r="CM395" s="305"/>
      <c r="CN395" s="305"/>
      <c r="CO395" s="305"/>
      <c r="CP395" s="305"/>
      <c r="CQ395" s="305"/>
      <c r="CR395" s="305"/>
      <c r="CS395" s="305"/>
      <c r="CT395" s="305"/>
      <c r="CU395" s="305"/>
      <c r="CV395" s="305"/>
      <c r="CW395" s="305"/>
      <c r="CX395" s="305"/>
      <c r="CY395" s="305"/>
      <c r="CZ395" s="305"/>
      <c r="DA395" s="305"/>
      <c r="DB395" s="305"/>
      <c r="DC395" s="305"/>
      <c r="DD395" s="305"/>
      <c r="DE395" s="305"/>
      <c r="DF395" s="305"/>
      <c r="DG395" s="305"/>
      <c r="DH395" s="305"/>
      <c r="DI395" s="305"/>
      <c r="DJ395" s="305"/>
      <c r="DK395" s="305"/>
      <c r="DL395" s="305"/>
      <c r="DM395" s="305"/>
      <c r="DN395" s="305"/>
      <c r="DO395" s="305"/>
      <c r="DP395" s="305"/>
      <c r="DQ395" s="305"/>
      <c r="DR395" s="305"/>
      <c r="DS395" s="305"/>
      <c r="DT395" s="305"/>
      <c r="DU395" s="305"/>
      <c r="DV395" s="305"/>
      <c r="DW395" s="305"/>
      <c r="DX395" s="305"/>
      <c r="DY395" s="305"/>
      <c r="DZ395" s="305"/>
      <c r="EA395" s="305"/>
      <c r="EB395" s="305"/>
      <c r="EC395" s="305"/>
      <c r="ED395" s="305"/>
      <c r="EE395" s="305"/>
      <c r="EF395" s="305"/>
      <c r="EG395" s="305"/>
      <c r="EH395" s="305"/>
      <c r="EI395" s="305"/>
      <c r="EJ395" s="305"/>
      <c r="EK395" s="305"/>
      <c r="EL395" s="305"/>
      <c r="EM395" s="305"/>
      <c r="EN395" s="305"/>
      <c r="EO395" s="305"/>
      <c r="EP395" s="305"/>
      <c r="EQ395" s="305"/>
      <c r="ER395" s="305"/>
      <c r="ES395" s="305"/>
      <c r="ET395" s="305"/>
      <c r="EU395" s="305"/>
      <c r="EV395" s="305"/>
      <c r="EW395" s="305"/>
      <c r="EX395" s="305"/>
      <c r="EY395" s="305"/>
      <c r="EZ395" s="305"/>
      <c r="FA395" s="305"/>
      <c r="FB395" s="305"/>
      <c r="FC395" s="305"/>
      <c r="FD395" s="305"/>
      <c r="FE395" s="305"/>
      <c r="FF395" s="305"/>
      <c r="FG395" s="305"/>
      <c r="FH395" s="305"/>
      <c r="FI395" s="305"/>
      <c r="FJ395" s="305"/>
      <c r="FK395" s="305"/>
      <c r="FL395" s="305"/>
      <c r="FM395" s="305"/>
      <c r="FN395" s="305"/>
      <c r="FO395" s="305"/>
      <c r="FP395" s="305"/>
      <c r="FQ395" s="305"/>
      <c r="FR395" s="305"/>
      <c r="FS395" s="305"/>
      <c r="FT395" s="305"/>
      <c r="FU395" s="305"/>
      <c r="FV395" s="305"/>
      <c r="FW395" s="305"/>
      <c r="FX395" s="305"/>
      <c r="FY395" s="305"/>
      <c r="FZ395" s="305"/>
      <c r="GA395" s="305"/>
      <c r="GB395" s="305"/>
      <c r="GC395" s="305"/>
      <c r="GD395" s="305"/>
      <c r="GE395" s="305"/>
      <c r="GF395" s="305"/>
      <c r="GG395" s="305"/>
      <c r="GH395" s="305"/>
      <c r="GI395" s="305"/>
      <c r="GJ395" s="305"/>
      <c r="GK395" s="305"/>
      <c r="GL395" s="305"/>
      <c r="GM395" s="305"/>
      <c r="GN395" s="305"/>
      <c r="GO395" s="305"/>
      <c r="GP395" s="305"/>
      <c r="GQ395" s="305"/>
      <c r="GR395" s="305"/>
    </row>
    <row r="396" spans="3:200" s="318" customFormat="1" ht="12.75" customHeight="1" x14ac:dyDescent="0.2">
      <c r="C396" s="367"/>
      <c r="D396" s="403"/>
      <c r="E396" s="369"/>
      <c r="F396" s="369"/>
      <c r="G396" s="369"/>
      <c r="H396" s="369"/>
      <c r="I396" s="370"/>
      <c r="J396"/>
      <c r="K396" s="371"/>
      <c r="L396" s="371"/>
      <c r="M396" s="371"/>
      <c r="N396" s="371"/>
      <c r="O396" s="305"/>
      <c r="P396" s="305"/>
      <c r="Q396" s="305"/>
      <c r="R396" s="305"/>
      <c r="S396" s="305"/>
      <c r="T396" s="305"/>
      <c r="U396" s="305"/>
      <c r="V396" s="305"/>
      <c r="W396" s="305"/>
      <c r="X396" s="305"/>
      <c r="Y396" s="305"/>
      <c r="Z396" s="305"/>
      <c r="AA396" s="305"/>
      <c r="AB396" s="305"/>
      <c r="AC396" s="305"/>
      <c r="AD396" s="305"/>
      <c r="AE396" s="305"/>
      <c r="AF396" s="305"/>
      <c r="AG396" s="305"/>
      <c r="AH396" s="305"/>
      <c r="AI396" s="305"/>
      <c r="AJ396" s="305"/>
      <c r="AK396" s="305"/>
      <c r="AL396" s="305"/>
      <c r="AM396" s="305"/>
      <c r="AN396" s="305"/>
      <c r="AO396" s="305"/>
      <c r="AP396" s="305"/>
      <c r="AQ396" s="305"/>
      <c r="AR396" s="305"/>
      <c r="AS396" s="305"/>
      <c r="AT396" s="305"/>
      <c r="AU396" s="305"/>
      <c r="AV396" s="305"/>
      <c r="AW396" s="305"/>
      <c r="AX396" s="305"/>
      <c r="AY396" s="305"/>
      <c r="AZ396" s="305"/>
      <c r="BA396" s="305"/>
      <c r="BB396" s="305"/>
      <c r="BC396" s="305"/>
      <c r="BD396" s="305"/>
      <c r="BE396" s="305"/>
      <c r="BF396" s="305"/>
      <c r="BG396" s="305"/>
      <c r="BH396" s="305"/>
      <c r="BI396" s="305"/>
      <c r="BJ396" s="305"/>
      <c r="BK396" s="305"/>
      <c r="BL396" s="305"/>
      <c r="BM396" s="305"/>
      <c r="BN396" s="305"/>
      <c r="BO396" s="305"/>
      <c r="BP396" s="305"/>
      <c r="BQ396" s="305"/>
      <c r="BR396" s="305"/>
      <c r="BS396" s="305"/>
      <c r="BT396" s="305"/>
      <c r="BU396" s="305"/>
      <c r="BV396" s="305"/>
      <c r="BW396" s="305"/>
      <c r="BX396" s="305"/>
      <c r="BY396" s="305"/>
      <c r="BZ396" s="305"/>
      <c r="CA396" s="305"/>
      <c r="CB396" s="305"/>
      <c r="CC396" s="305"/>
      <c r="CD396" s="305"/>
      <c r="CE396" s="305"/>
      <c r="CF396" s="305"/>
      <c r="CG396" s="305"/>
      <c r="CH396" s="305"/>
      <c r="CI396" s="305"/>
      <c r="CJ396" s="305"/>
      <c r="CK396" s="305"/>
      <c r="CL396" s="305"/>
      <c r="CM396" s="305"/>
      <c r="CN396" s="305"/>
      <c r="CO396" s="305"/>
      <c r="CP396" s="305"/>
      <c r="CQ396" s="305"/>
      <c r="CR396" s="305"/>
      <c r="CS396" s="305"/>
      <c r="CT396" s="305"/>
      <c r="CU396" s="305"/>
      <c r="CV396" s="305"/>
      <c r="CW396" s="305"/>
      <c r="CX396" s="305"/>
      <c r="CY396" s="305"/>
      <c r="CZ396" s="305"/>
      <c r="DA396" s="305"/>
      <c r="DB396" s="305"/>
      <c r="DC396" s="305"/>
      <c r="DD396" s="305"/>
      <c r="DE396" s="305"/>
      <c r="DF396" s="305"/>
      <c r="DG396" s="305"/>
      <c r="DH396" s="305"/>
      <c r="DI396" s="305"/>
      <c r="DJ396" s="305"/>
      <c r="DK396" s="305"/>
      <c r="DL396" s="305"/>
      <c r="DM396" s="305"/>
      <c r="DN396" s="305"/>
      <c r="DO396" s="305"/>
      <c r="DP396" s="305"/>
      <c r="DQ396" s="305"/>
      <c r="DR396" s="305"/>
      <c r="DS396" s="305"/>
      <c r="DT396" s="305"/>
      <c r="DU396" s="305"/>
      <c r="DV396" s="305"/>
      <c r="DW396" s="305"/>
      <c r="DX396" s="305"/>
      <c r="DY396" s="305"/>
      <c r="DZ396" s="305"/>
      <c r="EA396" s="305"/>
      <c r="EB396" s="305"/>
      <c r="EC396" s="305"/>
      <c r="ED396" s="305"/>
      <c r="EE396" s="305"/>
      <c r="EF396" s="305"/>
      <c r="EG396" s="305"/>
      <c r="EH396" s="305"/>
      <c r="EI396" s="305"/>
      <c r="EJ396" s="305"/>
      <c r="EK396" s="305"/>
      <c r="EL396" s="305"/>
      <c r="EM396" s="305"/>
      <c r="EN396" s="305"/>
      <c r="EO396" s="305"/>
      <c r="EP396" s="305"/>
      <c r="EQ396" s="305"/>
      <c r="ER396" s="305"/>
      <c r="ES396" s="305"/>
      <c r="ET396" s="305"/>
      <c r="EU396" s="305"/>
      <c r="EV396" s="305"/>
      <c r="EW396" s="305"/>
      <c r="EX396" s="305"/>
      <c r="EY396" s="305"/>
      <c r="EZ396" s="305"/>
      <c r="FA396" s="305"/>
      <c r="FB396" s="305"/>
      <c r="FC396" s="305"/>
      <c r="FD396" s="305"/>
      <c r="FE396" s="305"/>
      <c r="FF396" s="305"/>
      <c r="FG396" s="305"/>
      <c r="FH396" s="305"/>
      <c r="FI396" s="305"/>
      <c r="FJ396" s="305"/>
      <c r="FK396" s="305"/>
      <c r="FL396" s="305"/>
      <c r="FM396" s="305"/>
      <c r="FN396" s="305"/>
      <c r="FO396" s="305"/>
      <c r="FP396" s="305"/>
      <c r="FQ396" s="305"/>
      <c r="FR396" s="305"/>
      <c r="FS396" s="305"/>
      <c r="FT396" s="305"/>
      <c r="FU396" s="305"/>
      <c r="FV396" s="305"/>
      <c r="FW396" s="305"/>
      <c r="FX396" s="305"/>
      <c r="FY396" s="305"/>
      <c r="FZ396" s="305"/>
      <c r="GA396" s="305"/>
      <c r="GB396" s="305"/>
      <c r="GC396" s="305"/>
      <c r="GD396" s="305"/>
      <c r="GE396" s="305"/>
      <c r="GF396" s="305"/>
      <c r="GG396" s="305"/>
      <c r="GH396" s="305"/>
      <c r="GI396" s="305"/>
      <c r="GJ396" s="305"/>
      <c r="GK396" s="305"/>
      <c r="GL396" s="305"/>
      <c r="GM396" s="305"/>
      <c r="GN396" s="305"/>
      <c r="GO396" s="305"/>
      <c r="GP396" s="305"/>
      <c r="GQ396" s="305"/>
      <c r="GR396" s="305"/>
    </row>
    <row r="397" spans="3:200" s="318" customFormat="1" ht="12.75" customHeight="1" x14ac:dyDescent="0.2">
      <c r="C397" s="367"/>
      <c r="D397" s="403"/>
      <c r="E397" s="369"/>
      <c r="F397" s="369"/>
      <c r="G397" s="369"/>
      <c r="H397" s="369"/>
      <c r="I397" s="370"/>
      <c r="J397"/>
      <c r="K397" s="371"/>
      <c r="L397" s="371"/>
      <c r="M397" s="371"/>
      <c r="N397" s="371"/>
      <c r="O397" s="305"/>
      <c r="P397" s="305"/>
      <c r="Q397" s="305"/>
      <c r="R397" s="305"/>
      <c r="S397" s="305"/>
      <c r="T397" s="305"/>
      <c r="U397" s="305"/>
      <c r="V397" s="305"/>
      <c r="W397" s="305"/>
      <c r="X397" s="305"/>
      <c r="Y397" s="305"/>
      <c r="Z397" s="305"/>
      <c r="AA397" s="305"/>
      <c r="AB397" s="305"/>
      <c r="AC397" s="305"/>
      <c r="AD397" s="305"/>
      <c r="AE397" s="305"/>
      <c r="AF397" s="305"/>
      <c r="AG397" s="305"/>
      <c r="AH397" s="305"/>
      <c r="AI397" s="305"/>
      <c r="AJ397" s="305"/>
      <c r="AK397" s="305"/>
      <c r="AL397" s="305"/>
      <c r="AM397" s="305"/>
      <c r="AN397" s="305"/>
      <c r="AO397" s="305"/>
      <c r="AP397" s="305"/>
      <c r="AQ397" s="305"/>
      <c r="AR397" s="305"/>
      <c r="AS397" s="305"/>
      <c r="AT397" s="305"/>
      <c r="AU397" s="305"/>
      <c r="AV397" s="305"/>
      <c r="AW397" s="305"/>
      <c r="AX397" s="305"/>
      <c r="AY397" s="305"/>
      <c r="AZ397" s="305"/>
      <c r="BA397" s="305"/>
      <c r="BB397" s="305"/>
      <c r="BC397" s="305"/>
      <c r="BD397" s="305"/>
      <c r="BE397" s="305"/>
      <c r="BF397" s="305"/>
      <c r="BG397" s="305"/>
      <c r="BH397" s="305"/>
      <c r="BI397" s="305"/>
      <c r="BJ397" s="305"/>
      <c r="BK397" s="305"/>
      <c r="BL397" s="305"/>
      <c r="BM397" s="305"/>
      <c r="BN397" s="305"/>
      <c r="BO397" s="305"/>
      <c r="BP397" s="305"/>
      <c r="BQ397" s="305"/>
      <c r="BR397" s="305"/>
      <c r="BS397" s="305"/>
      <c r="BT397" s="305"/>
      <c r="BU397" s="305"/>
      <c r="BV397" s="305"/>
      <c r="BW397" s="305"/>
      <c r="BX397" s="305"/>
      <c r="BY397" s="305"/>
      <c r="BZ397" s="305"/>
      <c r="CA397" s="305"/>
      <c r="CB397" s="305"/>
      <c r="CC397" s="305"/>
      <c r="CD397" s="305"/>
      <c r="CE397" s="305"/>
      <c r="CF397" s="305"/>
      <c r="CG397" s="305"/>
      <c r="CH397" s="305"/>
      <c r="CI397" s="305"/>
      <c r="CJ397" s="305"/>
      <c r="CK397" s="305"/>
      <c r="CL397" s="305"/>
      <c r="CM397" s="305"/>
      <c r="CN397" s="305"/>
      <c r="CO397" s="305"/>
      <c r="CP397" s="305"/>
      <c r="CQ397" s="305"/>
      <c r="CR397" s="305"/>
      <c r="CS397" s="305"/>
      <c r="CT397" s="305"/>
      <c r="CU397" s="305"/>
      <c r="CV397" s="305"/>
      <c r="CW397" s="305"/>
      <c r="CX397" s="305"/>
      <c r="CY397" s="305"/>
      <c r="CZ397" s="305"/>
      <c r="DA397" s="305"/>
      <c r="DB397" s="305"/>
      <c r="DC397" s="305"/>
      <c r="DD397" s="305"/>
      <c r="DE397" s="305"/>
      <c r="DF397" s="305"/>
      <c r="DG397" s="305"/>
      <c r="DH397" s="305"/>
      <c r="DI397" s="305"/>
      <c r="DJ397" s="305"/>
      <c r="DK397" s="305"/>
      <c r="DL397" s="305"/>
      <c r="DM397" s="305"/>
      <c r="DN397" s="305"/>
      <c r="DO397" s="305"/>
      <c r="DP397" s="305"/>
      <c r="DQ397" s="305"/>
      <c r="DR397" s="305"/>
      <c r="DS397" s="305"/>
      <c r="DT397" s="305"/>
      <c r="DU397" s="305"/>
      <c r="DV397" s="305"/>
      <c r="DW397" s="305"/>
      <c r="DX397" s="305"/>
      <c r="DY397" s="305"/>
      <c r="DZ397" s="305"/>
      <c r="EA397" s="305"/>
      <c r="EB397" s="305"/>
      <c r="EC397" s="305"/>
      <c r="ED397" s="305"/>
      <c r="EE397" s="305"/>
      <c r="EF397" s="305"/>
      <c r="EG397" s="305"/>
      <c r="EH397" s="305"/>
      <c r="EI397" s="305"/>
      <c r="EJ397" s="305"/>
      <c r="EK397" s="305"/>
      <c r="EL397" s="305"/>
      <c r="EM397" s="305"/>
      <c r="EN397" s="305"/>
      <c r="EO397" s="305"/>
      <c r="EP397" s="305"/>
      <c r="EQ397" s="305"/>
      <c r="ER397" s="305"/>
      <c r="ES397" s="305"/>
      <c r="ET397" s="305"/>
      <c r="EU397" s="305"/>
      <c r="EV397" s="305"/>
      <c r="EW397" s="305"/>
      <c r="EX397" s="305"/>
      <c r="EY397" s="305"/>
      <c r="EZ397" s="305"/>
      <c r="FA397" s="305"/>
      <c r="FB397" s="305"/>
      <c r="FC397" s="305"/>
      <c r="FD397" s="305"/>
      <c r="FE397" s="305"/>
      <c r="FF397" s="305"/>
      <c r="FG397" s="305"/>
      <c r="FH397" s="305"/>
      <c r="FI397" s="305"/>
      <c r="FJ397" s="305"/>
      <c r="FK397" s="305"/>
      <c r="FL397" s="305"/>
      <c r="FM397" s="305"/>
      <c r="FN397" s="305"/>
      <c r="FO397" s="305"/>
      <c r="FP397" s="305"/>
      <c r="FQ397" s="305"/>
      <c r="FR397" s="305"/>
      <c r="FS397" s="305"/>
      <c r="FT397" s="305"/>
      <c r="FU397" s="305"/>
      <c r="FV397" s="305"/>
      <c r="FW397" s="305"/>
      <c r="FX397" s="305"/>
      <c r="FY397" s="305"/>
      <c r="FZ397" s="305"/>
      <c r="GA397" s="305"/>
      <c r="GB397" s="305"/>
      <c r="GC397" s="305"/>
      <c r="GD397" s="305"/>
      <c r="GE397" s="305"/>
      <c r="GF397" s="305"/>
      <c r="GG397" s="305"/>
      <c r="GH397" s="305"/>
      <c r="GI397" s="305"/>
      <c r="GJ397" s="305"/>
      <c r="GK397" s="305"/>
      <c r="GL397" s="305"/>
      <c r="GM397" s="305"/>
      <c r="GN397" s="305"/>
      <c r="GO397" s="305"/>
      <c r="GP397" s="305"/>
      <c r="GQ397" s="305"/>
      <c r="GR397" s="305"/>
    </row>
    <row r="398" spans="3:200" s="318" customFormat="1" ht="12.75" customHeight="1" x14ac:dyDescent="0.2">
      <c r="C398" s="367"/>
      <c r="D398" s="403"/>
      <c r="E398" s="369"/>
      <c r="F398" s="369"/>
      <c r="G398" s="369"/>
      <c r="H398" s="369"/>
      <c r="I398" s="370"/>
      <c r="J398"/>
      <c r="K398" s="371"/>
      <c r="L398" s="371"/>
      <c r="M398" s="371"/>
      <c r="N398" s="371"/>
      <c r="O398" s="305"/>
      <c r="P398" s="305"/>
      <c r="Q398" s="305"/>
      <c r="R398" s="305"/>
      <c r="S398" s="305"/>
      <c r="T398" s="305"/>
      <c r="U398" s="305"/>
      <c r="V398" s="305"/>
      <c r="W398" s="305"/>
      <c r="X398" s="305"/>
      <c r="Y398" s="305"/>
      <c r="Z398" s="305"/>
      <c r="AA398" s="305"/>
      <c r="AB398" s="305"/>
      <c r="AC398" s="305"/>
      <c r="AD398" s="305"/>
      <c r="AE398" s="305"/>
      <c r="AF398" s="305"/>
      <c r="AG398" s="305"/>
      <c r="AH398" s="305"/>
      <c r="AI398" s="305"/>
      <c r="AJ398" s="305"/>
      <c r="AK398" s="305"/>
      <c r="AL398" s="305"/>
      <c r="AM398" s="305"/>
      <c r="AN398" s="305"/>
      <c r="AO398" s="305"/>
      <c r="AP398" s="305"/>
      <c r="AQ398" s="305"/>
      <c r="AR398" s="305"/>
      <c r="AS398" s="305"/>
      <c r="AT398" s="305"/>
      <c r="AU398" s="305"/>
      <c r="AV398" s="305"/>
      <c r="AW398" s="305"/>
      <c r="AX398" s="305"/>
      <c r="AY398" s="305"/>
      <c r="AZ398" s="305"/>
      <c r="BA398" s="305"/>
      <c r="BB398" s="305"/>
      <c r="BC398" s="305"/>
      <c r="BD398" s="305"/>
      <c r="BE398" s="305"/>
      <c r="BF398" s="305"/>
      <c r="BG398" s="305"/>
      <c r="BH398" s="305"/>
      <c r="BI398" s="305"/>
      <c r="BJ398" s="305"/>
      <c r="BK398" s="305"/>
      <c r="BL398" s="305"/>
      <c r="BM398" s="305"/>
      <c r="BN398" s="305"/>
      <c r="BO398" s="305"/>
      <c r="BP398" s="305"/>
      <c r="BQ398" s="305"/>
      <c r="BR398" s="305"/>
      <c r="BS398" s="305"/>
      <c r="BT398" s="305"/>
      <c r="BU398" s="305"/>
      <c r="BV398" s="305"/>
      <c r="BW398" s="305"/>
      <c r="BX398" s="305"/>
      <c r="BY398" s="305"/>
      <c r="BZ398" s="305"/>
      <c r="CA398" s="305"/>
      <c r="CB398" s="305"/>
      <c r="CC398" s="305"/>
      <c r="CD398" s="305"/>
      <c r="CE398" s="305"/>
      <c r="CF398" s="305"/>
      <c r="CG398" s="305"/>
      <c r="CH398" s="305"/>
      <c r="CI398" s="305"/>
      <c r="CJ398" s="305"/>
      <c r="CK398" s="305"/>
      <c r="CL398" s="305"/>
      <c r="CM398" s="305"/>
      <c r="CN398" s="305"/>
      <c r="CO398" s="305"/>
      <c r="CP398" s="305"/>
      <c r="CQ398" s="305"/>
      <c r="CR398" s="305"/>
      <c r="CS398" s="305"/>
      <c r="CT398" s="305"/>
      <c r="CU398" s="305"/>
      <c r="CV398" s="305"/>
      <c r="CW398" s="305"/>
      <c r="CX398" s="305"/>
      <c r="CY398" s="305"/>
      <c r="CZ398" s="305"/>
      <c r="DA398" s="305"/>
      <c r="DB398" s="305"/>
      <c r="DC398" s="305"/>
      <c r="DD398" s="305"/>
      <c r="DE398" s="305"/>
      <c r="DF398" s="305"/>
      <c r="DG398" s="305"/>
      <c r="DH398" s="305"/>
      <c r="DI398" s="305"/>
      <c r="DJ398" s="305"/>
      <c r="DK398" s="305"/>
      <c r="DL398" s="305"/>
      <c r="DM398" s="305"/>
      <c r="DN398" s="305"/>
      <c r="DO398" s="305"/>
      <c r="DP398" s="305"/>
      <c r="DQ398" s="305"/>
      <c r="DR398" s="305"/>
      <c r="DS398" s="305"/>
      <c r="DT398" s="305"/>
      <c r="DU398" s="305"/>
      <c r="DV398" s="305"/>
      <c r="DW398" s="305"/>
      <c r="DX398" s="305"/>
      <c r="DY398" s="305"/>
      <c r="DZ398" s="305"/>
      <c r="EA398" s="305"/>
      <c r="EB398" s="305"/>
      <c r="EC398" s="305"/>
      <c r="ED398" s="305"/>
      <c r="EE398" s="305"/>
      <c r="EF398" s="305"/>
      <c r="EG398" s="305"/>
      <c r="EH398" s="305"/>
      <c r="EI398" s="305"/>
      <c r="EJ398" s="305"/>
      <c r="EK398" s="305"/>
      <c r="EL398" s="305"/>
      <c r="EM398" s="305"/>
      <c r="EN398" s="305"/>
      <c r="EO398" s="305"/>
      <c r="EP398" s="305"/>
      <c r="EQ398" s="305"/>
      <c r="ER398" s="305"/>
      <c r="ES398" s="305"/>
      <c r="ET398" s="305"/>
      <c r="EU398" s="305"/>
      <c r="EV398" s="305"/>
      <c r="EW398" s="305"/>
      <c r="EX398" s="305"/>
      <c r="EY398" s="305"/>
      <c r="EZ398" s="305"/>
      <c r="FA398" s="305"/>
      <c r="FB398" s="305"/>
      <c r="FC398" s="305"/>
      <c r="FD398" s="305"/>
      <c r="FE398" s="305"/>
      <c r="FF398" s="305"/>
      <c r="FG398" s="305"/>
      <c r="FH398" s="305"/>
      <c r="FI398" s="305"/>
      <c r="FJ398" s="305"/>
      <c r="FK398" s="305"/>
      <c r="FL398" s="305"/>
      <c r="FM398" s="305"/>
      <c r="FN398" s="305"/>
      <c r="FO398" s="305"/>
      <c r="FP398" s="305"/>
      <c r="FQ398" s="305"/>
      <c r="FR398" s="305"/>
      <c r="FS398" s="305"/>
      <c r="FT398" s="305"/>
      <c r="FU398" s="305"/>
      <c r="FV398" s="305"/>
      <c r="FW398" s="305"/>
      <c r="FX398" s="305"/>
      <c r="FY398" s="305"/>
      <c r="FZ398" s="305"/>
      <c r="GA398" s="305"/>
      <c r="GB398" s="305"/>
      <c r="GC398" s="305"/>
      <c r="GD398" s="305"/>
      <c r="GE398" s="305"/>
      <c r="GF398" s="305"/>
      <c r="GG398" s="305"/>
      <c r="GH398" s="305"/>
      <c r="GI398" s="305"/>
      <c r="GJ398" s="305"/>
      <c r="GK398" s="305"/>
      <c r="GL398" s="305"/>
      <c r="GM398" s="305"/>
      <c r="GN398" s="305"/>
      <c r="GO398" s="305"/>
      <c r="GP398" s="305"/>
      <c r="GQ398" s="305"/>
      <c r="GR398" s="305"/>
    </row>
    <row r="399" spans="3:200" s="318" customFormat="1" ht="12.75" customHeight="1" x14ac:dyDescent="0.2">
      <c r="C399" s="367"/>
      <c r="D399" s="403"/>
      <c r="E399" s="369"/>
      <c r="F399" s="369"/>
      <c r="G399" s="369"/>
      <c r="H399" s="369"/>
      <c r="I399" s="370"/>
      <c r="J399"/>
      <c r="K399" s="371"/>
      <c r="L399" s="371"/>
      <c r="M399" s="371"/>
      <c r="N399" s="371"/>
      <c r="O399" s="305"/>
      <c r="P399" s="305"/>
      <c r="Q399" s="305"/>
      <c r="R399" s="305"/>
      <c r="S399" s="305"/>
      <c r="T399" s="305"/>
      <c r="U399" s="305"/>
      <c r="V399" s="305"/>
      <c r="W399" s="305"/>
      <c r="X399" s="305"/>
      <c r="Y399" s="305"/>
      <c r="Z399" s="305"/>
      <c r="AA399" s="305"/>
      <c r="AB399" s="305"/>
      <c r="AC399" s="305"/>
      <c r="AD399" s="305"/>
      <c r="AE399" s="305"/>
      <c r="AF399" s="305"/>
      <c r="AG399" s="305"/>
      <c r="AH399" s="305"/>
      <c r="AI399" s="305"/>
      <c r="AJ399" s="305"/>
      <c r="AK399" s="305"/>
      <c r="AL399" s="305"/>
      <c r="AM399" s="305"/>
      <c r="AN399" s="305"/>
      <c r="AO399" s="305"/>
      <c r="AP399" s="305"/>
      <c r="AQ399" s="305"/>
      <c r="AR399" s="305"/>
      <c r="AS399" s="305"/>
      <c r="AT399" s="305"/>
      <c r="AU399" s="305"/>
      <c r="AV399" s="305"/>
      <c r="AW399" s="305"/>
      <c r="AX399" s="305"/>
      <c r="AY399" s="305"/>
      <c r="AZ399" s="305"/>
      <c r="BA399" s="305"/>
      <c r="BB399" s="305"/>
      <c r="BC399" s="305"/>
      <c r="BD399" s="305"/>
      <c r="BE399" s="305"/>
      <c r="BF399" s="305"/>
      <c r="BG399" s="305"/>
      <c r="BH399" s="305"/>
      <c r="BI399" s="305"/>
      <c r="BJ399" s="305"/>
      <c r="BK399" s="305"/>
      <c r="BL399" s="305"/>
      <c r="BM399" s="305"/>
      <c r="BN399" s="305"/>
      <c r="BO399" s="305"/>
      <c r="BP399" s="305"/>
      <c r="BQ399" s="305"/>
      <c r="BR399" s="305"/>
      <c r="BS399" s="305"/>
      <c r="BT399" s="305"/>
      <c r="BU399" s="305"/>
      <c r="BV399" s="305"/>
      <c r="BW399" s="305"/>
      <c r="BX399" s="305"/>
      <c r="BY399" s="305"/>
      <c r="BZ399" s="305"/>
      <c r="CA399" s="305"/>
      <c r="CB399" s="305"/>
      <c r="CC399" s="305"/>
      <c r="CD399" s="305"/>
      <c r="CE399" s="305"/>
      <c r="CF399" s="305"/>
      <c r="CG399" s="305"/>
      <c r="CH399" s="305"/>
      <c r="CI399" s="305"/>
      <c r="CJ399" s="305"/>
      <c r="CK399" s="305"/>
      <c r="CL399" s="305"/>
      <c r="CM399" s="305"/>
      <c r="CN399" s="305"/>
      <c r="CO399" s="305"/>
      <c r="CP399" s="305"/>
      <c r="CQ399" s="305"/>
      <c r="CR399" s="305"/>
      <c r="CS399" s="305"/>
      <c r="CT399" s="305"/>
      <c r="CU399" s="305"/>
      <c r="CV399" s="305"/>
      <c r="CW399" s="305"/>
      <c r="CX399" s="305"/>
      <c r="CY399" s="305"/>
      <c r="CZ399" s="305"/>
      <c r="DA399" s="305"/>
      <c r="DB399" s="305"/>
      <c r="DC399" s="305"/>
      <c r="DD399" s="305"/>
      <c r="DE399" s="305"/>
      <c r="DF399" s="305"/>
      <c r="DG399" s="305"/>
      <c r="DH399" s="305"/>
      <c r="DI399" s="305"/>
      <c r="DJ399" s="305"/>
      <c r="DK399" s="305"/>
      <c r="DL399" s="305"/>
      <c r="DM399" s="305"/>
      <c r="DN399" s="305"/>
      <c r="DO399" s="305"/>
      <c r="DP399" s="305"/>
      <c r="DQ399" s="305"/>
      <c r="DR399" s="305"/>
      <c r="DS399" s="305"/>
      <c r="DT399" s="305"/>
      <c r="DU399" s="305"/>
      <c r="DV399" s="305"/>
      <c r="DW399" s="305"/>
      <c r="DX399" s="305"/>
      <c r="DY399" s="305"/>
      <c r="DZ399" s="305"/>
      <c r="EA399" s="305"/>
      <c r="EB399" s="305"/>
      <c r="EC399" s="305"/>
      <c r="ED399" s="305"/>
      <c r="EE399" s="305"/>
      <c r="EF399" s="305"/>
      <c r="EG399" s="305"/>
      <c r="EH399" s="305"/>
      <c r="EI399" s="305"/>
      <c r="EJ399" s="305"/>
      <c r="EK399" s="305"/>
      <c r="EL399" s="305"/>
      <c r="EM399" s="305"/>
      <c r="EN399" s="305"/>
      <c r="EO399" s="305"/>
      <c r="EP399" s="305"/>
      <c r="EQ399" s="305"/>
      <c r="ER399" s="305"/>
      <c r="ES399" s="305"/>
      <c r="ET399" s="305"/>
      <c r="EU399" s="305"/>
      <c r="EV399" s="305"/>
      <c r="EW399" s="305"/>
      <c r="EX399" s="305"/>
      <c r="EY399" s="305"/>
      <c r="EZ399" s="305"/>
      <c r="FA399" s="305"/>
      <c r="FB399" s="305"/>
      <c r="FC399" s="305"/>
      <c r="FD399" s="305"/>
      <c r="FE399" s="305"/>
      <c r="FF399" s="305"/>
      <c r="FG399" s="305"/>
      <c r="FH399" s="305"/>
      <c r="FI399" s="305"/>
      <c r="FJ399" s="305"/>
      <c r="FK399" s="305"/>
      <c r="FL399" s="305"/>
      <c r="FM399" s="305"/>
      <c r="FN399" s="305"/>
      <c r="FO399" s="305"/>
      <c r="FP399" s="305"/>
      <c r="FQ399" s="305"/>
      <c r="FR399" s="305"/>
      <c r="FS399" s="305"/>
      <c r="FT399" s="305"/>
      <c r="FU399" s="305"/>
      <c r="FV399" s="305"/>
      <c r="FW399" s="305"/>
      <c r="FX399" s="305"/>
      <c r="FY399" s="305"/>
      <c r="FZ399" s="305"/>
      <c r="GA399" s="305"/>
      <c r="GB399" s="305"/>
      <c r="GC399" s="305"/>
      <c r="GD399" s="305"/>
      <c r="GE399" s="305"/>
      <c r="GF399" s="305"/>
      <c r="GG399" s="305"/>
      <c r="GH399" s="305"/>
      <c r="GI399" s="305"/>
      <c r="GJ399" s="305"/>
      <c r="GK399" s="305"/>
      <c r="GL399" s="305"/>
      <c r="GM399" s="305"/>
      <c r="GN399" s="305"/>
      <c r="GO399" s="305"/>
      <c r="GP399" s="305"/>
      <c r="GQ399" s="305"/>
      <c r="GR399" s="305"/>
    </row>
    <row r="400" spans="3:200" s="318" customFormat="1" ht="12.75" customHeight="1" x14ac:dyDescent="0.2">
      <c r="C400" s="367"/>
      <c r="D400" s="403"/>
      <c r="E400" s="369"/>
      <c r="F400" s="369"/>
      <c r="G400" s="369"/>
      <c r="H400" s="369"/>
      <c r="I400" s="370"/>
      <c r="J400"/>
      <c r="K400" s="371"/>
      <c r="L400" s="371"/>
      <c r="M400" s="371"/>
      <c r="N400" s="371"/>
      <c r="O400" s="305"/>
      <c r="P400" s="305"/>
      <c r="Q400" s="305"/>
      <c r="R400" s="305"/>
      <c r="S400" s="305"/>
      <c r="T400" s="305"/>
      <c r="U400" s="305"/>
      <c r="V400" s="305"/>
      <c r="W400" s="305"/>
      <c r="X400" s="305"/>
      <c r="Y400" s="305"/>
      <c r="Z400" s="305"/>
      <c r="AA400" s="305"/>
      <c r="AB400" s="305"/>
      <c r="AC400" s="305"/>
      <c r="AD400" s="305"/>
      <c r="AE400" s="305"/>
      <c r="AF400" s="305"/>
      <c r="AG400" s="305"/>
      <c r="AH400" s="305"/>
      <c r="AI400" s="305"/>
      <c r="AJ400" s="305"/>
      <c r="AK400" s="305"/>
      <c r="AL400" s="305"/>
      <c r="AM400" s="305"/>
      <c r="AN400" s="305"/>
      <c r="AO400" s="305"/>
      <c r="AP400" s="305"/>
      <c r="AQ400" s="305"/>
      <c r="AR400" s="305"/>
      <c r="AS400" s="305"/>
      <c r="AT400" s="305"/>
      <c r="AU400" s="305"/>
      <c r="AV400" s="305"/>
      <c r="AW400" s="305"/>
      <c r="AX400" s="305"/>
      <c r="AY400" s="305"/>
      <c r="AZ400" s="305"/>
      <c r="BA400" s="305"/>
      <c r="BB400" s="305"/>
      <c r="BC400" s="305"/>
      <c r="BD400" s="305"/>
      <c r="BE400" s="305"/>
      <c r="BF400" s="305"/>
      <c r="BG400" s="305"/>
      <c r="BH400" s="305"/>
      <c r="BI400" s="305"/>
      <c r="BJ400" s="305"/>
      <c r="BK400" s="305"/>
      <c r="BL400" s="305"/>
      <c r="BM400" s="305"/>
      <c r="BN400" s="305"/>
      <c r="BO400" s="305"/>
      <c r="BP400" s="305"/>
      <c r="BQ400" s="305"/>
      <c r="BR400" s="305"/>
      <c r="BS400" s="305"/>
      <c r="BT400" s="305"/>
      <c r="BU400" s="305"/>
      <c r="BV400" s="305"/>
      <c r="BW400" s="305"/>
      <c r="BX400" s="305"/>
      <c r="BY400" s="305"/>
      <c r="BZ400" s="305"/>
      <c r="CA400" s="305"/>
      <c r="CB400" s="305"/>
      <c r="CC400" s="305"/>
      <c r="CD400" s="305"/>
      <c r="CE400" s="305"/>
      <c r="CF400" s="305"/>
      <c r="CG400" s="305"/>
      <c r="CH400" s="305"/>
      <c r="CI400" s="305"/>
      <c r="CJ400" s="305"/>
      <c r="CK400" s="305"/>
      <c r="CL400" s="305"/>
      <c r="CM400" s="305"/>
      <c r="CN400" s="305"/>
      <c r="CO400" s="305"/>
      <c r="CP400" s="305"/>
      <c r="CQ400" s="305"/>
      <c r="CR400" s="305"/>
      <c r="CS400" s="305"/>
      <c r="CT400" s="305"/>
      <c r="CU400" s="305"/>
      <c r="CV400" s="305"/>
      <c r="CW400" s="305"/>
      <c r="CX400" s="305"/>
      <c r="CY400" s="305"/>
      <c r="CZ400" s="305"/>
      <c r="DA400" s="305"/>
      <c r="DB400" s="305"/>
      <c r="DC400" s="305"/>
      <c r="DD400" s="305"/>
      <c r="DE400" s="305"/>
      <c r="DF400" s="305"/>
      <c r="DG400" s="305"/>
      <c r="DH400" s="305"/>
      <c r="DI400" s="305"/>
      <c r="DJ400" s="305"/>
      <c r="DK400" s="305"/>
      <c r="DL400" s="305"/>
      <c r="DM400" s="305"/>
      <c r="DN400" s="305"/>
      <c r="DO400" s="305"/>
      <c r="DP400" s="305"/>
      <c r="DQ400" s="305"/>
      <c r="DR400" s="305"/>
      <c r="DS400" s="305"/>
      <c r="DT400" s="305"/>
      <c r="DU400" s="305"/>
      <c r="DV400" s="305"/>
      <c r="DW400" s="305"/>
      <c r="DX400" s="305"/>
      <c r="DY400" s="305"/>
      <c r="DZ400" s="305"/>
      <c r="EA400" s="305"/>
      <c r="EB400" s="305"/>
      <c r="EC400" s="305"/>
      <c r="ED400" s="305"/>
      <c r="EE400" s="305"/>
      <c r="EF400" s="305"/>
      <c r="EG400" s="305"/>
      <c r="EH400" s="305"/>
      <c r="EI400" s="305"/>
      <c r="EJ400" s="305"/>
      <c r="EK400" s="305"/>
      <c r="EL400" s="305"/>
      <c r="EM400" s="305"/>
      <c r="EN400" s="305"/>
      <c r="EO400" s="305"/>
      <c r="EP400" s="305"/>
      <c r="EQ400" s="305"/>
      <c r="ER400" s="305"/>
      <c r="ES400" s="305"/>
      <c r="ET400" s="305"/>
      <c r="EU400" s="305"/>
      <c r="EV400" s="305"/>
      <c r="EW400" s="305"/>
      <c r="EX400" s="305"/>
      <c r="EY400" s="305"/>
      <c r="EZ400" s="305"/>
      <c r="FA400" s="305"/>
      <c r="FB400" s="305"/>
      <c r="FC400" s="305"/>
      <c r="FD400" s="305"/>
      <c r="FE400" s="305"/>
      <c r="FF400" s="305"/>
      <c r="FG400" s="305"/>
      <c r="FH400" s="305"/>
      <c r="FI400" s="305"/>
      <c r="FJ400" s="305"/>
      <c r="FK400" s="305"/>
      <c r="FL400" s="305"/>
      <c r="FM400" s="305"/>
      <c r="FN400" s="305"/>
      <c r="FO400" s="305"/>
      <c r="FP400" s="305"/>
      <c r="FQ400" s="305"/>
      <c r="FR400" s="305"/>
      <c r="FS400" s="305"/>
      <c r="FT400" s="305"/>
      <c r="FU400" s="305"/>
      <c r="FV400" s="305"/>
      <c r="FW400" s="305"/>
      <c r="FX400" s="305"/>
      <c r="FY400" s="305"/>
      <c r="FZ400" s="305"/>
      <c r="GA400" s="305"/>
      <c r="GB400" s="305"/>
      <c r="GC400" s="305"/>
      <c r="GD400" s="305"/>
      <c r="GE400" s="305"/>
      <c r="GF400" s="305"/>
      <c r="GG400" s="305"/>
      <c r="GH400" s="305"/>
      <c r="GI400" s="305"/>
      <c r="GJ400" s="305"/>
      <c r="GK400" s="305"/>
      <c r="GL400" s="305"/>
      <c r="GM400" s="305"/>
      <c r="GN400" s="305"/>
      <c r="GO400" s="305"/>
      <c r="GP400" s="305"/>
      <c r="GQ400" s="305"/>
      <c r="GR400" s="305"/>
    </row>
    <row r="401" spans="3:200" s="318" customFormat="1" ht="12.75" customHeight="1" x14ac:dyDescent="0.2">
      <c r="C401" s="367"/>
      <c r="D401" s="403"/>
      <c r="E401" s="369"/>
      <c r="F401" s="369"/>
      <c r="G401" s="369"/>
      <c r="H401" s="369"/>
      <c r="I401" s="370"/>
      <c r="J401"/>
      <c r="K401" s="371"/>
      <c r="L401" s="371"/>
      <c r="M401" s="371"/>
      <c r="N401" s="371"/>
      <c r="O401" s="305"/>
      <c r="P401" s="305"/>
      <c r="Q401" s="305"/>
      <c r="R401" s="305"/>
      <c r="S401" s="305"/>
      <c r="T401" s="305"/>
      <c r="U401" s="305"/>
      <c r="V401" s="305"/>
      <c r="W401" s="305"/>
      <c r="X401" s="305"/>
      <c r="Y401" s="305"/>
      <c r="Z401" s="305"/>
      <c r="AA401" s="305"/>
      <c r="AB401" s="305"/>
      <c r="AC401" s="305"/>
      <c r="AD401" s="305"/>
      <c r="AE401" s="305"/>
      <c r="AF401" s="305"/>
      <c r="AG401" s="305"/>
      <c r="AH401" s="305"/>
      <c r="AI401" s="305"/>
      <c r="AJ401" s="305"/>
      <c r="AK401" s="305"/>
      <c r="AL401" s="305"/>
      <c r="AM401" s="305"/>
      <c r="AN401" s="305"/>
      <c r="AO401" s="305"/>
      <c r="AP401" s="305"/>
      <c r="AQ401" s="305"/>
      <c r="AR401" s="305"/>
      <c r="AS401" s="305"/>
      <c r="AT401" s="305"/>
      <c r="AU401" s="305"/>
      <c r="AV401" s="305"/>
      <c r="AW401" s="305"/>
      <c r="AX401" s="305"/>
      <c r="AY401" s="305"/>
      <c r="AZ401" s="305"/>
      <c r="BA401" s="305"/>
      <c r="BB401" s="305"/>
      <c r="BC401" s="305"/>
      <c r="BD401" s="305"/>
      <c r="BE401" s="305"/>
      <c r="BF401" s="305"/>
      <c r="BG401" s="305"/>
      <c r="BH401" s="305"/>
      <c r="BI401" s="305"/>
      <c r="BJ401" s="305"/>
      <c r="BK401" s="305"/>
      <c r="BL401" s="305"/>
      <c r="BM401" s="305"/>
      <c r="BN401" s="305"/>
      <c r="BO401" s="305"/>
      <c r="BP401" s="305"/>
      <c r="BQ401" s="305"/>
      <c r="BR401" s="305"/>
      <c r="BS401" s="305"/>
      <c r="BT401" s="305"/>
      <c r="BU401" s="305"/>
      <c r="BV401" s="305"/>
      <c r="BW401" s="305"/>
      <c r="BX401" s="305"/>
      <c r="BY401" s="305"/>
      <c r="BZ401" s="305"/>
      <c r="CA401" s="305"/>
      <c r="CB401" s="305"/>
      <c r="CC401" s="305"/>
      <c r="CD401" s="305"/>
      <c r="CE401" s="305"/>
      <c r="CF401" s="305"/>
      <c r="CG401" s="305"/>
      <c r="CH401" s="305"/>
      <c r="CI401" s="305"/>
      <c r="CJ401" s="305"/>
      <c r="CK401" s="305"/>
      <c r="CL401" s="305"/>
      <c r="CM401" s="305"/>
      <c r="CN401" s="305"/>
      <c r="CO401" s="305"/>
      <c r="CP401" s="305"/>
      <c r="CQ401" s="305"/>
      <c r="CR401" s="305"/>
      <c r="CS401" s="305"/>
      <c r="CT401" s="305"/>
      <c r="CU401" s="305"/>
      <c r="CV401" s="305"/>
      <c r="CW401" s="305"/>
      <c r="CX401" s="305"/>
      <c r="CY401" s="305"/>
      <c r="CZ401" s="305"/>
      <c r="DA401" s="305"/>
      <c r="DB401" s="305"/>
      <c r="DC401" s="305"/>
      <c r="DD401" s="305"/>
      <c r="DE401" s="305"/>
      <c r="DF401" s="305"/>
      <c r="DG401" s="305"/>
      <c r="DH401" s="305"/>
      <c r="DI401" s="305"/>
      <c r="DJ401" s="305"/>
      <c r="DK401" s="305"/>
      <c r="DL401" s="305"/>
      <c r="DM401" s="305"/>
      <c r="DN401" s="305"/>
      <c r="DO401" s="305"/>
      <c r="DP401" s="305"/>
      <c r="DQ401" s="305"/>
      <c r="DR401" s="305"/>
      <c r="DS401" s="305"/>
      <c r="DT401" s="305"/>
      <c r="DU401" s="305"/>
      <c r="DV401" s="305"/>
      <c r="DW401" s="305"/>
      <c r="DX401" s="305"/>
      <c r="DY401" s="305"/>
      <c r="DZ401" s="305"/>
      <c r="EA401" s="305"/>
      <c r="EB401" s="305"/>
      <c r="EC401" s="305"/>
      <c r="ED401" s="305"/>
      <c r="EE401" s="305"/>
      <c r="EF401" s="305"/>
      <c r="EG401" s="305"/>
      <c r="EH401" s="305"/>
      <c r="EI401" s="305"/>
      <c r="EJ401" s="305"/>
      <c r="EK401" s="305"/>
      <c r="EL401" s="305"/>
      <c r="EM401" s="305"/>
      <c r="EN401" s="305"/>
      <c r="EO401" s="305"/>
      <c r="EP401" s="305"/>
      <c r="EQ401" s="305"/>
      <c r="ER401" s="305"/>
      <c r="ES401" s="305"/>
      <c r="ET401" s="305"/>
      <c r="EU401" s="305"/>
      <c r="EV401" s="305"/>
      <c r="EW401" s="305"/>
      <c r="EX401" s="305"/>
      <c r="EY401" s="305"/>
      <c r="EZ401" s="305"/>
      <c r="FA401" s="305"/>
      <c r="FB401" s="305"/>
      <c r="FC401" s="305"/>
      <c r="FD401" s="305"/>
      <c r="FE401" s="305"/>
      <c r="FF401" s="305"/>
      <c r="FG401" s="305"/>
      <c r="FH401" s="305"/>
      <c r="FI401" s="305"/>
      <c r="FJ401" s="305"/>
      <c r="FK401" s="305"/>
      <c r="FL401" s="305"/>
      <c r="FM401" s="305"/>
      <c r="FN401" s="305"/>
      <c r="FO401" s="305"/>
      <c r="FP401" s="305"/>
      <c r="FQ401" s="305"/>
      <c r="FR401" s="305"/>
      <c r="FS401" s="305"/>
      <c r="FT401" s="305"/>
      <c r="FU401" s="305"/>
      <c r="FV401" s="305"/>
      <c r="FW401" s="305"/>
      <c r="FX401" s="305"/>
      <c r="FY401" s="305"/>
      <c r="FZ401" s="305"/>
      <c r="GA401" s="305"/>
      <c r="GB401" s="305"/>
      <c r="GC401" s="305"/>
      <c r="GD401" s="305"/>
      <c r="GE401" s="305"/>
      <c r="GF401" s="305"/>
      <c r="GG401" s="305"/>
      <c r="GH401" s="305"/>
      <c r="GI401" s="305"/>
      <c r="GJ401" s="305"/>
      <c r="GK401" s="305"/>
      <c r="GL401" s="305"/>
      <c r="GM401" s="305"/>
      <c r="GN401" s="305"/>
      <c r="GO401" s="305"/>
      <c r="GP401" s="305"/>
      <c r="GQ401" s="305"/>
      <c r="GR401" s="305"/>
    </row>
    <row r="402" spans="3:200" s="318" customFormat="1" ht="12.75" customHeight="1" x14ac:dyDescent="0.2">
      <c r="C402" s="367"/>
      <c r="D402" s="403"/>
      <c r="E402" s="369"/>
      <c r="F402" s="369"/>
      <c r="G402" s="369"/>
      <c r="H402" s="369"/>
      <c r="I402" s="370"/>
      <c r="J402"/>
      <c r="K402" s="371"/>
      <c r="L402" s="371"/>
      <c r="M402" s="371"/>
      <c r="N402" s="371"/>
      <c r="O402" s="305"/>
      <c r="P402" s="305"/>
      <c r="Q402" s="305"/>
      <c r="R402" s="305"/>
      <c r="S402" s="305"/>
      <c r="T402" s="305"/>
      <c r="U402" s="305"/>
      <c r="V402" s="305"/>
      <c r="W402" s="305"/>
      <c r="X402" s="305"/>
      <c r="Y402" s="305"/>
      <c r="Z402" s="305"/>
      <c r="AA402" s="305"/>
      <c r="AB402" s="305"/>
      <c r="AC402" s="305"/>
      <c r="AD402" s="305"/>
      <c r="AE402" s="305"/>
      <c r="AF402" s="305"/>
      <c r="AG402" s="305"/>
      <c r="AH402" s="305"/>
      <c r="AI402" s="305"/>
      <c r="AJ402" s="305"/>
      <c r="AK402" s="305"/>
      <c r="AL402" s="305"/>
      <c r="AM402" s="305"/>
      <c r="AN402" s="305"/>
      <c r="AO402" s="305"/>
      <c r="AP402" s="305"/>
      <c r="AQ402" s="305"/>
      <c r="AR402" s="305"/>
      <c r="AS402" s="305"/>
      <c r="AT402" s="305"/>
      <c r="AU402" s="305"/>
      <c r="AV402" s="305"/>
      <c r="AW402" s="305"/>
      <c r="AX402" s="305"/>
      <c r="AY402" s="305"/>
      <c r="AZ402" s="305"/>
      <c r="BA402" s="305"/>
      <c r="BB402" s="305"/>
      <c r="BC402" s="305"/>
      <c r="BD402" s="305"/>
      <c r="BE402" s="305"/>
      <c r="BF402" s="305"/>
      <c r="BG402" s="305"/>
      <c r="BH402" s="305"/>
      <c r="BI402" s="305"/>
      <c r="BJ402" s="305"/>
      <c r="BK402" s="305"/>
      <c r="BL402" s="305"/>
      <c r="BM402" s="305"/>
      <c r="BN402" s="305"/>
      <c r="BO402" s="305"/>
      <c r="BP402" s="305"/>
      <c r="BQ402" s="305"/>
      <c r="BR402" s="305"/>
      <c r="BS402" s="305"/>
      <c r="BT402" s="305"/>
      <c r="BU402" s="305"/>
      <c r="BV402" s="305"/>
      <c r="BW402" s="305"/>
      <c r="BX402" s="305"/>
      <c r="BY402" s="305"/>
      <c r="BZ402" s="305"/>
      <c r="CA402" s="305"/>
      <c r="CB402" s="305"/>
      <c r="CC402" s="305"/>
      <c r="CD402" s="305"/>
      <c r="CE402" s="305"/>
      <c r="CF402" s="305"/>
      <c r="CG402" s="305"/>
      <c r="CH402" s="305"/>
      <c r="CI402" s="305"/>
      <c r="CJ402" s="305"/>
      <c r="CK402" s="305"/>
      <c r="CL402" s="305"/>
      <c r="CM402" s="305"/>
      <c r="CN402" s="305"/>
      <c r="CO402" s="305"/>
      <c r="CP402" s="305"/>
      <c r="CQ402" s="305"/>
      <c r="CR402" s="305"/>
      <c r="CS402" s="305"/>
      <c r="CT402" s="305"/>
      <c r="CU402" s="305"/>
      <c r="CV402" s="305"/>
      <c r="CW402" s="305"/>
      <c r="CX402" s="305"/>
      <c r="CY402" s="305"/>
      <c r="CZ402" s="305"/>
      <c r="DA402" s="305"/>
      <c r="DB402" s="305"/>
      <c r="DC402" s="305"/>
      <c r="DD402" s="305"/>
      <c r="DE402" s="305"/>
      <c r="DF402" s="305"/>
      <c r="DG402" s="305"/>
      <c r="DH402" s="305"/>
      <c r="DI402" s="305"/>
      <c r="DJ402" s="305"/>
      <c r="DK402" s="305"/>
      <c r="DL402" s="305"/>
      <c r="DM402" s="305"/>
      <c r="DN402" s="305"/>
      <c r="DO402" s="305"/>
      <c r="DP402" s="305"/>
      <c r="DQ402" s="305"/>
      <c r="DR402" s="305"/>
      <c r="DS402" s="305"/>
      <c r="DT402" s="305"/>
      <c r="DU402" s="305"/>
      <c r="DV402" s="305"/>
      <c r="DW402" s="305"/>
      <c r="DX402" s="305"/>
      <c r="DY402" s="305"/>
      <c r="DZ402" s="305"/>
      <c r="EA402" s="305"/>
      <c r="EB402" s="305"/>
      <c r="EC402" s="305"/>
      <c r="ED402" s="305"/>
      <c r="EE402" s="305"/>
      <c r="EF402" s="305"/>
      <c r="EG402" s="305"/>
      <c r="EH402" s="305"/>
      <c r="EI402" s="305"/>
      <c r="EJ402" s="305"/>
      <c r="EK402" s="305"/>
      <c r="EL402" s="305"/>
      <c r="EM402" s="305"/>
      <c r="EN402" s="305"/>
      <c r="EO402" s="305"/>
      <c r="EP402" s="305"/>
      <c r="EQ402" s="305"/>
      <c r="ER402" s="305"/>
      <c r="ES402" s="305"/>
      <c r="ET402" s="305"/>
      <c r="EU402" s="305"/>
      <c r="EV402" s="305"/>
      <c r="EW402" s="305"/>
      <c r="EX402" s="305"/>
      <c r="EY402" s="305"/>
      <c r="EZ402" s="305"/>
      <c r="FA402" s="305"/>
      <c r="FB402" s="305"/>
      <c r="FC402" s="305"/>
      <c r="FD402" s="305"/>
      <c r="FE402" s="305"/>
      <c r="FF402" s="305"/>
      <c r="FG402" s="305"/>
      <c r="FH402" s="305"/>
      <c r="FI402" s="305"/>
      <c r="FJ402" s="305"/>
      <c r="FK402" s="305"/>
      <c r="FL402" s="305"/>
      <c r="FM402" s="305"/>
      <c r="FN402" s="305"/>
      <c r="FO402" s="305"/>
      <c r="FP402" s="305"/>
      <c r="FQ402" s="305"/>
      <c r="FR402" s="305"/>
      <c r="FS402" s="305"/>
      <c r="FT402" s="305"/>
      <c r="FU402" s="305"/>
      <c r="FV402" s="305"/>
      <c r="FW402" s="305"/>
      <c r="FX402" s="305"/>
      <c r="FY402" s="305"/>
      <c r="FZ402" s="305"/>
      <c r="GA402" s="305"/>
      <c r="GB402" s="305"/>
      <c r="GC402" s="305"/>
      <c r="GD402" s="305"/>
      <c r="GE402" s="305"/>
      <c r="GF402" s="305"/>
      <c r="GG402" s="305"/>
      <c r="GH402" s="305"/>
      <c r="GI402" s="305"/>
      <c r="GJ402" s="305"/>
      <c r="GK402" s="305"/>
      <c r="GL402" s="305"/>
      <c r="GM402" s="305"/>
      <c r="GN402" s="305"/>
      <c r="GO402" s="305"/>
      <c r="GP402" s="305"/>
      <c r="GQ402" s="305"/>
      <c r="GR402" s="305"/>
    </row>
    <row r="403" spans="3:200" s="318" customFormat="1" ht="12.75" customHeight="1" x14ac:dyDescent="0.2">
      <c r="C403" s="367"/>
      <c r="D403" s="403"/>
      <c r="E403" s="369"/>
      <c r="F403" s="369"/>
      <c r="G403" s="369"/>
      <c r="H403" s="369"/>
      <c r="I403" s="370"/>
      <c r="J403"/>
      <c r="K403" s="371"/>
      <c r="L403" s="371"/>
      <c r="M403" s="371"/>
      <c r="N403" s="371"/>
      <c r="O403" s="305"/>
      <c r="P403" s="305"/>
      <c r="Q403" s="305"/>
      <c r="R403" s="305"/>
      <c r="S403" s="305"/>
      <c r="T403" s="305"/>
      <c r="U403" s="305"/>
      <c r="V403" s="305"/>
      <c r="W403" s="305"/>
      <c r="X403" s="305"/>
      <c r="Y403" s="305"/>
      <c r="Z403" s="305"/>
      <c r="AA403" s="305"/>
      <c r="AB403" s="305"/>
      <c r="AC403" s="305"/>
      <c r="AD403" s="305"/>
      <c r="AE403" s="305"/>
      <c r="AF403" s="305"/>
      <c r="AG403" s="305"/>
      <c r="AH403" s="305"/>
      <c r="AI403" s="305"/>
      <c r="AJ403" s="305"/>
      <c r="AK403" s="305"/>
      <c r="AL403" s="305"/>
      <c r="AM403" s="305"/>
      <c r="AN403" s="305"/>
      <c r="AO403" s="305"/>
      <c r="AP403" s="305"/>
      <c r="AQ403" s="305"/>
      <c r="AR403" s="305"/>
      <c r="AS403" s="305"/>
      <c r="AT403" s="305"/>
      <c r="AU403" s="305"/>
      <c r="AV403" s="305"/>
      <c r="AW403" s="305"/>
      <c r="AX403" s="305"/>
      <c r="AY403" s="305"/>
      <c r="AZ403" s="305"/>
      <c r="BA403" s="305"/>
      <c r="BB403" s="305"/>
      <c r="BC403" s="305"/>
      <c r="BD403" s="305"/>
      <c r="BE403" s="305"/>
      <c r="BF403" s="305"/>
      <c r="BG403" s="305"/>
      <c r="BH403" s="305"/>
      <c r="BI403" s="305"/>
      <c r="BJ403" s="305"/>
      <c r="BK403" s="305"/>
      <c r="BL403" s="305"/>
      <c r="BM403" s="305"/>
      <c r="BN403" s="305"/>
      <c r="BO403" s="305"/>
      <c r="BP403" s="305"/>
      <c r="BQ403" s="305"/>
      <c r="BR403" s="305"/>
      <c r="BS403" s="305"/>
      <c r="BT403" s="305"/>
      <c r="BU403" s="305"/>
      <c r="BV403" s="305"/>
      <c r="BW403" s="305"/>
      <c r="BX403" s="305"/>
      <c r="BY403" s="305"/>
      <c r="BZ403" s="305"/>
      <c r="CA403" s="305"/>
      <c r="CB403" s="305"/>
      <c r="CC403" s="305"/>
      <c r="CD403" s="305"/>
      <c r="CE403" s="305"/>
      <c r="CF403" s="305"/>
      <c r="CG403" s="305"/>
      <c r="CH403" s="305"/>
      <c r="CI403" s="305"/>
      <c r="CJ403" s="305"/>
      <c r="CK403" s="305"/>
      <c r="CL403" s="305"/>
      <c r="CM403" s="305"/>
      <c r="CN403" s="305"/>
      <c r="CO403" s="305"/>
      <c r="CP403" s="305"/>
      <c r="CQ403" s="305"/>
      <c r="CR403" s="305"/>
      <c r="CS403" s="305"/>
      <c r="CT403" s="305"/>
      <c r="CU403" s="305"/>
      <c r="CV403" s="305"/>
      <c r="CW403" s="305"/>
      <c r="CX403" s="305"/>
      <c r="CY403" s="305"/>
      <c r="CZ403" s="305"/>
      <c r="DA403" s="305"/>
      <c r="DB403" s="305"/>
      <c r="DC403" s="305"/>
      <c r="DD403" s="305"/>
      <c r="DE403" s="305"/>
      <c r="DF403" s="305"/>
      <c r="DG403" s="305"/>
      <c r="DH403" s="305"/>
      <c r="DI403" s="305"/>
      <c r="DJ403" s="305"/>
      <c r="DK403" s="305"/>
      <c r="DL403" s="305"/>
      <c r="DM403" s="305"/>
      <c r="DN403" s="305"/>
      <c r="DO403" s="305"/>
      <c r="DP403" s="305"/>
      <c r="DQ403" s="305"/>
      <c r="DR403" s="305"/>
      <c r="DS403" s="305"/>
      <c r="DT403" s="305"/>
      <c r="DU403" s="305"/>
      <c r="DV403" s="305"/>
      <c r="DW403" s="305"/>
      <c r="DX403" s="305"/>
      <c r="DY403" s="305"/>
      <c r="DZ403" s="305"/>
      <c r="EA403" s="305"/>
      <c r="EB403" s="305"/>
      <c r="EC403" s="305"/>
      <c r="ED403" s="305"/>
      <c r="EE403" s="305"/>
      <c r="EF403" s="305"/>
      <c r="EG403" s="305"/>
      <c r="EH403" s="305"/>
      <c r="EI403" s="305"/>
      <c r="EJ403" s="305"/>
      <c r="EK403" s="305"/>
      <c r="EL403" s="305"/>
      <c r="EM403" s="305"/>
      <c r="EN403" s="305"/>
      <c r="EO403" s="305"/>
      <c r="EP403" s="305"/>
      <c r="EQ403" s="305"/>
      <c r="ER403" s="305"/>
      <c r="ES403" s="305"/>
      <c r="ET403" s="305"/>
      <c r="EU403" s="305"/>
      <c r="EV403" s="305"/>
      <c r="EW403" s="305"/>
      <c r="EX403" s="305"/>
      <c r="EY403" s="305"/>
      <c r="EZ403" s="305"/>
      <c r="FA403" s="305"/>
      <c r="FB403" s="305"/>
      <c r="FC403" s="305"/>
      <c r="FD403" s="305"/>
      <c r="FE403" s="305"/>
      <c r="FF403" s="305"/>
      <c r="FG403" s="305"/>
      <c r="FH403" s="305"/>
      <c r="FI403" s="305"/>
      <c r="FJ403" s="305"/>
      <c r="FK403" s="305"/>
      <c r="FL403" s="305"/>
      <c r="FM403" s="305"/>
      <c r="FN403" s="305"/>
      <c r="FO403" s="305"/>
      <c r="FP403" s="305"/>
      <c r="FQ403" s="305"/>
      <c r="FR403" s="305"/>
      <c r="FS403" s="305"/>
      <c r="FT403" s="305"/>
      <c r="FU403" s="305"/>
      <c r="FV403" s="305"/>
      <c r="FW403" s="305"/>
      <c r="FX403" s="305"/>
      <c r="FY403" s="305"/>
      <c r="FZ403" s="305"/>
      <c r="GA403" s="305"/>
      <c r="GB403" s="305"/>
      <c r="GC403" s="305"/>
      <c r="GD403" s="305"/>
      <c r="GE403" s="305"/>
      <c r="GF403" s="305"/>
      <c r="GG403" s="305"/>
      <c r="GH403" s="305"/>
      <c r="GI403" s="305"/>
      <c r="GJ403" s="305"/>
      <c r="GK403" s="305"/>
      <c r="GL403" s="305"/>
      <c r="GM403" s="305"/>
      <c r="GN403" s="305"/>
      <c r="GO403" s="305"/>
      <c r="GP403" s="305"/>
      <c r="GQ403" s="305"/>
      <c r="GR403" s="305"/>
    </row>
    <row r="404" spans="3:200" s="318" customFormat="1" ht="12.75" customHeight="1" x14ac:dyDescent="0.2">
      <c r="C404" s="367"/>
      <c r="D404" s="403"/>
      <c r="E404" s="369"/>
      <c r="F404" s="369"/>
      <c r="G404" s="369"/>
      <c r="H404" s="369"/>
      <c r="I404" s="370"/>
      <c r="J404"/>
      <c r="K404" s="371"/>
      <c r="L404" s="371"/>
      <c r="M404" s="371"/>
      <c r="N404" s="371"/>
      <c r="O404" s="305"/>
      <c r="P404" s="305"/>
      <c r="Q404" s="305"/>
      <c r="R404" s="305"/>
      <c r="S404" s="305"/>
      <c r="T404" s="305"/>
      <c r="U404" s="305"/>
      <c r="V404" s="305"/>
      <c r="W404" s="305"/>
      <c r="X404" s="305"/>
      <c r="Y404" s="305"/>
      <c r="Z404" s="305"/>
      <c r="AA404" s="305"/>
      <c r="AB404" s="305"/>
      <c r="AC404" s="305"/>
      <c r="AD404" s="305"/>
      <c r="AE404" s="305"/>
      <c r="AF404" s="305"/>
      <c r="AG404" s="305"/>
      <c r="AH404" s="305"/>
      <c r="AI404" s="305"/>
      <c r="AJ404" s="305"/>
      <c r="AK404" s="305"/>
      <c r="AL404" s="305"/>
      <c r="AM404" s="305"/>
      <c r="AN404" s="305"/>
      <c r="AO404" s="305"/>
      <c r="AP404" s="305"/>
      <c r="AQ404" s="305"/>
      <c r="AR404" s="305"/>
      <c r="AS404" s="305"/>
      <c r="AT404" s="305"/>
      <c r="AU404" s="305"/>
      <c r="AV404" s="305"/>
      <c r="AW404" s="305"/>
      <c r="AX404" s="305"/>
      <c r="AY404" s="305"/>
      <c r="AZ404" s="305"/>
      <c r="BA404" s="305"/>
      <c r="BB404" s="305"/>
      <c r="BC404" s="305"/>
      <c r="BD404" s="305"/>
      <c r="BE404" s="305"/>
      <c r="BF404" s="305"/>
      <c r="BG404" s="305"/>
      <c r="BH404" s="305"/>
      <c r="BI404" s="305"/>
      <c r="BJ404" s="305"/>
      <c r="BK404" s="305"/>
      <c r="BL404" s="305"/>
      <c r="BM404" s="305"/>
      <c r="BN404" s="305"/>
      <c r="BO404" s="305"/>
      <c r="BP404" s="305"/>
      <c r="BQ404" s="305"/>
      <c r="BR404" s="305"/>
      <c r="BS404" s="305"/>
      <c r="BT404" s="305"/>
      <c r="BU404" s="305"/>
      <c r="BV404" s="305"/>
      <c r="BW404" s="305"/>
      <c r="BX404" s="305"/>
      <c r="BY404" s="305"/>
      <c r="BZ404" s="305"/>
      <c r="CA404" s="305"/>
      <c r="CB404" s="305"/>
      <c r="CC404" s="305"/>
      <c r="CD404" s="305"/>
      <c r="CE404" s="305"/>
      <c r="CF404" s="305"/>
      <c r="CG404" s="305"/>
      <c r="CH404" s="305"/>
      <c r="CI404" s="305"/>
      <c r="CJ404" s="305"/>
      <c r="CK404" s="305"/>
      <c r="CL404" s="305"/>
      <c r="CM404" s="305"/>
      <c r="CN404" s="305"/>
      <c r="CO404" s="305"/>
      <c r="CP404" s="305"/>
      <c r="CQ404" s="305"/>
      <c r="CR404" s="305"/>
      <c r="CS404" s="305"/>
      <c r="CT404" s="305"/>
      <c r="CU404" s="305"/>
      <c r="CV404" s="305"/>
      <c r="CW404" s="305"/>
      <c r="CX404" s="305"/>
      <c r="CY404" s="305"/>
      <c r="CZ404" s="305"/>
      <c r="DA404" s="305"/>
      <c r="DB404" s="305"/>
      <c r="DC404" s="305"/>
      <c r="DD404" s="305"/>
      <c r="DE404" s="305"/>
      <c r="DF404" s="305"/>
      <c r="DG404" s="305"/>
      <c r="DH404" s="305"/>
      <c r="DI404" s="305"/>
      <c r="DJ404" s="305"/>
      <c r="DK404" s="305"/>
      <c r="DL404" s="305"/>
      <c r="DM404" s="305"/>
      <c r="DN404" s="305"/>
      <c r="DO404" s="305"/>
      <c r="DP404" s="305"/>
      <c r="DQ404" s="305"/>
      <c r="DR404" s="305"/>
      <c r="DS404" s="305"/>
      <c r="DT404" s="305"/>
      <c r="DU404" s="305"/>
      <c r="DV404" s="305"/>
      <c r="DW404" s="305"/>
      <c r="DX404" s="305"/>
      <c r="DY404" s="305"/>
      <c r="DZ404" s="305"/>
      <c r="EA404" s="305"/>
      <c r="EB404" s="305"/>
      <c r="EC404" s="305"/>
      <c r="ED404" s="305"/>
      <c r="EE404" s="305"/>
      <c r="EF404" s="305"/>
      <c r="EG404" s="305"/>
      <c r="EH404" s="305"/>
      <c r="EI404" s="305"/>
      <c r="EJ404" s="305"/>
      <c r="EK404" s="305"/>
      <c r="EL404" s="305"/>
      <c r="EM404" s="305"/>
      <c r="EN404" s="305"/>
      <c r="EO404" s="305"/>
      <c r="EP404" s="305"/>
      <c r="EQ404" s="305"/>
      <c r="ER404" s="305"/>
      <c r="ES404" s="305"/>
      <c r="ET404" s="305"/>
      <c r="EU404" s="305"/>
      <c r="EV404" s="305"/>
      <c r="EW404" s="305"/>
      <c r="EX404" s="305"/>
      <c r="EY404" s="305"/>
      <c r="EZ404" s="305"/>
      <c r="FA404" s="305"/>
      <c r="FB404" s="305"/>
      <c r="FC404" s="305"/>
      <c r="FD404" s="305"/>
      <c r="FE404" s="305"/>
      <c r="FF404" s="305"/>
      <c r="FG404" s="305"/>
      <c r="FH404" s="305"/>
      <c r="FI404" s="305"/>
      <c r="FJ404" s="305"/>
      <c r="FK404" s="305"/>
      <c r="FL404" s="305"/>
      <c r="FM404" s="305"/>
      <c r="FN404" s="305"/>
      <c r="FO404" s="305"/>
      <c r="FP404" s="305"/>
      <c r="FQ404" s="305"/>
      <c r="FR404" s="305"/>
      <c r="FS404" s="305"/>
      <c r="FT404" s="305"/>
      <c r="FU404" s="305"/>
      <c r="FV404" s="305"/>
      <c r="FW404" s="305"/>
      <c r="FX404" s="305"/>
      <c r="FY404" s="305"/>
      <c r="FZ404" s="305"/>
      <c r="GA404" s="305"/>
      <c r="GB404" s="305"/>
      <c r="GC404" s="305"/>
      <c r="GD404" s="305"/>
      <c r="GE404" s="305"/>
      <c r="GF404" s="305"/>
      <c r="GG404" s="305"/>
      <c r="GH404" s="305"/>
      <c r="GI404" s="305"/>
      <c r="GJ404" s="305"/>
      <c r="GK404" s="305"/>
      <c r="GL404" s="305"/>
      <c r="GM404" s="305"/>
      <c r="GN404" s="305"/>
      <c r="GO404" s="305"/>
      <c r="GP404" s="305"/>
      <c r="GQ404" s="305"/>
      <c r="GR404" s="305"/>
    </row>
    <row r="405" spans="3:200" s="318" customFormat="1" ht="12.75" customHeight="1" x14ac:dyDescent="0.2">
      <c r="C405" s="367"/>
      <c r="D405" s="403"/>
      <c r="E405" s="369"/>
      <c r="F405" s="369"/>
      <c r="G405" s="369"/>
      <c r="H405" s="369"/>
      <c r="I405" s="370"/>
      <c r="J405"/>
      <c r="K405" s="371"/>
      <c r="L405" s="371"/>
      <c r="M405" s="371"/>
      <c r="N405" s="371"/>
      <c r="O405" s="305"/>
      <c r="P405" s="305"/>
      <c r="Q405" s="305"/>
      <c r="R405" s="305"/>
      <c r="S405" s="305"/>
      <c r="T405" s="305"/>
      <c r="U405" s="305"/>
      <c r="V405" s="305"/>
      <c r="W405" s="305"/>
      <c r="X405" s="305"/>
      <c r="Y405" s="305"/>
      <c r="Z405" s="305"/>
      <c r="AA405" s="305"/>
      <c r="AB405" s="305"/>
      <c r="AC405" s="305"/>
      <c r="AD405" s="305"/>
      <c r="AE405" s="305"/>
      <c r="AF405" s="305"/>
      <c r="AG405" s="305"/>
      <c r="AH405" s="305"/>
      <c r="AI405" s="305"/>
      <c r="AJ405" s="305"/>
      <c r="AK405" s="305"/>
      <c r="AL405" s="305"/>
      <c r="AM405" s="305"/>
      <c r="AN405" s="305"/>
      <c r="AO405" s="305"/>
      <c r="AP405" s="305"/>
      <c r="AQ405" s="305"/>
      <c r="AR405" s="305"/>
      <c r="AS405" s="305"/>
      <c r="AT405" s="305"/>
      <c r="AU405" s="305"/>
      <c r="AV405" s="305"/>
      <c r="AW405" s="305"/>
      <c r="AX405" s="305"/>
      <c r="AY405" s="305"/>
      <c r="AZ405" s="305"/>
      <c r="BA405" s="305"/>
      <c r="BB405" s="305"/>
      <c r="BC405" s="305"/>
      <c r="BD405" s="305"/>
      <c r="BE405" s="305"/>
      <c r="BF405" s="305"/>
      <c r="BG405" s="305"/>
      <c r="BH405" s="305"/>
      <c r="BI405" s="305"/>
      <c r="BJ405" s="305"/>
      <c r="BK405" s="305"/>
      <c r="BL405" s="305"/>
      <c r="BM405" s="305"/>
      <c r="BN405" s="305"/>
      <c r="BO405" s="305"/>
      <c r="BP405" s="305"/>
      <c r="BQ405" s="305"/>
      <c r="BR405" s="305"/>
      <c r="BS405" s="305"/>
      <c r="BT405" s="305"/>
      <c r="BU405" s="305"/>
      <c r="BV405" s="305"/>
      <c r="BW405" s="305"/>
      <c r="BX405" s="305"/>
      <c r="BY405" s="305"/>
      <c r="BZ405" s="305"/>
      <c r="CA405" s="305"/>
      <c r="CB405" s="305"/>
      <c r="CC405" s="305"/>
      <c r="CD405" s="305"/>
      <c r="CE405" s="305"/>
      <c r="CF405" s="305"/>
      <c r="CG405" s="305"/>
      <c r="CH405" s="305"/>
      <c r="CI405" s="305"/>
      <c r="CJ405" s="305"/>
      <c r="CK405" s="305"/>
      <c r="CL405" s="305"/>
      <c r="CM405" s="305"/>
      <c r="CN405" s="305"/>
      <c r="CO405" s="305"/>
      <c r="CP405" s="305"/>
      <c r="CQ405" s="305"/>
      <c r="CR405" s="305"/>
      <c r="CS405" s="305"/>
      <c r="CT405" s="305"/>
      <c r="CU405" s="305"/>
      <c r="CV405" s="305"/>
      <c r="CW405" s="305"/>
      <c r="CX405" s="305"/>
      <c r="CY405" s="305"/>
      <c r="CZ405" s="305"/>
      <c r="DA405" s="305"/>
      <c r="DB405" s="305"/>
      <c r="DC405" s="305"/>
      <c r="DD405" s="305"/>
      <c r="DE405" s="305"/>
      <c r="DF405" s="305"/>
      <c r="DG405" s="305"/>
      <c r="DH405" s="305"/>
      <c r="DI405" s="305"/>
      <c r="DJ405" s="305"/>
      <c r="DK405" s="305"/>
      <c r="DL405" s="305"/>
      <c r="DM405" s="305"/>
      <c r="DN405" s="305"/>
      <c r="DO405" s="305"/>
      <c r="DP405" s="305"/>
      <c r="DQ405" s="305"/>
      <c r="DR405" s="305"/>
      <c r="DS405" s="305"/>
      <c r="DT405" s="305"/>
      <c r="DU405" s="305"/>
      <c r="DV405" s="305"/>
      <c r="DW405" s="305"/>
      <c r="DX405" s="305"/>
      <c r="DY405" s="305"/>
      <c r="DZ405" s="305"/>
      <c r="EA405" s="305"/>
      <c r="EB405" s="305"/>
      <c r="EC405" s="305"/>
      <c r="ED405" s="305"/>
      <c r="EE405" s="305"/>
      <c r="EF405" s="305"/>
      <c r="EG405" s="305"/>
      <c r="EH405" s="305"/>
      <c r="EI405" s="305"/>
      <c r="EJ405" s="305"/>
      <c r="EK405" s="305"/>
      <c r="EL405" s="305"/>
      <c r="EM405" s="305"/>
      <c r="EN405" s="305"/>
      <c r="EO405" s="305"/>
      <c r="EP405" s="305"/>
      <c r="EQ405" s="305"/>
      <c r="ER405" s="305"/>
      <c r="ES405" s="305"/>
      <c r="ET405" s="305"/>
      <c r="EU405" s="305"/>
      <c r="EV405" s="305"/>
      <c r="EW405" s="305"/>
      <c r="EX405" s="305"/>
      <c r="EY405" s="305"/>
      <c r="EZ405" s="305"/>
      <c r="FA405" s="305"/>
      <c r="FB405" s="305"/>
      <c r="FC405" s="305"/>
      <c r="FD405" s="305"/>
      <c r="FE405" s="305"/>
      <c r="FF405" s="305"/>
      <c r="FG405" s="305"/>
      <c r="FH405" s="305"/>
      <c r="FI405" s="305"/>
      <c r="FJ405" s="305"/>
      <c r="FK405" s="305"/>
      <c r="FL405" s="305"/>
      <c r="FM405" s="305"/>
      <c r="FN405" s="305"/>
      <c r="FO405" s="305"/>
      <c r="FP405" s="305"/>
      <c r="FQ405" s="305"/>
      <c r="FR405" s="305"/>
      <c r="FS405" s="305"/>
      <c r="FT405" s="305"/>
      <c r="FU405" s="305"/>
      <c r="FV405" s="305"/>
      <c r="FW405" s="305"/>
      <c r="FX405" s="305"/>
      <c r="FY405" s="305"/>
      <c r="FZ405" s="305"/>
      <c r="GA405" s="305"/>
      <c r="GB405" s="305"/>
      <c r="GC405" s="305"/>
      <c r="GD405" s="305"/>
      <c r="GE405" s="305"/>
      <c r="GF405" s="305"/>
      <c r="GG405" s="305"/>
      <c r="GH405" s="305"/>
      <c r="GI405" s="305"/>
      <c r="GJ405" s="305"/>
      <c r="GK405" s="305"/>
      <c r="GL405" s="305"/>
      <c r="GM405" s="305"/>
      <c r="GN405" s="305"/>
      <c r="GO405" s="305"/>
      <c r="GP405" s="305"/>
      <c r="GQ405" s="305"/>
      <c r="GR405" s="305"/>
    </row>
    <row r="406" spans="3:200" s="318" customFormat="1" ht="12.75" customHeight="1" x14ac:dyDescent="0.2">
      <c r="C406" s="367"/>
      <c r="D406" s="403"/>
      <c r="E406" s="369"/>
      <c r="F406" s="369"/>
      <c r="G406" s="369"/>
      <c r="H406" s="369"/>
      <c r="I406" s="370"/>
      <c r="J406"/>
      <c r="K406" s="371"/>
      <c r="L406" s="371"/>
      <c r="M406" s="371"/>
      <c r="N406" s="371"/>
      <c r="O406" s="305"/>
      <c r="P406" s="305"/>
      <c r="Q406" s="305"/>
      <c r="R406" s="305"/>
      <c r="S406" s="305"/>
      <c r="T406" s="305"/>
      <c r="U406" s="305"/>
      <c r="V406" s="305"/>
      <c r="W406" s="305"/>
      <c r="X406" s="305"/>
      <c r="Y406" s="305"/>
      <c r="Z406" s="305"/>
      <c r="AA406" s="305"/>
      <c r="AB406" s="305"/>
      <c r="AC406" s="305"/>
      <c r="AD406" s="305"/>
      <c r="AE406" s="305"/>
      <c r="AF406" s="305"/>
      <c r="AG406" s="305"/>
      <c r="AH406" s="305"/>
      <c r="AI406" s="305"/>
      <c r="AJ406" s="305"/>
      <c r="AK406" s="305"/>
      <c r="AL406" s="305"/>
      <c r="AM406" s="305"/>
      <c r="AN406" s="305"/>
      <c r="AO406" s="305"/>
      <c r="AP406" s="305"/>
      <c r="AQ406" s="305"/>
      <c r="AR406" s="305"/>
      <c r="AS406" s="305"/>
      <c r="AT406" s="305"/>
      <c r="AU406" s="305"/>
      <c r="AV406" s="305"/>
      <c r="AW406" s="305"/>
      <c r="AX406" s="305"/>
      <c r="AY406" s="305"/>
      <c r="AZ406" s="305"/>
      <c r="BA406" s="305"/>
      <c r="BB406" s="305"/>
      <c r="BC406" s="305"/>
      <c r="BD406" s="305"/>
      <c r="BE406" s="305"/>
      <c r="BF406" s="305"/>
      <c r="BG406" s="305"/>
      <c r="BH406" s="305"/>
      <c r="BI406" s="305"/>
      <c r="BJ406" s="305"/>
      <c r="BK406" s="305"/>
      <c r="BL406" s="305"/>
      <c r="BM406" s="305"/>
      <c r="BN406" s="305"/>
      <c r="BO406" s="305"/>
      <c r="BP406" s="305"/>
      <c r="BQ406" s="305"/>
      <c r="BR406" s="305"/>
      <c r="BS406" s="305"/>
      <c r="BT406" s="305"/>
      <c r="BU406" s="305"/>
      <c r="BV406" s="305"/>
      <c r="BW406" s="305"/>
      <c r="BX406" s="305"/>
      <c r="BY406" s="305"/>
      <c r="BZ406" s="305"/>
      <c r="CA406" s="305"/>
      <c r="CB406" s="305"/>
      <c r="CC406" s="305"/>
      <c r="CD406" s="305"/>
      <c r="CE406" s="305"/>
      <c r="CF406" s="305"/>
      <c r="CG406" s="305"/>
      <c r="CH406" s="305"/>
      <c r="CI406" s="305"/>
      <c r="CJ406" s="305"/>
      <c r="CK406" s="305"/>
      <c r="CL406" s="305"/>
      <c r="CM406" s="305"/>
      <c r="CN406" s="305"/>
      <c r="CO406" s="305"/>
      <c r="CP406" s="305"/>
      <c r="CQ406" s="305"/>
      <c r="CR406" s="305"/>
      <c r="CS406" s="305"/>
      <c r="CT406" s="305"/>
      <c r="CU406" s="305"/>
      <c r="CV406" s="305"/>
      <c r="CW406" s="305"/>
      <c r="CX406" s="305"/>
      <c r="CY406" s="305"/>
      <c r="CZ406" s="305"/>
      <c r="DA406" s="305"/>
      <c r="DB406" s="305"/>
      <c r="DC406" s="305"/>
      <c r="DD406" s="305"/>
      <c r="DE406" s="305"/>
      <c r="DF406" s="305"/>
      <c r="DG406" s="305"/>
      <c r="DH406" s="305"/>
      <c r="DI406" s="305"/>
      <c r="DJ406" s="305"/>
      <c r="DK406" s="305"/>
      <c r="DL406" s="305"/>
      <c r="DM406" s="305"/>
      <c r="DN406" s="305"/>
      <c r="DO406" s="305"/>
      <c r="DP406" s="305"/>
      <c r="DQ406" s="305"/>
      <c r="DR406" s="305"/>
      <c r="DS406" s="305"/>
      <c r="DT406" s="305"/>
      <c r="DU406" s="305"/>
      <c r="DV406" s="305"/>
      <c r="DW406" s="305"/>
      <c r="DX406" s="305"/>
      <c r="DY406" s="305"/>
      <c r="DZ406" s="305"/>
      <c r="EA406" s="305"/>
      <c r="EB406" s="305"/>
      <c r="EC406" s="305"/>
      <c r="ED406" s="305"/>
      <c r="EE406" s="305"/>
      <c r="EF406" s="305"/>
      <c r="EG406" s="305"/>
      <c r="EH406" s="305"/>
      <c r="EI406" s="305"/>
      <c r="EJ406" s="305"/>
      <c r="EK406" s="305"/>
      <c r="EL406" s="305"/>
      <c r="EM406" s="305"/>
      <c r="EN406" s="305"/>
      <c r="EO406" s="305"/>
      <c r="EP406" s="305"/>
      <c r="EQ406" s="305"/>
      <c r="ER406" s="305"/>
      <c r="ES406" s="305"/>
      <c r="ET406" s="305"/>
      <c r="EU406" s="305"/>
      <c r="EV406" s="305"/>
      <c r="EW406" s="305"/>
      <c r="EX406" s="305"/>
      <c r="EY406" s="305"/>
      <c r="EZ406" s="305"/>
      <c r="FA406" s="305"/>
      <c r="FB406" s="305"/>
      <c r="FC406" s="305"/>
      <c r="FD406" s="305"/>
      <c r="FE406" s="305"/>
      <c r="FF406" s="305"/>
      <c r="FG406" s="305"/>
      <c r="FH406" s="305"/>
      <c r="FI406" s="305"/>
      <c r="FJ406" s="305"/>
      <c r="FK406" s="305"/>
      <c r="FL406" s="305"/>
      <c r="FM406" s="305"/>
      <c r="FN406" s="305"/>
      <c r="FO406" s="305"/>
      <c r="FP406" s="305"/>
      <c r="FQ406" s="305"/>
      <c r="FR406" s="305"/>
      <c r="FS406" s="305"/>
      <c r="FT406" s="305"/>
      <c r="FU406" s="305"/>
      <c r="FV406" s="305"/>
      <c r="FW406" s="305"/>
      <c r="FX406" s="305"/>
      <c r="FY406" s="305"/>
      <c r="FZ406" s="305"/>
      <c r="GA406" s="305"/>
      <c r="GB406" s="305"/>
      <c r="GC406" s="305"/>
      <c r="GD406" s="305"/>
      <c r="GE406" s="305"/>
      <c r="GF406" s="305"/>
      <c r="GG406" s="305"/>
      <c r="GH406" s="305"/>
      <c r="GI406" s="305"/>
      <c r="GJ406" s="305"/>
      <c r="GK406" s="305"/>
      <c r="GL406" s="305"/>
      <c r="GM406" s="305"/>
      <c r="GN406" s="305"/>
      <c r="GO406" s="305"/>
      <c r="GP406" s="305"/>
      <c r="GQ406" s="305"/>
      <c r="GR406" s="305"/>
    </row>
    <row r="407" spans="3:200" s="318" customFormat="1" ht="12.75" customHeight="1" x14ac:dyDescent="0.2">
      <c r="C407" s="367"/>
      <c r="D407" s="403"/>
      <c r="E407" s="369"/>
      <c r="F407" s="369"/>
      <c r="G407" s="369"/>
      <c r="H407" s="369"/>
      <c r="I407" s="370"/>
      <c r="J407"/>
      <c r="K407" s="371"/>
      <c r="L407" s="371"/>
      <c r="M407" s="371"/>
      <c r="N407" s="371"/>
      <c r="O407" s="305"/>
      <c r="P407" s="305"/>
      <c r="Q407" s="305"/>
      <c r="R407" s="305"/>
      <c r="S407" s="305"/>
      <c r="T407" s="305"/>
      <c r="U407" s="305"/>
      <c r="V407" s="305"/>
      <c r="W407" s="305"/>
      <c r="X407" s="305"/>
      <c r="Y407" s="305"/>
      <c r="Z407" s="305"/>
      <c r="AA407" s="305"/>
      <c r="AB407" s="305"/>
      <c r="AC407" s="305"/>
      <c r="AD407" s="305"/>
      <c r="AE407" s="305"/>
      <c r="AF407" s="305"/>
      <c r="AG407" s="305"/>
      <c r="AH407" s="305"/>
      <c r="AI407" s="305"/>
      <c r="AJ407" s="305"/>
      <c r="AK407" s="305"/>
      <c r="AL407" s="305"/>
      <c r="AM407" s="305"/>
      <c r="AN407" s="305"/>
      <c r="AO407" s="305"/>
      <c r="AP407" s="305"/>
      <c r="AQ407" s="305"/>
      <c r="AR407" s="305"/>
      <c r="AS407" s="305"/>
      <c r="AT407" s="305"/>
      <c r="AU407" s="305"/>
      <c r="AV407" s="305"/>
      <c r="AW407" s="305"/>
      <c r="AX407" s="305"/>
      <c r="AY407" s="305"/>
      <c r="AZ407" s="305"/>
      <c r="BA407" s="305"/>
      <c r="BB407" s="305"/>
      <c r="BC407" s="305"/>
      <c r="BD407" s="305"/>
      <c r="BE407" s="305"/>
      <c r="BF407" s="305"/>
      <c r="BG407" s="305"/>
      <c r="BH407" s="305"/>
      <c r="BI407" s="305"/>
      <c r="BJ407" s="305"/>
      <c r="BK407" s="305"/>
      <c r="BL407" s="305"/>
      <c r="BM407" s="305"/>
      <c r="BN407" s="305"/>
      <c r="BO407" s="305"/>
      <c r="BP407" s="305"/>
      <c r="BQ407" s="305"/>
      <c r="BR407" s="305"/>
      <c r="BS407" s="305"/>
      <c r="BT407" s="305"/>
      <c r="BU407" s="305"/>
      <c r="BV407" s="305"/>
      <c r="BW407" s="305"/>
      <c r="BX407" s="305"/>
      <c r="BY407" s="305"/>
      <c r="BZ407" s="305"/>
      <c r="CA407" s="305"/>
      <c r="CB407" s="305"/>
      <c r="CC407" s="305"/>
      <c r="CD407" s="305"/>
      <c r="CE407" s="305"/>
      <c r="CF407" s="305"/>
      <c r="CG407" s="305"/>
      <c r="CH407" s="305"/>
      <c r="CI407" s="305"/>
      <c r="CJ407" s="305"/>
      <c r="CK407" s="305"/>
      <c r="CL407" s="305"/>
      <c r="CM407" s="305"/>
      <c r="CN407" s="305"/>
      <c r="CO407" s="305"/>
      <c r="CP407" s="305"/>
      <c r="CQ407" s="305"/>
      <c r="CR407" s="305"/>
      <c r="CS407" s="305"/>
      <c r="CT407" s="305"/>
      <c r="CU407" s="305"/>
      <c r="CV407" s="305"/>
      <c r="CW407" s="305"/>
      <c r="CX407" s="305"/>
      <c r="CY407" s="305"/>
      <c r="CZ407" s="305"/>
      <c r="DA407" s="305"/>
      <c r="DB407" s="305"/>
      <c r="DC407" s="305"/>
      <c r="DD407" s="305"/>
      <c r="DE407" s="305"/>
      <c r="DF407" s="305"/>
      <c r="DG407" s="305"/>
      <c r="DH407" s="305"/>
      <c r="DI407" s="305"/>
      <c r="DJ407" s="305"/>
      <c r="DK407" s="305"/>
      <c r="DL407" s="305"/>
      <c r="DM407" s="305"/>
      <c r="DN407" s="305"/>
      <c r="DO407" s="305"/>
      <c r="DP407" s="305"/>
      <c r="DQ407" s="305"/>
      <c r="DR407" s="305"/>
      <c r="DS407" s="305"/>
      <c r="DT407" s="305"/>
      <c r="DU407" s="305"/>
      <c r="DV407" s="305"/>
      <c r="DW407" s="305"/>
      <c r="DX407" s="305"/>
      <c r="DY407" s="305"/>
      <c r="DZ407" s="305"/>
      <c r="EA407" s="305"/>
      <c r="EB407" s="305"/>
      <c r="EC407" s="305"/>
      <c r="ED407" s="305"/>
      <c r="EE407" s="305"/>
      <c r="EF407" s="305"/>
      <c r="EG407" s="305"/>
      <c r="EH407" s="305"/>
      <c r="EI407" s="305"/>
      <c r="EJ407" s="305"/>
      <c r="EK407" s="305"/>
      <c r="EL407" s="305"/>
      <c r="EM407" s="305"/>
      <c r="EN407" s="305"/>
      <c r="EO407" s="305"/>
      <c r="EP407" s="305"/>
      <c r="EQ407" s="305"/>
      <c r="ER407" s="305"/>
      <c r="ES407" s="305"/>
      <c r="ET407" s="305"/>
      <c r="EU407" s="305"/>
      <c r="EV407" s="305"/>
      <c r="EW407" s="305"/>
      <c r="EX407" s="305"/>
      <c r="EY407" s="305"/>
      <c r="EZ407" s="305"/>
      <c r="FA407" s="305"/>
      <c r="FB407" s="305"/>
      <c r="FC407" s="305"/>
      <c r="FD407" s="305"/>
      <c r="FE407" s="305"/>
      <c r="FF407" s="305"/>
      <c r="FG407" s="305"/>
      <c r="FH407" s="305"/>
      <c r="FI407" s="305"/>
      <c r="FJ407" s="305"/>
      <c r="FK407" s="305"/>
      <c r="FL407" s="305"/>
      <c r="FM407" s="305"/>
      <c r="FN407" s="305"/>
      <c r="FO407" s="305"/>
      <c r="FP407" s="305"/>
      <c r="FQ407" s="305"/>
      <c r="FR407" s="305"/>
      <c r="FS407" s="305"/>
      <c r="FT407" s="305"/>
      <c r="FU407" s="305"/>
      <c r="FV407" s="305"/>
      <c r="FW407" s="305"/>
      <c r="FX407" s="305"/>
      <c r="FY407" s="305"/>
      <c r="FZ407" s="305"/>
      <c r="GA407" s="305"/>
      <c r="GB407" s="305"/>
      <c r="GC407" s="305"/>
      <c r="GD407" s="305"/>
      <c r="GE407" s="305"/>
      <c r="GF407" s="305"/>
      <c r="GG407" s="305"/>
      <c r="GH407" s="305"/>
      <c r="GI407" s="305"/>
      <c r="GJ407" s="305"/>
      <c r="GK407" s="305"/>
      <c r="GL407" s="305"/>
      <c r="GM407" s="305"/>
      <c r="GN407" s="305"/>
      <c r="GO407" s="305"/>
      <c r="GP407" s="305"/>
      <c r="GQ407" s="305"/>
      <c r="GR407" s="305"/>
    </row>
    <row r="408" spans="3:200" s="318" customFormat="1" ht="12.75" customHeight="1" x14ac:dyDescent="0.2">
      <c r="C408" s="367"/>
      <c r="D408" s="403"/>
      <c r="E408" s="369"/>
      <c r="F408" s="369"/>
      <c r="G408" s="369"/>
      <c r="H408" s="369"/>
      <c r="I408" s="370"/>
      <c r="J408"/>
      <c r="K408" s="371"/>
      <c r="L408" s="371"/>
      <c r="M408" s="371"/>
      <c r="N408" s="371"/>
      <c r="O408" s="305"/>
      <c r="P408" s="305"/>
      <c r="Q408" s="305"/>
      <c r="R408" s="305"/>
      <c r="S408" s="305"/>
      <c r="T408" s="305"/>
      <c r="U408" s="305"/>
      <c r="V408" s="305"/>
      <c r="W408" s="305"/>
      <c r="X408" s="305"/>
      <c r="Y408" s="305"/>
      <c r="Z408" s="305"/>
      <c r="AA408" s="305"/>
      <c r="AB408" s="305"/>
      <c r="AC408" s="305"/>
      <c r="AD408" s="305"/>
      <c r="AE408" s="305"/>
      <c r="AF408" s="305"/>
      <c r="AG408" s="305"/>
      <c r="AH408" s="305"/>
      <c r="AI408" s="305"/>
      <c r="AJ408" s="305"/>
      <c r="AK408" s="305"/>
      <c r="AL408" s="305"/>
      <c r="AM408" s="305"/>
      <c r="AN408" s="305"/>
      <c r="AO408" s="305"/>
      <c r="AP408" s="305"/>
      <c r="AQ408" s="305"/>
      <c r="AR408" s="305"/>
      <c r="AS408" s="305"/>
      <c r="AT408" s="305"/>
      <c r="AU408" s="305"/>
      <c r="AV408" s="305"/>
      <c r="AW408" s="305"/>
      <c r="AX408" s="305"/>
      <c r="AY408" s="305"/>
      <c r="AZ408" s="305"/>
      <c r="BA408" s="305"/>
      <c r="BB408" s="305"/>
      <c r="BC408" s="305"/>
      <c r="BD408" s="305"/>
      <c r="BE408" s="305"/>
      <c r="BF408" s="305"/>
      <c r="BG408" s="305"/>
      <c r="BH408" s="305"/>
      <c r="BI408" s="305"/>
      <c r="BJ408" s="305"/>
      <c r="BK408" s="305"/>
      <c r="BL408" s="305"/>
      <c r="BM408" s="305"/>
      <c r="BN408" s="305"/>
      <c r="BO408" s="305"/>
      <c r="BP408" s="305"/>
      <c r="BQ408" s="305"/>
      <c r="BR408" s="305"/>
      <c r="BS408" s="305"/>
      <c r="BT408" s="305"/>
      <c r="BU408" s="305"/>
      <c r="BV408" s="305"/>
      <c r="BW408" s="305"/>
      <c r="BX408" s="305"/>
      <c r="BY408" s="305"/>
      <c r="BZ408" s="305"/>
      <c r="CA408" s="305"/>
      <c r="CB408" s="305"/>
      <c r="CC408" s="305"/>
      <c r="CD408" s="305"/>
      <c r="CE408" s="305"/>
      <c r="CF408" s="305"/>
      <c r="CG408" s="305"/>
      <c r="CH408" s="305"/>
      <c r="CI408" s="305"/>
      <c r="CJ408" s="305"/>
      <c r="CK408" s="305"/>
      <c r="CL408" s="305"/>
      <c r="CM408" s="305"/>
      <c r="CN408" s="305"/>
      <c r="CO408" s="305"/>
      <c r="CP408" s="305"/>
      <c r="CQ408" s="305"/>
      <c r="CR408" s="305"/>
      <c r="CS408" s="305"/>
      <c r="CT408" s="305"/>
      <c r="CU408" s="305"/>
      <c r="CV408" s="305"/>
      <c r="CW408" s="305"/>
      <c r="CX408" s="305"/>
      <c r="CY408" s="305"/>
      <c r="CZ408" s="305"/>
      <c r="DA408" s="305"/>
      <c r="DB408" s="305"/>
      <c r="DC408" s="305"/>
      <c r="DD408" s="305"/>
      <c r="DE408" s="305"/>
      <c r="DF408" s="305"/>
      <c r="DG408" s="305"/>
      <c r="DH408" s="305"/>
      <c r="DI408" s="305"/>
      <c r="DJ408" s="305"/>
      <c r="DK408" s="305"/>
      <c r="DL408" s="305"/>
      <c r="DM408" s="305"/>
      <c r="DN408" s="305"/>
      <c r="DO408" s="305"/>
      <c r="DP408" s="305"/>
      <c r="DQ408" s="305"/>
      <c r="DR408" s="305"/>
      <c r="DS408" s="305"/>
      <c r="DT408" s="305"/>
      <c r="DU408" s="305"/>
      <c r="DV408" s="305"/>
      <c r="DW408" s="305"/>
      <c r="DX408" s="305"/>
      <c r="DY408" s="305"/>
      <c r="DZ408" s="305"/>
      <c r="EA408" s="305"/>
      <c r="EB408" s="305"/>
      <c r="EC408" s="305"/>
      <c r="ED408" s="305"/>
      <c r="EE408" s="305"/>
      <c r="EF408" s="305"/>
      <c r="EG408" s="305"/>
      <c r="EH408" s="305"/>
      <c r="EI408" s="305"/>
      <c r="EJ408" s="305"/>
      <c r="EK408" s="305"/>
      <c r="EL408" s="305"/>
      <c r="EM408" s="305"/>
      <c r="EN408" s="305"/>
      <c r="EO408" s="305"/>
      <c r="EP408" s="305"/>
      <c r="EQ408" s="305"/>
      <c r="ER408" s="305"/>
      <c r="ES408" s="305"/>
      <c r="ET408" s="305"/>
      <c r="EU408" s="305"/>
      <c r="EV408" s="305"/>
      <c r="EW408" s="305"/>
      <c r="EX408" s="305"/>
      <c r="EY408" s="305"/>
      <c r="EZ408" s="305"/>
      <c r="FA408" s="305"/>
      <c r="FB408" s="305"/>
      <c r="FC408" s="305"/>
      <c r="FD408" s="305"/>
      <c r="FE408" s="305"/>
      <c r="FF408" s="305"/>
      <c r="FG408" s="305"/>
      <c r="FH408" s="305"/>
      <c r="FI408" s="305"/>
      <c r="FJ408" s="305"/>
      <c r="FK408" s="305"/>
      <c r="FL408" s="305"/>
      <c r="FM408" s="305"/>
      <c r="FN408" s="305"/>
      <c r="FO408" s="305"/>
      <c r="FP408" s="305"/>
      <c r="FQ408" s="305"/>
      <c r="FR408" s="305"/>
      <c r="FS408" s="305"/>
      <c r="FT408" s="305"/>
      <c r="FU408" s="305"/>
      <c r="FV408" s="305"/>
      <c r="FW408" s="305"/>
      <c r="FX408" s="305"/>
      <c r="FY408" s="305"/>
      <c r="FZ408" s="305"/>
      <c r="GA408" s="305"/>
      <c r="GB408" s="305"/>
      <c r="GC408" s="305"/>
      <c r="GD408" s="305"/>
      <c r="GE408" s="305"/>
      <c r="GF408" s="305"/>
      <c r="GG408" s="305"/>
      <c r="GH408" s="305"/>
      <c r="GI408" s="305"/>
      <c r="GJ408" s="305"/>
      <c r="GK408" s="305"/>
      <c r="GL408" s="305"/>
      <c r="GM408" s="305"/>
      <c r="GN408" s="305"/>
      <c r="GO408" s="305"/>
      <c r="GP408" s="305"/>
      <c r="GQ408" s="305"/>
      <c r="GR408" s="305"/>
    </row>
    <row r="409" spans="3:200" s="318" customFormat="1" ht="12.75" customHeight="1" x14ac:dyDescent="0.2">
      <c r="C409" s="367"/>
      <c r="D409" s="403"/>
      <c r="E409" s="369"/>
      <c r="F409" s="369"/>
      <c r="G409" s="369"/>
      <c r="H409" s="369"/>
      <c r="I409" s="370"/>
      <c r="J409"/>
      <c r="K409" s="371"/>
      <c r="L409" s="371"/>
      <c r="M409" s="371"/>
      <c r="N409" s="371"/>
      <c r="O409" s="305"/>
      <c r="P409" s="305"/>
      <c r="Q409" s="305"/>
      <c r="R409" s="305"/>
      <c r="S409" s="305"/>
      <c r="T409" s="305"/>
      <c r="U409" s="305"/>
      <c r="V409" s="305"/>
      <c r="W409" s="305"/>
      <c r="X409" s="305"/>
      <c r="Y409" s="305"/>
      <c r="Z409" s="305"/>
      <c r="AA409" s="305"/>
      <c r="AB409" s="305"/>
      <c r="AC409" s="305"/>
      <c r="AD409" s="305"/>
      <c r="AE409" s="305"/>
      <c r="AF409" s="305"/>
      <c r="AG409" s="305"/>
      <c r="AH409" s="305"/>
      <c r="AI409" s="305"/>
      <c r="AJ409" s="305"/>
      <c r="AK409" s="305"/>
      <c r="AL409" s="305"/>
      <c r="AM409" s="305"/>
      <c r="AN409" s="305"/>
      <c r="AO409" s="305"/>
      <c r="AP409" s="305"/>
      <c r="AQ409" s="305"/>
      <c r="AR409" s="305"/>
      <c r="AS409" s="305"/>
      <c r="AT409" s="305"/>
      <c r="AU409" s="305"/>
      <c r="AV409" s="305"/>
      <c r="AW409" s="305"/>
      <c r="AX409" s="305"/>
      <c r="AY409" s="305"/>
      <c r="AZ409" s="305"/>
      <c r="BA409" s="305"/>
      <c r="BB409" s="305"/>
      <c r="BC409" s="305"/>
      <c r="BD409" s="305"/>
      <c r="BE409" s="305"/>
      <c r="BF409" s="305"/>
      <c r="BG409" s="305"/>
      <c r="BH409" s="305"/>
      <c r="BI409" s="305"/>
      <c r="BJ409" s="305"/>
      <c r="BK409" s="305"/>
      <c r="BL409" s="305"/>
      <c r="BM409" s="305"/>
      <c r="BN409" s="305"/>
      <c r="BO409" s="305"/>
      <c r="BP409" s="305"/>
      <c r="BQ409" s="305"/>
      <c r="BR409" s="305"/>
      <c r="BS409" s="305"/>
      <c r="BT409" s="305"/>
      <c r="BU409" s="305"/>
      <c r="BV409" s="305"/>
      <c r="BW409" s="305"/>
      <c r="BX409" s="305"/>
      <c r="BY409" s="305"/>
      <c r="BZ409" s="305"/>
      <c r="CA409" s="305"/>
      <c r="CB409" s="305"/>
      <c r="CC409" s="305"/>
      <c r="CD409" s="305"/>
      <c r="CE409" s="305"/>
      <c r="CF409" s="305"/>
      <c r="CG409" s="305"/>
      <c r="CH409" s="305"/>
      <c r="CI409" s="305"/>
      <c r="CJ409" s="305"/>
      <c r="CK409" s="305"/>
      <c r="CL409" s="305"/>
      <c r="CM409" s="305"/>
      <c r="CN409" s="305"/>
      <c r="CO409" s="305"/>
      <c r="CP409" s="305"/>
      <c r="CQ409" s="305"/>
      <c r="CR409" s="305"/>
      <c r="CS409" s="305"/>
      <c r="CT409" s="305"/>
      <c r="CU409" s="305"/>
      <c r="CV409" s="305"/>
      <c r="CW409" s="305"/>
      <c r="CX409" s="305"/>
      <c r="CY409" s="305"/>
      <c r="CZ409" s="305"/>
      <c r="DA409" s="305"/>
      <c r="DB409" s="305"/>
      <c r="DC409" s="305"/>
      <c r="DD409" s="305"/>
      <c r="DE409" s="305"/>
      <c r="DF409" s="305"/>
      <c r="DG409" s="305"/>
      <c r="DH409" s="305"/>
      <c r="DI409" s="305"/>
      <c r="DJ409" s="305"/>
      <c r="DK409" s="305"/>
      <c r="DL409" s="305"/>
      <c r="DM409" s="305"/>
      <c r="DN409" s="305"/>
      <c r="DO409" s="305"/>
      <c r="DP409" s="305"/>
      <c r="DQ409" s="305"/>
      <c r="DR409" s="305"/>
      <c r="DS409" s="305"/>
      <c r="DT409" s="305"/>
      <c r="DU409" s="305"/>
      <c r="DV409" s="305"/>
      <c r="DW409" s="305"/>
      <c r="DX409" s="305"/>
      <c r="DY409" s="305"/>
      <c r="DZ409" s="305"/>
      <c r="EA409" s="305"/>
      <c r="EB409" s="305"/>
      <c r="EC409" s="305"/>
      <c r="ED409" s="305"/>
      <c r="EE409" s="305"/>
      <c r="EF409" s="305"/>
      <c r="EG409" s="305"/>
      <c r="EH409" s="305"/>
      <c r="EI409" s="305"/>
      <c r="EJ409" s="305"/>
      <c r="EK409" s="305"/>
      <c r="EL409" s="305"/>
      <c r="EM409" s="305"/>
      <c r="EN409" s="305"/>
      <c r="EO409" s="305"/>
      <c r="EP409" s="305"/>
      <c r="EQ409" s="305"/>
      <c r="ER409" s="305"/>
      <c r="ES409" s="305"/>
      <c r="ET409" s="305"/>
      <c r="EU409" s="305"/>
      <c r="EV409" s="305"/>
      <c r="EW409" s="305"/>
      <c r="EX409" s="305"/>
      <c r="EY409" s="305"/>
      <c r="EZ409" s="305"/>
      <c r="FA409" s="305"/>
      <c r="FB409" s="305"/>
      <c r="FC409" s="305"/>
      <c r="FD409" s="305"/>
      <c r="FE409" s="305"/>
      <c r="FF409" s="305"/>
      <c r="FG409" s="305"/>
      <c r="FH409" s="305"/>
      <c r="FI409" s="305"/>
      <c r="FJ409" s="305"/>
      <c r="FK409" s="305"/>
      <c r="FL409" s="305"/>
      <c r="FM409" s="305"/>
      <c r="FN409" s="305"/>
      <c r="FO409" s="305"/>
      <c r="FP409" s="305"/>
      <c r="FQ409" s="305"/>
      <c r="FR409" s="305"/>
      <c r="FS409" s="305"/>
      <c r="FT409" s="305"/>
      <c r="FU409" s="305"/>
      <c r="FV409" s="305"/>
      <c r="FW409" s="305"/>
      <c r="FX409" s="305"/>
      <c r="FY409" s="305"/>
      <c r="FZ409" s="305"/>
      <c r="GA409" s="305"/>
      <c r="GB409" s="305"/>
      <c r="GC409" s="305"/>
      <c r="GD409" s="305"/>
      <c r="GE409" s="305"/>
      <c r="GF409" s="305"/>
      <c r="GG409" s="305"/>
      <c r="GH409" s="305"/>
      <c r="GI409" s="305"/>
      <c r="GJ409" s="305"/>
      <c r="GK409" s="305"/>
      <c r="GL409" s="305"/>
      <c r="GM409" s="305"/>
      <c r="GN409" s="305"/>
      <c r="GO409" s="305"/>
      <c r="GP409" s="305"/>
      <c r="GQ409" s="305"/>
      <c r="GR409" s="305"/>
    </row>
    <row r="410" spans="3:200" s="318" customFormat="1" ht="12.75" customHeight="1" x14ac:dyDescent="0.2">
      <c r="C410" s="367"/>
      <c r="D410" s="403"/>
      <c r="E410" s="369"/>
      <c r="F410" s="369"/>
      <c r="G410" s="369"/>
      <c r="H410" s="369"/>
      <c r="I410" s="370"/>
      <c r="J410"/>
      <c r="K410" s="371"/>
      <c r="L410" s="371"/>
      <c r="M410" s="371"/>
      <c r="N410" s="371"/>
      <c r="O410" s="305"/>
      <c r="P410" s="305"/>
      <c r="Q410" s="305"/>
      <c r="R410" s="305"/>
      <c r="S410" s="305"/>
      <c r="T410" s="305"/>
      <c r="U410" s="305"/>
      <c r="V410" s="305"/>
      <c r="W410" s="305"/>
      <c r="X410" s="305"/>
      <c r="Y410" s="305"/>
      <c r="Z410" s="305"/>
      <c r="AA410" s="305"/>
      <c r="AB410" s="305"/>
      <c r="AC410" s="305"/>
      <c r="AD410" s="305"/>
      <c r="AE410" s="305"/>
      <c r="AF410" s="305"/>
      <c r="AG410" s="305"/>
      <c r="AH410" s="305"/>
      <c r="AI410" s="305"/>
      <c r="AJ410" s="305"/>
      <c r="AK410" s="305"/>
      <c r="AL410" s="305"/>
      <c r="AM410" s="305"/>
      <c r="AN410" s="305"/>
      <c r="AO410" s="305"/>
      <c r="AP410" s="305"/>
      <c r="AQ410" s="305"/>
      <c r="AR410" s="305"/>
      <c r="AS410" s="305"/>
      <c r="AT410" s="305"/>
      <c r="AU410" s="305"/>
      <c r="AV410" s="305"/>
      <c r="AW410" s="305"/>
      <c r="AX410" s="305"/>
      <c r="AY410" s="305"/>
      <c r="AZ410" s="305"/>
      <c r="BA410" s="305"/>
      <c r="BB410" s="305"/>
      <c r="BC410" s="305"/>
      <c r="BD410" s="305"/>
      <c r="BE410" s="305"/>
      <c r="BF410" s="305"/>
      <c r="BG410" s="305"/>
      <c r="BH410" s="305"/>
      <c r="BI410" s="305"/>
      <c r="BJ410" s="305"/>
      <c r="BK410" s="305"/>
      <c r="BL410" s="305"/>
      <c r="BM410" s="305"/>
      <c r="BN410" s="305"/>
      <c r="BO410" s="305"/>
      <c r="BP410" s="305"/>
      <c r="BQ410" s="305"/>
      <c r="BR410" s="305"/>
      <c r="BS410" s="305"/>
      <c r="BT410" s="305"/>
      <c r="BU410" s="305"/>
      <c r="BV410" s="305"/>
      <c r="BW410" s="305"/>
      <c r="BX410" s="305"/>
      <c r="BY410" s="305"/>
      <c r="BZ410" s="305"/>
      <c r="CA410" s="305"/>
      <c r="CB410" s="305"/>
      <c r="CC410" s="305"/>
      <c r="CD410" s="305"/>
      <c r="CE410" s="305"/>
      <c r="CF410" s="305"/>
      <c r="CG410" s="305"/>
      <c r="CH410" s="305"/>
      <c r="CI410" s="305"/>
      <c r="CJ410" s="305"/>
      <c r="CK410" s="305"/>
      <c r="CL410" s="305"/>
      <c r="CM410" s="305"/>
      <c r="CN410" s="305"/>
      <c r="CO410" s="305"/>
      <c r="CP410" s="305"/>
      <c r="CQ410" s="305"/>
      <c r="CR410" s="305"/>
      <c r="CS410" s="305"/>
      <c r="CT410" s="305"/>
      <c r="CU410" s="305"/>
      <c r="CV410" s="305"/>
      <c r="CW410" s="305"/>
      <c r="CX410" s="305"/>
      <c r="CY410" s="305"/>
      <c r="CZ410" s="305"/>
      <c r="DA410" s="305"/>
      <c r="DB410" s="305"/>
      <c r="DC410" s="305"/>
      <c r="DD410" s="305"/>
      <c r="DE410" s="305"/>
      <c r="DF410" s="305"/>
      <c r="DG410" s="305"/>
      <c r="DH410" s="305"/>
      <c r="DI410" s="305"/>
      <c r="DJ410" s="305"/>
      <c r="DK410" s="305"/>
      <c r="DL410" s="305"/>
      <c r="DM410" s="305"/>
      <c r="DN410" s="305"/>
      <c r="DO410" s="305"/>
      <c r="DP410" s="305"/>
      <c r="DQ410" s="305"/>
      <c r="DR410" s="305"/>
      <c r="DS410" s="305"/>
      <c r="DT410" s="305"/>
      <c r="DU410" s="305"/>
      <c r="DV410" s="305"/>
      <c r="DW410" s="305"/>
      <c r="DX410" s="305"/>
      <c r="DY410" s="305"/>
      <c r="DZ410" s="305"/>
      <c r="EA410" s="305"/>
      <c r="EB410" s="305"/>
      <c r="EC410" s="305"/>
      <c r="ED410" s="305"/>
      <c r="EE410" s="305"/>
      <c r="EF410" s="305"/>
      <c r="EG410" s="305"/>
      <c r="EH410" s="305"/>
      <c r="EI410" s="305"/>
      <c r="EJ410" s="305"/>
      <c r="EK410" s="305"/>
      <c r="EL410" s="305"/>
      <c r="EM410" s="305"/>
      <c r="EN410" s="305"/>
      <c r="EO410" s="305"/>
      <c r="EP410" s="305"/>
      <c r="EQ410" s="305"/>
      <c r="ER410" s="305"/>
      <c r="ES410" s="305"/>
      <c r="ET410" s="305"/>
      <c r="EU410" s="305"/>
      <c r="EV410" s="305"/>
      <c r="EW410" s="305"/>
      <c r="EX410" s="305"/>
      <c r="EY410" s="305"/>
      <c r="EZ410" s="305"/>
      <c r="FA410" s="305"/>
      <c r="FB410" s="305"/>
      <c r="FC410" s="305"/>
      <c r="FD410" s="305"/>
      <c r="FE410" s="305"/>
      <c r="FF410" s="305"/>
      <c r="FG410" s="305"/>
      <c r="FH410" s="305"/>
      <c r="FI410" s="305"/>
      <c r="FJ410" s="305"/>
      <c r="FK410" s="305"/>
      <c r="FL410" s="305"/>
      <c r="FM410" s="305"/>
      <c r="FN410" s="305"/>
      <c r="FO410" s="305"/>
      <c r="FP410" s="305"/>
      <c r="FQ410" s="305"/>
      <c r="FR410" s="305"/>
      <c r="FS410" s="305"/>
      <c r="FT410" s="305"/>
      <c r="FU410" s="305"/>
      <c r="FV410" s="305"/>
      <c r="FW410" s="305"/>
      <c r="FX410" s="305"/>
      <c r="FY410" s="305"/>
      <c r="FZ410" s="305"/>
      <c r="GA410" s="305"/>
      <c r="GB410" s="305"/>
      <c r="GC410" s="305"/>
      <c r="GD410" s="305"/>
      <c r="GE410" s="305"/>
      <c r="GF410" s="305"/>
      <c r="GG410" s="305"/>
      <c r="GH410" s="305"/>
      <c r="GI410" s="305"/>
      <c r="GJ410" s="305"/>
      <c r="GK410" s="305"/>
      <c r="GL410" s="305"/>
      <c r="GM410" s="305"/>
      <c r="GN410" s="305"/>
      <c r="GO410" s="305"/>
      <c r="GP410" s="305"/>
      <c r="GQ410" s="305"/>
      <c r="GR410" s="305"/>
    </row>
    <row r="411" spans="3:200" s="318" customFormat="1" ht="12.75" customHeight="1" x14ac:dyDescent="0.2">
      <c r="C411" s="367"/>
      <c r="D411" s="403"/>
      <c r="E411" s="369"/>
      <c r="F411" s="369"/>
      <c r="G411" s="369"/>
      <c r="H411" s="369"/>
      <c r="I411" s="370"/>
      <c r="J411"/>
      <c r="K411" s="371"/>
      <c r="L411" s="371"/>
      <c r="M411" s="371"/>
      <c r="N411" s="371"/>
      <c r="O411" s="305"/>
      <c r="P411" s="305"/>
      <c r="Q411" s="305"/>
      <c r="R411" s="305"/>
      <c r="S411" s="305"/>
      <c r="T411" s="305"/>
      <c r="U411" s="305"/>
      <c r="V411" s="305"/>
      <c r="W411" s="305"/>
      <c r="X411" s="305"/>
      <c r="Y411" s="305"/>
      <c r="Z411" s="305"/>
      <c r="AA411" s="305"/>
      <c r="AB411" s="305"/>
      <c r="AC411" s="305"/>
      <c r="AD411" s="305"/>
      <c r="AE411" s="305"/>
      <c r="AF411" s="305"/>
      <c r="AG411" s="305"/>
      <c r="AH411" s="305"/>
      <c r="AI411" s="305"/>
      <c r="AJ411" s="305"/>
      <c r="AK411" s="305"/>
      <c r="AL411" s="305"/>
      <c r="AM411" s="305"/>
      <c r="AN411" s="305"/>
      <c r="AO411" s="305"/>
      <c r="AP411" s="305"/>
      <c r="AQ411" s="305"/>
      <c r="AR411" s="305"/>
      <c r="AS411" s="305"/>
      <c r="AT411" s="305"/>
      <c r="AU411" s="305"/>
      <c r="AV411" s="305"/>
      <c r="AW411" s="305"/>
      <c r="AX411" s="305"/>
      <c r="AY411" s="305"/>
      <c r="AZ411" s="305"/>
      <c r="BA411" s="305"/>
      <c r="BB411" s="305"/>
      <c r="BC411" s="305"/>
      <c r="BD411" s="305"/>
      <c r="BE411" s="305"/>
      <c r="BF411" s="305"/>
      <c r="BG411" s="305"/>
      <c r="BH411" s="305"/>
      <c r="BI411" s="305"/>
      <c r="BJ411" s="305"/>
      <c r="BK411" s="305"/>
      <c r="BL411" s="305"/>
      <c r="BM411" s="305"/>
      <c r="BN411" s="305"/>
      <c r="BO411" s="305"/>
      <c r="BP411" s="305"/>
      <c r="BQ411" s="305"/>
      <c r="BR411" s="305"/>
      <c r="BS411" s="305"/>
      <c r="BT411" s="305"/>
      <c r="BU411" s="305"/>
      <c r="BV411" s="305"/>
      <c r="BW411" s="305"/>
      <c r="BX411" s="305"/>
      <c r="BY411" s="305"/>
      <c r="BZ411" s="305"/>
      <c r="CA411" s="305"/>
      <c r="CB411" s="305"/>
      <c r="CC411" s="305"/>
      <c r="CD411" s="305"/>
      <c r="CE411" s="305"/>
      <c r="CF411" s="305"/>
      <c r="CG411" s="305"/>
      <c r="CH411" s="305"/>
      <c r="CI411" s="305"/>
      <c r="CJ411" s="305"/>
      <c r="CK411" s="305"/>
      <c r="CL411" s="305"/>
      <c r="CM411" s="305"/>
      <c r="CN411" s="305"/>
      <c r="CO411" s="305"/>
      <c r="CP411" s="305"/>
      <c r="CQ411" s="305"/>
      <c r="CR411" s="305"/>
      <c r="CS411" s="305"/>
      <c r="CT411" s="305"/>
      <c r="CU411" s="305"/>
      <c r="CV411" s="305"/>
      <c r="CW411" s="305"/>
      <c r="CX411" s="305"/>
      <c r="CY411" s="305"/>
      <c r="CZ411" s="305"/>
      <c r="DA411" s="305"/>
      <c r="DB411" s="305"/>
      <c r="DC411" s="305"/>
      <c r="DD411" s="305"/>
      <c r="DE411" s="305"/>
      <c r="DF411" s="305"/>
      <c r="DG411" s="305"/>
      <c r="DH411" s="305"/>
      <c r="DI411" s="305"/>
      <c r="DJ411" s="305"/>
      <c r="DK411" s="305"/>
      <c r="DL411" s="305"/>
      <c r="DM411" s="305"/>
      <c r="DN411" s="305"/>
      <c r="DO411" s="305"/>
      <c r="DP411" s="305"/>
      <c r="DQ411" s="305"/>
      <c r="DR411" s="305"/>
      <c r="DS411" s="305"/>
      <c r="DT411" s="305"/>
      <c r="DU411" s="305"/>
      <c r="DV411" s="305"/>
      <c r="DW411" s="305"/>
      <c r="DX411" s="305"/>
      <c r="DY411" s="305"/>
      <c r="DZ411" s="305"/>
      <c r="EA411" s="305"/>
      <c r="EB411" s="305"/>
      <c r="EC411" s="305"/>
      <c r="ED411" s="305"/>
      <c r="EE411" s="305"/>
      <c r="EF411" s="305"/>
      <c r="EG411" s="305"/>
      <c r="EH411" s="305"/>
      <c r="EI411" s="305"/>
      <c r="EJ411" s="305"/>
      <c r="EK411" s="305"/>
      <c r="EL411" s="305"/>
      <c r="EM411" s="305"/>
      <c r="EN411" s="305"/>
      <c r="EO411" s="305"/>
      <c r="EP411" s="305"/>
      <c r="EQ411" s="305"/>
      <c r="ER411" s="305"/>
      <c r="ES411" s="305"/>
      <c r="ET411" s="305"/>
      <c r="EU411" s="305"/>
      <c r="EV411" s="305"/>
      <c r="EW411" s="305"/>
      <c r="EX411" s="305"/>
      <c r="EY411" s="305"/>
      <c r="EZ411" s="305"/>
      <c r="FA411" s="305"/>
      <c r="FB411" s="305"/>
      <c r="FC411" s="305"/>
      <c r="FD411" s="305"/>
      <c r="FE411" s="305"/>
      <c r="FF411" s="305"/>
      <c r="FG411" s="305"/>
      <c r="FH411" s="305"/>
      <c r="FI411" s="305"/>
      <c r="FJ411" s="305"/>
      <c r="FK411" s="305"/>
      <c r="FL411" s="305"/>
      <c r="FM411" s="305"/>
      <c r="FN411" s="305"/>
      <c r="FO411" s="305"/>
      <c r="FP411" s="305"/>
      <c r="FQ411" s="305"/>
      <c r="FR411" s="305"/>
      <c r="FS411" s="305"/>
      <c r="FT411" s="305"/>
      <c r="FU411" s="305"/>
      <c r="FV411" s="305"/>
      <c r="FW411" s="305"/>
      <c r="FX411" s="305"/>
      <c r="FY411" s="305"/>
      <c r="FZ411" s="305"/>
      <c r="GA411" s="305"/>
      <c r="GB411" s="305"/>
      <c r="GC411" s="305"/>
      <c r="GD411" s="305"/>
      <c r="GE411" s="305"/>
      <c r="GF411" s="305"/>
      <c r="GG411" s="305"/>
      <c r="GH411" s="305"/>
      <c r="GI411" s="305"/>
      <c r="GJ411" s="305"/>
      <c r="GK411" s="305"/>
      <c r="GL411" s="305"/>
      <c r="GM411" s="305"/>
      <c r="GN411" s="305"/>
      <c r="GO411" s="305"/>
      <c r="GP411" s="305"/>
      <c r="GQ411" s="305"/>
      <c r="GR411" s="305"/>
    </row>
    <row r="412" spans="3:200" s="318" customFormat="1" ht="12.75" customHeight="1" x14ac:dyDescent="0.2">
      <c r="C412" s="367"/>
      <c r="D412" s="403"/>
      <c r="E412" s="369"/>
      <c r="F412" s="369"/>
      <c r="G412" s="369"/>
      <c r="H412" s="369"/>
      <c r="I412" s="370"/>
      <c r="J412"/>
      <c r="K412" s="371"/>
      <c r="L412" s="371"/>
      <c r="M412" s="371"/>
      <c r="N412" s="371"/>
      <c r="O412" s="305"/>
      <c r="P412" s="305"/>
      <c r="Q412" s="305"/>
      <c r="R412" s="305"/>
      <c r="S412" s="305"/>
      <c r="T412" s="305"/>
      <c r="U412" s="305"/>
      <c r="V412" s="305"/>
      <c r="W412" s="305"/>
      <c r="X412" s="305"/>
      <c r="Y412" s="305"/>
      <c r="Z412" s="305"/>
      <c r="AA412" s="305"/>
      <c r="AB412" s="305"/>
      <c r="AC412" s="305"/>
      <c r="AD412" s="305"/>
      <c r="AE412" s="305"/>
      <c r="AF412" s="305"/>
      <c r="AG412" s="305"/>
      <c r="AH412" s="305"/>
      <c r="AI412" s="305"/>
      <c r="AJ412" s="305"/>
      <c r="AK412" s="305"/>
      <c r="AL412" s="305"/>
      <c r="AM412" s="305"/>
      <c r="AN412" s="305"/>
      <c r="AO412" s="305"/>
      <c r="AP412" s="305"/>
      <c r="AQ412" s="305"/>
      <c r="AR412" s="305"/>
      <c r="AS412" s="305"/>
      <c r="AT412" s="305"/>
      <c r="AU412" s="305"/>
      <c r="AV412" s="305"/>
      <c r="AW412" s="305"/>
      <c r="AX412" s="305"/>
      <c r="AY412" s="305"/>
      <c r="AZ412" s="305"/>
      <c r="BA412" s="305"/>
      <c r="BB412" s="305"/>
      <c r="BC412" s="305"/>
      <c r="BD412" s="305"/>
      <c r="BE412" s="305"/>
      <c r="BF412" s="305"/>
      <c r="BG412" s="305"/>
      <c r="BH412" s="305"/>
      <c r="BI412" s="305"/>
      <c r="BJ412" s="305"/>
      <c r="BK412" s="305"/>
      <c r="BL412" s="305"/>
      <c r="BM412" s="305"/>
      <c r="BN412" s="305"/>
      <c r="BO412" s="305"/>
      <c r="BP412" s="305"/>
      <c r="BQ412" s="305"/>
      <c r="BR412" s="305"/>
      <c r="BS412" s="305"/>
      <c r="BT412" s="305"/>
      <c r="BU412" s="305"/>
      <c r="BV412" s="305"/>
      <c r="BW412" s="305"/>
      <c r="BX412" s="305"/>
      <c r="BY412" s="305"/>
      <c r="BZ412" s="305"/>
      <c r="CA412" s="305"/>
      <c r="CB412" s="305"/>
      <c r="CC412" s="305"/>
      <c r="CD412" s="305"/>
      <c r="CE412" s="305"/>
      <c r="CF412" s="305"/>
      <c r="CG412" s="305"/>
      <c r="CH412" s="305"/>
      <c r="CI412" s="305"/>
      <c r="CJ412" s="305"/>
      <c r="CK412" s="305"/>
      <c r="CL412" s="305"/>
      <c r="CM412" s="305"/>
      <c r="CN412" s="305"/>
      <c r="CO412" s="305"/>
      <c r="CP412" s="305"/>
      <c r="CQ412" s="305"/>
      <c r="CR412" s="305"/>
      <c r="CS412" s="305"/>
      <c r="CT412" s="305"/>
      <c r="CU412" s="305"/>
      <c r="CV412" s="305"/>
      <c r="CW412" s="305"/>
      <c r="CX412" s="305"/>
      <c r="CY412" s="305"/>
      <c r="CZ412" s="305"/>
      <c r="DA412" s="305"/>
      <c r="DB412" s="305"/>
      <c r="DC412" s="305"/>
      <c r="DD412" s="305"/>
      <c r="DE412" s="305"/>
      <c r="DF412" s="305"/>
      <c r="DG412" s="305"/>
      <c r="DH412" s="305"/>
      <c r="DI412" s="305"/>
      <c r="DJ412" s="305"/>
      <c r="DK412" s="305"/>
      <c r="DL412" s="305"/>
      <c r="DM412" s="305"/>
      <c r="DN412" s="305"/>
      <c r="DO412" s="305"/>
      <c r="DP412" s="305"/>
      <c r="DQ412" s="305"/>
      <c r="DR412" s="305"/>
      <c r="DS412" s="305"/>
      <c r="DT412" s="305"/>
      <c r="DU412" s="305"/>
      <c r="DV412" s="305"/>
      <c r="DW412" s="305"/>
      <c r="DX412" s="305"/>
      <c r="DY412" s="305"/>
      <c r="DZ412" s="305"/>
      <c r="EA412" s="305"/>
      <c r="EB412" s="305"/>
      <c r="EC412" s="305"/>
      <c r="ED412" s="305"/>
      <c r="EE412" s="305"/>
      <c r="EF412" s="305"/>
      <c r="EG412" s="305"/>
      <c r="EH412" s="305"/>
      <c r="EI412" s="305"/>
      <c r="EJ412" s="305"/>
      <c r="EK412" s="305"/>
      <c r="EL412" s="305"/>
      <c r="EM412" s="305"/>
      <c r="EN412" s="305"/>
      <c r="EO412" s="305"/>
      <c r="EP412" s="305"/>
      <c r="EQ412" s="305"/>
      <c r="ER412" s="305"/>
      <c r="ES412" s="305"/>
      <c r="ET412" s="305"/>
      <c r="EU412" s="305"/>
      <c r="EV412" s="305"/>
      <c r="EW412" s="305"/>
      <c r="EX412" s="305"/>
      <c r="EY412" s="305"/>
      <c r="EZ412" s="305"/>
      <c r="FA412" s="305"/>
      <c r="FB412" s="305"/>
      <c r="FC412" s="305"/>
      <c r="FD412" s="305"/>
      <c r="FE412" s="305"/>
      <c r="FF412" s="305"/>
      <c r="FG412" s="305"/>
      <c r="FH412" s="305"/>
      <c r="FI412" s="305"/>
      <c r="FJ412" s="305"/>
      <c r="FK412" s="305"/>
      <c r="FL412" s="305"/>
      <c r="FM412" s="305"/>
      <c r="FN412" s="305"/>
      <c r="FO412" s="305"/>
      <c r="FP412" s="305"/>
      <c r="FQ412" s="305"/>
      <c r="FR412" s="305"/>
      <c r="FS412" s="305"/>
      <c r="FT412" s="305"/>
      <c r="FU412" s="305"/>
      <c r="FV412" s="305"/>
      <c r="FW412" s="305"/>
      <c r="FX412" s="305"/>
      <c r="FY412" s="305"/>
      <c r="FZ412" s="305"/>
      <c r="GA412" s="305"/>
      <c r="GB412" s="305"/>
      <c r="GC412" s="305"/>
      <c r="GD412" s="305"/>
      <c r="GE412" s="305"/>
      <c r="GF412" s="305"/>
      <c r="GG412" s="305"/>
      <c r="GH412" s="305"/>
      <c r="GI412" s="305"/>
      <c r="GJ412" s="305"/>
      <c r="GK412" s="305"/>
      <c r="GL412" s="305"/>
      <c r="GM412" s="305"/>
      <c r="GN412" s="305"/>
      <c r="GO412" s="305"/>
      <c r="GP412" s="305"/>
      <c r="GQ412" s="305"/>
      <c r="GR412" s="305"/>
    </row>
    <row r="413" spans="3:200" s="318" customFormat="1" ht="12.75" customHeight="1" x14ac:dyDescent="0.2">
      <c r="C413" s="367"/>
      <c r="D413" s="403"/>
      <c r="E413" s="369"/>
      <c r="F413" s="369"/>
      <c r="G413" s="369"/>
      <c r="H413" s="369"/>
      <c r="I413" s="370"/>
      <c r="J413"/>
      <c r="K413" s="371"/>
      <c r="L413" s="371"/>
      <c r="M413" s="371"/>
      <c r="N413" s="371"/>
      <c r="O413" s="305"/>
      <c r="P413" s="305"/>
      <c r="Q413" s="305"/>
      <c r="R413" s="305"/>
      <c r="S413" s="305"/>
      <c r="T413" s="305"/>
      <c r="U413" s="305"/>
      <c r="V413" s="305"/>
      <c r="W413" s="305"/>
      <c r="X413" s="305"/>
      <c r="Y413" s="305"/>
      <c r="Z413" s="305"/>
      <c r="AA413" s="305"/>
      <c r="AB413" s="305"/>
      <c r="AC413" s="305"/>
      <c r="AD413" s="305"/>
      <c r="AE413" s="305"/>
      <c r="AF413" s="305"/>
      <c r="AG413" s="305"/>
      <c r="AH413" s="305"/>
      <c r="AI413" s="305"/>
      <c r="AJ413" s="305"/>
      <c r="AK413" s="305"/>
      <c r="AL413" s="305"/>
      <c r="AM413" s="305"/>
      <c r="AN413" s="305"/>
      <c r="AO413" s="305"/>
      <c r="AP413" s="305"/>
      <c r="AQ413" s="305"/>
      <c r="AR413" s="305"/>
      <c r="AS413" s="305"/>
      <c r="AT413" s="305"/>
      <c r="AU413" s="305"/>
      <c r="AV413" s="305"/>
      <c r="AW413" s="305"/>
      <c r="AX413" s="305"/>
      <c r="AY413" s="305"/>
      <c r="AZ413" s="305"/>
      <c r="BA413" s="305"/>
      <c r="BB413" s="305"/>
      <c r="BC413" s="305"/>
      <c r="BD413" s="305"/>
      <c r="BE413" s="305"/>
      <c r="BF413" s="305"/>
      <c r="BG413" s="305"/>
      <c r="BH413" s="305"/>
      <c r="BI413" s="305"/>
      <c r="BJ413" s="305"/>
      <c r="BK413" s="305"/>
      <c r="BL413" s="305"/>
      <c r="BM413" s="305"/>
      <c r="BN413" s="305"/>
      <c r="BO413" s="305"/>
      <c r="BP413" s="305"/>
      <c r="BQ413" s="305"/>
      <c r="BR413" s="305"/>
      <c r="BS413" s="305"/>
      <c r="BT413" s="305"/>
      <c r="BU413" s="305"/>
      <c r="BV413" s="305"/>
      <c r="BW413" s="305"/>
      <c r="BX413" s="305"/>
      <c r="BY413" s="305"/>
      <c r="BZ413" s="305"/>
      <c r="CA413" s="305"/>
      <c r="CB413" s="305"/>
      <c r="CC413" s="305"/>
      <c r="CD413" s="305"/>
      <c r="CE413" s="305"/>
      <c r="CF413" s="305"/>
      <c r="CG413" s="305"/>
      <c r="CH413" s="305"/>
      <c r="CI413" s="305"/>
      <c r="CJ413" s="305"/>
      <c r="CK413" s="305"/>
      <c r="CL413" s="305"/>
      <c r="CM413" s="305"/>
      <c r="CN413" s="305"/>
      <c r="CO413" s="305"/>
      <c r="CP413" s="305"/>
      <c r="CQ413" s="305"/>
      <c r="CR413" s="305"/>
      <c r="CS413" s="305"/>
      <c r="CT413" s="305"/>
      <c r="CU413" s="305"/>
      <c r="CV413" s="305"/>
      <c r="CW413" s="305"/>
      <c r="CX413" s="305"/>
      <c r="CY413" s="305"/>
      <c r="CZ413" s="305"/>
      <c r="DA413" s="305"/>
      <c r="DB413" s="305"/>
      <c r="DC413" s="305"/>
      <c r="DD413" s="305"/>
      <c r="DE413" s="305"/>
      <c r="DF413" s="305"/>
      <c r="DG413" s="305"/>
      <c r="DH413" s="305"/>
      <c r="DI413" s="305"/>
      <c r="DJ413" s="305"/>
      <c r="DK413" s="305"/>
      <c r="DL413" s="305"/>
      <c r="DM413" s="305"/>
      <c r="DN413" s="305"/>
      <c r="DO413" s="305"/>
      <c r="DP413" s="305"/>
      <c r="DQ413" s="305"/>
      <c r="DR413" s="305"/>
      <c r="DS413" s="305"/>
      <c r="DT413" s="305"/>
      <c r="DU413" s="305"/>
      <c r="DV413" s="305"/>
      <c r="DW413" s="305"/>
      <c r="DX413" s="305"/>
      <c r="DY413" s="305"/>
      <c r="DZ413" s="305"/>
      <c r="EA413" s="305"/>
      <c r="EB413" s="305"/>
      <c r="EC413" s="305"/>
      <c r="ED413" s="305"/>
      <c r="EE413" s="305"/>
      <c r="EF413" s="305"/>
      <c r="EG413" s="305"/>
      <c r="EH413" s="305"/>
      <c r="EI413" s="305"/>
      <c r="EJ413" s="305"/>
      <c r="EK413" s="305"/>
      <c r="EL413" s="305"/>
      <c r="EM413" s="305"/>
      <c r="EN413" s="305"/>
      <c r="EO413" s="305"/>
      <c r="EP413" s="305"/>
      <c r="EQ413" s="305"/>
      <c r="ER413" s="305"/>
      <c r="ES413" s="305"/>
      <c r="ET413" s="305"/>
      <c r="EU413" s="305"/>
      <c r="EV413" s="305"/>
      <c r="EW413" s="305"/>
      <c r="EX413" s="305"/>
      <c r="EY413" s="305"/>
      <c r="EZ413" s="305"/>
      <c r="FA413" s="305"/>
      <c r="FB413" s="305"/>
      <c r="FC413" s="305"/>
      <c r="FD413" s="305"/>
      <c r="FE413" s="305"/>
      <c r="FF413" s="305"/>
      <c r="FG413" s="305"/>
      <c r="FH413" s="305"/>
      <c r="FI413" s="305"/>
      <c r="FJ413" s="305"/>
      <c r="FK413" s="305"/>
      <c r="FL413" s="305"/>
      <c r="FM413" s="305"/>
      <c r="FN413" s="305"/>
      <c r="FO413" s="305"/>
      <c r="FP413" s="305"/>
      <c r="FQ413" s="305"/>
      <c r="FR413" s="305"/>
      <c r="FS413" s="305"/>
      <c r="FT413" s="305"/>
      <c r="FU413" s="305"/>
      <c r="FV413" s="305"/>
      <c r="FW413" s="305"/>
      <c r="FX413" s="305"/>
      <c r="FY413" s="305"/>
      <c r="FZ413" s="305"/>
      <c r="GA413" s="305"/>
      <c r="GB413" s="305"/>
      <c r="GC413" s="305"/>
      <c r="GD413" s="305"/>
      <c r="GE413" s="305"/>
      <c r="GF413" s="305"/>
      <c r="GG413" s="305"/>
      <c r="GH413" s="305"/>
      <c r="GI413" s="305"/>
      <c r="GJ413" s="305"/>
      <c r="GK413" s="305"/>
      <c r="GL413" s="305"/>
      <c r="GM413" s="305"/>
      <c r="GN413" s="305"/>
      <c r="GO413" s="305"/>
      <c r="GP413" s="305"/>
      <c r="GQ413" s="305"/>
      <c r="GR413" s="305"/>
    </row>
    <row r="414" spans="3:200" s="318" customFormat="1" ht="12.75" customHeight="1" x14ac:dyDescent="0.2">
      <c r="C414" s="367"/>
      <c r="D414" s="403"/>
      <c r="E414" s="369"/>
      <c r="F414" s="369"/>
      <c r="G414" s="369"/>
      <c r="H414" s="369"/>
      <c r="I414" s="370"/>
      <c r="J414"/>
      <c r="K414" s="371"/>
      <c r="L414" s="371"/>
      <c r="M414" s="371"/>
      <c r="N414" s="371"/>
      <c r="O414" s="305"/>
      <c r="P414" s="305"/>
      <c r="Q414" s="305"/>
      <c r="R414" s="305"/>
      <c r="S414" s="305"/>
      <c r="T414" s="305"/>
      <c r="U414" s="305"/>
      <c r="V414" s="305"/>
      <c r="W414" s="305"/>
      <c r="X414" s="305"/>
      <c r="Y414" s="305"/>
      <c r="Z414" s="305"/>
      <c r="AA414" s="305"/>
      <c r="AB414" s="305"/>
      <c r="AC414" s="305"/>
      <c r="AD414" s="305"/>
      <c r="AE414" s="305"/>
      <c r="AF414" s="305"/>
      <c r="AG414" s="305"/>
      <c r="AH414" s="305"/>
      <c r="AI414" s="305"/>
      <c r="AJ414" s="305"/>
      <c r="AK414" s="305"/>
      <c r="AL414" s="305"/>
      <c r="AM414" s="305"/>
      <c r="AN414" s="305"/>
      <c r="AO414" s="305"/>
      <c r="AP414" s="305"/>
      <c r="AQ414" s="305"/>
      <c r="AR414" s="305"/>
      <c r="AS414" s="305"/>
      <c r="AT414" s="305"/>
      <c r="AU414" s="305"/>
      <c r="AV414" s="305"/>
      <c r="AW414" s="305"/>
      <c r="AX414" s="305"/>
      <c r="AY414" s="305"/>
      <c r="AZ414" s="305"/>
      <c r="BA414" s="305"/>
      <c r="BB414" s="305"/>
      <c r="BC414" s="305"/>
      <c r="BD414" s="305"/>
      <c r="BE414" s="305"/>
      <c r="BF414" s="305"/>
      <c r="BG414" s="305"/>
      <c r="BH414" s="305"/>
      <c r="BI414" s="305"/>
      <c r="BJ414" s="305"/>
      <c r="BK414" s="305"/>
      <c r="BL414" s="305"/>
      <c r="BM414" s="305"/>
      <c r="BN414" s="305"/>
      <c r="BO414" s="305"/>
      <c r="BP414" s="305"/>
      <c r="BQ414" s="305"/>
      <c r="BR414" s="305"/>
      <c r="BS414" s="305"/>
      <c r="BT414" s="305"/>
      <c r="BU414" s="305"/>
      <c r="BV414" s="305"/>
      <c r="BW414" s="305"/>
      <c r="BX414" s="305"/>
      <c r="BY414" s="305"/>
      <c r="BZ414" s="305"/>
      <c r="CA414" s="305"/>
      <c r="CB414" s="305"/>
      <c r="CC414" s="305"/>
      <c r="CD414" s="305"/>
      <c r="CE414" s="305"/>
      <c r="CF414" s="305"/>
      <c r="CG414" s="305"/>
      <c r="CH414" s="305"/>
      <c r="CI414" s="305"/>
      <c r="CJ414" s="305"/>
      <c r="CK414" s="305"/>
      <c r="CL414" s="305"/>
      <c r="CM414" s="305"/>
      <c r="CN414" s="305"/>
      <c r="CO414" s="305"/>
      <c r="CP414" s="305"/>
      <c r="CQ414" s="305"/>
      <c r="CR414" s="305"/>
      <c r="CS414" s="305"/>
      <c r="CT414" s="305"/>
      <c r="CU414" s="305"/>
      <c r="CV414" s="305"/>
      <c r="CW414" s="305"/>
      <c r="CX414" s="305"/>
      <c r="CY414" s="305"/>
      <c r="CZ414" s="305"/>
      <c r="DA414" s="305"/>
      <c r="DB414" s="305"/>
      <c r="DC414" s="305"/>
      <c r="DD414" s="305"/>
      <c r="DE414" s="305"/>
      <c r="DF414" s="305"/>
      <c r="DG414" s="305"/>
      <c r="DH414" s="305"/>
      <c r="DI414" s="305"/>
      <c r="DJ414" s="305"/>
      <c r="DK414" s="305"/>
      <c r="DL414" s="305"/>
      <c r="DM414" s="305"/>
      <c r="DN414" s="305"/>
      <c r="DO414" s="305"/>
      <c r="DP414" s="305"/>
      <c r="DQ414" s="305"/>
      <c r="DR414" s="305"/>
      <c r="DS414" s="305"/>
      <c r="DT414" s="305"/>
      <c r="DU414" s="305"/>
      <c r="DV414" s="305"/>
      <c r="DW414" s="305"/>
      <c r="DX414" s="305"/>
      <c r="DY414" s="305"/>
      <c r="DZ414" s="305"/>
      <c r="EA414" s="305"/>
      <c r="EB414" s="305"/>
      <c r="EC414" s="305"/>
      <c r="ED414" s="305"/>
      <c r="EE414" s="305"/>
      <c r="EF414" s="305"/>
      <c r="EG414" s="305"/>
      <c r="EH414" s="305"/>
      <c r="EI414" s="305"/>
      <c r="EJ414" s="305"/>
      <c r="EK414" s="305"/>
      <c r="EL414" s="305"/>
      <c r="EM414" s="305"/>
      <c r="EN414" s="305"/>
      <c r="EO414" s="305"/>
      <c r="EP414" s="305"/>
      <c r="EQ414" s="305"/>
      <c r="ER414" s="305"/>
      <c r="ES414" s="305"/>
      <c r="ET414" s="305"/>
      <c r="EU414" s="305"/>
      <c r="EV414" s="305"/>
      <c r="EW414" s="305"/>
      <c r="EX414" s="305"/>
      <c r="EY414" s="305"/>
      <c r="EZ414" s="305"/>
      <c r="FA414" s="305"/>
      <c r="FB414" s="305"/>
      <c r="FC414" s="305"/>
      <c r="FD414" s="305"/>
      <c r="FE414" s="305"/>
      <c r="FF414" s="305"/>
      <c r="FG414" s="305"/>
      <c r="FH414" s="305"/>
      <c r="FI414" s="305"/>
      <c r="FJ414" s="305"/>
      <c r="FK414" s="305"/>
      <c r="FL414" s="305"/>
      <c r="FM414" s="305"/>
      <c r="FN414" s="305"/>
      <c r="FO414" s="305"/>
      <c r="FP414" s="305"/>
      <c r="FQ414" s="305"/>
      <c r="FR414" s="305"/>
      <c r="FS414" s="305"/>
      <c r="FT414" s="305"/>
      <c r="FU414" s="305"/>
      <c r="FV414" s="305"/>
      <c r="FW414" s="305"/>
      <c r="FX414" s="305"/>
      <c r="FY414" s="305"/>
      <c r="FZ414" s="305"/>
      <c r="GA414" s="305"/>
      <c r="GB414" s="305"/>
      <c r="GC414" s="305"/>
      <c r="GD414" s="305"/>
      <c r="GE414" s="305"/>
      <c r="GF414" s="305"/>
      <c r="GG414" s="305"/>
      <c r="GH414" s="305"/>
      <c r="GI414" s="305"/>
      <c r="GJ414" s="305"/>
      <c r="GK414" s="305"/>
      <c r="GL414" s="305"/>
      <c r="GM414" s="305"/>
      <c r="GN414" s="305"/>
      <c r="GO414" s="305"/>
      <c r="GP414" s="305"/>
      <c r="GQ414" s="305"/>
      <c r="GR414" s="305"/>
    </row>
    <row r="415" spans="3:200" s="318" customFormat="1" ht="12.75" customHeight="1" x14ac:dyDescent="0.2">
      <c r="C415" s="367"/>
      <c r="D415" s="403"/>
      <c r="E415" s="369"/>
      <c r="F415" s="369"/>
      <c r="G415" s="369"/>
      <c r="H415" s="369"/>
      <c r="I415" s="370"/>
      <c r="J415"/>
      <c r="K415" s="371"/>
      <c r="L415" s="371"/>
      <c r="M415" s="371"/>
      <c r="N415" s="371"/>
      <c r="O415" s="305"/>
      <c r="P415" s="305"/>
      <c r="Q415" s="305"/>
      <c r="R415" s="305"/>
      <c r="S415" s="305"/>
      <c r="T415" s="305"/>
      <c r="U415" s="305"/>
      <c r="V415" s="305"/>
      <c r="W415" s="305"/>
      <c r="X415" s="305"/>
      <c r="Y415" s="305"/>
      <c r="Z415" s="305"/>
      <c r="AA415" s="305"/>
      <c r="AB415" s="305"/>
      <c r="AC415" s="305"/>
      <c r="AD415" s="305"/>
      <c r="AE415" s="305"/>
      <c r="AF415" s="305"/>
      <c r="AG415" s="305"/>
      <c r="AH415" s="305"/>
      <c r="AI415" s="305"/>
      <c r="AJ415" s="305"/>
      <c r="AK415" s="305"/>
      <c r="AL415" s="305"/>
      <c r="AM415" s="305"/>
      <c r="AN415" s="305"/>
      <c r="AO415" s="305"/>
      <c r="AP415" s="305"/>
      <c r="AQ415" s="305"/>
      <c r="AR415" s="305"/>
      <c r="AS415" s="305"/>
      <c r="AT415" s="305"/>
      <c r="AU415" s="305"/>
      <c r="AV415" s="305"/>
      <c r="AW415" s="305"/>
      <c r="AX415" s="305"/>
      <c r="AY415" s="305"/>
      <c r="AZ415" s="305"/>
      <c r="BA415" s="305"/>
      <c r="BB415" s="305"/>
      <c r="BC415" s="305"/>
      <c r="BD415" s="305"/>
      <c r="BE415" s="305"/>
      <c r="BF415" s="305"/>
      <c r="BG415" s="305"/>
      <c r="BH415" s="305"/>
      <c r="BI415" s="305"/>
      <c r="BJ415" s="305"/>
      <c r="BK415" s="305"/>
      <c r="BL415" s="305"/>
      <c r="BM415" s="305"/>
      <c r="BN415" s="305"/>
      <c r="BO415" s="305"/>
      <c r="BP415" s="305"/>
      <c r="BQ415" s="305"/>
      <c r="BR415" s="305"/>
      <c r="BS415" s="305"/>
      <c r="BT415" s="305"/>
      <c r="BU415" s="305"/>
      <c r="BV415" s="305"/>
      <c r="BW415" s="305"/>
      <c r="BX415" s="305"/>
      <c r="BY415" s="305"/>
      <c r="BZ415" s="305"/>
      <c r="CA415" s="305"/>
      <c r="CB415" s="305"/>
      <c r="CC415" s="305"/>
      <c r="CD415" s="305"/>
      <c r="CE415" s="305"/>
      <c r="CF415" s="305"/>
      <c r="CG415" s="305"/>
      <c r="CH415" s="305"/>
      <c r="CI415" s="305"/>
      <c r="CJ415" s="305"/>
      <c r="CK415" s="305"/>
      <c r="CL415" s="305"/>
      <c r="CM415" s="305"/>
      <c r="CN415" s="305"/>
      <c r="CO415" s="305"/>
      <c r="CP415" s="305"/>
      <c r="CQ415" s="305"/>
      <c r="CR415" s="305"/>
      <c r="CS415" s="305"/>
      <c r="CT415" s="305"/>
      <c r="CU415" s="305"/>
      <c r="CV415" s="305"/>
      <c r="CW415" s="305"/>
      <c r="CX415" s="305"/>
      <c r="CY415" s="305"/>
      <c r="CZ415" s="305"/>
      <c r="DA415" s="305"/>
      <c r="DB415" s="305"/>
      <c r="DC415" s="305"/>
      <c r="DD415" s="305"/>
      <c r="DE415" s="305"/>
      <c r="DF415" s="305"/>
      <c r="DG415" s="305"/>
      <c r="DH415" s="305"/>
      <c r="DI415" s="305"/>
      <c r="DJ415" s="305"/>
      <c r="DK415" s="305"/>
      <c r="DL415" s="305"/>
      <c r="DM415" s="305"/>
      <c r="DN415" s="305"/>
      <c r="DO415" s="305"/>
      <c r="DP415" s="305"/>
      <c r="DQ415" s="305"/>
      <c r="DR415" s="305"/>
      <c r="DS415" s="305"/>
      <c r="DT415" s="305"/>
      <c r="DU415" s="305"/>
      <c r="DV415" s="305"/>
      <c r="DW415" s="305"/>
      <c r="DX415" s="305"/>
      <c r="DY415" s="305"/>
      <c r="DZ415" s="305"/>
      <c r="EA415" s="305"/>
      <c r="EB415" s="305"/>
      <c r="EC415" s="305"/>
      <c r="ED415" s="305"/>
      <c r="EE415" s="305"/>
      <c r="EF415" s="305"/>
      <c r="EG415" s="305"/>
      <c r="EH415" s="305"/>
      <c r="EI415" s="305"/>
      <c r="EJ415" s="305"/>
      <c r="EK415" s="305"/>
      <c r="EL415" s="305"/>
      <c r="EM415" s="305"/>
      <c r="EN415" s="305"/>
      <c r="EO415" s="305"/>
      <c r="EP415" s="305"/>
      <c r="EQ415" s="305"/>
      <c r="ER415" s="305"/>
      <c r="ES415" s="305"/>
      <c r="ET415" s="305"/>
      <c r="EU415" s="305"/>
      <c r="EV415" s="305"/>
      <c r="EW415" s="305"/>
      <c r="EX415" s="305"/>
      <c r="EY415" s="305"/>
      <c r="EZ415" s="305"/>
      <c r="FA415" s="305"/>
      <c r="FB415" s="305"/>
      <c r="FC415" s="305"/>
      <c r="FD415" s="305"/>
      <c r="FE415" s="305"/>
      <c r="FF415" s="305"/>
      <c r="FG415" s="305"/>
      <c r="FH415" s="305"/>
      <c r="FI415" s="305"/>
      <c r="FJ415" s="305"/>
      <c r="FK415" s="305"/>
      <c r="FL415" s="305"/>
      <c r="FM415" s="305"/>
      <c r="FN415" s="305"/>
      <c r="FO415" s="305"/>
      <c r="FP415" s="305"/>
      <c r="FQ415" s="305"/>
      <c r="FR415" s="305"/>
      <c r="FS415" s="305"/>
      <c r="FT415" s="305"/>
      <c r="FU415" s="305"/>
      <c r="FV415" s="305"/>
      <c r="FW415" s="305"/>
      <c r="FX415" s="305"/>
      <c r="FY415" s="305"/>
      <c r="FZ415" s="305"/>
      <c r="GA415" s="305"/>
      <c r="GB415" s="305"/>
      <c r="GC415" s="305"/>
      <c r="GD415" s="305"/>
      <c r="GE415" s="305"/>
      <c r="GF415" s="305"/>
      <c r="GG415" s="305"/>
      <c r="GH415" s="305"/>
      <c r="GI415" s="305"/>
      <c r="GJ415" s="305"/>
      <c r="GK415" s="305"/>
      <c r="GL415" s="305"/>
      <c r="GM415" s="305"/>
      <c r="GN415" s="305"/>
      <c r="GO415" s="305"/>
      <c r="GP415" s="305"/>
      <c r="GQ415" s="305"/>
      <c r="GR415" s="305"/>
    </row>
    <row r="416" spans="3:200" s="318" customFormat="1" ht="12.75" customHeight="1" x14ac:dyDescent="0.2">
      <c r="C416" s="367"/>
      <c r="D416" s="403"/>
      <c r="E416" s="369"/>
      <c r="F416" s="369"/>
      <c r="G416" s="369"/>
      <c r="H416" s="369"/>
      <c r="I416" s="370"/>
      <c r="J416"/>
      <c r="K416" s="371"/>
      <c r="L416" s="371"/>
      <c r="M416" s="371"/>
      <c r="N416" s="371"/>
      <c r="O416" s="305"/>
      <c r="P416" s="305"/>
      <c r="Q416" s="305"/>
      <c r="R416" s="305"/>
      <c r="S416" s="305"/>
      <c r="T416" s="305"/>
      <c r="U416" s="305"/>
      <c r="V416" s="305"/>
      <c r="W416" s="305"/>
      <c r="X416" s="305"/>
      <c r="Y416" s="305"/>
      <c r="Z416" s="305"/>
      <c r="AA416" s="305"/>
      <c r="AB416" s="305"/>
      <c r="AC416" s="305"/>
      <c r="AD416" s="305"/>
      <c r="AE416" s="305"/>
      <c r="AF416" s="305"/>
      <c r="AG416" s="305"/>
      <c r="AH416" s="305"/>
      <c r="AI416" s="305"/>
      <c r="AJ416" s="305"/>
      <c r="AK416" s="305"/>
      <c r="AL416" s="305"/>
      <c r="AM416" s="305"/>
      <c r="AN416" s="305"/>
      <c r="AO416" s="305"/>
      <c r="AP416" s="305"/>
      <c r="AQ416" s="305"/>
      <c r="AR416" s="305"/>
      <c r="AS416" s="305"/>
      <c r="AT416" s="305"/>
      <c r="AU416" s="305"/>
      <c r="AV416" s="305"/>
      <c r="AW416" s="305"/>
      <c r="AX416" s="305"/>
      <c r="AY416" s="305"/>
      <c r="AZ416" s="305"/>
      <c r="BA416" s="305"/>
      <c r="BB416" s="305"/>
      <c r="BC416" s="305"/>
      <c r="BD416" s="305"/>
      <c r="BE416" s="305"/>
      <c r="BF416" s="305"/>
      <c r="BG416" s="305"/>
      <c r="BH416" s="305"/>
      <c r="BI416" s="305"/>
      <c r="BJ416" s="305"/>
      <c r="BK416" s="305"/>
      <c r="BL416" s="305"/>
      <c r="BM416" s="305"/>
      <c r="BN416" s="305"/>
      <c r="BO416" s="305"/>
      <c r="BP416" s="305"/>
      <c r="BQ416" s="305"/>
      <c r="BR416" s="305"/>
      <c r="BS416" s="305"/>
      <c r="BT416" s="305"/>
      <c r="BU416" s="305"/>
      <c r="BV416" s="305"/>
      <c r="BW416" s="305"/>
      <c r="BX416" s="305"/>
      <c r="BY416" s="305"/>
      <c r="BZ416" s="305"/>
      <c r="CA416" s="305"/>
      <c r="CB416" s="305"/>
      <c r="CC416" s="305"/>
      <c r="CD416" s="305"/>
      <c r="CE416" s="305"/>
      <c r="CF416" s="305"/>
      <c r="CG416" s="305"/>
      <c r="CH416" s="305"/>
      <c r="CI416" s="305"/>
      <c r="CJ416" s="305"/>
      <c r="CK416" s="305"/>
      <c r="CL416" s="305"/>
      <c r="CM416" s="305"/>
      <c r="CN416" s="305"/>
      <c r="CO416" s="305"/>
      <c r="CP416" s="305"/>
      <c r="CQ416" s="305"/>
      <c r="CR416" s="305"/>
      <c r="CS416" s="305"/>
      <c r="CT416" s="305"/>
      <c r="CU416" s="305"/>
      <c r="CV416" s="305"/>
      <c r="CW416" s="305"/>
      <c r="CX416" s="305"/>
      <c r="CY416" s="305"/>
      <c r="CZ416" s="305"/>
      <c r="DA416" s="305"/>
      <c r="DB416" s="305"/>
      <c r="DC416" s="305"/>
      <c r="DD416" s="305"/>
      <c r="DE416" s="305"/>
      <c r="DF416" s="305"/>
      <c r="DG416" s="305"/>
      <c r="DH416" s="305"/>
      <c r="DI416" s="305"/>
      <c r="DJ416" s="305"/>
      <c r="DK416" s="305"/>
      <c r="DL416" s="305"/>
      <c r="DM416" s="305"/>
      <c r="DN416" s="305"/>
      <c r="DO416" s="305"/>
      <c r="DP416" s="305"/>
      <c r="DQ416" s="305"/>
      <c r="DR416" s="305"/>
      <c r="DS416" s="305"/>
      <c r="DT416" s="305"/>
      <c r="DU416" s="305"/>
      <c r="DV416" s="305"/>
      <c r="DW416" s="305"/>
      <c r="DX416" s="305"/>
      <c r="DY416" s="305"/>
      <c r="DZ416" s="305"/>
      <c r="EA416" s="305"/>
      <c r="EB416" s="305"/>
      <c r="EC416" s="305"/>
      <c r="ED416" s="305"/>
      <c r="EE416" s="305"/>
      <c r="EF416" s="305"/>
      <c r="EG416" s="305"/>
      <c r="EH416" s="305"/>
      <c r="EI416" s="305"/>
      <c r="EJ416" s="305"/>
      <c r="EK416" s="305"/>
      <c r="EL416" s="305"/>
      <c r="EM416" s="305"/>
      <c r="EN416" s="305"/>
      <c r="EO416" s="305"/>
      <c r="EP416" s="305"/>
      <c r="EQ416" s="305"/>
      <c r="ER416" s="305"/>
      <c r="ES416" s="305"/>
      <c r="ET416" s="305"/>
      <c r="EU416" s="305"/>
      <c r="EV416" s="305"/>
      <c r="EW416" s="305"/>
      <c r="EX416" s="305"/>
      <c r="EY416" s="305"/>
      <c r="EZ416" s="305"/>
      <c r="FA416" s="305"/>
      <c r="FB416" s="305"/>
      <c r="FC416" s="305"/>
      <c r="FD416" s="305"/>
      <c r="FE416" s="305"/>
      <c r="FF416" s="305"/>
      <c r="FG416" s="305"/>
      <c r="FH416" s="305"/>
      <c r="FI416" s="305"/>
      <c r="FJ416" s="305"/>
      <c r="FK416" s="305"/>
      <c r="FL416" s="305"/>
      <c r="FM416" s="305"/>
      <c r="FN416" s="305"/>
      <c r="FO416" s="305"/>
      <c r="FP416" s="305"/>
      <c r="FQ416" s="305"/>
      <c r="FR416" s="305"/>
      <c r="FS416" s="305"/>
      <c r="FT416" s="305"/>
      <c r="FU416" s="305"/>
      <c r="FV416" s="305"/>
      <c r="FW416" s="305"/>
      <c r="FX416" s="305"/>
      <c r="FY416" s="305"/>
      <c r="FZ416" s="305"/>
      <c r="GA416" s="305"/>
      <c r="GB416" s="305"/>
      <c r="GC416" s="305"/>
      <c r="GD416" s="305"/>
      <c r="GE416" s="305"/>
      <c r="GF416" s="305"/>
      <c r="GG416" s="305"/>
      <c r="GH416" s="305"/>
      <c r="GI416" s="305"/>
      <c r="GJ416" s="305"/>
      <c r="GK416" s="305"/>
      <c r="GL416" s="305"/>
      <c r="GM416" s="305"/>
      <c r="GN416" s="305"/>
      <c r="GO416" s="305"/>
      <c r="GP416" s="305"/>
      <c r="GQ416" s="305"/>
      <c r="GR416" s="305"/>
    </row>
    <row r="417" spans="3:200" s="318" customFormat="1" ht="12.75" customHeight="1" x14ac:dyDescent="0.2">
      <c r="C417" s="367"/>
      <c r="D417" s="403"/>
      <c r="E417" s="369"/>
      <c r="F417" s="369"/>
      <c r="G417" s="369"/>
      <c r="H417" s="369"/>
      <c r="I417" s="370"/>
      <c r="J417"/>
      <c r="K417" s="371"/>
      <c r="L417" s="371"/>
      <c r="M417" s="371"/>
      <c r="N417" s="371"/>
      <c r="O417" s="305"/>
      <c r="P417" s="305"/>
      <c r="Q417" s="305"/>
      <c r="R417" s="305"/>
      <c r="S417" s="305"/>
      <c r="T417" s="305"/>
      <c r="U417" s="305"/>
      <c r="V417" s="305"/>
      <c r="W417" s="305"/>
      <c r="X417" s="305"/>
      <c r="Y417" s="305"/>
      <c r="Z417" s="305"/>
      <c r="AA417" s="305"/>
      <c r="AB417" s="305"/>
      <c r="AC417" s="305"/>
      <c r="AD417" s="305"/>
      <c r="AE417" s="305"/>
      <c r="AF417" s="305"/>
      <c r="AG417" s="305"/>
      <c r="AH417" s="305"/>
      <c r="AI417" s="305"/>
      <c r="AJ417" s="305"/>
      <c r="AK417" s="305"/>
      <c r="AL417" s="305"/>
      <c r="AM417" s="305"/>
      <c r="AN417" s="305"/>
      <c r="AO417" s="305"/>
      <c r="AP417" s="305"/>
      <c r="AQ417" s="305"/>
      <c r="AR417" s="305"/>
      <c r="AS417" s="305"/>
      <c r="AT417" s="305"/>
      <c r="AU417" s="305"/>
      <c r="AV417" s="305"/>
      <c r="AW417" s="305"/>
      <c r="AX417" s="305"/>
      <c r="AY417" s="305"/>
      <c r="AZ417" s="305"/>
      <c r="BA417" s="305"/>
      <c r="BB417" s="305"/>
      <c r="BC417" s="305"/>
      <c r="BD417" s="305"/>
      <c r="BE417" s="305"/>
      <c r="BF417" s="305"/>
      <c r="BG417" s="305"/>
      <c r="BH417" s="305"/>
      <c r="BI417" s="305"/>
      <c r="BJ417" s="305"/>
      <c r="BK417" s="305"/>
      <c r="BL417" s="305"/>
      <c r="BM417" s="305"/>
      <c r="BN417" s="305"/>
      <c r="BO417" s="305"/>
      <c r="BP417" s="305"/>
      <c r="BQ417" s="305"/>
      <c r="BR417" s="305"/>
      <c r="BS417" s="305"/>
      <c r="BT417" s="305"/>
      <c r="BU417" s="305"/>
      <c r="BV417" s="305"/>
      <c r="BW417" s="305"/>
      <c r="BX417" s="305"/>
      <c r="BY417" s="305"/>
      <c r="BZ417" s="305"/>
      <c r="CA417" s="305"/>
      <c r="CB417" s="305"/>
      <c r="CC417" s="305"/>
      <c r="CD417" s="305"/>
      <c r="CE417" s="305"/>
      <c r="CF417" s="305"/>
      <c r="CG417" s="305"/>
      <c r="CH417" s="305"/>
      <c r="CI417" s="305"/>
      <c r="CJ417" s="305"/>
      <c r="CK417" s="305"/>
      <c r="CL417" s="305"/>
      <c r="CM417" s="305"/>
      <c r="CN417" s="305"/>
      <c r="CO417" s="305"/>
      <c r="CP417" s="305"/>
      <c r="CQ417" s="305"/>
      <c r="CR417" s="305"/>
      <c r="CS417" s="305"/>
      <c r="CT417" s="305"/>
      <c r="CU417" s="305"/>
      <c r="CV417" s="305"/>
      <c r="CW417" s="305"/>
      <c r="CX417" s="305"/>
      <c r="CY417" s="305"/>
      <c r="CZ417" s="305"/>
      <c r="DA417" s="305"/>
      <c r="DB417" s="305"/>
      <c r="DC417" s="305"/>
      <c r="DD417" s="305"/>
      <c r="DE417" s="305"/>
      <c r="DF417" s="305"/>
      <c r="DG417" s="305"/>
      <c r="DH417" s="305"/>
      <c r="DI417" s="305"/>
      <c r="DJ417" s="305"/>
      <c r="DK417" s="305"/>
      <c r="DL417" s="305"/>
      <c r="DM417" s="305"/>
      <c r="DN417" s="305"/>
      <c r="DO417" s="305"/>
      <c r="DP417" s="305"/>
      <c r="DQ417" s="305"/>
      <c r="DR417" s="305"/>
      <c r="DS417" s="305"/>
      <c r="DT417" s="305"/>
      <c r="DU417" s="305"/>
      <c r="DV417" s="305"/>
      <c r="DW417" s="305"/>
      <c r="DX417" s="305"/>
      <c r="DY417" s="305"/>
      <c r="DZ417" s="305"/>
      <c r="EA417" s="305"/>
      <c r="EB417" s="305"/>
      <c r="EC417" s="305"/>
      <c r="ED417" s="305"/>
      <c r="EE417" s="305"/>
      <c r="EF417" s="305"/>
      <c r="EG417" s="305"/>
      <c r="EH417" s="305"/>
      <c r="EI417" s="305"/>
      <c r="EJ417" s="305"/>
      <c r="EK417" s="305"/>
      <c r="EL417" s="305"/>
      <c r="EM417" s="305"/>
      <c r="EN417" s="305"/>
      <c r="EO417" s="305"/>
      <c r="EP417" s="305"/>
      <c r="EQ417" s="305"/>
      <c r="ER417" s="305"/>
      <c r="ES417" s="305"/>
      <c r="ET417" s="305"/>
      <c r="EU417" s="305"/>
      <c r="EV417" s="305"/>
      <c r="EW417" s="305"/>
      <c r="EX417" s="305"/>
      <c r="EY417" s="305"/>
      <c r="EZ417" s="305"/>
      <c r="FA417" s="305"/>
      <c r="FB417" s="305"/>
      <c r="FC417" s="305"/>
      <c r="FD417" s="305"/>
      <c r="FE417" s="305"/>
      <c r="FF417" s="305"/>
      <c r="FG417" s="305"/>
      <c r="FH417" s="305"/>
      <c r="FI417" s="305"/>
      <c r="FJ417" s="305"/>
      <c r="FK417" s="305"/>
      <c r="FL417" s="305"/>
      <c r="FM417" s="305"/>
      <c r="FN417" s="305"/>
      <c r="FO417" s="305"/>
      <c r="FP417" s="305"/>
      <c r="FQ417" s="305"/>
      <c r="FR417" s="305"/>
      <c r="FS417" s="305"/>
      <c r="FT417" s="305"/>
      <c r="FU417" s="305"/>
      <c r="FV417" s="305"/>
      <c r="FW417" s="305"/>
      <c r="FX417" s="305"/>
      <c r="FY417" s="305"/>
      <c r="FZ417" s="305"/>
      <c r="GA417" s="305"/>
      <c r="GB417" s="305"/>
      <c r="GC417" s="305"/>
      <c r="GD417" s="305"/>
      <c r="GE417" s="305"/>
      <c r="GF417" s="305"/>
      <c r="GG417" s="305"/>
      <c r="GH417" s="305"/>
      <c r="GI417" s="305"/>
      <c r="GJ417" s="305"/>
      <c r="GK417" s="305"/>
      <c r="GL417" s="305"/>
      <c r="GM417" s="305"/>
      <c r="GN417" s="305"/>
      <c r="GO417" s="305"/>
      <c r="GP417" s="305"/>
      <c r="GQ417" s="305"/>
      <c r="GR417" s="305"/>
    </row>
    <row r="418" spans="3:200" s="318" customFormat="1" ht="12.75" customHeight="1" x14ac:dyDescent="0.2">
      <c r="C418" s="367"/>
      <c r="D418" s="403"/>
      <c r="E418" s="369"/>
      <c r="F418" s="369"/>
      <c r="G418" s="369"/>
      <c r="H418" s="369"/>
      <c r="I418" s="370"/>
      <c r="J418"/>
      <c r="K418" s="371"/>
      <c r="L418" s="371"/>
      <c r="M418" s="371"/>
      <c r="N418" s="371"/>
      <c r="O418" s="305"/>
      <c r="P418" s="305"/>
      <c r="Q418" s="305"/>
      <c r="R418" s="305"/>
      <c r="S418" s="305"/>
      <c r="T418" s="305"/>
      <c r="U418" s="305"/>
      <c r="V418" s="305"/>
      <c r="W418" s="305"/>
      <c r="X418" s="305"/>
      <c r="Y418" s="305"/>
      <c r="Z418" s="305"/>
      <c r="AA418" s="305"/>
      <c r="AB418" s="305"/>
      <c r="AC418" s="305"/>
      <c r="AD418" s="305"/>
      <c r="AE418" s="305"/>
      <c r="AF418" s="305"/>
      <c r="AG418" s="305"/>
      <c r="AH418" s="305"/>
      <c r="AI418" s="305"/>
      <c r="AJ418" s="305"/>
      <c r="AK418" s="305"/>
      <c r="AL418" s="305"/>
      <c r="AM418" s="305"/>
      <c r="AN418" s="305"/>
      <c r="AO418" s="305"/>
      <c r="AP418" s="305"/>
      <c r="AQ418" s="305"/>
      <c r="AR418" s="305"/>
      <c r="AS418" s="305"/>
      <c r="AT418" s="305"/>
      <c r="AU418" s="305"/>
      <c r="AV418" s="305"/>
      <c r="AW418" s="305"/>
      <c r="AX418" s="305"/>
      <c r="AY418" s="305"/>
      <c r="AZ418" s="305"/>
      <c r="BA418" s="305"/>
      <c r="BB418" s="305"/>
      <c r="BC418" s="305"/>
      <c r="BD418" s="305"/>
      <c r="BE418" s="305"/>
      <c r="BF418" s="305"/>
      <c r="BG418" s="305"/>
      <c r="BH418" s="305"/>
      <c r="BI418" s="305"/>
      <c r="BJ418" s="305"/>
      <c r="BK418" s="305"/>
      <c r="BL418" s="305"/>
      <c r="BM418" s="305"/>
      <c r="BN418" s="305"/>
      <c r="BO418" s="305"/>
      <c r="BP418" s="305"/>
      <c r="BQ418" s="305"/>
      <c r="BR418" s="305"/>
      <c r="BS418" s="305"/>
      <c r="BT418" s="305"/>
      <c r="BU418" s="305"/>
      <c r="BV418" s="305"/>
      <c r="BW418" s="305"/>
      <c r="BX418" s="305"/>
      <c r="BY418" s="305"/>
      <c r="BZ418" s="305"/>
      <c r="CA418" s="305"/>
      <c r="CB418" s="305"/>
      <c r="CC418" s="305"/>
      <c r="CD418" s="305"/>
      <c r="CE418" s="305"/>
      <c r="CF418" s="305"/>
      <c r="CG418" s="305"/>
      <c r="CH418" s="305"/>
      <c r="CI418" s="305"/>
      <c r="CJ418" s="305"/>
      <c r="CK418" s="305"/>
      <c r="CL418" s="305"/>
      <c r="CM418" s="305"/>
      <c r="CN418" s="305"/>
      <c r="CO418" s="305"/>
      <c r="CP418" s="305"/>
      <c r="CQ418" s="305"/>
      <c r="CR418" s="305"/>
      <c r="CS418" s="305"/>
      <c r="CT418" s="305"/>
      <c r="CU418" s="305"/>
      <c r="CV418" s="305"/>
      <c r="CW418" s="305"/>
      <c r="CX418" s="305"/>
      <c r="CY418" s="305"/>
      <c r="CZ418" s="305"/>
      <c r="DA418" s="305"/>
      <c r="DB418" s="305"/>
      <c r="DC418" s="305"/>
      <c r="DD418" s="305"/>
      <c r="DE418" s="305"/>
      <c r="DF418" s="305"/>
      <c r="DG418" s="305"/>
      <c r="DH418" s="305"/>
      <c r="DI418" s="305"/>
      <c r="DJ418" s="305"/>
      <c r="DK418" s="305"/>
      <c r="DL418" s="305"/>
      <c r="DM418" s="305"/>
      <c r="DN418" s="305"/>
      <c r="DO418" s="305"/>
      <c r="DP418" s="305"/>
      <c r="DQ418" s="305"/>
      <c r="DR418" s="305"/>
      <c r="DS418" s="305"/>
      <c r="DT418" s="305"/>
      <c r="DU418" s="305"/>
      <c r="DV418" s="305"/>
      <c r="DW418" s="305"/>
      <c r="DX418" s="305"/>
      <c r="DY418" s="305"/>
      <c r="DZ418" s="305"/>
      <c r="EA418" s="305"/>
      <c r="EB418" s="305"/>
      <c r="EC418" s="305"/>
      <c r="ED418" s="305"/>
      <c r="EE418" s="305"/>
      <c r="EF418" s="305"/>
      <c r="EG418" s="305"/>
      <c r="EH418" s="305"/>
      <c r="EI418" s="305"/>
      <c r="EJ418" s="305"/>
      <c r="EK418" s="305"/>
      <c r="EL418" s="305"/>
      <c r="EM418" s="305"/>
      <c r="EN418" s="305"/>
      <c r="EO418" s="305"/>
      <c r="EP418" s="305"/>
      <c r="EQ418" s="305"/>
      <c r="ER418" s="305"/>
      <c r="ES418" s="305"/>
      <c r="ET418" s="305"/>
      <c r="EU418" s="305"/>
      <c r="EV418" s="305"/>
      <c r="EW418" s="305"/>
      <c r="EX418" s="305"/>
      <c r="EY418" s="305"/>
      <c r="EZ418" s="305"/>
      <c r="FA418" s="305"/>
      <c r="FB418" s="305"/>
      <c r="FC418" s="305"/>
      <c r="FD418" s="305"/>
      <c r="FE418" s="305"/>
      <c r="FF418" s="305"/>
      <c r="FG418" s="305"/>
      <c r="FH418" s="305"/>
      <c r="FI418" s="305"/>
      <c r="FJ418" s="305"/>
      <c r="FK418" s="305"/>
      <c r="FL418" s="305"/>
      <c r="FM418" s="305"/>
      <c r="FN418" s="305"/>
      <c r="FO418" s="305"/>
      <c r="FP418" s="305"/>
      <c r="FQ418" s="305"/>
      <c r="FR418" s="305"/>
      <c r="FS418" s="305"/>
      <c r="FT418" s="305"/>
      <c r="FU418" s="305"/>
      <c r="FV418" s="305"/>
      <c r="FW418" s="305"/>
      <c r="FX418" s="305"/>
      <c r="FY418" s="305"/>
      <c r="FZ418" s="305"/>
      <c r="GA418" s="305"/>
      <c r="GB418" s="305"/>
      <c r="GC418" s="305"/>
      <c r="GD418" s="305"/>
      <c r="GE418" s="305"/>
      <c r="GF418" s="305"/>
      <c r="GG418" s="305"/>
      <c r="GH418" s="305"/>
      <c r="GI418" s="305"/>
      <c r="GJ418" s="305"/>
      <c r="GK418" s="305"/>
      <c r="GL418" s="305"/>
      <c r="GM418" s="305"/>
      <c r="GN418" s="305"/>
      <c r="GO418" s="305"/>
      <c r="GP418" s="305"/>
      <c r="GQ418" s="305"/>
      <c r="GR418" s="305"/>
    </row>
    <row r="419" spans="3:200" s="318" customFormat="1" ht="12.75" customHeight="1" x14ac:dyDescent="0.2">
      <c r="C419" s="367"/>
      <c r="D419" s="403"/>
      <c r="E419" s="369"/>
      <c r="F419" s="369"/>
      <c r="G419" s="369"/>
      <c r="H419" s="369"/>
      <c r="I419" s="370"/>
      <c r="J419"/>
      <c r="K419" s="371"/>
      <c r="L419" s="371"/>
      <c r="M419" s="371"/>
      <c r="N419" s="371"/>
      <c r="O419" s="305"/>
      <c r="P419" s="305"/>
      <c r="Q419" s="305"/>
      <c r="R419" s="305"/>
      <c r="S419" s="305"/>
      <c r="T419" s="305"/>
      <c r="U419" s="305"/>
      <c r="V419" s="305"/>
      <c r="W419" s="305"/>
      <c r="X419" s="305"/>
      <c r="Y419" s="305"/>
      <c r="Z419" s="305"/>
      <c r="AA419" s="305"/>
      <c r="AB419" s="305"/>
      <c r="AC419" s="305"/>
      <c r="AD419" s="305"/>
      <c r="AE419" s="305"/>
      <c r="AF419" s="305"/>
      <c r="AG419" s="305"/>
      <c r="AH419" s="305"/>
      <c r="AI419" s="305"/>
      <c r="AJ419" s="305"/>
      <c r="AK419" s="305"/>
      <c r="AL419" s="305"/>
      <c r="AM419" s="305"/>
      <c r="AN419" s="305"/>
      <c r="AO419" s="305"/>
      <c r="AP419" s="305"/>
      <c r="AQ419" s="305"/>
      <c r="AR419" s="305"/>
      <c r="AS419" s="305"/>
      <c r="AT419" s="305"/>
      <c r="AU419" s="305"/>
      <c r="AV419" s="305"/>
      <c r="AW419" s="305"/>
      <c r="AX419" s="305"/>
      <c r="AY419" s="305"/>
      <c r="AZ419" s="305"/>
      <c r="BA419" s="305"/>
      <c r="BB419" s="305"/>
      <c r="BC419" s="305"/>
      <c r="BD419" s="305"/>
      <c r="BE419" s="305"/>
      <c r="BF419" s="305"/>
      <c r="BG419" s="305"/>
      <c r="BH419" s="305"/>
      <c r="BI419" s="305"/>
      <c r="BJ419" s="305"/>
      <c r="BK419" s="305"/>
      <c r="BL419" s="305"/>
      <c r="BM419" s="305"/>
      <c r="BN419" s="305"/>
      <c r="BO419" s="305"/>
      <c r="BP419" s="305"/>
      <c r="BQ419" s="305"/>
      <c r="BR419" s="305"/>
      <c r="BS419" s="305"/>
      <c r="BT419" s="305"/>
      <c r="BU419" s="305"/>
      <c r="BV419" s="305"/>
      <c r="BW419" s="305"/>
      <c r="BX419" s="305"/>
      <c r="BY419" s="305"/>
      <c r="BZ419" s="305"/>
      <c r="CA419" s="305"/>
      <c r="CB419" s="305"/>
      <c r="CC419" s="305"/>
      <c r="CD419" s="305"/>
      <c r="CE419" s="305"/>
      <c r="CF419" s="305"/>
      <c r="CG419" s="305"/>
      <c r="CH419" s="305"/>
      <c r="CI419" s="305"/>
      <c r="CJ419" s="305"/>
      <c r="CK419" s="305"/>
      <c r="CL419" s="305"/>
      <c r="CM419" s="305"/>
      <c r="CN419" s="305"/>
      <c r="CO419" s="305"/>
      <c r="CP419" s="305"/>
      <c r="CQ419" s="305"/>
      <c r="CR419" s="305"/>
      <c r="CS419" s="305"/>
      <c r="CT419" s="305"/>
      <c r="CU419" s="305"/>
      <c r="CV419" s="305"/>
      <c r="CW419" s="305"/>
      <c r="CX419" s="305"/>
      <c r="CY419" s="305"/>
      <c r="CZ419" s="305"/>
      <c r="DA419" s="305"/>
      <c r="DB419" s="305"/>
      <c r="DC419" s="305"/>
      <c r="DD419" s="305"/>
      <c r="DE419" s="305"/>
      <c r="DF419" s="305"/>
      <c r="DG419" s="305"/>
      <c r="DH419" s="305"/>
      <c r="DI419" s="305"/>
      <c r="DJ419" s="305"/>
      <c r="DK419" s="305"/>
      <c r="DL419" s="305"/>
      <c r="DM419" s="305"/>
      <c r="DN419" s="305"/>
      <c r="DO419" s="305"/>
      <c r="DP419" s="305"/>
      <c r="DQ419" s="305"/>
      <c r="DR419" s="305"/>
      <c r="DS419" s="305"/>
      <c r="DT419" s="305"/>
      <c r="DU419" s="305"/>
      <c r="DV419" s="305"/>
      <c r="DW419" s="305"/>
      <c r="DX419" s="305"/>
      <c r="DY419" s="305"/>
      <c r="DZ419" s="305"/>
      <c r="EA419" s="305"/>
      <c r="EB419" s="305"/>
      <c r="EC419" s="305"/>
      <c r="ED419" s="305"/>
      <c r="EE419" s="305"/>
      <c r="EF419" s="305"/>
      <c r="EG419" s="305"/>
      <c r="EH419" s="305"/>
      <c r="EI419" s="305"/>
      <c r="EJ419" s="305"/>
      <c r="EK419" s="305"/>
      <c r="EL419" s="305"/>
      <c r="EM419" s="305"/>
      <c r="EN419" s="305"/>
      <c r="EO419" s="305"/>
      <c r="EP419" s="305"/>
      <c r="EQ419" s="305"/>
      <c r="ER419" s="305"/>
      <c r="ES419" s="305"/>
      <c r="ET419" s="305"/>
      <c r="EU419" s="305"/>
      <c r="EV419" s="305"/>
      <c r="EW419" s="305"/>
      <c r="EX419" s="305"/>
      <c r="EY419" s="305"/>
      <c r="EZ419" s="305"/>
      <c r="FA419" s="305"/>
      <c r="FB419" s="305"/>
      <c r="FC419" s="305"/>
      <c r="FD419" s="305"/>
      <c r="FE419" s="305"/>
      <c r="FF419" s="305"/>
      <c r="FG419" s="305"/>
      <c r="FH419" s="305"/>
      <c r="FI419" s="305"/>
      <c r="FJ419" s="305"/>
      <c r="FK419" s="305"/>
      <c r="FL419" s="305"/>
      <c r="FM419" s="305"/>
      <c r="FN419" s="305"/>
      <c r="FO419" s="305"/>
      <c r="FP419" s="305"/>
      <c r="FQ419" s="305"/>
      <c r="FR419" s="305"/>
      <c r="FS419" s="305"/>
      <c r="FT419" s="305"/>
      <c r="FU419" s="305"/>
      <c r="FV419" s="305"/>
      <c r="FW419" s="305"/>
      <c r="FX419" s="305"/>
      <c r="FY419" s="305"/>
      <c r="FZ419" s="305"/>
      <c r="GA419" s="305"/>
      <c r="GB419" s="305"/>
      <c r="GC419" s="305"/>
      <c r="GD419" s="305"/>
      <c r="GE419" s="305"/>
      <c r="GF419" s="305"/>
      <c r="GG419" s="305"/>
      <c r="GH419" s="305"/>
      <c r="GI419" s="305"/>
      <c r="GJ419" s="305"/>
      <c r="GK419" s="305"/>
      <c r="GL419" s="305"/>
      <c r="GM419" s="305"/>
      <c r="GN419" s="305"/>
      <c r="GO419" s="305"/>
      <c r="GP419" s="305"/>
      <c r="GQ419" s="305"/>
      <c r="GR419" s="305"/>
    </row>
    <row r="420" spans="3:200" s="318" customFormat="1" ht="12.75" customHeight="1" x14ac:dyDescent="0.2">
      <c r="C420" s="367"/>
      <c r="D420" s="403"/>
      <c r="E420" s="369"/>
      <c r="F420" s="369"/>
      <c r="G420" s="369"/>
      <c r="H420" s="369"/>
      <c r="I420" s="370"/>
      <c r="J420"/>
      <c r="K420" s="371"/>
      <c r="L420" s="371"/>
      <c r="M420" s="371"/>
      <c r="N420" s="371"/>
      <c r="O420" s="305"/>
      <c r="P420" s="305"/>
      <c r="Q420" s="305"/>
      <c r="R420" s="305"/>
      <c r="S420" s="305"/>
      <c r="T420" s="305"/>
      <c r="U420" s="305"/>
      <c r="V420" s="305"/>
      <c r="W420" s="305"/>
      <c r="X420" s="305"/>
      <c r="Y420" s="305"/>
      <c r="Z420" s="305"/>
      <c r="AA420" s="305"/>
      <c r="AB420" s="305"/>
      <c r="AC420" s="305"/>
      <c r="AD420" s="305"/>
      <c r="AE420" s="305"/>
      <c r="AF420" s="305"/>
      <c r="AG420" s="305"/>
      <c r="AH420" s="305"/>
      <c r="AI420" s="305"/>
      <c r="AJ420" s="305"/>
      <c r="AK420" s="305"/>
      <c r="AL420" s="305"/>
      <c r="AM420" s="305"/>
      <c r="AN420" s="305"/>
      <c r="AO420" s="305"/>
      <c r="AP420" s="305"/>
      <c r="AQ420" s="305"/>
      <c r="AR420" s="305"/>
      <c r="AS420" s="305"/>
      <c r="AT420" s="305"/>
      <c r="AU420" s="305"/>
      <c r="AV420" s="305"/>
      <c r="AW420" s="305"/>
      <c r="AX420" s="305"/>
      <c r="AY420" s="305"/>
      <c r="AZ420" s="305"/>
      <c r="BA420" s="305"/>
      <c r="BB420" s="305"/>
      <c r="BC420" s="305"/>
      <c r="BD420" s="305"/>
      <c r="BE420" s="305"/>
      <c r="BF420" s="305"/>
      <c r="BG420" s="305"/>
      <c r="BH420" s="305"/>
      <c r="BI420" s="305"/>
      <c r="BJ420" s="305"/>
      <c r="BK420" s="305"/>
      <c r="BL420" s="305"/>
      <c r="BM420" s="305"/>
      <c r="BN420" s="305"/>
      <c r="BO420" s="305"/>
      <c r="BP420" s="305"/>
      <c r="BQ420" s="305"/>
      <c r="BR420" s="305"/>
      <c r="BS420" s="305"/>
      <c r="BT420" s="305"/>
      <c r="BU420" s="305"/>
      <c r="BV420" s="305"/>
      <c r="BW420" s="305"/>
      <c r="BX420" s="305"/>
      <c r="BY420" s="305"/>
      <c r="BZ420" s="305"/>
      <c r="CA420" s="305"/>
      <c r="CB420" s="305"/>
      <c r="CC420" s="305"/>
      <c r="CD420" s="305"/>
      <c r="CE420" s="305"/>
      <c r="CF420" s="305"/>
      <c r="CG420" s="305"/>
      <c r="CH420" s="305"/>
      <c r="CI420" s="305"/>
      <c r="CJ420" s="305"/>
      <c r="CK420" s="305"/>
      <c r="CL420" s="305"/>
      <c r="CM420" s="305"/>
      <c r="CN420" s="305"/>
      <c r="CO420" s="305"/>
      <c r="CP420" s="305"/>
      <c r="CQ420" s="305"/>
      <c r="CR420" s="305"/>
      <c r="CS420" s="305"/>
      <c r="CT420" s="305"/>
      <c r="CU420" s="305"/>
      <c r="CV420" s="305"/>
      <c r="CW420" s="305"/>
      <c r="CX420" s="305"/>
      <c r="CY420" s="305"/>
      <c r="CZ420" s="305"/>
      <c r="DA420" s="305"/>
      <c r="DB420" s="305"/>
      <c r="DC420" s="305"/>
      <c r="DD420" s="305"/>
      <c r="DE420" s="305"/>
      <c r="DF420" s="305"/>
      <c r="DG420" s="305"/>
      <c r="DH420" s="305"/>
      <c r="DI420" s="305"/>
      <c r="DJ420" s="305"/>
      <c r="DK420" s="305"/>
      <c r="DL420" s="305"/>
      <c r="DM420" s="305"/>
      <c r="DN420" s="305"/>
      <c r="DO420" s="305"/>
      <c r="DP420" s="305"/>
      <c r="DQ420" s="305"/>
      <c r="DR420" s="305"/>
      <c r="DS420" s="305"/>
      <c r="DT420" s="305"/>
      <c r="DU420" s="305"/>
      <c r="DV420" s="305"/>
      <c r="DW420" s="305"/>
      <c r="DX420" s="305"/>
      <c r="DY420" s="305"/>
      <c r="DZ420" s="305"/>
      <c r="EA420" s="305"/>
      <c r="EB420" s="305"/>
      <c r="EC420" s="305"/>
      <c r="ED420" s="305"/>
      <c r="EE420" s="305"/>
      <c r="EF420" s="305"/>
      <c r="EG420" s="305"/>
      <c r="EH420" s="305"/>
      <c r="EI420" s="305"/>
      <c r="EJ420" s="305"/>
      <c r="EK420" s="305"/>
      <c r="EL420" s="305"/>
      <c r="EM420" s="305"/>
      <c r="EN420" s="305"/>
      <c r="EO420" s="305"/>
      <c r="EP420" s="305"/>
      <c r="EQ420" s="305"/>
      <c r="ER420" s="305"/>
      <c r="ES420" s="305"/>
      <c r="ET420" s="305"/>
      <c r="EU420" s="305"/>
      <c r="EV420" s="305"/>
      <c r="EW420" s="305"/>
      <c r="EX420" s="305"/>
      <c r="EY420" s="305"/>
      <c r="EZ420" s="305"/>
      <c r="FA420" s="305"/>
      <c r="FB420" s="305"/>
      <c r="FC420" s="305"/>
      <c r="FD420" s="305"/>
      <c r="FE420" s="305"/>
      <c r="FF420" s="305"/>
      <c r="FG420" s="305"/>
      <c r="FH420" s="305"/>
      <c r="FI420" s="305"/>
      <c r="FJ420" s="305"/>
      <c r="FK420" s="305"/>
      <c r="FL420" s="305"/>
      <c r="FM420" s="305"/>
      <c r="FN420" s="305"/>
      <c r="FO420" s="305"/>
      <c r="FP420" s="305"/>
      <c r="FQ420" s="305"/>
      <c r="FR420" s="305"/>
      <c r="FS420" s="305"/>
      <c r="FT420" s="305"/>
      <c r="FU420" s="305"/>
      <c r="FV420" s="305"/>
      <c r="FW420" s="305"/>
      <c r="FX420" s="305"/>
      <c r="FY420" s="305"/>
      <c r="FZ420" s="305"/>
      <c r="GA420" s="305"/>
      <c r="GB420" s="305"/>
      <c r="GC420" s="305"/>
      <c r="GD420" s="305"/>
      <c r="GE420" s="305"/>
      <c r="GF420" s="305"/>
      <c r="GG420" s="305"/>
      <c r="GH420" s="305"/>
      <c r="GI420" s="305"/>
      <c r="GJ420" s="305"/>
      <c r="GK420" s="305"/>
      <c r="GL420" s="305"/>
      <c r="GM420" s="305"/>
      <c r="GN420" s="305"/>
      <c r="GO420" s="305"/>
      <c r="GP420" s="305"/>
      <c r="GQ420" s="305"/>
      <c r="GR420" s="305"/>
    </row>
    <row r="421" spans="3:200" s="318" customFormat="1" ht="12.75" customHeight="1" x14ac:dyDescent="0.2">
      <c r="C421" s="367"/>
      <c r="D421" s="403"/>
      <c r="E421" s="369"/>
      <c r="F421" s="369"/>
      <c r="G421" s="369"/>
      <c r="H421" s="369"/>
      <c r="I421" s="370"/>
      <c r="J421"/>
      <c r="K421" s="371"/>
      <c r="L421" s="371"/>
      <c r="M421" s="371"/>
      <c r="N421" s="371"/>
      <c r="O421" s="305"/>
      <c r="P421" s="305"/>
      <c r="Q421" s="305"/>
      <c r="R421" s="305"/>
      <c r="S421" s="305"/>
      <c r="T421" s="305"/>
      <c r="U421" s="305"/>
      <c r="V421" s="305"/>
      <c r="W421" s="305"/>
      <c r="X421" s="305"/>
      <c r="Y421" s="305"/>
      <c r="Z421" s="305"/>
      <c r="AA421" s="305"/>
      <c r="AB421" s="305"/>
      <c r="AC421" s="305"/>
      <c r="AD421" s="305"/>
      <c r="AE421" s="305"/>
      <c r="AF421" s="305"/>
      <c r="AG421" s="305"/>
      <c r="AH421" s="305"/>
      <c r="AI421" s="305"/>
      <c r="AJ421" s="305"/>
      <c r="AK421" s="305"/>
      <c r="AL421" s="305"/>
      <c r="AM421" s="305"/>
      <c r="AN421" s="305"/>
      <c r="AO421" s="305"/>
      <c r="AP421" s="305"/>
      <c r="AQ421" s="305"/>
      <c r="AR421" s="305"/>
      <c r="AS421" s="305"/>
      <c r="AT421" s="305"/>
      <c r="AU421" s="305"/>
      <c r="AV421" s="305"/>
      <c r="AW421" s="305"/>
      <c r="AX421" s="305"/>
      <c r="AY421" s="305"/>
      <c r="AZ421" s="305"/>
      <c r="BA421" s="305"/>
      <c r="BB421" s="305"/>
      <c r="BC421" s="305"/>
      <c r="BD421" s="305"/>
      <c r="BE421" s="305"/>
      <c r="BF421" s="305"/>
      <c r="BG421" s="305"/>
      <c r="BH421" s="305"/>
      <c r="BI421" s="305"/>
      <c r="BJ421" s="305"/>
      <c r="BK421" s="305"/>
      <c r="BL421" s="305"/>
      <c r="BM421" s="305"/>
      <c r="BN421" s="305"/>
      <c r="BO421" s="305"/>
      <c r="BP421" s="305"/>
      <c r="BQ421" s="305"/>
      <c r="BR421" s="305"/>
      <c r="BS421" s="305"/>
      <c r="BT421" s="305"/>
      <c r="BU421" s="305"/>
      <c r="BV421" s="305"/>
      <c r="BW421" s="305"/>
      <c r="BX421" s="305"/>
      <c r="BY421" s="305"/>
      <c r="BZ421" s="305"/>
      <c r="CA421" s="305"/>
      <c r="CB421" s="305"/>
      <c r="CC421" s="305"/>
      <c r="CD421" s="305"/>
      <c r="CE421" s="305"/>
      <c r="CF421" s="305"/>
      <c r="CG421" s="305"/>
      <c r="CH421" s="305"/>
      <c r="CI421" s="305"/>
      <c r="CJ421" s="305"/>
      <c r="CK421" s="305"/>
      <c r="CL421" s="305"/>
      <c r="CM421" s="305"/>
      <c r="CN421" s="305"/>
      <c r="CO421" s="305"/>
      <c r="CP421" s="305"/>
      <c r="CQ421" s="305"/>
      <c r="CR421" s="305"/>
      <c r="CS421" s="305"/>
      <c r="CT421" s="305"/>
      <c r="CU421" s="305"/>
      <c r="CV421" s="305"/>
      <c r="CW421" s="305"/>
      <c r="CX421" s="305"/>
      <c r="CY421" s="305"/>
      <c r="CZ421" s="305"/>
      <c r="DA421" s="305"/>
      <c r="DB421" s="305"/>
      <c r="DC421" s="305"/>
      <c r="DD421" s="305"/>
      <c r="DE421" s="305"/>
      <c r="DF421" s="305"/>
      <c r="DG421" s="305"/>
      <c r="DH421" s="305"/>
      <c r="DI421" s="305"/>
      <c r="DJ421" s="305"/>
      <c r="DK421" s="305"/>
      <c r="DL421" s="305"/>
      <c r="DM421" s="305"/>
      <c r="DN421" s="305"/>
      <c r="DO421" s="305"/>
      <c r="DP421" s="305"/>
      <c r="DQ421" s="305"/>
      <c r="DR421" s="305"/>
      <c r="DS421" s="305"/>
      <c r="DT421" s="305"/>
      <c r="DU421" s="305"/>
      <c r="DV421" s="305"/>
      <c r="DW421" s="305"/>
      <c r="DX421" s="305"/>
      <c r="DY421" s="305"/>
      <c r="DZ421" s="305"/>
      <c r="EA421" s="305"/>
      <c r="EB421" s="305"/>
      <c r="EC421" s="305"/>
      <c r="ED421" s="305"/>
      <c r="EE421" s="305"/>
      <c r="EF421" s="305"/>
      <c r="EG421" s="305"/>
      <c r="EH421" s="305"/>
      <c r="EI421" s="305"/>
      <c r="EJ421" s="305"/>
      <c r="EK421" s="305"/>
      <c r="EL421" s="305"/>
      <c r="EM421" s="305"/>
      <c r="EN421" s="305"/>
      <c r="EO421" s="305"/>
      <c r="EP421" s="305"/>
      <c r="EQ421" s="305"/>
      <c r="ER421" s="305"/>
      <c r="ES421" s="305"/>
      <c r="ET421" s="305"/>
      <c r="EU421" s="305"/>
      <c r="EV421" s="305"/>
      <c r="EW421" s="305"/>
      <c r="EX421" s="305"/>
      <c r="EY421" s="305"/>
      <c r="EZ421" s="305"/>
      <c r="FA421" s="305"/>
      <c r="FB421" s="305"/>
      <c r="FC421" s="305"/>
      <c r="FD421" s="305"/>
      <c r="FE421" s="305"/>
      <c r="FF421" s="305"/>
      <c r="FG421" s="305"/>
      <c r="FH421" s="305"/>
      <c r="FI421" s="305"/>
      <c r="FJ421" s="305"/>
      <c r="FK421" s="305"/>
      <c r="FL421" s="305"/>
      <c r="FM421" s="305"/>
      <c r="FN421" s="305"/>
      <c r="FO421" s="305"/>
      <c r="FP421" s="305"/>
      <c r="FQ421" s="305"/>
      <c r="FR421" s="305"/>
      <c r="FS421" s="305"/>
      <c r="FT421" s="305"/>
      <c r="FU421" s="305"/>
      <c r="FV421" s="305"/>
      <c r="FW421" s="305"/>
      <c r="FX421" s="305"/>
      <c r="FY421" s="305"/>
      <c r="FZ421" s="305"/>
      <c r="GA421" s="305"/>
      <c r="GB421" s="305"/>
      <c r="GC421" s="305"/>
      <c r="GD421" s="305"/>
      <c r="GE421" s="305"/>
      <c r="GF421" s="305"/>
      <c r="GG421" s="305"/>
      <c r="GH421" s="305"/>
      <c r="GI421" s="305"/>
      <c r="GJ421" s="305"/>
      <c r="GK421" s="305"/>
      <c r="GL421" s="305"/>
      <c r="GM421" s="305"/>
      <c r="GN421" s="305"/>
      <c r="GO421" s="305"/>
      <c r="GP421" s="305"/>
      <c r="GQ421" s="305"/>
      <c r="GR421" s="305"/>
    </row>
    <row r="422" spans="3:200" s="318" customFormat="1" ht="12.75" customHeight="1" x14ac:dyDescent="0.2">
      <c r="C422" s="367"/>
      <c r="D422" s="403"/>
      <c r="E422" s="369"/>
      <c r="F422" s="369"/>
      <c r="G422" s="369"/>
      <c r="H422" s="369"/>
      <c r="I422" s="370"/>
      <c r="J422"/>
      <c r="K422" s="371"/>
      <c r="L422" s="371"/>
      <c r="M422" s="371"/>
      <c r="N422" s="371"/>
      <c r="O422" s="305"/>
      <c r="P422" s="305"/>
      <c r="Q422" s="305"/>
      <c r="R422" s="305"/>
      <c r="S422" s="305"/>
      <c r="T422" s="305"/>
      <c r="U422" s="305"/>
      <c r="V422" s="305"/>
      <c r="W422" s="305"/>
      <c r="X422" s="305"/>
      <c r="Y422" s="305"/>
      <c r="Z422" s="305"/>
      <c r="AA422" s="305"/>
      <c r="AB422" s="305"/>
      <c r="AC422" s="305"/>
      <c r="AD422" s="305"/>
      <c r="AE422" s="305"/>
      <c r="AF422" s="305"/>
      <c r="AG422" s="305"/>
      <c r="AH422" s="305"/>
      <c r="AI422" s="305"/>
      <c r="AJ422" s="305"/>
      <c r="AK422" s="305"/>
      <c r="AL422" s="305"/>
      <c r="AM422" s="305"/>
      <c r="AN422" s="305"/>
      <c r="AO422" s="305"/>
      <c r="AP422" s="305"/>
      <c r="AQ422" s="305"/>
      <c r="AR422" s="305"/>
      <c r="AS422" s="305"/>
      <c r="AT422" s="305"/>
      <c r="AU422" s="305"/>
      <c r="AV422" s="305"/>
      <c r="AW422" s="305"/>
      <c r="AX422" s="305"/>
      <c r="AY422" s="305"/>
      <c r="AZ422" s="305"/>
      <c r="BA422" s="305"/>
      <c r="BB422" s="305"/>
      <c r="BC422" s="305"/>
      <c r="BD422" s="305"/>
      <c r="BE422" s="305"/>
      <c r="BF422" s="305"/>
      <c r="BG422" s="305"/>
      <c r="BH422" s="305"/>
      <c r="BI422" s="305"/>
      <c r="BJ422" s="305"/>
      <c r="BK422" s="305"/>
      <c r="BL422" s="305"/>
      <c r="BM422" s="305"/>
      <c r="BN422" s="305"/>
      <c r="BO422" s="305"/>
      <c r="BP422" s="305"/>
      <c r="BQ422" s="305"/>
      <c r="BR422" s="305"/>
      <c r="BS422" s="305"/>
      <c r="BT422" s="305"/>
      <c r="BU422" s="305"/>
      <c r="BV422" s="305"/>
      <c r="BW422" s="305"/>
      <c r="BX422" s="305"/>
      <c r="BY422" s="305"/>
      <c r="BZ422" s="305"/>
      <c r="CA422" s="305"/>
      <c r="CB422" s="305"/>
      <c r="CC422" s="305"/>
      <c r="CD422" s="305"/>
      <c r="CE422" s="305"/>
      <c r="CF422" s="305"/>
      <c r="CG422" s="305"/>
      <c r="CH422" s="305"/>
      <c r="CI422" s="305"/>
      <c r="CJ422" s="305"/>
      <c r="CK422" s="305"/>
      <c r="CL422" s="305"/>
      <c r="CM422" s="305"/>
      <c r="CN422" s="305"/>
      <c r="CO422" s="305"/>
      <c r="CP422" s="305"/>
      <c r="CQ422" s="305"/>
      <c r="CR422" s="305"/>
      <c r="CS422" s="305"/>
      <c r="CT422" s="305"/>
      <c r="CU422" s="305"/>
      <c r="CV422" s="305"/>
      <c r="CW422" s="305"/>
      <c r="CX422" s="305"/>
      <c r="CY422" s="305"/>
      <c r="CZ422" s="305"/>
      <c r="DA422" s="305"/>
      <c r="DB422" s="305"/>
      <c r="DC422" s="305"/>
      <c r="DD422" s="305"/>
      <c r="DE422" s="305"/>
      <c r="DF422" s="305"/>
      <c r="DG422" s="305"/>
      <c r="DH422" s="305"/>
      <c r="DI422" s="305"/>
      <c r="DJ422" s="305"/>
      <c r="DK422" s="305"/>
      <c r="DL422" s="305"/>
      <c r="DM422" s="305"/>
      <c r="DN422" s="305"/>
      <c r="DO422" s="305"/>
      <c r="DP422" s="305"/>
      <c r="DQ422" s="305"/>
      <c r="DR422" s="305"/>
      <c r="DS422" s="305"/>
      <c r="DT422" s="305"/>
      <c r="DU422" s="305"/>
      <c r="DV422" s="305"/>
      <c r="DW422" s="305"/>
      <c r="DX422" s="305"/>
      <c r="DY422" s="305"/>
      <c r="DZ422" s="305"/>
      <c r="EA422" s="305"/>
      <c r="EB422" s="305"/>
      <c r="EC422" s="305"/>
      <c r="ED422" s="305"/>
      <c r="EE422" s="305"/>
      <c r="EF422" s="305"/>
      <c r="EG422" s="305"/>
      <c r="EH422" s="305"/>
      <c r="EI422" s="305"/>
      <c r="EJ422" s="305"/>
      <c r="EK422" s="305"/>
      <c r="EL422" s="305"/>
      <c r="EM422" s="305"/>
      <c r="EN422" s="305"/>
      <c r="EO422" s="305"/>
      <c r="EP422" s="305"/>
      <c r="EQ422" s="305"/>
      <c r="ER422" s="305"/>
      <c r="ES422" s="305"/>
      <c r="ET422" s="305"/>
      <c r="EU422" s="305"/>
      <c r="EV422" s="305"/>
      <c r="EW422" s="305"/>
      <c r="EX422" s="305"/>
      <c r="EY422" s="305"/>
      <c r="EZ422" s="305"/>
      <c r="FA422" s="305"/>
      <c r="FB422" s="305"/>
      <c r="FC422" s="305"/>
      <c r="FD422" s="305"/>
      <c r="FE422" s="305"/>
      <c r="FF422" s="305"/>
      <c r="FG422" s="305"/>
      <c r="FH422" s="305"/>
      <c r="FI422" s="305"/>
      <c r="FJ422" s="305"/>
      <c r="FK422" s="305"/>
      <c r="FL422" s="305"/>
      <c r="FM422" s="305"/>
      <c r="FN422" s="305"/>
      <c r="FO422" s="305"/>
      <c r="FP422" s="305"/>
      <c r="FQ422" s="305"/>
      <c r="FR422" s="305"/>
      <c r="FS422" s="305"/>
      <c r="FT422" s="305"/>
      <c r="FU422" s="305"/>
      <c r="FV422" s="305"/>
      <c r="FW422" s="305"/>
      <c r="FX422" s="305"/>
      <c r="FY422" s="305"/>
      <c r="FZ422" s="305"/>
      <c r="GA422" s="305"/>
      <c r="GB422" s="305"/>
      <c r="GC422" s="305"/>
      <c r="GD422" s="305"/>
      <c r="GE422" s="305"/>
      <c r="GF422" s="305"/>
      <c r="GG422" s="305"/>
      <c r="GH422" s="305"/>
      <c r="GI422" s="305"/>
      <c r="GJ422" s="305"/>
      <c r="GK422" s="305"/>
      <c r="GL422" s="305"/>
      <c r="GM422" s="305"/>
      <c r="GN422" s="305"/>
      <c r="GO422" s="305"/>
      <c r="GP422" s="305"/>
      <c r="GQ422" s="305"/>
      <c r="GR422" s="305"/>
    </row>
    <row r="423" spans="3:200" s="318" customFormat="1" ht="12.75" customHeight="1" x14ac:dyDescent="0.2">
      <c r="C423" s="367"/>
      <c r="D423" s="403"/>
      <c r="E423" s="369"/>
      <c r="F423" s="369"/>
      <c r="G423" s="369"/>
      <c r="H423" s="369"/>
      <c r="I423" s="370"/>
      <c r="J423"/>
      <c r="K423" s="371"/>
      <c r="L423" s="371"/>
      <c r="M423" s="371"/>
      <c r="N423" s="371"/>
      <c r="O423" s="305"/>
      <c r="P423" s="305"/>
      <c r="Q423" s="305"/>
      <c r="R423" s="305"/>
      <c r="S423" s="305"/>
      <c r="T423" s="305"/>
      <c r="U423" s="305"/>
      <c r="V423" s="305"/>
      <c r="W423" s="305"/>
      <c r="X423" s="305"/>
      <c r="Y423" s="305"/>
      <c r="Z423" s="305"/>
      <c r="AA423" s="305"/>
      <c r="AB423" s="305"/>
      <c r="AC423" s="305"/>
      <c r="AD423" s="305"/>
      <c r="AE423" s="305"/>
      <c r="AF423" s="305"/>
      <c r="AG423" s="305"/>
      <c r="AH423" s="305"/>
      <c r="AI423" s="305"/>
      <c r="AJ423" s="305"/>
      <c r="AK423" s="305"/>
      <c r="AL423" s="305"/>
      <c r="AM423" s="305"/>
      <c r="AN423" s="305"/>
      <c r="AO423" s="305"/>
      <c r="AP423" s="305"/>
      <c r="AQ423" s="305"/>
      <c r="AR423" s="305"/>
      <c r="AS423" s="305"/>
      <c r="AT423" s="305"/>
      <c r="AU423" s="305"/>
      <c r="AV423" s="305"/>
      <c r="AW423" s="305"/>
      <c r="AX423" s="305"/>
      <c r="AY423" s="305"/>
      <c r="AZ423" s="305"/>
      <c r="BA423" s="305"/>
      <c r="BB423" s="305"/>
      <c r="BC423" s="305"/>
      <c r="BD423" s="305"/>
      <c r="BE423" s="305"/>
      <c r="BF423" s="305"/>
      <c r="BG423" s="305"/>
      <c r="BH423" s="305"/>
      <c r="BI423" s="305"/>
      <c r="BJ423" s="305"/>
      <c r="BK423" s="305"/>
      <c r="BL423" s="305"/>
      <c r="BM423" s="305"/>
      <c r="BN423" s="305"/>
      <c r="BO423" s="305"/>
      <c r="BP423" s="305"/>
      <c r="BQ423" s="305"/>
      <c r="BR423" s="305"/>
      <c r="BS423" s="305"/>
      <c r="BT423" s="305"/>
      <c r="BU423" s="305"/>
      <c r="BV423" s="305"/>
      <c r="BW423" s="305"/>
      <c r="BX423" s="305"/>
      <c r="BY423" s="305"/>
      <c r="BZ423" s="305"/>
      <c r="CA423" s="305"/>
      <c r="CB423" s="305"/>
      <c r="CC423" s="305"/>
      <c r="CD423" s="305"/>
      <c r="CE423" s="305"/>
      <c r="CF423" s="305"/>
      <c r="CG423" s="305"/>
      <c r="CH423" s="305"/>
      <c r="CI423" s="305"/>
      <c r="CJ423" s="305"/>
      <c r="CK423" s="305"/>
      <c r="CL423" s="305"/>
      <c r="CM423" s="305"/>
      <c r="CN423" s="305"/>
      <c r="CO423" s="305"/>
      <c r="CP423" s="305"/>
      <c r="CQ423" s="305"/>
      <c r="CR423" s="305"/>
      <c r="CS423" s="305"/>
      <c r="CT423" s="305"/>
      <c r="CU423" s="305"/>
      <c r="CV423" s="305"/>
      <c r="CW423" s="305"/>
      <c r="CX423" s="305"/>
      <c r="CY423" s="305"/>
      <c r="CZ423" s="305"/>
      <c r="DA423" s="305"/>
      <c r="DB423" s="305"/>
      <c r="DC423" s="305"/>
      <c r="DD423" s="305"/>
      <c r="DE423" s="305"/>
      <c r="DF423" s="305"/>
      <c r="DG423" s="305"/>
      <c r="DH423" s="305"/>
      <c r="DI423" s="305"/>
      <c r="DJ423" s="305"/>
      <c r="DK423" s="305"/>
      <c r="DL423" s="305"/>
      <c r="DM423" s="305"/>
      <c r="DN423" s="305"/>
      <c r="DO423" s="305"/>
      <c r="DP423" s="305"/>
      <c r="DQ423" s="305"/>
      <c r="DR423" s="305"/>
      <c r="DS423" s="305"/>
      <c r="DT423" s="305"/>
      <c r="DU423" s="305"/>
      <c r="DV423" s="305"/>
      <c r="DW423" s="305"/>
      <c r="DX423" s="305"/>
      <c r="DY423" s="305"/>
      <c r="DZ423" s="305"/>
      <c r="EA423" s="305"/>
      <c r="EB423" s="305"/>
      <c r="EC423" s="305"/>
      <c r="ED423" s="305"/>
      <c r="EE423" s="305"/>
      <c r="EF423" s="305"/>
      <c r="EG423" s="305"/>
      <c r="EH423" s="305"/>
      <c r="EI423" s="305"/>
      <c r="EJ423" s="305"/>
      <c r="EK423" s="305"/>
      <c r="EL423" s="305"/>
      <c r="EM423" s="305"/>
      <c r="EN423" s="305"/>
      <c r="EO423" s="305"/>
      <c r="EP423" s="305"/>
      <c r="EQ423" s="305"/>
      <c r="ER423" s="305"/>
      <c r="ES423" s="305"/>
      <c r="ET423" s="305"/>
      <c r="EU423" s="305"/>
      <c r="EV423" s="305"/>
      <c r="EW423" s="305"/>
      <c r="EX423" s="305"/>
      <c r="EY423" s="305"/>
      <c r="EZ423" s="305"/>
      <c r="FA423" s="305"/>
      <c r="FB423" s="305"/>
      <c r="FC423" s="305"/>
      <c r="FD423" s="305"/>
      <c r="FE423" s="305"/>
      <c r="FF423" s="305"/>
      <c r="FG423" s="305"/>
      <c r="FH423" s="305"/>
      <c r="FI423" s="305"/>
      <c r="FJ423" s="305"/>
      <c r="FK423" s="305"/>
      <c r="FL423" s="305"/>
      <c r="FM423" s="305"/>
      <c r="FN423" s="305"/>
      <c r="FO423" s="305"/>
      <c r="FP423" s="305"/>
      <c r="FQ423" s="305"/>
      <c r="FR423" s="305"/>
      <c r="FS423" s="305"/>
      <c r="FT423" s="305"/>
      <c r="FU423" s="305"/>
      <c r="FV423" s="305"/>
      <c r="FW423" s="305"/>
      <c r="FX423" s="305"/>
      <c r="FY423" s="305"/>
      <c r="FZ423" s="305"/>
      <c r="GA423" s="305"/>
      <c r="GB423" s="305"/>
      <c r="GC423" s="305"/>
      <c r="GD423" s="305"/>
      <c r="GE423" s="305"/>
      <c r="GF423" s="305"/>
      <c r="GG423" s="305"/>
      <c r="GH423" s="305"/>
      <c r="GI423" s="305"/>
      <c r="GJ423" s="305"/>
      <c r="GK423" s="305"/>
      <c r="GL423" s="305"/>
      <c r="GM423" s="305"/>
      <c r="GN423" s="305"/>
      <c r="GO423" s="305"/>
      <c r="GP423" s="305"/>
      <c r="GQ423" s="305"/>
      <c r="GR423" s="305"/>
    </row>
    <row r="424" spans="3:200" s="318" customFormat="1" ht="12.75" customHeight="1" x14ac:dyDescent="0.2">
      <c r="C424" s="367"/>
      <c r="D424" s="403"/>
      <c r="E424" s="369"/>
      <c r="F424" s="369"/>
      <c r="G424" s="369"/>
      <c r="H424" s="369"/>
      <c r="I424" s="370"/>
      <c r="J424"/>
      <c r="K424" s="371"/>
      <c r="L424" s="371"/>
      <c r="M424" s="371"/>
      <c r="N424" s="371"/>
      <c r="O424" s="305"/>
      <c r="P424" s="305"/>
      <c r="Q424" s="305"/>
      <c r="R424" s="305"/>
      <c r="S424" s="305"/>
      <c r="T424" s="305"/>
      <c r="U424" s="305"/>
      <c r="V424" s="305"/>
      <c r="W424" s="305"/>
      <c r="X424" s="305"/>
      <c r="Y424" s="305"/>
      <c r="Z424" s="305"/>
      <c r="AA424" s="305"/>
      <c r="AB424" s="305"/>
      <c r="AC424" s="305"/>
      <c r="AD424" s="305"/>
      <c r="AE424" s="305"/>
      <c r="AF424" s="305"/>
      <c r="AG424" s="305"/>
      <c r="AH424" s="305"/>
      <c r="AI424" s="305"/>
      <c r="AJ424" s="305"/>
      <c r="AK424" s="305"/>
      <c r="AL424" s="305"/>
      <c r="AM424" s="305"/>
      <c r="AN424" s="305"/>
      <c r="AO424" s="305"/>
      <c r="AP424" s="305"/>
      <c r="AQ424" s="305"/>
      <c r="AR424" s="305"/>
      <c r="AS424" s="305"/>
      <c r="AT424" s="305"/>
      <c r="AU424" s="305"/>
      <c r="AV424" s="305"/>
      <c r="AW424" s="305"/>
      <c r="AX424" s="305"/>
      <c r="AY424" s="305"/>
      <c r="AZ424" s="305"/>
      <c r="BA424" s="305"/>
      <c r="BB424" s="305"/>
      <c r="BC424" s="305"/>
      <c r="BD424" s="305"/>
      <c r="BE424" s="305"/>
      <c r="BF424" s="305"/>
      <c r="BG424" s="305"/>
      <c r="BH424" s="305"/>
      <c r="BI424" s="305"/>
      <c r="BJ424" s="305"/>
      <c r="BK424" s="305"/>
      <c r="BL424" s="305"/>
      <c r="BM424" s="305"/>
      <c r="BN424" s="305"/>
      <c r="BO424" s="305"/>
      <c r="BP424" s="305"/>
      <c r="BQ424" s="305"/>
      <c r="BR424" s="305"/>
      <c r="BS424" s="305"/>
      <c r="BT424" s="305"/>
      <c r="BU424" s="305"/>
      <c r="BV424" s="305"/>
      <c r="BW424" s="305"/>
      <c r="BX424" s="305"/>
      <c r="BY424" s="305"/>
      <c r="BZ424" s="305"/>
      <c r="CA424" s="305"/>
      <c r="CB424" s="305"/>
      <c r="CC424" s="305"/>
      <c r="CD424" s="305"/>
      <c r="CE424" s="305"/>
      <c r="CF424" s="305"/>
      <c r="CG424" s="305"/>
      <c r="CH424" s="305"/>
      <c r="CI424" s="305"/>
      <c r="CJ424" s="305"/>
      <c r="CK424" s="305"/>
      <c r="CL424" s="305"/>
      <c r="CM424" s="305"/>
      <c r="CN424" s="305"/>
      <c r="CO424" s="305"/>
      <c r="CP424" s="305"/>
      <c r="CQ424" s="305"/>
      <c r="CR424" s="305"/>
      <c r="CS424" s="305"/>
      <c r="CT424" s="305"/>
      <c r="CU424" s="305"/>
      <c r="CV424" s="305"/>
      <c r="CW424" s="305"/>
      <c r="CX424" s="305"/>
      <c r="CY424" s="305"/>
      <c r="CZ424" s="305"/>
      <c r="DA424" s="305"/>
      <c r="DB424" s="305"/>
      <c r="DC424" s="305"/>
      <c r="DD424" s="305"/>
      <c r="DE424" s="305"/>
      <c r="DF424" s="305"/>
      <c r="DG424" s="305"/>
      <c r="DH424" s="305"/>
      <c r="DI424" s="305"/>
      <c r="DJ424" s="305"/>
      <c r="DK424" s="305"/>
      <c r="DL424" s="305"/>
      <c r="DM424" s="305"/>
      <c r="DN424" s="305"/>
      <c r="DO424" s="305"/>
      <c r="DP424" s="305"/>
      <c r="DQ424" s="305"/>
      <c r="DR424" s="305"/>
      <c r="DS424" s="305"/>
      <c r="DT424" s="305"/>
      <c r="DU424" s="305"/>
      <c r="DV424" s="305"/>
      <c r="DW424" s="305"/>
      <c r="DX424" s="305"/>
      <c r="DY424" s="305"/>
      <c r="DZ424" s="305"/>
      <c r="EA424" s="305"/>
      <c r="EB424" s="305"/>
      <c r="EC424" s="305"/>
      <c r="ED424" s="305"/>
      <c r="EE424" s="305"/>
      <c r="EF424" s="305"/>
      <c r="EG424" s="305"/>
      <c r="EH424" s="305"/>
      <c r="EI424" s="305"/>
      <c r="EJ424" s="305"/>
      <c r="EK424" s="305"/>
      <c r="EL424" s="305"/>
      <c r="EM424" s="305"/>
      <c r="EN424" s="305"/>
      <c r="EO424" s="305"/>
      <c r="EP424" s="305"/>
      <c r="EQ424" s="305"/>
      <c r="ER424" s="305"/>
      <c r="ES424" s="305"/>
      <c r="ET424" s="305"/>
      <c r="EU424" s="305"/>
      <c r="EV424" s="305"/>
      <c r="EW424" s="305"/>
      <c r="EX424" s="305"/>
      <c r="EY424" s="305"/>
      <c r="EZ424" s="305"/>
      <c r="FA424" s="305"/>
      <c r="FB424" s="305"/>
      <c r="FC424" s="305"/>
      <c r="FD424" s="305"/>
      <c r="FE424" s="305"/>
      <c r="FF424" s="305"/>
      <c r="FG424" s="305"/>
      <c r="FH424" s="305"/>
      <c r="FI424" s="305"/>
      <c r="FJ424" s="305"/>
      <c r="FK424" s="305"/>
      <c r="FL424" s="305"/>
      <c r="FM424" s="305"/>
      <c r="FN424" s="305"/>
      <c r="FO424" s="305"/>
      <c r="FP424" s="305"/>
      <c r="FQ424" s="305"/>
      <c r="FR424" s="305"/>
      <c r="FS424" s="305"/>
      <c r="FT424" s="305"/>
      <c r="FU424" s="305"/>
      <c r="FV424" s="305"/>
      <c r="FW424" s="305"/>
      <c r="FX424" s="305"/>
      <c r="FY424" s="305"/>
      <c r="FZ424" s="305"/>
      <c r="GA424" s="305"/>
      <c r="GB424" s="305"/>
      <c r="GC424" s="305"/>
      <c r="GD424" s="305"/>
      <c r="GE424" s="305"/>
      <c r="GF424" s="305"/>
      <c r="GG424" s="305"/>
      <c r="GH424" s="305"/>
      <c r="GI424" s="305"/>
      <c r="GJ424" s="305"/>
      <c r="GK424" s="305"/>
      <c r="GL424" s="305"/>
      <c r="GM424" s="305"/>
      <c r="GN424" s="305"/>
      <c r="GO424" s="305"/>
      <c r="GP424" s="305"/>
      <c r="GQ424" s="305"/>
      <c r="GR424" s="305"/>
    </row>
    <row r="425" spans="3:200" s="318" customFormat="1" ht="12.75" customHeight="1" x14ac:dyDescent="0.2">
      <c r="C425" s="367"/>
      <c r="D425" s="403"/>
      <c r="E425" s="369"/>
      <c r="F425" s="369"/>
      <c r="G425" s="369"/>
      <c r="H425" s="369"/>
      <c r="I425" s="370"/>
      <c r="J425"/>
      <c r="K425" s="371"/>
      <c r="L425" s="371"/>
      <c r="M425" s="371"/>
      <c r="N425" s="371"/>
      <c r="O425" s="305"/>
      <c r="P425" s="305"/>
      <c r="Q425" s="305"/>
      <c r="R425" s="305"/>
      <c r="S425" s="305"/>
      <c r="T425" s="305"/>
      <c r="U425" s="305"/>
      <c r="V425" s="305"/>
      <c r="W425" s="305"/>
      <c r="X425" s="305"/>
      <c r="Y425" s="305"/>
      <c r="Z425" s="305"/>
      <c r="AA425" s="305"/>
      <c r="AB425" s="305"/>
      <c r="AC425" s="305"/>
      <c r="AD425" s="305"/>
      <c r="AE425" s="305"/>
      <c r="AF425" s="305"/>
      <c r="AG425" s="305"/>
      <c r="AH425" s="305"/>
      <c r="AI425" s="305"/>
      <c r="AJ425" s="305"/>
      <c r="AK425" s="305"/>
      <c r="AL425" s="305"/>
      <c r="AM425" s="305"/>
      <c r="AN425" s="305"/>
      <c r="AO425" s="305"/>
      <c r="AP425" s="305"/>
      <c r="AQ425" s="305"/>
      <c r="AR425" s="305"/>
      <c r="AS425" s="305"/>
      <c r="AT425" s="305"/>
      <c r="AU425" s="305"/>
      <c r="AV425" s="305"/>
      <c r="AW425" s="305"/>
      <c r="AX425" s="305"/>
      <c r="AY425" s="305"/>
      <c r="AZ425" s="305"/>
      <c r="BA425" s="305"/>
      <c r="BB425" s="305"/>
      <c r="BC425" s="305"/>
      <c r="BD425" s="305"/>
      <c r="BE425" s="305"/>
      <c r="BF425" s="305"/>
      <c r="BG425" s="305"/>
      <c r="BH425" s="305"/>
      <c r="BI425" s="305"/>
      <c r="BJ425" s="305"/>
      <c r="BK425" s="305"/>
      <c r="BL425" s="305"/>
      <c r="BM425" s="305"/>
      <c r="BN425" s="305"/>
      <c r="BO425" s="305"/>
      <c r="BP425" s="305"/>
      <c r="BQ425" s="305"/>
      <c r="BR425" s="305"/>
      <c r="BS425" s="305"/>
      <c r="BT425" s="305"/>
      <c r="BU425" s="305"/>
      <c r="BV425" s="305"/>
      <c r="BW425" s="305"/>
      <c r="BX425" s="305"/>
      <c r="BY425" s="305"/>
      <c r="BZ425" s="305"/>
      <c r="CA425" s="305"/>
      <c r="CB425" s="305"/>
      <c r="CC425" s="305"/>
      <c r="CD425" s="305"/>
      <c r="CE425" s="305"/>
      <c r="CF425" s="305"/>
      <c r="CG425" s="305"/>
      <c r="CH425" s="305"/>
      <c r="CI425" s="305"/>
      <c r="CJ425" s="305"/>
      <c r="CK425" s="305"/>
      <c r="CL425" s="305"/>
      <c r="CM425" s="305"/>
      <c r="CN425" s="305"/>
      <c r="CO425" s="305"/>
      <c r="CP425" s="305"/>
      <c r="CQ425" s="305"/>
      <c r="CR425" s="305"/>
      <c r="CS425" s="305"/>
      <c r="CT425" s="305"/>
      <c r="CU425" s="305"/>
      <c r="CV425" s="305"/>
      <c r="CW425" s="305"/>
      <c r="CX425" s="305"/>
      <c r="CY425" s="305"/>
      <c r="CZ425" s="305"/>
      <c r="DA425" s="305"/>
      <c r="DB425" s="305"/>
      <c r="DC425" s="305"/>
      <c r="DD425" s="305"/>
      <c r="DE425" s="305"/>
      <c r="DF425" s="305"/>
      <c r="DG425" s="305"/>
      <c r="DH425" s="305"/>
      <c r="DI425" s="305"/>
      <c r="DJ425" s="305"/>
      <c r="DK425" s="305"/>
      <c r="DL425" s="305"/>
      <c r="DM425" s="305"/>
      <c r="DN425" s="305"/>
      <c r="DO425" s="305"/>
      <c r="DP425" s="305"/>
      <c r="DQ425" s="305"/>
      <c r="DR425" s="305"/>
      <c r="DS425" s="305"/>
      <c r="DT425" s="305"/>
      <c r="DU425" s="305"/>
      <c r="DV425" s="305"/>
      <c r="DW425" s="305"/>
      <c r="DX425" s="305"/>
      <c r="DY425" s="305"/>
      <c r="DZ425" s="305"/>
      <c r="EA425" s="305"/>
      <c r="EB425" s="305"/>
      <c r="EC425" s="305"/>
      <c r="ED425" s="305"/>
      <c r="EE425" s="305"/>
      <c r="EF425" s="305"/>
      <c r="EG425" s="305"/>
      <c r="EH425" s="305"/>
      <c r="EI425" s="305"/>
      <c r="EJ425" s="305"/>
      <c r="EK425" s="305"/>
      <c r="EL425" s="305"/>
      <c r="EM425" s="305"/>
      <c r="EN425" s="305"/>
      <c r="EO425" s="305"/>
      <c r="EP425" s="305"/>
      <c r="EQ425" s="305"/>
      <c r="ER425" s="305"/>
      <c r="ES425" s="305"/>
      <c r="ET425" s="305"/>
      <c r="EU425" s="305"/>
      <c r="EV425" s="305"/>
      <c r="EW425" s="305"/>
      <c r="EX425" s="305"/>
      <c r="EY425" s="305"/>
      <c r="EZ425" s="305"/>
      <c r="FA425" s="305"/>
      <c r="FB425" s="305"/>
      <c r="FC425" s="305"/>
      <c r="FD425" s="305"/>
      <c r="FE425" s="305"/>
      <c r="FF425" s="305"/>
      <c r="FG425" s="305"/>
      <c r="FH425" s="305"/>
      <c r="FI425" s="305"/>
      <c r="FJ425" s="305"/>
      <c r="FK425" s="305"/>
      <c r="FL425" s="305"/>
      <c r="FM425" s="305"/>
      <c r="FN425" s="305"/>
      <c r="FO425" s="305"/>
      <c r="FP425" s="305"/>
      <c r="FQ425" s="305"/>
      <c r="FR425" s="305"/>
      <c r="FS425" s="305"/>
      <c r="FT425" s="305"/>
      <c r="FU425" s="305"/>
      <c r="FV425" s="305"/>
      <c r="FW425" s="305"/>
      <c r="FX425" s="305"/>
      <c r="FY425" s="305"/>
      <c r="FZ425" s="305"/>
      <c r="GA425" s="305"/>
      <c r="GB425" s="305"/>
      <c r="GC425" s="305"/>
      <c r="GD425" s="305"/>
      <c r="GE425" s="305"/>
      <c r="GF425" s="305"/>
      <c r="GG425" s="305"/>
      <c r="GH425" s="305"/>
      <c r="GI425" s="305"/>
      <c r="GJ425" s="305"/>
      <c r="GK425" s="305"/>
      <c r="GL425" s="305"/>
      <c r="GM425" s="305"/>
      <c r="GN425" s="305"/>
      <c r="GO425" s="305"/>
      <c r="GP425" s="305"/>
      <c r="GQ425" s="305"/>
      <c r="GR425" s="305"/>
    </row>
    <row r="426" spans="3:200" s="318" customFormat="1" ht="12.75" customHeight="1" x14ac:dyDescent="0.2">
      <c r="C426" s="367"/>
      <c r="D426" s="403"/>
      <c r="E426" s="369"/>
      <c r="F426" s="369"/>
      <c r="G426" s="369"/>
      <c r="H426" s="369"/>
      <c r="I426" s="370"/>
      <c r="J426"/>
      <c r="K426" s="371"/>
      <c r="L426" s="371"/>
      <c r="M426" s="371"/>
      <c r="N426" s="371"/>
      <c r="O426" s="305"/>
      <c r="P426" s="305"/>
      <c r="Q426" s="305"/>
      <c r="R426" s="305"/>
      <c r="S426" s="305"/>
      <c r="T426" s="305"/>
      <c r="U426" s="305"/>
      <c r="V426" s="305"/>
      <c r="W426" s="305"/>
      <c r="X426" s="305"/>
      <c r="Y426" s="305"/>
      <c r="Z426" s="305"/>
      <c r="AA426" s="305"/>
      <c r="AB426" s="305"/>
      <c r="AC426" s="305"/>
      <c r="AD426" s="305"/>
      <c r="AE426" s="305"/>
      <c r="AF426" s="305"/>
      <c r="AG426" s="305"/>
      <c r="AH426" s="305"/>
      <c r="AI426" s="305"/>
      <c r="AJ426" s="305"/>
      <c r="AK426" s="305"/>
      <c r="AL426" s="305"/>
      <c r="AM426" s="305"/>
      <c r="AN426" s="305"/>
      <c r="AO426" s="305"/>
      <c r="AP426" s="305"/>
      <c r="AQ426" s="305"/>
      <c r="AR426" s="305"/>
      <c r="AS426" s="305"/>
      <c r="AT426" s="305"/>
      <c r="AU426" s="305"/>
      <c r="AV426" s="305"/>
      <c r="AW426" s="305"/>
      <c r="AX426" s="305"/>
      <c r="AY426" s="305"/>
      <c r="AZ426" s="305"/>
      <c r="BA426" s="305"/>
      <c r="BB426" s="305"/>
      <c r="BC426" s="305"/>
      <c r="BD426" s="305"/>
      <c r="BE426" s="305"/>
      <c r="BF426" s="305"/>
      <c r="BG426" s="305"/>
      <c r="BH426" s="305"/>
      <c r="BI426" s="305"/>
      <c r="BJ426" s="305"/>
      <c r="BK426" s="305"/>
      <c r="BL426" s="305"/>
      <c r="BM426" s="305"/>
      <c r="BN426" s="305"/>
      <c r="BO426" s="305"/>
      <c r="BP426" s="305"/>
      <c r="BQ426" s="305"/>
      <c r="BR426" s="305"/>
      <c r="BS426" s="305"/>
      <c r="BT426" s="305"/>
      <c r="BU426" s="305"/>
      <c r="BV426" s="305"/>
      <c r="BW426" s="305"/>
      <c r="BX426" s="305"/>
      <c r="BY426" s="305"/>
      <c r="BZ426" s="305"/>
      <c r="CA426" s="305"/>
      <c r="CB426" s="305"/>
      <c r="CC426" s="305"/>
      <c r="CD426" s="305"/>
      <c r="CE426" s="305"/>
      <c r="CF426" s="305"/>
      <c r="CG426" s="305"/>
      <c r="CH426" s="305"/>
      <c r="CI426" s="305"/>
      <c r="CJ426" s="305"/>
      <c r="CK426" s="305"/>
      <c r="CL426" s="305"/>
      <c r="CM426" s="305"/>
      <c r="CN426" s="305"/>
      <c r="CO426" s="305"/>
      <c r="CP426" s="305"/>
      <c r="CQ426" s="305"/>
      <c r="CR426" s="305"/>
      <c r="CS426" s="305"/>
      <c r="CT426" s="305"/>
      <c r="CU426" s="305"/>
      <c r="CV426" s="305"/>
      <c r="CW426" s="305"/>
      <c r="CX426" s="305"/>
      <c r="CY426" s="305"/>
      <c r="CZ426" s="305"/>
      <c r="DA426" s="305"/>
      <c r="DB426" s="305"/>
      <c r="DC426" s="305"/>
      <c r="DD426" s="305"/>
      <c r="DE426" s="305"/>
      <c r="DF426" s="305"/>
      <c r="DG426" s="305"/>
      <c r="DH426" s="305"/>
      <c r="DI426" s="305"/>
      <c r="DJ426" s="305"/>
      <c r="DK426" s="305"/>
      <c r="DL426" s="305"/>
      <c r="DM426" s="305"/>
      <c r="DN426" s="305"/>
      <c r="DO426" s="305"/>
      <c r="DP426" s="305"/>
      <c r="DQ426" s="305"/>
      <c r="DR426" s="305"/>
      <c r="DS426" s="305"/>
      <c r="DT426" s="305"/>
      <c r="DU426" s="305"/>
      <c r="DV426" s="305"/>
      <c r="DW426" s="305"/>
      <c r="DX426" s="305"/>
      <c r="DY426" s="305"/>
      <c r="DZ426" s="305"/>
      <c r="EA426" s="305"/>
      <c r="EB426" s="305"/>
      <c r="EC426" s="305"/>
      <c r="ED426" s="305"/>
      <c r="EE426" s="305"/>
      <c r="EF426" s="305"/>
      <c r="EG426" s="305"/>
      <c r="EH426" s="305"/>
      <c r="EI426" s="305"/>
      <c r="EJ426" s="305"/>
      <c r="EK426" s="305"/>
      <c r="EL426" s="305"/>
      <c r="EM426" s="305"/>
      <c r="EN426" s="305"/>
      <c r="EO426" s="305"/>
      <c r="EP426" s="305"/>
      <c r="EQ426" s="305"/>
      <c r="ER426" s="305"/>
      <c r="ES426" s="305"/>
      <c r="ET426" s="305"/>
      <c r="EU426" s="305"/>
      <c r="EV426" s="305"/>
      <c r="EW426" s="305"/>
      <c r="EX426" s="305"/>
      <c r="EY426" s="305"/>
      <c r="EZ426" s="305"/>
      <c r="FA426" s="305"/>
      <c r="FB426" s="305"/>
      <c r="FC426" s="305"/>
      <c r="FD426" s="305"/>
      <c r="FE426" s="305"/>
      <c r="FF426" s="305"/>
      <c r="FG426" s="305"/>
      <c r="FH426" s="305"/>
      <c r="FI426" s="305"/>
      <c r="FJ426" s="305"/>
      <c r="FK426" s="305"/>
      <c r="FL426" s="305"/>
      <c r="FM426" s="305"/>
      <c r="FN426" s="305"/>
      <c r="FO426" s="305"/>
      <c r="FP426" s="305"/>
      <c r="FQ426" s="305"/>
      <c r="FR426" s="305"/>
      <c r="FS426" s="305"/>
      <c r="FT426" s="305"/>
      <c r="FU426" s="305"/>
      <c r="FV426" s="305"/>
      <c r="FW426" s="305"/>
      <c r="FX426" s="305"/>
      <c r="FY426" s="305"/>
      <c r="FZ426" s="305"/>
      <c r="GA426" s="305"/>
      <c r="GB426" s="305"/>
      <c r="GC426" s="305"/>
      <c r="GD426" s="305"/>
      <c r="GE426" s="305"/>
      <c r="GF426" s="305"/>
      <c r="GG426" s="305"/>
      <c r="GH426" s="305"/>
      <c r="GI426" s="305"/>
      <c r="GJ426" s="305"/>
      <c r="GK426" s="305"/>
      <c r="GL426" s="305"/>
      <c r="GM426" s="305"/>
      <c r="GN426" s="305"/>
      <c r="GO426" s="305"/>
      <c r="GP426" s="305"/>
      <c r="GQ426" s="305"/>
      <c r="GR426" s="305"/>
    </row>
    <row r="427" spans="3:200" s="318" customFormat="1" ht="12.75" customHeight="1" x14ac:dyDescent="0.2">
      <c r="C427" s="367"/>
      <c r="D427" s="403"/>
      <c r="E427" s="369"/>
      <c r="F427" s="369"/>
      <c r="G427" s="369"/>
      <c r="H427" s="369"/>
      <c r="I427" s="370"/>
      <c r="J427"/>
      <c r="K427" s="371"/>
      <c r="L427" s="371"/>
      <c r="M427" s="371"/>
      <c r="N427" s="371"/>
      <c r="O427" s="305"/>
      <c r="P427" s="305"/>
      <c r="Q427" s="305"/>
      <c r="R427" s="305"/>
      <c r="S427" s="305"/>
      <c r="T427" s="305"/>
      <c r="U427" s="305"/>
      <c r="V427" s="305"/>
      <c r="W427" s="305"/>
      <c r="X427" s="305"/>
      <c r="Y427" s="305"/>
      <c r="Z427" s="305"/>
      <c r="AA427" s="305"/>
      <c r="AB427" s="305"/>
      <c r="AC427" s="305"/>
      <c r="AD427" s="305"/>
      <c r="AE427" s="305"/>
      <c r="AF427" s="305"/>
      <c r="AG427" s="305"/>
      <c r="AH427" s="305"/>
      <c r="AI427" s="305"/>
      <c r="AJ427" s="305"/>
      <c r="AK427" s="305"/>
      <c r="AL427" s="305"/>
      <c r="AM427" s="305"/>
      <c r="AN427" s="305"/>
      <c r="AO427" s="305"/>
      <c r="AP427" s="305"/>
      <c r="AQ427" s="305"/>
      <c r="AR427" s="305"/>
      <c r="AS427" s="305"/>
      <c r="AT427" s="305"/>
      <c r="AU427" s="305"/>
      <c r="AV427" s="305"/>
      <c r="AW427" s="305"/>
      <c r="AX427" s="305"/>
      <c r="AY427" s="305"/>
      <c r="AZ427" s="305"/>
      <c r="BA427" s="305"/>
      <c r="BB427" s="305"/>
      <c r="BC427" s="305"/>
      <c r="BD427" s="305"/>
      <c r="BE427" s="305"/>
      <c r="BF427" s="305"/>
      <c r="BG427" s="305"/>
      <c r="BH427" s="305"/>
      <c r="BI427" s="305"/>
      <c r="BJ427" s="305"/>
      <c r="BK427" s="305"/>
      <c r="BL427" s="305"/>
      <c r="BM427" s="305"/>
      <c r="BN427" s="305"/>
      <c r="BO427" s="305"/>
      <c r="BP427" s="305"/>
      <c r="BQ427" s="305"/>
      <c r="BR427" s="305"/>
      <c r="BS427" s="305"/>
      <c r="BT427" s="305"/>
      <c r="BU427" s="305"/>
      <c r="BV427" s="305"/>
      <c r="BW427" s="305"/>
      <c r="BX427" s="305"/>
      <c r="BY427" s="305"/>
      <c r="BZ427" s="305"/>
      <c r="CA427" s="305"/>
      <c r="CB427" s="305"/>
      <c r="CC427" s="305"/>
      <c r="CD427" s="305"/>
      <c r="CE427" s="305"/>
      <c r="CF427" s="305"/>
      <c r="CG427" s="305"/>
      <c r="CH427" s="305"/>
      <c r="CI427" s="305"/>
      <c r="CJ427" s="305"/>
      <c r="CK427" s="305"/>
      <c r="CL427" s="305"/>
      <c r="CM427" s="305"/>
      <c r="CN427" s="305"/>
      <c r="CO427" s="305"/>
      <c r="CP427" s="305"/>
      <c r="CQ427" s="305"/>
      <c r="CR427" s="305"/>
      <c r="CS427" s="305"/>
      <c r="CT427" s="305"/>
      <c r="CU427" s="305"/>
      <c r="CV427" s="305"/>
      <c r="CW427" s="305"/>
      <c r="CX427" s="305"/>
      <c r="CY427" s="305"/>
      <c r="CZ427" s="305"/>
      <c r="DA427" s="305"/>
      <c r="DB427" s="305"/>
      <c r="DC427" s="305"/>
      <c r="DD427" s="305"/>
      <c r="DE427" s="305"/>
      <c r="DF427" s="305"/>
      <c r="DG427" s="305"/>
      <c r="DH427" s="305"/>
      <c r="DI427" s="305"/>
      <c r="DJ427" s="305"/>
      <c r="DK427" s="305"/>
      <c r="DL427" s="305"/>
      <c r="DM427" s="305"/>
      <c r="DN427" s="305"/>
      <c r="DO427" s="305"/>
      <c r="DP427" s="305"/>
      <c r="DQ427" s="305"/>
      <c r="DR427" s="305"/>
      <c r="DS427" s="305"/>
      <c r="DT427" s="305"/>
      <c r="DU427" s="305"/>
      <c r="DV427" s="305"/>
      <c r="DW427" s="305"/>
      <c r="DX427" s="305"/>
      <c r="DY427" s="305"/>
      <c r="DZ427" s="305"/>
      <c r="EA427" s="305"/>
      <c r="EB427" s="305"/>
      <c r="EC427" s="305"/>
      <c r="ED427" s="305"/>
      <c r="EE427" s="305"/>
      <c r="EF427" s="305"/>
      <c r="EG427" s="305"/>
      <c r="EH427" s="305"/>
      <c r="EI427" s="305"/>
      <c r="EJ427" s="305"/>
      <c r="EK427" s="305"/>
      <c r="EL427" s="305"/>
      <c r="EM427" s="305"/>
      <c r="EN427" s="305"/>
      <c r="EO427" s="305"/>
      <c r="EP427" s="305"/>
      <c r="EQ427" s="305"/>
      <c r="ER427" s="305"/>
      <c r="ES427" s="305"/>
      <c r="ET427" s="305"/>
      <c r="EU427" s="305"/>
      <c r="EV427" s="305"/>
      <c r="EW427" s="305"/>
      <c r="EX427" s="305"/>
      <c r="EY427" s="305"/>
      <c r="EZ427" s="305"/>
      <c r="FA427" s="305"/>
      <c r="FB427" s="305"/>
      <c r="FC427" s="305"/>
      <c r="FD427" s="305"/>
      <c r="FE427" s="305"/>
      <c r="FF427" s="305"/>
      <c r="FG427" s="305"/>
      <c r="FH427" s="305"/>
      <c r="FI427" s="305"/>
      <c r="FJ427" s="305"/>
      <c r="FK427" s="305"/>
      <c r="FL427" s="305"/>
      <c r="FM427" s="305"/>
      <c r="FN427" s="305"/>
      <c r="FO427" s="305"/>
      <c r="FP427" s="305"/>
      <c r="FQ427" s="305"/>
      <c r="FR427" s="305"/>
      <c r="FS427" s="305"/>
      <c r="FT427" s="305"/>
      <c r="FU427" s="305"/>
      <c r="FV427" s="305"/>
      <c r="FW427" s="305"/>
      <c r="FX427" s="305"/>
      <c r="FY427" s="305"/>
      <c r="FZ427" s="305"/>
      <c r="GA427" s="305"/>
      <c r="GB427" s="305"/>
      <c r="GC427" s="305"/>
      <c r="GD427" s="305"/>
      <c r="GE427" s="305"/>
      <c r="GF427" s="305"/>
      <c r="GG427" s="305"/>
      <c r="GH427" s="305"/>
      <c r="GI427" s="305"/>
      <c r="GJ427" s="305"/>
      <c r="GK427" s="305"/>
      <c r="GL427" s="305"/>
      <c r="GM427" s="305"/>
      <c r="GN427" s="305"/>
      <c r="GO427" s="305"/>
      <c r="GP427" s="305"/>
      <c r="GQ427" s="305"/>
      <c r="GR427" s="305"/>
    </row>
    <row r="428" spans="3:200" s="318" customFormat="1" ht="12.75" customHeight="1" x14ac:dyDescent="0.2">
      <c r="C428" s="367"/>
      <c r="D428" s="403"/>
      <c r="E428" s="369"/>
      <c r="F428" s="369"/>
      <c r="G428" s="369"/>
      <c r="H428" s="369"/>
      <c r="I428" s="370"/>
      <c r="J428"/>
      <c r="K428" s="371"/>
      <c r="L428" s="371"/>
      <c r="M428" s="371"/>
      <c r="N428" s="371"/>
      <c r="O428" s="305"/>
      <c r="P428" s="305"/>
      <c r="Q428" s="305"/>
      <c r="R428" s="305"/>
      <c r="S428" s="305"/>
      <c r="T428" s="305"/>
      <c r="U428" s="305"/>
      <c r="V428" s="305"/>
      <c r="W428" s="305"/>
      <c r="X428" s="305"/>
      <c r="Y428" s="305"/>
      <c r="Z428" s="305"/>
      <c r="AA428" s="305"/>
      <c r="AB428" s="305"/>
      <c r="AC428" s="305"/>
      <c r="AD428" s="305"/>
      <c r="AE428" s="305"/>
      <c r="AF428" s="305"/>
      <c r="AG428" s="305"/>
      <c r="AH428" s="305"/>
      <c r="AI428" s="305"/>
      <c r="AJ428" s="305"/>
      <c r="AK428" s="305"/>
      <c r="AL428" s="305"/>
      <c r="AM428" s="305"/>
      <c r="AN428" s="305"/>
      <c r="AO428" s="305"/>
      <c r="AP428" s="305"/>
      <c r="AQ428" s="305"/>
      <c r="AR428" s="305"/>
      <c r="AS428" s="305"/>
      <c r="AT428" s="305"/>
      <c r="AU428" s="305"/>
      <c r="AV428" s="305"/>
      <c r="AW428" s="305"/>
      <c r="AX428" s="305"/>
      <c r="AY428" s="305"/>
      <c r="AZ428" s="305"/>
      <c r="BA428" s="305"/>
      <c r="BB428" s="305"/>
      <c r="BC428" s="305"/>
      <c r="BD428" s="305"/>
      <c r="BE428" s="305"/>
      <c r="BF428" s="305"/>
      <c r="BG428" s="305"/>
      <c r="BH428" s="305"/>
      <c r="BI428" s="305"/>
      <c r="BJ428" s="305"/>
      <c r="BK428" s="305"/>
      <c r="BL428" s="305"/>
      <c r="BM428" s="305"/>
      <c r="BN428" s="305"/>
      <c r="BO428" s="305"/>
      <c r="BP428" s="305"/>
      <c r="BQ428" s="305"/>
      <c r="BR428" s="305"/>
      <c r="BS428" s="305"/>
      <c r="BT428" s="305"/>
      <c r="BU428" s="305"/>
      <c r="BV428" s="305"/>
      <c r="BW428" s="305"/>
      <c r="BX428" s="305"/>
      <c r="BY428" s="305"/>
      <c r="BZ428" s="305"/>
      <c r="CA428" s="305"/>
      <c r="CB428" s="305"/>
      <c r="CC428" s="305"/>
      <c r="CD428" s="305"/>
      <c r="CE428" s="305"/>
      <c r="CF428" s="305"/>
      <c r="CG428" s="305"/>
      <c r="CH428" s="305"/>
      <c r="CI428" s="305"/>
      <c r="CJ428" s="305"/>
      <c r="CK428" s="305"/>
      <c r="CL428" s="305"/>
      <c r="CM428" s="305"/>
      <c r="CN428" s="305"/>
      <c r="CO428" s="305"/>
      <c r="CP428" s="305"/>
      <c r="CQ428" s="305"/>
      <c r="CR428" s="305"/>
      <c r="CS428" s="305"/>
      <c r="CT428" s="305"/>
      <c r="CU428" s="305"/>
      <c r="CV428" s="305"/>
      <c r="CW428" s="305"/>
      <c r="CX428" s="305"/>
      <c r="CY428" s="305"/>
      <c r="CZ428" s="305"/>
      <c r="DA428" s="305"/>
      <c r="DB428" s="305"/>
      <c r="DC428" s="305"/>
      <c r="DD428" s="305"/>
      <c r="DE428" s="305"/>
      <c r="DF428" s="305"/>
      <c r="DG428" s="305"/>
      <c r="DH428" s="305"/>
      <c r="DI428" s="305"/>
      <c r="DJ428" s="305"/>
      <c r="DK428" s="305"/>
      <c r="DL428" s="305"/>
      <c r="DM428" s="305"/>
      <c r="DN428" s="305"/>
      <c r="DO428" s="305"/>
      <c r="DP428" s="305"/>
      <c r="DQ428" s="305"/>
      <c r="DR428" s="305"/>
      <c r="DS428" s="305"/>
      <c r="DT428" s="305"/>
      <c r="DU428" s="305"/>
      <c r="DV428" s="305"/>
      <c r="DW428" s="305"/>
      <c r="DX428" s="305"/>
      <c r="DY428" s="305"/>
      <c r="DZ428" s="305"/>
      <c r="EA428" s="305"/>
      <c r="EB428" s="305"/>
      <c r="EC428" s="305"/>
      <c r="ED428" s="305"/>
      <c r="EE428" s="305"/>
      <c r="EF428" s="305"/>
      <c r="EG428" s="305"/>
      <c r="EH428" s="305"/>
      <c r="EI428" s="305"/>
      <c r="EJ428" s="305"/>
      <c r="EK428" s="305"/>
      <c r="EL428" s="305"/>
      <c r="EM428" s="305"/>
      <c r="EN428" s="305"/>
      <c r="EO428" s="305"/>
      <c r="EP428" s="305"/>
      <c r="EQ428" s="305"/>
      <c r="ER428" s="305"/>
      <c r="ES428" s="305"/>
      <c r="ET428" s="305"/>
      <c r="EU428" s="305"/>
      <c r="EV428" s="305"/>
      <c r="EW428" s="305"/>
      <c r="EX428" s="305"/>
      <c r="EY428" s="305"/>
      <c r="EZ428" s="305"/>
      <c r="FA428" s="305"/>
      <c r="FB428" s="305"/>
      <c r="FC428" s="305"/>
      <c r="FD428" s="305"/>
      <c r="FE428" s="305"/>
      <c r="FF428" s="305"/>
      <c r="FG428" s="305"/>
      <c r="FH428" s="305"/>
      <c r="FI428" s="305"/>
      <c r="FJ428" s="305"/>
      <c r="FK428" s="305"/>
      <c r="FL428" s="305"/>
      <c r="FM428" s="305"/>
      <c r="FN428" s="305"/>
      <c r="FO428" s="305"/>
      <c r="FP428" s="305"/>
      <c r="FQ428" s="305"/>
      <c r="FR428" s="305"/>
      <c r="FS428" s="305"/>
      <c r="FT428" s="305"/>
      <c r="FU428" s="305"/>
      <c r="FV428" s="305"/>
      <c r="FW428" s="305"/>
      <c r="FX428" s="305"/>
      <c r="FY428" s="305"/>
      <c r="FZ428" s="305"/>
      <c r="GA428" s="305"/>
      <c r="GB428" s="305"/>
      <c r="GC428" s="305"/>
      <c r="GD428" s="305"/>
      <c r="GE428" s="305"/>
      <c r="GF428" s="305"/>
      <c r="GG428" s="305"/>
      <c r="GH428" s="305"/>
      <c r="GI428" s="305"/>
      <c r="GJ428" s="305"/>
      <c r="GK428" s="305"/>
      <c r="GL428" s="305"/>
      <c r="GM428" s="305"/>
      <c r="GN428" s="305"/>
      <c r="GO428" s="305"/>
      <c r="GP428" s="305"/>
      <c r="GQ428" s="305"/>
      <c r="GR428" s="305"/>
    </row>
    <row r="429" spans="3:200" s="318" customFormat="1" ht="12.75" customHeight="1" x14ac:dyDescent="0.2">
      <c r="C429" s="367"/>
      <c r="D429" s="403"/>
      <c r="E429" s="369"/>
      <c r="F429" s="369"/>
      <c r="G429" s="369"/>
      <c r="H429" s="369"/>
      <c r="I429" s="370"/>
      <c r="J429"/>
      <c r="K429" s="371"/>
      <c r="L429" s="371"/>
      <c r="M429" s="371"/>
      <c r="N429" s="371"/>
      <c r="O429" s="305"/>
      <c r="P429" s="305"/>
      <c r="Q429" s="305"/>
      <c r="R429" s="305"/>
      <c r="S429" s="305"/>
      <c r="T429" s="305"/>
      <c r="U429" s="305"/>
      <c r="V429" s="305"/>
      <c r="W429" s="305"/>
      <c r="X429" s="305"/>
      <c r="Y429" s="305"/>
      <c r="Z429" s="305"/>
      <c r="AA429" s="305"/>
      <c r="AB429" s="305"/>
      <c r="AC429" s="305"/>
      <c r="AD429" s="305"/>
      <c r="AE429" s="305"/>
      <c r="AF429" s="305"/>
      <c r="AG429" s="305"/>
      <c r="AH429" s="305"/>
      <c r="AI429" s="305"/>
      <c r="AJ429" s="305"/>
      <c r="AK429" s="305"/>
      <c r="AL429" s="305"/>
      <c r="AM429" s="305"/>
      <c r="AN429" s="305"/>
      <c r="AO429" s="305"/>
      <c r="AP429" s="305"/>
      <c r="AQ429" s="305"/>
      <c r="AR429" s="305"/>
      <c r="AS429" s="305"/>
      <c r="AT429" s="305"/>
      <c r="AU429" s="305"/>
      <c r="AV429" s="305"/>
      <c r="AW429" s="305"/>
      <c r="AX429" s="305"/>
      <c r="AY429" s="305"/>
      <c r="AZ429" s="305"/>
      <c r="BA429" s="305"/>
      <c r="BB429" s="305"/>
      <c r="BC429" s="305"/>
      <c r="BD429" s="305"/>
      <c r="BE429" s="305"/>
      <c r="BF429" s="305"/>
      <c r="BG429" s="305"/>
      <c r="BH429" s="305"/>
      <c r="BI429" s="305"/>
      <c r="BJ429" s="305"/>
      <c r="BK429" s="305"/>
      <c r="BL429" s="305"/>
      <c r="BM429" s="305"/>
      <c r="BN429" s="305"/>
      <c r="BO429" s="305"/>
      <c r="BP429" s="305"/>
      <c r="BQ429" s="305"/>
      <c r="BR429" s="305"/>
      <c r="BS429" s="305"/>
      <c r="BT429" s="305"/>
      <c r="BU429" s="305"/>
      <c r="BV429" s="305"/>
      <c r="BW429" s="305"/>
      <c r="BX429" s="305"/>
      <c r="BY429" s="305"/>
      <c r="BZ429" s="305"/>
      <c r="CA429" s="305"/>
      <c r="CB429" s="305"/>
      <c r="CC429" s="305"/>
      <c r="CD429" s="305"/>
      <c r="CE429" s="305"/>
      <c r="CF429" s="305"/>
      <c r="CG429" s="305"/>
      <c r="CH429" s="305"/>
      <c r="CI429" s="305"/>
      <c r="CJ429" s="305"/>
      <c r="CK429" s="305"/>
      <c r="CL429" s="305"/>
      <c r="CM429" s="305"/>
      <c r="CN429" s="305"/>
      <c r="CO429" s="305"/>
      <c r="CP429" s="305"/>
      <c r="CQ429" s="305"/>
      <c r="CR429" s="305"/>
      <c r="CS429" s="305"/>
      <c r="CT429" s="305"/>
      <c r="CU429" s="305"/>
      <c r="CV429" s="305"/>
      <c r="CW429" s="305"/>
      <c r="CX429" s="305"/>
      <c r="CY429" s="305"/>
      <c r="CZ429" s="305"/>
      <c r="DA429" s="305"/>
      <c r="DB429" s="305"/>
      <c r="DC429" s="305"/>
      <c r="DD429" s="305"/>
      <c r="DE429" s="305"/>
      <c r="DF429" s="305"/>
      <c r="DG429" s="305"/>
      <c r="DH429" s="305"/>
      <c r="DI429" s="305"/>
      <c r="DJ429" s="305"/>
      <c r="DK429" s="305"/>
      <c r="DL429" s="305"/>
      <c r="DM429" s="305"/>
      <c r="DN429" s="305"/>
      <c r="DO429" s="305"/>
      <c r="DP429" s="305"/>
      <c r="DQ429" s="305"/>
      <c r="DR429" s="305"/>
      <c r="DS429" s="305"/>
      <c r="DT429" s="305"/>
      <c r="DU429" s="305"/>
      <c r="DV429" s="305"/>
      <c r="DW429" s="305"/>
      <c r="DX429" s="305"/>
      <c r="DY429" s="305"/>
      <c r="DZ429" s="305"/>
      <c r="EA429" s="305"/>
      <c r="EB429" s="305"/>
      <c r="EC429" s="305"/>
      <c r="ED429" s="305"/>
      <c r="EE429" s="305"/>
      <c r="EF429" s="305"/>
      <c r="EG429" s="305"/>
      <c r="EH429" s="305"/>
      <c r="EI429" s="305"/>
      <c r="EJ429" s="305"/>
      <c r="EK429" s="305"/>
      <c r="EL429" s="305"/>
      <c r="EM429" s="305"/>
      <c r="EN429" s="305"/>
      <c r="EO429" s="305"/>
      <c r="EP429" s="305"/>
      <c r="EQ429" s="305"/>
      <c r="ER429" s="305"/>
      <c r="ES429" s="305"/>
      <c r="ET429" s="305"/>
      <c r="EU429" s="305"/>
      <c r="EV429" s="305"/>
      <c r="EW429" s="305"/>
      <c r="EX429" s="305"/>
      <c r="EY429" s="305"/>
      <c r="EZ429" s="305"/>
      <c r="FA429" s="305"/>
      <c r="FB429" s="305"/>
      <c r="FC429" s="305"/>
      <c r="FD429" s="305"/>
      <c r="FE429" s="305"/>
      <c r="FF429" s="305"/>
      <c r="FG429" s="305"/>
      <c r="FH429" s="305"/>
      <c r="FI429" s="305"/>
      <c r="FJ429" s="305"/>
      <c r="FK429" s="305"/>
      <c r="FL429" s="305"/>
      <c r="FM429" s="305"/>
      <c r="FN429" s="305"/>
      <c r="FO429" s="305"/>
      <c r="FP429" s="305"/>
      <c r="FQ429" s="305"/>
      <c r="FR429" s="305"/>
      <c r="FS429" s="305"/>
      <c r="FT429" s="305"/>
      <c r="FU429" s="305"/>
      <c r="FV429" s="305"/>
      <c r="FW429" s="305"/>
      <c r="FX429" s="305"/>
      <c r="FY429" s="305"/>
      <c r="FZ429" s="305"/>
      <c r="GA429" s="305"/>
      <c r="GB429" s="305"/>
      <c r="GC429" s="305"/>
      <c r="GD429" s="305"/>
      <c r="GE429" s="305"/>
      <c r="GF429" s="305"/>
      <c r="GG429" s="305"/>
      <c r="GH429" s="305"/>
      <c r="GI429" s="305"/>
      <c r="GJ429" s="305"/>
      <c r="GK429" s="305"/>
      <c r="GL429" s="305"/>
      <c r="GM429" s="305"/>
      <c r="GN429" s="305"/>
      <c r="GO429" s="305"/>
      <c r="GP429" s="305"/>
      <c r="GQ429" s="305"/>
      <c r="GR429" s="305"/>
    </row>
    <row r="430" spans="3:200" s="318" customFormat="1" ht="12.75" customHeight="1" x14ac:dyDescent="0.2">
      <c r="C430" s="367"/>
      <c r="D430" s="403"/>
      <c r="E430" s="369"/>
      <c r="F430" s="369"/>
      <c r="G430" s="369"/>
      <c r="H430" s="369"/>
      <c r="I430" s="370"/>
      <c r="J430"/>
      <c r="K430" s="371"/>
      <c r="L430" s="371"/>
      <c r="M430" s="371"/>
      <c r="N430" s="371"/>
      <c r="O430" s="305"/>
      <c r="P430" s="305"/>
      <c r="Q430" s="305"/>
      <c r="R430" s="305"/>
      <c r="S430" s="305"/>
      <c r="T430" s="305"/>
      <c r="U430" s="305"/>
      <c r="V430" s="305"/>
      <c r="W430" s="305"/>
      <c r="X430" s="305"/>
      <c r="Y430" s="305"/>
      <c r="Z430" s="305"/>
      <c r="AA430" s="305"/>
      <c r="AB430" s="305"/>
      <c r="AC430" s="305"/>
      <c r="AD430" s="305"/>
      <c r="AE430" s="305"/>
      <c r="AF430" s="305"/>
      <c r="AG430" s="305"/>
      <c r="AH430" s="305"/>
      <c r="AI430" s="305"/>
      <c r="AJ430" s="305"/>
      <c r="AK430" s="305"/>
      <c r="AL430" s="305"/>
      <c r="AM430" s="305"/>
      <c r="AN430" s="305"/>
      <c r="AO430" s="305"/>
      <c r="AP430" s="305"/>
      <c r="AQ430" s="305"/>
      <c r="AR430" s="305"/>
      <c r="AS430" s="305"/>
      <c r="AT430" s="305"/>
      <c r="AU430" s="305"/>
      <c r="AV430" s="305"/>
      <c r="AW430" s="305"/>
      <c r="AX430" s="305"/>
      <c r="AY430" s="305"/>
      <c r="AZ430" s="305"/>
      <c r="BA430" s="305"/>
      <c r="BB430" s="305"/>
      <c r="BC430" s="305"/>
      <c r="BD430" s="305"/>
      <c r="BE430" s="305"/>
      <c r="BF430" s="305"/>
      <c r="BG430" s="305"/>
      <c r="BH430" s="305"/>
      <c r="BI430" s="305"/>
      <c r="BJ430" s="305"/>
      <c r="BK430" s="305"/>
      <c r="BL430" s="305"/>
      <c r="BM430" s="305"/>
      <c r="BN430" s="305"/>
      <c r="BO430" s="305"/>
      <c r="BP430" s="305"/>
      <c r="BQ430" s="305"/>
      <c r="BR430" s="305"/>
      <c r="BS430" s="305"/>
      <c r="BT430" s="305"/>
      <c r="BU430" s="305"/>
      <c r="BV430" s="305"/>
      <c r="BW430" s="305"/>
      <c r="BX430" s="305"/>
      <c r="BY430" s="305"/>
      <c r="BZ430" s="305"/>
      <c r="CA430" s="305"/>
      <c r="CB430" s="305"/>
      <c r="CC430" s="305"/>
      <c r="CD430" s="305"/>
      <c r="CE430" s="305"/>
      <c r="CF430" s="305"/>
      <c r="CG430" s="305"/>
      <c r="CH430" s="305"/>
      <c r="CI430" s="305"/>
      <c r="CJ430" s="305"/>
      <c r="CK430" s="305"/>
      <c r="CL430" s="305"/>
      <c r="CM430" s="305"/>
      <c r="CN430" s="305"/>
      <c r="CO430" s="305"/>
      <c r="CP430" s="305"/>
      <c r="CQ430" s="305"/>
      <c r="CR430" s="305"/>
      <c r="CS430" s="305"/>
      <c r="CT430" s="305"/>
      <c r="CU430" s="305"/>
      <c r="CV430" s="305"/>
      <c r="CW430" s="305"/>
      <c r="CX430" s="305"/>
      <c r="CY430" s="305"/>
      <c r="CZ430" s="305"/>
      <c r="DA430" s="305"/>
      <c r="DB430" s="305"/>
      <c r="DC430" s="305"/>
      <c r="DD430" s="305"/>
      <c r="DE430" s="305"/>
      <c r="DF430" s="305"/>
      <c r="DG430" s="305"/>
      <c r="DH430" s="305"/>
      <c r="DI430" s="305"/>
      <c r="DJ430" s="305"/>
      <c r="DK430" s="305"/>
      <c r="DL430" s="305"/>
      <c r="DM430" s="305"/>
      <c r="DN430" s="305"/>
      <c r="DO430" s="305"/>
      <c r="DP430" s="305"/>
      <c r="DQ430" s="305"/>
      <c r="DR430" s="305"/>
      <c r="DS430" s="305"/>
      <c r="DT430" s="305"/>
      <c r="DU430" s="305"/>
      <c r="DV430" s="305"/>
      <c r="DW430" s="305"/>
      <c r="DX430" s="305"/>
      <c r="DY430" s="305"/>
      <c r="DZ430" s="305"/>
      <c r="EA430" s="305"/>
      <c r="EB430" s="305"/>
      <c r="EC430" s="305"/>
      <c r="ED430" s="305"/>
      <c r="EE430" s="305"/>
      <c r="EF430" s="305"/>
      <c r="EG430" s="305"/>
      <c r="EH430" s="305"/>
      <c r="EI430" s="305"/>
      <c r="EJ430" s="305"/>
      <c r="EK430" s="305"/>
      <c r="EL430" s="305"/>
      <c r="EM430" s="305"/>
      <c r="EN430" s="305"/>
      <c r="EO430" s="305"/>
      <c r="EP430" s="305"/>
      <c r="EQ430" s="305"/>
      <c r="ER430" s="305"/>
      <c r="ES430" s="305"/>
      <c r="ET430" s="305"/>
      <c r="EU430" s="305"/>
      <c r="EV430" s="305"/>
      <c r="EW430" s="305"/>
      <c r="EX430" s="305"/>
      <c r="EY430" s="305"/>
      <c r="EZ430" s="305"/>
      <c r="FA430" s="305"/>
      <c r="FB430" s="305"/>
      <c r="FC430" s="305"/>
      <c r="FD430" s="305"/>
      <c r="FE430" s="305"/>
      <c r="FF430" s="305"/>
      <c r="FG430" s="305"/>
      <c r="FH430" s="305"/>
      <c r="FI430" s="305"/>
      <c r="FJ430" s="305"/>
      <c r="FK430" s="305"/>
      <c r="FL430" s="305"/>
      <c r="FM430" s="305"/>
      <c r="FN430" s="305"/>
      <c r="FO430" s="305"/>
      <c r="FP430" s="305"/>
      <c r="FQ430" s="305"/>
      <c r="FR430" s="305"/>
      <c r="FS430" s="305"/>
      <c r="FT430" s="305"/>
      <c r="FU430" s="305"/>
      <c r="FV430" s="305"/>
      <c r="FW430" s="305"/>
      <c r="FX430" s="305"/>
      <c r="FY430" s="305"/>
      <c r="FZ430" s="305"/>
      <c r="GA430" s="305"/>
      <c r="GB430" s="305"/>
      <c r="GC430" s="305"/>
      <c r="GD430" s="305"/>
      <c r="GE430" s="305"/>
      <c r="GF430" s="305"/>
      <c r="GG430" s="305"/>
      <c r="GH430" s="305"/>
      <c r="GI430" s="305"/>
      <c r="GJ430" s="305"/>
      <c r="GK430" s="305"/>
      <c r="GL430" s="305"/>
      <c r="GM430" s="305"/>
      <c r="GN430" s="305"/>
      <c r="GO430" s="305"/>
      <c r="GP430" s="305"/>
      <c r="GQ430" s="305"/>
      <c r="GR430" s="305"/>
    </row>
    <row r="431" spans="3:200" s="318" customFormat="1" ht="12.75" customHeight="1" x14ac:dyDescent="0.2">
      <c r="C431" s="367"/>
      <c r="D431" s="403"/>
      <c r="E431" s="369"/>
      <c r="F431" s="369"/>
      <c r="G431" s="369"/>
      <c r="H431" s="369"/>
      <c r="I431" s="370"/>
      <c r="J431"/>
      <c r="K431" s="371"/>
      <c r="L431" s="371"/>
      <c r="M431" s="371"/>
      <c r="N431" s="371"/>
      <c r="O431" s="305"/>
      <c r="P431" s="305"/>
      <c r="Q431" s="305"/>
      <c r="R431" s="305"/>
      <c r="S431" s="305"/>
      <c r="T431" s="305"/>
      <c r="U431" s="305"/>
      <c r="V431" s="305"/>
      <c r="W431" s="305"/>
      <c r="X431" s="305"/>
      <c r="Y431" s="305"/>
      <c r="Z431" s="305"/>
      <c r="AA431" s="305"/>
      <c r="AB431" s="305"/>
      <c r="AC431" s="305"/>
      <c r="AD431" s="305"/>
      <c r="AE431" s="305"/>
      <c r="AF431" s="305"/>
      <c r="AG431" s="305"/>
      <c r="AH431" s="305"/>
      <c r="AI431" s="305"/>
      <c r="AJ431" s="305"/>
      <c r="AK431" s="305"/>
      <c r="AL431" s="305"/>
      <c r="AM431" s="305"/>
      <c r="AN431" s="305"/>
      <c r="AO431" s="305"/>
      <c r="AP431" s="305"/>
      <c r="AQ431" s="305"/>
      <c r="AR431" s="305"/>
      <c r="AS431" s="305"/>
      <c r="AT431" s="305"/>
      <c r="AU431" s="305"/>
      <c r="AV431" s="305"/>
      <c r="AW431" s="305"/>
      <c r="AX431" s="305"/>
      <c r="AY431" s="305"/>
      <c r="AZ431" s="305"/>
      <c r="BA431" s="305"/>
      <c r="BB431" s="305"/>
      <c r="BC431" s="305"/>
      <c r="BD431" s="305"/>
      <c r="BE431" s="305"/>
      <c r="BF431" s="305"/>
      <c r="BG431" s="305"/>
      <c r="BH431" s="305"/>
      <c r="BI431" s="305"/>
      <c r="BJ431" s="305"/>
      <c r="BK431" s="305"/>
      <c r="BL431" s="305"/>
      <c r="BM431" s="305"/>
      <c r="BN431" s="305"/>
      <c r="BO431" s="305"/>
      <c r="BP431" s="305"/>
      <c r="BQ431" s="305"/>
      <c r="BR431" s="305"/>
      <c r="BS431" s="305"/>
      <c r="BT431" s="305"/>
      <c r="BU431" s="305"/>
      <c r="BV431" s="305"/>
      <c r="BW431" s="305"/>
      <c r="BX431" s="305"/>
      <c r="BY431" s="305"/>
      <c r="BZ431" s="305"/>
      <c r="CA431" s="305"/>
      <c r="CB431" s="305"/>
      <c r="CC431" s="305"/>
      <c r="CD431" s="305"/>
      <c r="CE431" s="305"/>
      <c r="CF431" s="305"/>
      <c r="CG431" s="305"/>
      <c r="CH431" s="305"/>
      <c r="CI431" s="305"/>
      <c r="CJ431" s="305"/>
      <c r="CK431" s="305"/>
      <c r="CL431" s="305"/>
      <c r="CM431" s="305"/>
      <c r="CN431" s="305"/>
      <c r="CO431" s="305"/>
      <c r="CP431" s="305"/>
      <c r="CQ431" s="305"/>
      <c r="CR431" s="305"/>
      <c r="CS431" s="305"/>
      <c r="CT431" s="305"/>
      <c r="CU431" s="305"/>
      <c r="CV431" s="305"/>
      <c r="CW431" s="305"/>
      <c r="CX431" s="305"/>
      <c r="CY431" s="305"/>
      <c r="CZ431" s="305"/>
      <c r="DA431" s="305"/>
      <c r="DB431" s="305"/>
      <c r="DC431" s="305"/>
      <c r="DD431" s="305"/>
      <c r="DE431" s="305"/>
      <c r="DF431" s="305"/>
      <c r="DG431" s="305"/>
      <c r="DH431" s="305"/>
      <c r="DI431" s="305"/>
      <c r="DJ431" s="305"/>
      <c r="DK431" s="305"/>
      <c r="DL431" s="305"/>
      <c r="DM431" s="305"/>
      <c r="DN431" s="305"/>
      <c r="DO431" s="305"/>
      <c r="DP431" s="305"/>
      <c r="DQ431" s="305"/>
      <c r="DR431" s="305"/>
      <c r="DS431" s="305"/>
      <c r="DT431" s="305"/>
      <c r="DU431" s="305"/>
      <c r="DV431" s="305"/>
      <c r="DW431" s="305"/>
      <c r="DX431" s="305"/>
      <c r="DY431" s="305"/>
      <c r="DZ431" s="305"/>
      <c r="EA431" s="305"/>
      <c r="EB431" s="305"/>
      <c r="EC431" s="305"/>
      <c r="ED431" s="305"/>
      <c r="EE431" s="305"/>
      <c r="EF431" s="305"/>
      <c r="EG431" s="305"/>
      <c r="EH431" s="305"/>
      <c r="EI431" s="305"/>
      <c r="EJ431" s="305"/>
      <c r="EK431" s="305"/>
      <c r="EL431" s="305"/>
      <c r="EM431" s="305"/>
      <c r="EN431" s="305"/>
      <c r="EO431" s="305"/>
      <c r="EP431" s="305"/>
      <c r="EQ431" s="305"/>
      <c r="ER431" s="305"/>
      <c r="ES431" s="305"/>
      <c r="ET431" s="305"/>
      <c r="EU431" s="305"/>
      <c r="EV431" s="305"/>
      <c r="EW431" s="305"/>
      <c r="EX431" s="305"/>
      <c r="EY431" s="305"/>
      <c r="EZ431" s="305"/>
      <c r="FA431" s="305"/>
      <c r="FB431" s="305"/>
      <c r="FC431" s="305"/>
      <c r="FD431" s="305"/>
      <c r="FE431" s="305"/>
      <c r="FF431" s="305"/>
      <c r="FG431" s="305"/>
      <c r="FH431" s="305"/>
      <c r="FI431" s="305"/>
      <c r="FJ431" s="305"/>
      <c r="FK431" s="305"/>
      <c r="FL431" s="305"/>
      <c r="FM431" s="305"/>
      <c r="FN431" s="305"/>
      <c r="FO431" s="305"/>
      <c r="FP431" s="305"/>
      <c r="FQ431" s="305"/>
      <c r="FR431" s="305"/>
      <c r="FS431" s="305"/>
      <c r="FT431" s="305"/>
      <c r="FU431" s="305"/>
      <c r="FV431" s="305"/>
      <c r="FW431" s="305"/>
      <c r="FX431" s="305"/>
      <c r="FY431" s="305"/>
      <c r="FZ431" s="305"/>
      <c r="GA431" s="305"/>
      <c r="GB431" s="305"/>
      <c r="GC431" s="305"/>
      <c r="GD431" s="305"/>
      <c r="GE431" s="305"/>
      <c r="GF431" s="305"/>
      <c r="GG431" s="305"/>
      <c r="GH431" s="305"/>
      <c r="GI431" s="305"/>
      <c r="GJ431" s="305"/>
      <c r="GK431" s="305"/>
      <c r="GL431" s="305"/>
      <c r="GM431" s="305"/>
      <c r="GN431" s="305"/>
      <c r="GO431" s="305"/>
      <c r="GP431" s="305"/>
      <c r="GQ431" s="305"/>
      <c r="GR431" s="305"/>
    </row>
    <row r="432" spans="3:200" s="318" customFormat="1" ht="12.75" customHeight="1" x14ac:dyDescent="0.2">
      <c r="C432" s="367"/>
      <c r="D432" s="403"/>
      <c r="E432" s="369"/>
      <c r="F432" s="369"/>
      <c r="G432" s="369"/>
      <c r="H432" s="369"/>
      <c r="I432" s="370"/>
      <c r="J432"/>
      <c r="K432" s="371"/>
      <c r="L432" s="371"/>
      <c r="M432" s="371"/>
      <c r="N432" s="371"/>
      <c r="O432" s="305"/>
      <c r="P432" s="305"/>
      <c r="Q432" s="305"/>
      <c r="R432" s="305"/>
      <c r="S432" s="305"/>
      <c r="T432" s="305"/>
      <c r="U432" s="305"/>
      <c r="V432" s="305"/>
      <c r="W432" s="305"/>
      <c r="X432" s="305"/>
      <c r="Y432" s="305"/>
      <c r="Z432" s="305"/>
      <c r="AA432" s="305"/>
      <c r="AB432" s="305"/>
      <c r="AC432" s="305"/>
      <c r="AD432" s="305"/>
      <c r="AE432" s="305"/>
      <c r="AF432" s="305"/>
      <c r="AG432" s="305"/>
      <c r="AH432" s="305"/>
      <c r="AI432" s="305"/>
      <c r="AJ432" s="305"/>
      <c r="AK432" s="305"/>
      <c r="AL432" s="305"/>
      <c r="AM432" s="305"/>
      <c r="AN432" s="305"/>
      <c r="AO432" s="305"/>
      <c r="AP432" s="305"/>
      <c r="AQ432" s="305"/>
      <c r="AR432" s="305"/>
      <c r="AS432" s="305"/>
      <c r="AT432" s="305"/>
      <c r="AU432" s="305"/>
      <c r="AV432" s="305"/>
      <c r="AW432" s="305"/>
      <c r="AX432" s="305"/>
      <c r="AY432" s="305"/>
      <c r="AZ432" s="305"/>
      <c r="BA432" s="305"/>
      <c r="BB432" s="305"/>
      <c r="BC432" s="305"/>
      <c r="BD432" s="305"/>
      <c r="BE432" s="305"/>
      <c r="BF432" s="305"/>
      <c r="BG432" s="305"/>
      <c r="BH432" s="305"/>
      <c r="BI432" s="305"/>
      <c r="BJ432" s="305"/>
      <c r="BK432" s="305"/>
      <c r="BL432" s="305"/>
      <c r="BM432" s="305"/>
      <c r="BN432" s="305"/>
      <c r="BO432" s="305"/>
      <c r="BP432" s="305"/>
      <c r="BQ432" s="305"/>
      <c r="BR432" s="305"/>
      <c r="BS432" s="305"/>
      <c r="BT432" s="305"/>
      <c r="BU432" s="305"/>
      <c r="BV432" s="305"/>
      <c r="BW432" s="305"/>
      <c r="BX432" s="305"/>
      <c r="BY432" s="305"/>
      <c r="BZ432" s="305"/>
      <c r="CA432" s="305"/>
      <c r="CB432" s="305"/>
      <c r="CC432" s="305"/>
      <c r="CD432" s="305"/>
      <c r="CE432" s="305"/>
      <c r="CF432" s="305"/>
      <c r="CG432" s="305"/>
      <c r="CH432" s="305"/>
      <c r="CI432" s="305"/>
      <c r="CJ432" s="305"/>
      <c r="CK432" s="305"/>
      <c r="CL432" s="305"/>
      <c r="CM432" s="305"/>
      <c r="CN432" s="305"/>
      <c r="CO432" s="305"/>
      <c r="CP432" s="305"/>
      <c r="CQ432" s="305"/>
      <c r="CR432" s="305"/>
      <c r="CS432" s="305"/>
      <c r="CT432" s="305"/>
      <c r="CU432" s="305"/>
      <c r="CV432" s="305"/>
      <c r="CW432" s="305"/>
      <c r="CX432" s="305"/>
      <c r="CY432" s="305"/>
      <c r="CZ432" s="305"/>
      <c r="DA432" s="305"/>
      <c r="DB432" s="305"/>
      <c r="DC432" s="305"/>
      <c r="DD432" s="305"/>
      <c r="DE432" s="305"/>
      <c r="DF432" s="305"/>
      <c r="DG432" s="305"/>
      <c r="DH432" s="305"/>
      <c r="DI432" s="305"/>
      <c r="DJ432" s="305"/>
      <c r="DK432" s="305"/>
      <c r="DL432" s="305"/>
      <c r="DM432" s="305"/>
      <c r="DN432" s="305"/>
      <c r="DO432" s="305"/>
      <c r="DP432" s="305"/>
      <c r="DQ432" s="305"/>
      <c r="DR432" s="305"/>
      <c r="DS432" s="305"/>
      <c r="DT432" s="305"/>
      <c r="DU432" s="305"/>
      <c r="DV432" s="305"/>
      <c r="DW432" s="305"/>
      <c r="DX432" s="305"/>
      <c r="DY432" s="305"/>
      <c r="DZ432" s="305"/>
      <c r="EA432" s="305"/>
      <c r="EB432" s="305"/>
      <c r="EC432" s="305"/>
      <c r="ED432" s="305"/>
      <c r="EE432" s="305"/>
      <c r="EF432" s="305"/>
      <c r="EG432" s="305"/>
      <c r="EH432" s="305"/>
      <c r="EI432" s="305"/>
      <c r="EJ432" s="305"/>
      <c r="EK432" s="305"/>
      <c r="EL432" s="305"/>
      <c r="EM432" s="305"/>
      <c r="EN432" s="305"/>
      <c r="EO432" s="305"/>
      <c r="EP432" s="305"/>
      <c r="EQ432" s="305"/>
      <c r="ER432" s="305"/>
      <c r="ES432" s="305"/>
      <c r="ET432" s="305"/>
      <c r="EU432" s="305"/>
      <c r="EV432" s="305"/>
      <c r="EW432" s="305"/>
      <c r="EX432" s="305"/>
      <c r="EY432" s="305"/>
      <c r="EZ432" s="305"/>
      <c r="FA432" s="305"/>
      <c r="FB432" s="305"/>
      <c r="FC432" s="305"/>
      <c r="FD432" s="305"/>
      <c r="FE432" s="305"/>
      <c r="FF432" s="305"/>
      <c r="FG432" s="305"/>
      <c r="FH432" s="305"/>
      <c r="FI432" s="305"/>
      <c r="FJ432" s="305"/>
      <c r="FK432" s="305"/>
      <c r="FL432" s="305"/>
      <c r="FM432" s="305"/>
      <c r="FN432" s="305"/>
      <c r="FO432" s="305"/>
      <c r="FP432" s="305"/>
      <c r="FQ432" s="305"/>
      <c r="FR432" s="305"/>
      <c r="FS432" s="305"/>
      <c r="FT432" s="305"/>
      <c r="FU432" s="305"/>
      <c r="FV432" s="305"/>
      <c r="FW432" s="305"/>
      <c r="FX432" s="305"/>
      <c r="FY432" s="305"/>
      <c r="FZ432" s="305"/>
      <c r="GA432" s="305"/>
      <c r="GB432" s="305"/>
      <c r="GC432" s="305"/>
      <c r="GD432" s="305"/>
      <c r="GE432" s="305"/>
      <c r="GF432" s="305"/>
      <c r="GG432" s="305"/>
      <c r="GH432" s="305"/>
      <c r="GI432" s="305"/>
      <c r="GJ432" s="305"/>
      <c r="GK432" s="305"/>
      <c r="GL432" s="305"/>
      <c r="GM432" s="305"/>
      <c r="GN432" s="305"/>
      <c r="GO432" s="305"/>
      <c r="GP432" s="305"/>
      <c r="GQ432" s="305"/>
      <c r="GR432" s="305"/>
    </row>
    <row r="433" spans="3:200" s="318" customFormat="1" ht="12.75" customHeight="1" x14ac:dyDescent="0.2">
      <c r="C433" s="367"/>
      <c r="D433" s="403"/>
      <c r="E433" s="369"/>
      <c r="F433" s="369"/>
      <c r="G433" s="369"/>
      <c r="H433" s="369"/>
      <c r="I433" s="370"/>
      <c r="J433"/>
      <c r="K433" s="371"/>
      <c r="L433" s="371"/>
      <c r="M433" s="371"/>
      <c r="N433" s="371"/>
      <c r="O433" s="305"/>
      <c r="P433" s="305"/>
      <c r="Q433" s="305"/>
      <c r="R433" s="305"/>
      <c r="S433" s="305"/>
      <c r="T433" s="305"/>
      <c r="U433" s="305"/>
      <c r="V433" s="305"/>
      <c r="W433" s="305"/>
      <c r="X433" s="305"/>
      <c r="Y433" s="305"/>
      <c r="Z433" s="305"/>
      <c r="AA433" s="305"/>
      <c r="AB433" s="305"/>
      <c r="AC433" s="305"/>
      <c r="AD433" s="305"/>
      <c r="AE433" s="305"/>
      <c r="AF433" s="305"/>
      <c r="AG433" s="305"/>
      <c r="AH433" s="305"/>
      <c r="AI433" s="305"/>
      <c r="AJ433" s="305"/>
      <c r="AK433" s="305"/>
      <c r="AL433" s="305"/>
      <c r="AM433" s="305"/>
      <c r="AN433" s="305"/>
      <c r="AO433" s="305"/>
      <c r="AP433" s="305"/>
      <c r="AQ433" s="305"/>
      <c r="AR433" s="305"/>
      <c r="AS433" s="305"/>
      <c r="AT433" s="305"/>
      <c r="AU433" s="305"/>
      <c r="AV433" s="305"/>
      <c r="AW433" s="305"/>
      <c r="AX433" s="305"/>
      <c r="AY433" s="305"/>
      <c r="AZ433" s="305"/>
      <c r="BA433" s="305"/>
      <c r="BB433" s="305"/>
      <c r="BC433" s="305"/>
      <c r="BD433" s="305"/>
      <c r="BE433" s="305"/>
      <c r="BF433" s="305"/>
      <c r="BG433" s="305"/>
      <c r="BH433" s="305"/>
      <c r="BI433" s="305"/>
      <c r="BJ433" s="305"/>
      <c r="BK433" s="305"/>
      <c r="BL433" s="305"/>
      <c r="BM433" s="305"/>
      <c r="BN433" s="305"/>
      <c r="BO433" s="305"/>
      <c r="BP433" s="305"/>
      <c r="BQ433" s="305"/>
      <c r="BR433" s="305"/>
      <c r="BS433" s="305"/>
      <c r="BT433" s="305"/>
      <c r="BU433" s="305"/>
      <c r="BV433" s="305"/>
      <c r="BW433" s="305"/>
      <c r="BX433" s="305"/>
      <c r="BY433" s="305"/>
      <c r="BZ433" s="305"/>
      <c r="CA433" s="305"/>
      <c r="CB433" s="305"/>
      <c r="CC433" s="305"/>
      <c r="CD433" s="305"/>
      <c r="CE433" s="305"/>
      <c r="CF433" s="305"/>
      <c r="CG433" s="305"/>
      <c r="CH433" s="305"/>
      <c r="CI433" s="305"/>
      <c r="CJ433" s="305"/>
      <c r="CK433" s="305"/>
      <c r="CL433" s="305"/>
      <c r="CM433" s="305"/>
      <c r="CN433" s="305"/>
      <c r="CO433" s="305"/>
      <c r="CP433" s="305"/>
      <c r="CQ433" s="305"/>
      <c r="CR433" s="305"/>
      <c r="CS433" s="305"/>
      <c r="CT433" s="305"/>
      <c r="CU433" s="305"/>
      <c r="CV433" s="305"/>
      <c r="CW433" s="305"/>
      <c r="CX433" s="305"/>
      <c r="CY433" s="305"/>
      <c r="CZ433" s="305"/>
      <c r="DA433" s="305"/>
      <c r="DB433" s="305"/>
      <c r="DC433" s="305"/>
      <c r="DD433" s="305"/>
      <c r="DE433" s="305"/>
      <c r="DF433" s="305"/>
      <c r="DG433" s="305"/>
      <c r="DH433" s="305"/>
      <c r="DI433" s="305"/>
      <c r="DJ433" s="305"/>
      <c r="DK433" s="305"/>
      <c r="DL433" s="305"/>
      <c r="DM433" s="305"/>
      <c r="DN433" s="305"/>
      <c r="DO433" s="305"/>
      <c r="DP433" s="305"/>
      <c r="DQ433" s="305"/>
      <c r="DR433" s="305"/>
      <c r="DS433" s="305"/>
      <c r="DT433" s="305"/>
      <c r="DU433" s="305"/>
      <c r="DV433" s="305"/>
      <c r="DW433" s="305"/>
      <c r="DX433" s="305"/>
      <c r="DY433" s="305"/>
      <c r="DZ433" s="305"/>
      <c r="EA433" s="305"/>
      <c r="EB433" s="305"/>
      <c r="EC433" s="305"/>
      <c r="ED433" s="305"/>
      <c r="EE433" s="305"/>
      <c r="EF433" s="305"/>
      <c r="EG433" s="305"/>
      <c r="EH433" s="305"/>
      <c r="EI433" s="305"/>
      <c r="EJ433" s="305"/>
      <c r="EK433" s="305"/>
      <c r="EL433" s="305"/>
      <c r="EM433" s="305"/>
      <c r="EN433" s="305"/>
      <c r="EO433" s="305"/>
      <c r="EP433" s="305"/>
      <c r="EQ433" s="305"/>
      <c r="ER433" s="305"/>
      <c r="ES433" s="305"/>
      <c r="ET433" s="305"/>
      <c r="EU433" s="305"/>
      <c r="EV433" s="305"/>
      <c r="EW433" s="305"/>
      <c r="EX433" s="305"/>
      <c r="EY433" s="305"/>
      <c r="EZ433" s="305"/>
      <c r="FA433" s="305"/>
      <c r="FB433" s="305"/>
      <c r="FC433" s="305"/>
      <c r="FD433" s="305"/>
      <c r="FE433" s="305"/>
      <c r="FF433" s="305"/>
      <c r="FG433" s="305"/>
      <c r="FH433" s="305"/>
      <c r="FI433" s="305"/>
      <c r="FJ433" s="305"/>
      <c r="FK433" s="305"/>
      <c r="FL433" s="305"/>
      <c r="FM433" s="305"/>
      <c r="FN433" s="305"/>
      <c r="FO433" s="305"/>
      <c r="FP433" s="305"/>
      <c r="FQ433" s="305"/>
      <c r="FR433" s="305"/>
      <c r="FS433" s="305"/>
      <c r="FT433" s="305"/>
      <c r="FU433" s="305"/>
      <c r="FV433" s="305"/>
      <c r="FW433" s="305"/>
      <c r="FX433" s="305"/>
      <c r="FY433" s="305"/>
      <c r="FZ433" s="305"/>
      <c r="GA433" s="305"/>
      <c r="GB433" s="305"/>
      <c r="GC433" s="305"/>
      <c r="GD433" s="305"/>
      <c r="GE433" s="305"/>
      <c r="GF433" s="305"/>
      <c r="GG433" s="305"/>
      <c r="GH433" s="305"/>
      <c r="GI433" s="305"/>
      <c r="GJ433" s="305"/>
      <c r="GK433" s="305"/>
      <c r="GL433" s="305"/>
      <c r="GM433" s="305"/>
      <c r="GN433" s="305"/>
      <c r="GO433" s="305"/>
      <c r="GP433" s="305"/>
      <c r="GQ433" s="305"/>
      <c r="GR433" s="305"/>
    </row>
    <row r="434" spans="3:200" s="318" customFormat="1" ht="12.75" customHeight="1" x14ac:dyDescent="0.2">
      <c r="C434" s="367"/>
      <c r="D434" s="403"/>
      <c r="E434" s="369"/>
      <c r="F434" s="369"/>
      <c r="G434" s="369"/>
      <c r="H434" s="369"/>
      <c r="I434" s="370"/>
      <c r="J434"/>
      <c r="K434" s="371"/>
      <c r="L434" s="371"/>
      <c r="M434" s="371"/>
      <c r="N434" s="371"/>
      <c r="O434" s="305"/>
      <c r="P434" s="305"/>
      <c r="Q434" s="305"/>
      <c r="R434" s="305"/>
      <c r="S434" s="305"/>
      <c r="T434" s="305"/>
      <c r="U434" s="305"/>
      <c r="V434" s="305"/>
      <c r="W434" s="305"/>
      <c r="X434" s="305"/>
      <c r="Y434" s="305"/>
      <c r="Z434" s="305"/>
      <c r="AA434" s="305"/>
      <c r="AB434" s="305"/>
      <c r="AC434" s="305"/>
      <c r="AD434" s="305"/>
      <c r="AE434" s="305"/>
      <c r="AF434" s="305"/>
      <c r="AG434" s="305"/>
      <c r="AH434" s="305"/>
      <c r="AI434" s="305"/>
      <c r="AJ434" s="305"/>
      <c r="AK434" s="305"/>
      <c r="AL434" s="305"/>
      <c r="AM434" s="305"/>
      <c r="AN434" s="305"/>
      <c r="AO434" s="305"/>
      <c r="AP434" s="305"/>
      <c r="AQ434" s="305"/>
      <c r="AR434" s="305"/>
      <c r="AS434" s="305"/>
      <c r="AT434" s="305"/>
      <c r="AU434" s="305"/>
      <c r="AV434" s="305"/>
      <c r="AW434" s="305"/>
      <c r="AX434" s="305"/>
      <c r="AY434" s="305"/>
      <c r="AZ434" s="305"/>
      <c r="BA434" s="305"/>
      <c r="BB434" s="305"/>
      <c r="BC434" s="305"/>
      <c r="BD434" s="305"/>
      <c r="BE434" s="305"/>
      <c r="BF434" s="305"/>
      <c r="BG434" s="305"/>
      <c r="BH434" s="305"/>
      <c r="BI434" s="305"/>
      <c r="BJ434" s="305"/>
      <c r="BK434" s="305"/>
      <c r="BL434" s="305"/>
      <c r="BM434" s="305"/>
      <c r="BN434" s="305"/>
      <c r="BO434" s="305"/>
      <c r="BP434" s="305"/>
      <c r="BQ434" s="305"/>
      <c r="BR434" s="305"/>
      <c r="BS434" s="305"/>
      <c r="BT434" s="305"/>
      <c r="BU434" s="305"/>
      <c r="BV434" s="305"/>
      <c r="BW434" s="305"/>
      <c r="BX434" s="305"/>
      <c r="BY434" s="305"/>
      <c r="BZ434" s="305"/>
      <c r="CA434" s="305"/>
      <c r="CB434" s="305"/>
      <c r="CC434" s="305"/>
      <c r="CD434" s="305"/>
      <c r="CE434" s="305"/>
      <c r="CF434" s="305"/>
      <c r="CG434" s="305"/>
      <c r="CH434" s="305"/>
      <c r="CI434" s="305"/>
      <c r="CJ434" s="305"/>
      <c r="CK434" s="305"/>
      <c r="CL434" s="305"/>
      <c r="CM434" s="305"/>
      <c r="CN434" s="305"/>
      <c r="CO434" s="305"/>
      <c r="CP434" s="305"/>
      <c r="CQ434" s="305"/>
      <c r="CR434" s="305"/>
      <c r="CS434" s="305"/>
      <c r="CT434" s="305"/>
      <c r="CU434" s="305"/>
      <c r="CV434" s="305"/>
      <c r="CW434" s="305"/>
      <c r="CX434" s="305"/>
      <c r="CY434" s="305"/>
      <c r="CZ434" s="305"/>
      <c r="DA434" s="305"/>
      <c r="DB434" s="305"/>
      <c r="DC434" s="305"/>
      <c r="DD434" s="305"/>
      <c r="DE434" s="305"/>
      <c r="DF434" s="305"/>
      <c r="DG434" s="305"/>
      <c r="DH434" s="305"/>
      <c r="DI434" s="305"/>
      <c r="DJ434" s="305"/>
      <c r="DK434" s="305"/>
      <c r="DL434" s="305"/>
      <c r="DM434" s="305"/>
      <c r="DN434" s="305"/>
      <c r="DO434" s="305"/>
      <c r="DP434" s="305"/>
      <c r="DQ434" s="305"/>
      <c r="DR434" s="305"/>
      <c r="DS434" s="305"/>
      <c r="DT434" s="305"/>
      <c r="DU434" s="305"/>
      <c r="DV434" s="305"/>
      <c r="DW434" s="305"/>
      <c r="DX434" s="305"/>
      <c r="DY434" s="305"/>
      <c r="DZ434" s="305"/>
      <c r="EA434" s="305"/>
      <c r="EB434" s="305"/>
      <c r="EC434" s="305"/>
      <c r="ED434" s="305"/>
      <c r="EE434" s="305"/>
      <c r="EF434" s="305"/>
      <c r="EG434" s="305"/>
      <c r="EH434" s="305"/>
      <c r="EI434" s="305"/>
      <c r="EJ434" s="305"/>
      <c r="EK434" s="305"/>
      <c r="EL434" s="305"/>
      <c r="EM434" s="305"/>
      <c r="EN434" s="305"/>
      <c r="EO434" s="305"/>
      <c r="EP434" s="305"/>
      <c r="EQ434" s="305"/>
      <c r="ER434" s="305"/>
      <c r="ES434" s="305"/>
      <c r="ET434" s="305"/>
      <c r="EU434" s="305"/>
      <c r="EV434" s="305"/>
      <c r="EW434" s="305"/>
      <c r="EX434" s="305"/>
      <c r="EY434" s="305"/>
      <c r="EZ434" s="305"/>
      <c r="FA434" s="305"/>
      <c r="FB434" s="305"/>
      <c r="FC434" s="305"/>
      <c r="FD434" s="305"/>
      <c r="FE434" s="305"/>
      <c r="FF434" s="305"/>
      <c r="FG434" s="305"/>
      <c r="FH434" s="305"/>
      <c r="FI434" s="305"/>
      <c r="FJ434" s="305"/>
      <c r="FK434" s="305"/>
      <c r="FL434" s="305"/>
      <c r="FM434" s="305"/>
      <c r="FN434" s="305"/>
      <c r="FO434" s="305"/>
      <c r="FP434" s="305"/>
      <c r="FQ434" s="305"/>
      <c r="FR434" s="305"/>
      <c r="FS434" s="305"/>
      <c r="FT434" s="305"/>
      <c r="FU434" s="305"/>
      <c r="FV434" s="305"/>
      <c r="FW434" s="305"/>
      <c r="FX434" s="305"/>
      <c r="FY434" s="305"/>
      <c r="FZ434" s="305"/>
      <c r="GA434" s="305"/>
      <c r="GB434" s="305"/>
      <c r="GC434" s="305"/>
      <c r="GD434" s="305"/>
      <c r="GE434" s="305"/>
      <c r="GF434" s="305"/>
      <c r="GG434" s="305"/>
      <c r="GH434" s="305"/>
      <c r="GI434" s="305"/>
      <c r="GJ434" s="305"/>
      <c r="GK434" s="305"/>
      <c r="GL434" s="305"/>
      <c r="GM434" s="305"/>
      <c r="GN434" s="305"/>
      <c r="GO434" s="305"/>
      <c r="GP434" s="305"/>
      <c r="GQ434" s="305"/>
      <c r="GR434" s="305"/>
    </row>
    <row r="435" spans="3:200" s="318" customFormat="1" ht="12.75" customHeight="1" x14ac:dyDescent="0.2">
      <c r="C435" s="367"/>
      <c r="D435" s="403"/>
      <c r="E435" s="369"/>
      <c r="F435" s="369"/>
      <c r="G435" s="369"/>
      <c r="H435" s="369"/>
      <c r="I435" s="370"/>
      <c r="J435"/>
      <c r="K435" s="371"/>
      <c r="L435" s="371"/>
      <c r="M435" s="371"/>
      <c r="N435" s="371"/>
      <c r="O435" s="305"/>
      <c r="P435" s="305"/>
      <c r="Q435" s="305"/>
      <c r="R435" s="305"/>
      <c r="S435" s="305"/>
      <c r="T435" s="305"/>
      <c r="U435" s="305"/>
      <c r="V435" s="305"/>
      <c r="W435" s="305"/>
      <c r="X435" s="305"/>
      <c r="Y435" s="305"/>
      <c r="Z435" s="305"/>
      <c r="AA435" s="305"/>
      <c r="AB435" s="305"/>
      <c r="AC435" s="305"/>
      <c r="AD435" s="305"/>
      <c r="AE435" s="305"/>
      <c r="AF435" s="305"/>
      <c r="AG435" s="305"/>
      <c r="AH435" s="305"/>
      <c r="AI435" s="305"/>
      <c r="AJ435" s="305"/>
      <c r="AK435" s="305"/>
      <c r="AL435" s="305"/>
      <c r="AM435" s="305"/>
      <c r="AN435" s="305"/>
      <c r="AO435" s="305"/>
      <c r="AP435" s="305"/>
      <c r="AQ435" s="305"/>
      <c r="AR435" s="305"/>
      <c r="AS435" s="305"/>
      <c r="AT435" s="305"/>
      <c r="AU435" s="305"/>
      <c r="AV435" s="305"/>
      <c r="AW435" s="305"/>
      <c r="AX435" s="305"/>
      <c r="AY435" s="305"/>
      <c r="AZ435" s="305"/>
      <c r="BA435" s="305"/>
      <c r="BB435" s="305"/>
      <c r="BC435" s="305"/>
      <c r="BD435" s="305"/>
      <c r="BE435" s="305"/>
      <c r="BF435" s="305"/>
      <c r="BG435" s="305"/>
      <c r="BH435" s="305"/>
      <c r="BI435" s="305"/>
      <c r="BJ435" s="305"/>
      <c r="BK435" s="305"/>
      <c r="BL435" s="305"/>
      <c r="BM435" s="305"/>
      <c r="BN435" s="305"/>
      <c r="BO435" s="305"/>
      <c r="BP435" s="305"/>
      <c r="BQ435" s="305"/>
      <c r="BR435" s="305"/>
      <c r="BS435" s="305"/>
      <c r="BT435" s="305"/>
      <c r="BU435" s="305"/>
      <c r="BV435" s="305"/>
      <c r="BW435" s="305"/>
      <c r="BX435" s="305"/>
      <c r="BY435" s="305"/>
      <c r="BZ435" s="305"/>
      <c r="CA435" s="305"/>
      <c r="CB435" s="305"/>
      <c r="CC435" s="305"/>
      <c r="CD435" s="305"/>
      <c r="CE435" s="305"/>
      <c r="CF435" s="305"/>
      <c r="CG435" s="305"/>
      <c r="CH435" s="305"/>
      <c r="CI435" s="305"/>
      <c r="CJ435" s="305"/>
      <c r="CK435" s="305"/>
      <c r="CL435" s="305"/>
      <c r="CM435" s="305"/>
      <c r="CN435" s="305"/>
      <c r="CO435" s="305"/>
      <c r="CP435" s="305"/>
      <c r="CQ435" s="305"/>
      <c r="CR435" s="305"/>
      <c r="CS435" s="305"/>
      <c r="CT435" s="305"/>
      <c r="CU435" s="305"/>
      <c r="CV435" s="305"/>
      <c r="CW435" s="305"/>
      <c r="CX435" s="305"/>
      <c r="CY435" s="305"/>
      <c r="CZ435" s="305"/>
      <c r="DA435" s="305"/>
      <c r="DB435" s="305"/>
      <c r="DC435" s="305"/>
      <c r="DD435" s="305"/>
      <c r="DE435" s="305"/>
      <c r="DF435" s="305"/>
      <c r="DG435" s="305"/>
      <c r="DH435" s="305"/>
      <c r="DI435" s="305"/>
      <c r="DJ435" s="305"/>
      <c r="DK435" s="305"/>
      <c r="DL435" s="305"/>
      <c r="DM435" s="305"/>
      <c r="DN435" s="305"/>
      <c r="DO435" s="305"/>
      <c r="DP435" s="305"/>
      <c r="DQ435" s="305"/>
      <c r="DR435" s="305"/>
      <c r="DS435" s="305"/>
      <c r="DT435" s="305"/>
      <c r="DU435" s="305"/>
      <c r="DV435" s="305"/>
      <c r="DW435" s="305"/>
      <c r="DX435" s="305"/>
      <c r="DY435" s="305"/>
      <c r="DZ435" s="305"/>
      <c r="EA435" s="305"/>
      <c r="EB435" s="305"/>
      <c r="EC435" s="305"/>
      <c r="ED435" s="305"/>
      <c r="EE435" s="305"/>
      <c r="EF435" s="305"/>
      <c r="EG435" s="305"/>
      <c r="EH435" s="305"/>
      <c r="EI435" s="305"/>
      <c r="EJ435" s="305"/>
      <c r="EK435" s="305"/>
      <c r="EL435" s="305"/>
      <c r="EM435" s="305"/>
      <c r="EN435" s="305"/>
      <c r="EO435" s="305"/>
      <c r="EP435" s="305"/>
      <c r="EQ435" s="305"/>
      <c r="ER435" s="305"/>
      <c r="ES435" s="305"/>
      <c r="ET435" s="305"/>
      <c r="EU435" s="305"/>
      <c r="EV435" s="305"/>
      <c r="EW435" s="305"/>
      <c r="EX435" s="305"/>
      <c r="EY435" s="305"/>
      <c r="EZ435" s="305"/>
      <c r="FA435" s="305"/>
      <c r="FB435" s="305"/>
      <c r="FC435" s="305"/>
      <c r="FD435" s="305"/>
      <c r="FE435" s="305"/>
      <c r="FF435" s="305"/>
      <c r="FG435" s="305"/>
      <c r="FH435" s="305"/>
      <c r="FI435" s="305"/>
      <c r="FJ435" s="305"/>
      <c r="FK435" s="305"/>
      <c r="FL435" s="305"/>
      <c r="FM435" s="305"/>
      <c r="FN435" s="305"/>
      <c r="FO435" s="305"/>
      <c r="FP435" s="305"/>
      <c r="FQ435" s="305"/>
      <c r="FR435" s="305"/>
      <c r="FS435" s="305"/>
      <c r="FT435" s="305"/>
      <c r="FU435" s="305"/>
      <c r="FV435" s="305"/>
      <c r="FW435" s="305"/>
      <c r="FX435" s="305"/>
      <c r="FY435" s="305"/>
      <c r="FZ435" s="305"/>
      <c r="GA435" s="305"/>
      <c r="GB435" s="305"/>
      <c r="GC435" s="305"/>
      <c r="GD435" s="305"/>
      <c r="GE435" s="305"/>
      <c r="GF435" s="305"/>
      <c r="GG435" s="305"/>
      <c r="GH435" s="305"/>
      <c r="GI435" s="305"/>
      <c r="GJ435" s="305"/>
      <c r="GK435" s="305"/>
      <c r="GL435" s="305"/>
      <c r="GM435" s="305"/>
      <c r="GN435" s="305"/>
      <c r="GO435" s="305"/>
      <c r="GP435" s="305"/>
      <c r="GQ435" s="305"/>
      <c r="GR435" s="305"/>
    </row>
    <row r="436" spans="3:200" s="318" customFormat="1" ht="12.75" customHeight="1" x14ac:dyDescent="0.2">
      <c r="C436" s="367"/>
      <c r="D436" s="403"/>
      <c r="E436" s="369"/>
      <c r="F436" s="369"/>
      <c r="G436" s="369"/>
      <c r="H436" s="369"/>
      <c r="I436" s="370"/>
      <c r="J436"/>
      <c r="K436" s="371"/>
      <c r="L436" s="371"/>
      <c r="M436" s="371"/>
      <c r="N436" s="371"/>
      <c r="O436" s="305"/>
      <c r="P436" s="305"/>
      <c r="Q436" s="305"/>
      <c r="R436" s="305"/>
      <c r="S436" s="305"/>
      <c r="T436" s="305"/>
      <c r="U436" s="305"/>
      <c r="V436" s="305"/>
      <c r="W436" s="305"/>
      <c r="X436" s="305"/>
      <c r="Y436" s="305"/>
      <c r="Z436" s="305"/>
      <c r="AA436" s="305"/>
      <c r="AB436" s="305"/>
      <c r="AC436" s="305"/>
      <c r="AD436" s="305"/>
      <c r="AE436" s="305"/>
      <c r="AF436" s="305"/>
      <c r="AG436" s="305"/>
      <c r="AH436" s="305"/>
      <c r="AI436" s="305"/>
      <c r="AJ436" s="305"/>
      <c r="AK436" s="305"/>
      <c r="AL436" s="305"/>
      <c r="AM436" s="305"/>
      <c r="AN436" s="305"/>
      <c r="AO436" s="305"/>
      <c r="AP436" s="305"/>
      <c r="AQ436" s="305"/>
      <c r="AR436" s="305"/>
      <c r="AS436" s="305"/>
      <c r="AT436" s="305"/>
      <c r="AU436" s="305"/>
      <c r="AV436" s="305"/>
      <c r="AW436" s="305"/>
      <c r="AX436" s="305"/>
      <c r="AY436" s="305"/>
      <c r="AZ436" s="305"/>
      <c r="BA436" s="305"/>
      <c r="BB436" s="305"/>
      <c r="BC436" s="305"/>
      <c r="BD436" s="305"/>
      <c r="BE436" s="305"/>
      <c r="BF436" s="305"/>
      <c r="BG436" s="305"/>
      <c r="BH436" s="305"/>
      <c r="BI436" s="305"/>
      <c r="BJ436" s="305"/>
      <c r="BK436" s="305"/>
      <c r="BL436" s="305"/>
      <c r="BM436" s="305"/>
      <c r="BN436" s="305"/>
      <c r="BO436" s="305"/>
      <c r="BP436" s="305"/>
      <c r="BQ436" s="305"/>
      <c r="BR436" s="305"/>
      <c r="BS436" s="305"/>
      <c r="BT436" s="305"/>
      <c r="BU436" s="305"/>
      <c r="BV436" s="305"/>
      <c r="BW436" s="305"/>
      <c r="BX436" s="305"/>
      <c r="BY436" s="305"/>
      <c r="BZ436" s="305"/>
      <c r="CA436" s="305"/>
      <c r="CB436" s="305"/>
      <c r="CC436" s="305"/>
      <c r="CD436" s="305"/>
      <c r="CE436" s="305"/>
      <c r="CF436" s="305"/>
      <c r="CG436" s="305"/>
      <c r="CH436" s="305"/>
      <c r="CI436" s="305"/>
      <c r="CJ436" s="305"/>
      <c r="CK436" s="305"/>
      <c r="CL436" s="305"/>
      <c r="CM436" s="305"/>
      <c r="CN436" s="305"/>
      <c r="CO436" s="305"/>
      <c r="CP436" s="305"/>
      <c r="CQ436" s="305"/>
      <c r="CR436" s="305"/>
      <c r="CS436" s="305"/>
      <c r="CT436" s="305"/>
      <c r="CU436" s="305"/>
      <c r="CV436" s="305"/>
      <c r="CW436" s="305"/>
      <c r="CX436" s="305"/>
      <c r="CY436" s="305"/>
      <c r="CZ436" s="305"/>
      <c r="DA436" s="305"/>
      <c r="DB436" s="305"/>
      <c r="DC436" s="305"/>
      <c r="DD436" s="305"/>
      <c r="DE436" s="305"/>
      <c r="DF436" s="305"/>
      <c r="DG436" s="305"/>
      <c r="DH436" s="305"/>
      <c r="DI436" s="305"/>
      <c r="DJ436" s="305"/>
      <c r="DK436" s="305"/>
      <c r="DL436" s="305"/>
      <c r="DM436" s="305"/>
      <c r="DN436" s="305"/>
      <c r="DO436" s="305"/>
      <c r="DP436" s="305"/>
      <c r="DQ436" s="305"/>
      <c r="DR436" s="305"/>
      <c r="DS436" s="305"/>
      <c r="DT436" s="305"/>
      <c r="DU436" s="305"/>
      <c r="DV436" s="305"/>
      <c r="DW436" s="305"/>
      <c r="DX436" s="305"/>
      <c r="DY436" s="305"/>
      <c r="DZ436" s="305"/>
      <c r="EA436" s="305"/>
      <c r="EB436" s="305"/>
      <c r="EC436" s="305"/>
      <c r="ED436" s="305"/>
      <c r="EE436" s="305"/>
      <c r="EF436" s="305"/>
      <c r="EG436" s="305"/>
      <c r="EH436" s="305"/>
      <c r="EI436" s="305"/>
      <c r="EJ436" s="305"/>
      <c r="EK436" s="305"/>
      <c r="EL436" s="305"/>
      <c r="EM436" s="305"/>
      <c r="EN436" s="305"/>
      <c r="EO436" s="305"/>
      <c r="EP436" s="305"/>
      <c r="EQ436" s="305"/>
      <c r="ER436" s="305"/>
      <c r="ES436" s="305"/>
      <c r="ET436" s="305"/>
      <c r="EU436" s="305"/>
      <c r="EV436" s="305"/>
      <c r="EW436" s="305"/>
      <c r="EX436" s="305"/>
      <c r="EY436" s="305"/>
      <c r="EZ436" s="305"/>
      <c r="FA436" s="305"/>
      <c r="FB436" s="305"/>
      <c r="FC436" s="305"/>
      <c r="FD436" s="305"/>
      <c r="FE436" s="305"/>
      <c r="FF436" s="305"/>
      <c r="FG436" s="305"/>
      <c r="FH436" s="305"/>
      <c r="FI436" s="305"/>
      <c r="FJ436" s="305"/>
      <c r="FK436" s="305"/>
      <c r="FL436" s="305"/>
      <c r="FM436" s="305"/>
      <c r="FN436" s="305"/>
      <c r="FO436" s="305"/>
      <c r="FP436" s="305"/>
      <c r="FQ436" s="305"/>
      <c r="FR436" s="305"/>
      <c r="FS436" s="305"/>
      <c r="FT436" s="305"/>
      <c r="FU436" s="305"/>
      <c r="FV436" s="305"/>
      <c r="FW436" s="305"/>
      <c r="FX436" s="305"/>
      <c r="FY436" s="305"/>
      <c r="FZ436" s="305"/>
      <c r="GA436" s="305"/>
      <c r="GB436" s="305"/>
      <c r="GC436" s="305"/>
      <c r="GD436" s="305"/>
      <c r="GE436" s="305"/>
      <c r="GF436" s="305"/>
      <c r="GG436" s="305"/>
      <c r="GH436" s="305"/>
      <c r="GI436" s="305"/>
      <c r="GJ436" s="305"/>
      <c r="GK436" s="305"/>
      <c r="GL436" s="305"/>
      <c r="GM436" s="305"/>
      <c r="GN436" s="305"/>
      <c r="GO436" s="305"/>
      <c r="GP436" s="305"/>
      <c r="GQ436" s="305"/>
      <c r="GR436" s="305"/>
    </row>
    <row r="437" spans="3:200" s="318" customFormat="1" ht="12.75" customHeight="1" x14ac:dyDescent="0.2">
      <c r="C437" s="367"/>
      <c r="D437" s="403"/>
      <c r="E437" s="369"/>
      <c r="F437" s="369"/>
      <c r="G437" s="369"/>
      <c r="H437" s="369"/>
      <c r="I437" s="370"/>
      <c r="J437"/>
      <c r="K437" s="371"/>
      <c r="L437" s="371"/>
      <c r="M437" s="371"/>
      <c r="N437" s="371"/>
      <c r="O437" s="305"/>
      <c r="P437" s="305"/>
      <c r="Q437" s="305"/>
      <c r="R437" s="305"/>
      <c r="S437" s="305"/>
      <c r="T437" s="305"/>
      <c r="U437" s="305"/>
      <c r="V437" s="305"/>
      <c r="W437" s="305"/>
      <c r="X437" s="305"/>
      <c r="Y437" s="305"/>
      <c r="Z437" s="305"/>
      <c r="AA437" s="305"/>
      <c r="AB437" s="305"/>
      <c r="AC437" s="305"/>
      <c r="AD437" s="305"/>
      <c r="AE437" s="305"/>
      <c r="AF437" s="305"/>
      <c r="AG437" s="305"/>
      <c r="AH437" s="305"/>
      <c r="AI437" s="305"/>
      <c r="AJ437" s="305"/>
      <c r="AK437" s="305"/>
      <c r="AL437" s="305"/>
      <c r="AM437" s="305"/>
      <c r="AN437" s="305"/>
      <c r="AO437" s="305"/>
      <c r="AP437" s="305"/>
      <c r="AQ437" s="305"/>
      <c r="AR437" s="305"/>
      <c r="AS437" s="305"/>
      <c r="AT437" s="305"/>
      <c r="AU437" s="305"/>
      <c r="AV437" s="305"/>
      <c r="AW437" s="305"/>
      <c r="AX437" s="305"/>
      <c r="AY437" s="305"/>
      <c r="AZ437" s="305"/>
      <c r="BA437" s="305"/>
      <c r="BB437" s="305"/>
      <c r="BC437" s="305"/>
      <c r="BD437" s="305"/>
      <c r="BE437" s="305"/>
      <c r="BF437" s="305"/>
      <c r="BG437" s="305"/>
      <c r="BH437" s="305"/>
      <c r="BI437" s="305"/>
      <c r="BJ437" s="305"/>
      <c r="BK437" s="305"/>
      <c r="BL437" s="305"/>
      <c r="BM437" s="305"/>
      <c r="BN437" s="305"/>
      <c r="BO437" s="305"/>
      <c r="BP437" s="305"/>
      <c r="BQ437" s="305"/>
      <c r="BR437" s="305"/>
      <c r="BS437" s="305"/>
      <c r="BT437" s="305"/>
      <c r="BU437" s="305"/>
      <c r="BV437" s="305"/>
      <c r="BW437" s="305"/>
      <c r="BX437" s="305"/>
      <c r="BY437" s="305"/>
      <c r="BZ437" s="305"/>
      <c r="CA437" s="305"/>
      <c r="CB437" s="305"/>
      <c r="CC437" s="305"/>
      <c r="CD437" s="305"/>
      <c r="CE437" s="305"/>
      <c r="CF437" s="305"/>
      <c r="CG437" s="305"/>
      <c r="CH437" s="305"/>
      <c r="CI437" s="305"/>
      <c r="CJ437" s="305"/>
      <c r="CK437" s="305"/>
      <c r="CL437" s="305"/>
      <c r="CM437" s="305"/>
      <c r="CN437" s="305"/>
      <c r="CO437" s="305"/>
      <c r="CP437" s="305"/>
      <c r="CQ437" s="305"/>
      <c r="CR437" s="305"/>
      <c r="CS437" s="305"/>
      <c r="CT437" s="305"/>
      <c r="CU437" s="305"/>
      <c r="CV437" s="305"/>
      <c r="CW437" s="305"/>
      <c r="CX437" s="305"/>
      <c r="CY437" s="305"/>
      <c r="CZ437" s="305"/>
      <c r="DA437" s="305"/>
      <c r="DB437" s="305"/>
      <c r="DC437" s="305"/>
      <c r="DD437" s="305"/>
      <c r="DE437" s="305"/>
      <c r="DF437" s="305"/>
      <c r="DG437" s="305"/>
      <c r="DH437" s="305"/>
      <c r="DI437" s="305"/>
      <c r="DJ437" s="305"/>
      <c r="DK437" s="305"/>
      <c r="DL437" s="305"/>
      <c r="DM437" s="305"/>
      <c r="DN437" s="305"/>
      <c r="DO437" s="305"/>
      <c r="DP437" s="305"/>
      <c r="DQ437" s="305"/>
      <c r="DR437" s="305"/>
      <c r="DS437" s="305"/>
      <c r="DT437" s="305"/>
      <c r="DU437" s="305"/>
      <c r="DV437" s="305"/>
      <c r="DW437" s="305"/>
      <c r="DX437" s="305"/>
      <c r="DY437" s="305"/>
      <c r="DZ437" s="305"/>
      <c r="EA437" s="305"/>
      <c r="EB437" s="305"/>
      <c r="EC437" s="305"/>
      <c r="ED437" s="305"/>
      <c r="EE437" s="305"/>
      <c r="EF437" s="305"/>
      <c r="EG437" s="305"/>
      <c r="EH437" s="305"/>
      <c r="EI437" s="305"/>
      <c r="EJ437" s="305"/>
      <c r="EK437" s="305"/>
      <c r="EL437" s="305"/>
      <c r="EM437" s="305"/>
      <c r="EN437" s="305"/>
      <c r="EO437" s="305"/>
      <c r="EP437" s="305"/>
      <c r="EQ437" s="305"/>
      <c r="ER437" s="305"/>
      <c r="ES437" s="305"/>
      <c r="ET437" s="305"/>
      <c r="EU437" s="305"/>
      <c r="EV437" s="305"/>
      <c r="EW437" s="305"/>
      <c r="EX437" s="305"/>
      <c r="EY437" s="305"/>
      <c r="EZ437" s="305"/>
      <c r="FA437" s="305"/>
      <c r="FB437" s="305"/>
      <c r="FC437" s="305"/>
      <c r="FD437" s="305"/>
      <c r="FE437" s="305"/>
      <c r="FF437" s="305"/>
      <c r="FG437" s="305"/>
      <c r="FH437" s="305"/>
      <c r="FI437" s="305"/>
      <c r="FJ437" s="305"/>
      <c r="FK437" s="305"/>
      <c r="FL437" s="305"/>
      <c r="FM437" s="305"/>
      <c r="FN437" s="305"/>
      <c r="FO437" s="305"/>
      <c r="FP437" s="305"/>
      <c r="FQ437" s="305"/>
      <c r="FR437" s="305"/>
      <c r="FS437" s="305"/>
      <c r="FT437" s="305"/>
      <c r="FU437" s="305"/>
      <c r="FV437" s="305"/>
      <c r="FW437" s="305"/>
      <c r="FX437" s="305"/>
      <c r="FY437" s="305"/>
      <c r="FZ437" s="305"/>
      <c r="GA437" s="305"/>
      <c r="GB437" s="305"/>
      <c r="GC437" s="305"/>
      <c r="GD437" s="305"/>
      <c r="GE437" s="305"/>
      <c r="GF437" s="305"/>
      <c r="GG437" s="305"/>
      <c r="GH437" s="305"/>
      <c r="GI437" s="305"/>
      <c r="GJ437" s="305"/>
      <c r="GK437" s="305"/>
      <c r="GL437" s="305"/>
      <c r="GM437" s="305"/>
      <c r="GN437" s="305"/>
      <c r="GO437" s="305"/>
      <c r="GP437" s="305"/>
      <c r="GQ437" s="305"/>
      <c r="GR437" s="305"/>
    </row>
    <row r="438" spans="3:200" s="318" customFormat="1" ht="12.75" customHeight="1" x14ac:dyDescent="0.2">
      <c r="C438" s="367"/>
      <c r="D438" s="403"/>
      <c r="E438" s="369"/>
      <c r="F438" s="369"/>
      <c r="G438" s="369"/>
      <c r="H438" s="369"/>
      <c r="I438" s="370"/>
      <c r="J438"/>
      <c r="K438" s="371"/>
      <c r="L438" s="371"/>
      <c r="M438" s="371"/>
      <c r="N438" s="371"/>
      <c r="O438" s="305"/>
      <c r="P438" s="305"/>
      <c r="Q438" s="305"/>
      <c r="R438" s="305"/>
      <c r="S438" s="305"/>
      <c r="T438" s="305"/>
      <c r="U438" s="305"/>
      <c r="V438" s="305"/>
      <c r="W438" s="305"/>
      <c r="X438" s="305"/>
      <c r="Y438" s="305"/>
      <c r="Z438" s="305"/>
      <c r="AA438" s="305"/>
      <c r="AB438" s="305"/>
      <c r="AC438" s="305"/>
      <c r="AD438" s="305"/>
      <c r="AE438" s="305"/>
      <c r="AF438" s="305"/>
      <c r="AG438" s="305"/>
      <c r="AH438" s="305"/>
      <c r="AI438" s="305"/>
      <c r="AJ438" s="305"/>
      <c r="AK438" s="305"/>
      <c r="AL438" s="305"/>
      <c r="AM438" s="305"/>
      <c r="AN438" s="305"/>
      <c r="AO438" s="305"/>
      <c r="AP438" s="305"/>
      <c r="AQ438" s="305"/>
      <c r="AR438" s="305"/>
      <c r="AS438" s="305"/>
      <c r="AT438" s="305"/>
      <c r="AU438" s="305"/>
      <c r="AV438" s="305"/>
      <c r="AW438" s="305"/>
      <c r="AX438" s="305"/>
      <c r="AY438" s="305"/>
      <c r="AZ438" s="305"/>
      <c r="BA438" s="305"/>
      <c r="BB438" s="305"/>
      <c r="BC438" s="305"/>
      <c r="BD438" s="305"/>
      <c r="BE438" s="305"/>
      <c r="BF438" s="305"/>
      <c r="BG438" s="305"/>
      <c r="BH438" s="305"/>
      <c r="BI438" s="305"/>
      <c r="BJ438" s="305"/>
      <c r="BK438" s="305"/>
      <c r="BL438" s="305"/>
      <c r="BM438" s="305"/>
      <c r="BN438" s="305"/>
      <c r="BO438" s="305"/>
      <c r="BP438" s="305"/>
      <c r="BQ438" s="305"/>
      <c r="BR438" s="305"/>
      <c r="BS438" s="305"/>
      <c r="BT438" s="305"/>
      <c r="BU438" s="305"/>
      <c r="BV438" s="305"/>
      <c r="BW438" s="305"/>
      <c r="BX438" s="305"/>
      <c r="BY438" s="305"/>
      <c r="BZ438" s="305"/>
      <c r="CA438" s="305"/>
      <c r="CB438" s="305"/>
      <c r="CC438" s="305"/>
      <c r="CD438" s="305"/>
      <c r="CE438" s="305"/>
      <c r="CF438" s="305"/>
      <c r="CG438" s="305"/>
      <c r="CH438" s="305"/>
      <c r="CI438" s="305"/>
      <c r="CJ438" s="305"/>
      <c r="CK438" s="305"/>
      <c r="CL438" s="305"/>
      <c r="CM438" s="305"/>
      <c r="CN438" s="305"/>
      <c r="CO438" s="305"/>
      <c r="CP438" s="305"/>
      <c r="CQ438" s="305"/>
      <c r="CR438" s="305"/>
      <c r="CS438" s="305"/>
      <c r="CT438" s="305"/>
      <c r="CU438" s="305"/>
      <c r="CV438" s="305"/>
      <c r="CW438" s="305"/>
      <c r="CX438" s="305"/>
      <c r="CY438" s="305"/>
      <c r="CZ438" s="305"/>
      <c r="DA438" s="305"/>
      <c r="DB438" s="305"/>
      <c r="DC438" s="305"/>
      <c r="DD438" s="305"/>
      <c r="DE438" s="305"/>
      <c r="DF438" s="305"/>
      <c r="DG438" s="305"/>
      <c r="DH438" s="305"/>
      <c r="DI438" s="305"/>
      <c r="DJ438" s="305"/>
      <c r="DK438" s="305"/>
      <c r="DL438" s="305"/>
      <c r="DM438" s="305"/>
      <c r="DN438" s="305"/>
      <c r="DO438" s="305"/>
      <c r="DP438" s="305"/>
      <c r="DQ438" s="305"/>
      <c r="DR438" s="305"/>
      <c r="DS438" s="305"/>
      <c r="DT438" s="305"/>
      <c r="DU438" s="305"/>
      <c r="DV438" s="305"/>
      <c r="DW438" s="305"/>
      <c r="DX438" s="305"/>
      <c r="DY438" s="305"/>
      <c r="DZ438" s="305"/>
      <c r="EA438" s="305"/>
      <c r="EB438" s="305"/>
      <c r="EC438" s="305"/>
      <c r="ED438" s="305"/>
      <c r="EE438" s="305"/>
      <c r="EF438" s="305"/>
      <c r="EG438" s="305"/>
      <c r="EH438" s="305"/>
      <c r="EI438" s="305"/>
      <c r="EJ438" s="305"/>
      <c r="EK438" s="305"/>
      <c r="EL438" s="305"/>
      <c r="EM438" s="305"/>
      <c r="EN438" s="305"/>
      <c r="EO438" s="305"/>
      <c r="EP438" s="305"/>
      <c r="EQ438" s="305"/>
      <c r="ER438" s="305"/>
      <c r="ES438" s="305"/>
      <c r="ET438" s="305"/>
      <c r="EU438" s="305"/>
      <c r="EV438" s="305"/>
      <c r="EW438" s="305"/>
      <c r="EX438" s="305"/>
      <c r="EY438" s="305"/>
      <c r="EZ438" s="305"/>
      <c r="FA438" s="305"/>
      <c r="FB438" s="305"/>
      <c r="FC438" s="305"/>
      <c r="FD438" s="305"/>
      <c r="FE438" s="305"/>
      <c r="FF438" s="305"/>
      <c r="FG438" s="305"/>
      <c r="FH438" s="305"/>
      <c r="FI438" s="305"/>
      <c r="FJ438" s="305"/>
      <c r="FK438" s="305"/>
      <c r="FL438" s="305"/>
      <c r="FM438" s="305"/>
      <c r="FN438" s="305"/>
      <c r="FO438" s="305"/>
      <c r="FP438" s="305"/>
      <c r="FQ438" s="305"/>
      <c r="FR438" s="305"/>
      <c r="FS438" s="305"/>
      <c r="FT438" s="305"/>
      <c r="FU438" s="305"/>
      <c r="FV438" s="305"/>
      <c r="FW438" s="305"/>
      <c r="FX438" s="305"/>
      <c r="FY438" s="305"/>
      <c r="FZ438" s="305"/>
      <c r="GA438" s="305"/>
      <c r="GB438" s="305"/>
      <c r="GC438" s="305"/>
      <c r="GD438" s="305"/>
      <c r="GE438" s="305"/>
      <c r="GF438" s="305"/>
      <c r="GG438" s="305"/>
      <c r="GH438" s="305"/>
      <c r="GI438" s="305"/>
      <c r="GJ438" s="305"/>
      <c r="GK438" s="305"/>
      <c r="GL438" s="305"/>
      <c r="GM438" s="305"/>
      <c r="GN438" s="305"/>
      <c r="GO438" s="305"/>
      <c r="GP438" s="305"/>
      <c r="GQ438" s="305"/>
      <c r="GR438" s="305"/>
    </row>
    <row r="439" spans="3:200" s="318" customFormat="1" ht="12.75" customHeight="1" x14ac:dyDescent="0.2">
      <c r="C439" s="367"/>
      <c r="D439" s="403"/>
      <c r="E439" s="369"/>
      <c r="F439" s="369"/>
      <c r="G439" s="369"/>
      <c r="H439" s="369"/>
      <c r="I439" s="370"/>
      <c r="J439"/>
      <c r="K439" s="371"/>
      <c r="L439" s="371"/>
      <c r="M439" s="371"/>
      <c r="N439" s="371"/>
      <c r="O439" s="305"/>
      <c r="P439" s="305"/>
      <c r="Q439" s="305"/>
      <c r="R439" s="305"/>
      <c r="S439" s="305"/>
      <c r="T439" s="305"/>
      <c r="U439" s="305"/>
      <c r="V439" s="305"/>
      <c r="W439" s="305"/>
      <c r="X439" s="305"/>
      <c r="Y439" s="305"/>
      <c r="Z439" s="305"/>
      <c r="AA439" s="305"/>
      <c r="AB439" s="305"/>
      <c r="AC439" s="305"/>
      <c r="AD439" s="305"/>
      <c r="AE439" s="305"/>
      <c r="AF439" s="305"/>
      <c r="AG439" s="305"/>
      <c r="AH439" s="305"/>
      <c r="AI439" s="305"/>
      <c r="AJ439" s="305"/>
      <c r="AK439" s="305"/>
      <c r="AL439" s="305"/>
      <c r="AM439" s="305"/>
      <c r="AN439" s="305"/>
      <c r="AO439" s="305"/>
      <c r="AP439" s="305"/>
      <c r="AQ439" s="305"/>
      <c r="AR439" s="305"/>
      <c r="AS439" s="305"/>
      <c r="AT439" s="305"/>
      <c r="AU439" s="305"/>
      <c r="AV439" s="305"/>
      <c r="AW439" s="305"/>
      <c r="AX439" s="305"/>
      <c r="AY439" s="305"/>
      <c r="AZ439" s="305"/>
      <c r="BA439" s="305"/>
      <c r="BB439" s="305"/>
      <c r="BC439" s="305"/>
      <c r="BD439" s="305"/>
      <c r="BE439" s="305"/>
      <c r="BF439" s="305"/>
      <c r="BG439" s="305"/>
      <c r="BH439" s="305"/>
      <c r="BI439" s="305"/>
      <c r="BJ439" s="305"/>
      <c r="BK439" s="305"/>
      <c r="BL439" s="305"/>
      <c r="BM439" s="305"/>
      <c r="BN439" s="305"/>
      <c r="BO439" s="305"/>
      <c r="BP439" s="305"/>
      <c r="BQ439" s="305"/>
      <c r="BR439" s="305"/>
      <c r="BS439" s="305"/>
      <c r="BT439" s="305"/>
      <c r="BU439" s="305"/>
      <c r="BV439" s="305"/>
      <c r="BW439" s="305"/>
      <c r="BX439" s="305"/>
      <c r="BY439" s="305"/>
      <c r="BZ439" s="305"/>
      <c r="CA439" s="305"/>
      <c r="CB439" s="305"/>
      <c r="CC439" s="305"/>
      <c r="CD439" s="305"/>
      <c r="CE439" s="305"/>
      <c r="CF439" s="305"/>
      <c r="CG439" s="305"/>
      <c r="CH439" s="305"/>
      <c r="CI439" s="305"/>
      <c r="CJ439" s="305"/>
      <c r="CK439" s="305"/>
      <c r="CL439" s="305"/>
      <c r="CM439" s="305"/>
      <c r="CN439" s="305"/>
      <c r="CO439" s="305"/>
      <c r="CP439" s="305"/>
      <c r="CQ439" s="305"/>
      <c r="CR439" s="305"/>
      <c r="CS439" s="305"/>
      <c r="CT439" s="305"/>
      <c r="CU439" s="305"/>
      <c r="CV439" s="305"/>
      <c r="CW439" s="305"/>
      <c r="CX439" s="305"/>
      <c r="CY439" s="305"/>
      <c r="CZ439" s="305"/>
      <c r="DA439" s="305"/>
      <c r="DB439" s="305"/>
      <c r="DC439" s="305"/>
      <c r="DD439" s="305"/>
      <c r="DE439" s="305"/>
      <c r="DF439" s="305"/>
      <c r="DG439" s="305"/>
      <c r="DH439" s="305"/>
      <c r="DI439" s="305"/>
      <c r="DJ439" s="305"/>
      <c r="DK439" s="305"/>
      <c r="DL439" s="305"/>
      <c r="DM439" s="305"/>
      <c r="DN439" s="305"/>
      <c r="DO439" s="305"/>
      <c r="DP439" s="305"/>
      <c r="DQ439" s="305"/>
      <c r="DR439" s="305"/>
      <c r="DS439" s="305"/>
      <c r="DT439" s="305"/>
      <c r="DU439" s="305"/>
      <c r="DV439" s="305"/>
      <c r="DW439" s="305"/>
      <c r="DX439" s="305"/>
      <c r="DY439" s="305"/>
      <c r="DZ439" s="305"/>
      <c r="EA439" s="305"/>
      <c r="EB439" s="305"/>
      <c r="EC439" s="305"/>
      <c r="ED439" s="305"/>
      <c r="EE439" s="305"/>
      <c r="EF439" s="305"/>
      <c r="EG439" s="305"/>
      <c r="EH439" s="305"/>
      <c r="EI439" s="305"/>
      <c r="EJ439" s="305"/>
      <c r="EK439" s="305"/>
      <c r="EL439" s="305"/>
      <c r="EM439" s="305"/>
      <c r="EN439" s="305"/>
      <c r="EO439" s="305"/>
      <c r="EP439" s="305"/>
      <c r="EQ439" s="305"/>
      <c r="ER439" s="305"/>
      <c r="ES439" s="305"/>
      <c r="ET439" s="305"/>
      <c r="EU439" s="305"/>
      <c r="EV439" s="305"/>
      <c r="EW439" s="305"/>
      <c r="EX439" s="305"/>
      <c r="EY439" s="305"/>
      <c r="EZ439" s="305"/>
      <c r="FA439" s="305"/>
      <c r="FB439" s="305"/>
      <c r="FC439" s="305"/>
      <c r="FD439" s="305"/>
      <c r="FE439" s="305"/>
      <c r="FF439" s="305"/>
      <c r="FG439" s="305"/>
      <c r="FH439" s="305"/>
      <c r="FI439" s="305"/>
      <c r="FJ439" s="305"/>
      <c r="FK439" s="305"/>
      <c r="FL439" s="305"/>
      <c r="FM439" s="305"/>
      <c r="FN439" s="305"/>
      <c r="FO439" s="305"/>
      <c r="FP439" s="305"/>
      <c r="FQ439" s="305"/>
      <c r="FR439" s="305"/>
      <c r="FS439" s="305"/>
      <c r="FT439" s="305"/>
      <c r="FU439" s="305"/>
      <c r="FV439" s="305"/>
      <c r="FW439" s="305"/>
      <c r="FX439" s="305"/>
      <c r="FY439" s="305"/>
      <c r="FZ439" s="305"/>
      <c r="GA439" s="305"/>
      <c r="GB439" s="305"/>
      <c r="GC439" s="305"/>
      <c r="GD439" s="305"/>
      <c r="GE439" s="305"/>
      <c r="GF439" s="305"/>
      <c r="GG439" s="305"/>
      <c r="GH439" s="305"/>
      <c r="GI439" s="305"/>
      <c r="GJ439" s="305"/>
      <c r="GK439" s="305"/>
      <c r="GL439" s="305"/>
      <c r="GM439" s="305"/>
      <c r="GN439" s="305"/>
      <c r="GO439" s="305"/>
      <c r="GP439" s="305"/>
      <c r="GQ439" s="305"/>
      <c r="GR439" s="305"/>
    </row>
    <row r="440" spans="3:200" s="318" customFormat="1" ht="12.75" customHeight="1" x14ac:dyDescent="0.2">
      <c r="C440" s="367"/>
      <c r="D440" s="403"/>
      <c r="E440" s="369"/>
      <c r="F440" s="369"/>
      <c r="G440" s="369"/>
      <c r="H440" s="369"/>
      <c r="I440" s="370"/>
      <c r="J440"/>
      <c r="K440" s="371"/>
      <c r="L440" s="371"/>
      <c r="M440" s="371"/>
      <c r="N440" s="371"/>
      <c r="O440" s="305"/>
      <c r="P440" s="305"/>
      <c r="Q440" s="305"/>
      <c r="R440" s="305"/>
      <c r="S440" s="305"/>
      <c r="T440" s="305"/>
      <c r="U440" s="305"/>
      <c r="V440" s="305"/>
      <c r="W440" s="305"/>
      <c r="X440" s="305"/>
      <c r="Y440" s="305"/>
      <c r="Z440" s="305"/>
      <c r="AA440" s="305"/>
      <c r="AB440" s="305"/>
      <c r="AC440" s="305"/>
      <c r="AD440" s="305"/>
      <c r="AE440" s="305"/>
      <c r="AF440" s="305"/>
      <c r="AG440" s="305"/>
      <c r="AH440" s="305"/>
      <c r="AI440" s="305"/>
      <c r="AJ440" s="305"/>
      <c r="AK440" s="305"/>
      <c r="AL440" s="305"/>
      <c r="AM440" s="305"/>
      <c r="AN440" s="305"/>
      <c r="AO440" s="305"/>
      <c r="AP440" s="305"/>
      <c r="AQ440" s="305"/>
      <c r="AR440" s="305"/>
      <c r="AS440" s="305"/>
      <c r="AT440" s="305"/>
      <c r="AU440" s="305"/>
      <c r="AV440" s="305"/>
      <c r="AW440" s="305"/>
      <c r="AX440" s="305"/>
      <c r="AY440" s="305"/>
      <c r="AZ440" s="305"/>
      <c r="BA440" s="305"/>
      <c r="BB440" s="305"/>
      <c r="BC440" s="305"/>
      <c r="BD440" s="305"/>
      <c r="BE440" s="305"/>
      <c r="BF440" s="305"/>
      <c r="BG440" s="305"/>
      <c r="BH440" s="305"/>
      <c r="BI440" s="305"/>
      <c r="BJ440" s="305"/>
      <c r="BK440" s="305"/>
      <c r="BL440" s="305"/>
      <c r="BM440" s="305"/>
      <c r="BN440" s="305"/>
      <c r="BO440" s="305"/>
      <c r="BP440" s="305"/>
      <c r="BQ440" s="305"/>
      <c r="BR440" s="305"/>
      <c r="BS440" s="305"/>
      <c r="BT440" s="305"/>
      <c r="BU440" s="305"/>
      <c r="BV440" s="305"/>
      <c r="BW440" s="305"/>
      <c r="BX440" s="305"/>
      <c r="BY440" s="305"/>
      <c r="BZ440" s="305"/>
      <c r="CA440" s="305"/>
      <c r="CB440" s="305"/>
      <c r="CC440" s="305"/>
      <c r="CD440" s="305"/>
      <c r="CE440" s="305"/>
      <c r="CF440" s="305"/>
      <c r="CG440" s="305"/>
      <c r="CH440" s="305"/>
      <c r="CI440" s="305"/>
      <c r="CJ440" s="305"/>
      <c r="CK440" s="305"/>
      <c r="CL440" s="305"/>
      <c r="CM440" s="305"/>
      <c r="CN440" s="305"/>
      <c r="CO440" s="305"/>
      <c r="CP440" s="305"/>
      <c r="CQ440" s="305"/>
      <c r="CR440" s="305"/>
      <c r="CS440" s="305"/>
      <c r="CT440" s="305"/>
      <c r="CU440" s="305"/>
      <c r="CV440" s="305"/>
      <c r="CW440" s="305"/>
      <c r="CX440" s="305"/>
      <c r="CY440" s="305"/>
      <c r="CZ440" s="305"/>
      <c r="DA440" s="305"/>
      <c r="DB440" s="305"/>
      <c r="DC440" s="305"/>
      <c r="DD440" s="305"/>
      <c r="DE440" s="305"/>
      <c r="DF440" s="305"/>
      <c r="DG440" s="305"/>
      <c r="DH440" s="305"/>
      <c r="DI440" s="305"/>
      <c r="DJ440" s="305"/>
      <c r="DK440" s="305"/>
      <c r="DL440" s="305"/>
      <c r="DM440" s="305"/>
      <c r="DN440" s="305"/>
      <c r="DO440" s="305"/>
      <c r="DP440" s="305"/>
      <c r="DQ440" s="305"/>
      <c r="DR440" s="305"/>
      <c r="DS440" s="305"/>
      <c r="DT440" s="305"/>
      <c r="DU440" s="305"/>
      <c r="DV440" s="305"/>
      <c r="DW440" s="305"/>
      <c r="DX440" s="305"/>
      <c r="DY440" s="305"/>
      <c r="DZ440" s="305"/>
      <c r="EA440" s="305"/>
      <c r="EB440" s="305"/>
      <c r="EC440" s="305"/>
      <c r="ED440" s="305"/>
      <c r="EE440" s="305"/>
      <c r="EF440" s="305"/>
      <c r="EG440" s="305"/>
      <c r="EH440" s="305"/>
      <c r="EI440" s="305"/>
      <c r="EJ440" s="305"/>
      <c r="EK440" s="305"/>
      <c r="EL440" s="305"/>
      <c r="EM440" s="305"/>
      <c r="EN440" s="305"/>
      <c r="EO440" s="305"/>
      <c r="EP440" s="305"/>
      <c r="EQ440" s="305"/>
      <c r="ER440" s="305"/>
      <c r="ES440" s="305"/>
      <c r="ET440" s="305"/>
      <c r="EU440" s="305"/>
      <c r="EV440" s="305"/>
      <c r="EW440" s="305"/>
      <c r="EX440" s="305"/>
      <c r="EY440" s="305"/>
      <c r="EZ440" s="305"/>
      <c r="FA440" s="305"/>
      <c r="FB440" s="305"/>
      <c r="FC440" s="305"/>
      <c r="FD440" s="305"/>
      <c r="FE440" s="305"/>
      <c r="FF440" s="305"/>
      <c r="FG440" s="305"/>
      <c r="FH440" s="305"/>
      <c r="FI440" s="305"/>
      <c r="FJ440" s="305"/>
      <c r="FK440" s="305"/>
      <c r="FL440" s="305"/>
      <c r="FM440" s="305"/>
      <c r="FN440" s="305"/>
      <c r="FO440" s="305"/>
      <c r="FP440" s="305"/>
      <c r="FQ440" s="305"/>
      <c r="FR440" s="305"/>
      <c r="FS440" s="305"/>
      <c r="FT440" s="305"/>
      <c r="FU440" s="305"/>
      <c r="FV440" s="305"/>
      <c r="FW440" s="305"/>
      <c r="FX440" s="305"/>
      <c r="FY440" s="305"/>
      <c r="FZ440" s="305"/>
      <c r="GA440" s="305"/>
      <c r="GB440" s="305"/>
      <c r="GC440" s="305"/>
      <c r="GD440" s="305"/>
      <c r="GE440" s="305"/>
      <c r="GF440" s="305"/>
      <c r="GG440" s="305"/>
      <c r="GH440" s="305"/>
      <c r="GI440" s="305"/>
      <c r="GJ440" s="305"/>
      <c r="GK440" s="305"/>
      <c r="GL440" s="305"/>
      <c r="GM440" s="305"/>
      <c r="GN440" s="305"/>
      <c r="GO440" s="305"/>
      <c r="GP440" s="305"/>
      <c r="GQ440" s="305"/>
      <c r="GR440" s="305"/>
    </row>
    <row r="441" spans="3:200" s="318" customFormat="1" ht="12.75" customHeight="1" x14ac:dyDescent="0.2">
      <c r="C441" s="367"/>
      <c r="D441" s="403"/>
      <c r="E441" s="369"/>
      <c r="F441" s="369"/>
      <c r="G441" s="369"/>
      <c r="H441" s="369"/>
      <c r="I441" s="370"/>
      <c r="J441"/>
      <c r="K441" s="371"/>
      <c r="L441" s="371"/>
      <c r="M441" s="371"/>
      <c r="N441" s="371"/>
      <c r="O441" s="305"/>
      <c r="P441" s="305"/>
      <c r="Q441" s="305"/>
      <c r="R441" s="305"/>
      <c r="S441" s="305"/>
      <c r="T441" s="305"/>
      <c r="U441" s="305"/>
      <c r="V441" s="305"/>
      <c r="W441" s="305"/>
      <c r="X441" s="305"/>
      <c r="Y441" s="305"/>
      <c r="Z441" s="305"/>
      <c r="AA441" s="305"/>
      <c r="AB441" s="305"/>
      <c r="AC441" s="305"/>
      <c r="AD441" s="305"/>
      <c r="AE441" s="305"/>
      <c r="AF441" s="305"/>
      <c r="AG441" s="305"/>
      <c r="AH441" s="305"/>
      <c r="AI441" s="305"/>
      <c r="AJ441" s="305"/>
      <c r="AK441" s="305"/>
      <c r="AL441" s="305"/>
      <c r="AM441" s="305"/>
      <c r="AN441" s="305"/>
      <c r="AO441" s="305"/>
      <c r="AP441" s="305"/>
      <c r="AQ441" s="305"/>
      <c r="AR441" s="305"/>
      <c r="AS441" s="305"/>
      <c r="AT441" s="305"/>
      <c r="AU441" s="305"/>
      <c r="AV441" s="305"/>
      <c r="AW441" s="305"/>
      <c r="AX441" s="305"/>
      <c r="AY441" s="305"/>
      <c r="AZ441" s="305"/>
      <c r="BA441" s="305"/>
      <c r="BB441" s="305"/>
      <c r="BC441" s="305"/>
      <c r="BD441" s="305"/>
      <c r="BE441" s="305"/>
      <c r="BF441" s="305"/>
      <c r="BG441" s="305"/>
      <c r="BH441" s="305"/>
      <c r="BI441" s="305"/>
      <c r="BJ441" s="305"/>
      <c r="BK441" s="305"/>
      <c r="BL441" s="305"/>
      <c r="BM441" s="305"/>
      <c r="BN441" s="305"/>
      <c r="BO441" s="305"/>
      <c r="BP441" s="305"/>
      <c r="BQ441" s="305"/>
      <c r="BR441" s="305"/>
      <c r="BS441" s="305"/>
      <c r="BT441" s="305"/>
      <c r="BU441" s="305"/>
      <c r="BV441" s="305"/>
      <c r="BW441" s="305"/>
      <c r="BX441" s="305"/>
      <c r="BY441" s="305"/>
      <c r="BZ441" s="305"/>
      <c r="CA441" s="305"/>
      <c r="CB441" s="305"/>
      <c r="CC441" s="305"/>
      <c r="CD441" s="305"/>
      <c r="CE441" s="305"/>
      <c r="CF441" s="305"/>
      <c r="CG441" s="305"/>
      <c r="CH441" s="305"/>
      <c r="CI441" s="305"/>
      <c r="CJ441" s="305"/>
      <c r="CK441" s="305"/>
      <c r="CL441" s="305"/>
      <c r="CM441" s="305"/>
      <c r="CN441" s="305"/>
      <c r="CO441" s="305"/>
      <c r="CP441" s="305"/>
      <c r="CQ441" s="305"/>
      <c r="CR441" s="305"/>
      <c r="CS441" s="305"/>
      <c r="CT441" s="305"/>
      <c r="CU441" s="305"/>
      <c r="CV441" s="305"/>
      <c r="CW441" s="305"/>
      <c r="CX441" s="305"/>
      <c r="CY441" s="305"/>
      <c r="CZ441" s="305"/>
      <c r="DA441" s="305"/>
      <c r="DB441" s="305"/>
      <c r="DC441" s="305"/>
      <c r="DD441" s="305"/>
      <c r="DE441" s="305"/>
      <c r="DF441" s="305"/>
      <c r="DG441" s="305"/>
      <c r="DH441" s="305"/>
      <c r="DI441" s="305"/>
      <c r="DJ441" s="305"/>
      <c r="DK441" s="305"/>
      <c r="DL441" s="305"/>
      <c r="DM441" s="305"/>
      <c r="DN441" s="305"/>
      <c r="DO441" s="305"/>
      <c r="DP441" s="305"/>
      <c r="DQ441" s="305"/>
      <c r="DR441" s="305"/>
      <c r="DS441" s="305"/>
      <c r="DT441" s="305"/>
      <c r="DU441" s="305"/>
      <c r="DV441" s="305"/>
      <c r="DW441" s="305"/>
      <c r="DX441" s="305"/>
      <c r="DY441" s="305"/>
      <c r="DZ441" s="305"/>
      <c r="EA441" s="305"/>
      <c r="EB441" s="305"/>
      <c r="EC441" s="305"/>
      <c r="ED441" s="305"/>
      <c r="EE441" s="305"/>
      <c r="EF441" s="305"/>
      <c r="EG441" s="305"/>
      <c r="EH441" s="305"/>
      <c r="EI441" s="305"/>
      <c r="EJ441" s="305"/>
      <c r="EK441" s="305"/>
      <c r="EL441" s="305"/>
      <c r="EM441" s="305"/>
      <c r="EN441" s="305"/>
      <c r="EO441" s="305"/>
      <c r="EP441" s="305"/>
      <c r="EQ441" s="305"/>
      <c r="ER441" s="305"/>
      <c r="ES441" s="305"/>
      <c r="ET441" s="305"/>
      <c r="EU441" s="305"/>
      <c r="EV441" s="305"/>
      <c r="EW441" s="305"/>
      <c r="EX441" s="305"/>
      <c r="EY441" s="305"/>
      <c r="EZ441" s="305"/>
      <c r="FA441" s="305"/>
      <c r="FB441" s="305"/>
      <c r="FC441" s="305"/>
      <c r="FD441" s="305"/>
      <c r="FE441" s="305"/>
      <c r="FF441" s="305"/>
      <c r="FG441" s="305"/>
      <c r="FH441" s="305"/>
      <c r="FI441" s="305"/>
      <c r="FJ441" s="305"/>
      <c r="FK441" s="305"/>
      <c r="FL441" s="305"/>
      <c r="FM441" s="305"/>
      <c r="FN441" s="305"/>
      <c r="FO441" s="305"/>
      <c r="FP441" s="305"/>
      <c r="FQ441" s="305"/>
      <c r="FR441" s="305"/>
      <c r="FS441" s="305"/>
      <c r="FT441" s="305"/>
      <c r="FU441" s="305"/>
      <c r="FV441" s="305"/>
      <c r="FW441" s="305"/>
      <c r="FX441" s="305"/>
      <c r="FY441" s="305"/>
      <c r="FZ441" s="305"/>
      <c r="GA441" s="305"/>
      <c r="GB441" s="305"/>
      <c r="GC441" s="305"/>
      <c r="GD441" s="305"/>
      <c r="GE441" s="305"/>
      <c r="GF441" s="305"/>
      <c r="GG441" s="305"/>
      <c r="GH441" s="305"/>
      <c r="GI441" s="305"/>
      <c r="GJ441" s="305"/>
      <c r="GK441" s="305"/>
      <c r="GL441" s="305"/>
      <c r="GM441" s="305"/>
      <c r="GN441" s="305"/>
      <c r="GO441" s="305"/>
      <c r="GP441" s="305"/>
      <c r="GQ441" s="305"/>
      <c r="GR441" s="305"/>
    </row>
    <row r="442" spans="3:200" s="318" customFormat="1" ht="12.75" customHeight="1" x14ac:dyDescent="0.2">
      <c r="C442" s="367"/>
      <c r="D442" s="403"/>
      <c r="E442" s="369"/>
      <c r="F442" s="369"/>
      <c r="G442" s="369"/>
      <c r="H442" s="369"/>
      <c r="I442" s="370"/>
      <c r="J442"/>
      <c r="K442" s="371"/>
      <c r="L442" s="371"/>
      <c r="M442" s="371"/>
      <c r="N442" s="371"/>
      <c r="O442" s="305"/>
      <c r="P442" s="305"/>
      <c r="Q442" s="305"/>
      <c r="R442" s="305"/>
      <c r="S442" s="305"/>
      <c r="T442" s="305"/>
      <c r="U442" s="305"/>
      <c r="V442" s="305"/>
      <c r="W442" s="305"/>
      <c r="X442" s="305"/>
      <c r="Y442" s="305"/>
      <c r="Z442" s="305"/>
      <c r="AA442" s="305"/>
      <c r="AB442" s="305"/>
      <c r="AC442" s="305"/>
      <c r="AD442" s="305"/>
      <c r="AE442" s="305"/>
      <c r="AF442" s="305"/>
      <c r="AG442" s="305"/>
      <c r="AH442" s="305"/>
      <c r="AI442" s="305"/>
      <c r="AJ442" s="305"/>
      <c r="AK442" s="305"/>
      <c r="AL442" s="305"/>
      <c r="AM442" s="305"/>
      <c r="AN442" s="305"/>
      <c r="AO442" s="305"/>
      <c r="AP442" s="305"/>
      <c r="AQ442" s="305"/>
      <c r="AR442" s="305"/>
      <c r="AS442" s="305"/>
      <c r="AT442" s="305"/>
      <c r="AU442" s="305"/>
      <c r="AV442" s="305"/>
      <c r="AW442" s="305"/>
      <c r="AX442" s="305"/>
      <c r="AY442" s="305"/>
      <c r="AZ442" s="305"/>
      <c r="BA442" s="305"/>
      <c r="BB442" s="305"/>
      <c r="BC442" s="305"/>
      <c r="BD442" s="305"/>
      <c r="BE442" s="305"/>
      <c r="BF442" s="305"/>
      <c r="BG442" s="305"/>
      <c r="BH442" s="305"/>
      <c r="BI442" s="305"/>
      <c r="BJ442" s="305"/>
      <c r="BK442" s="305"/>
      <c r="BL442" s="305"/>
      <c r="BM442" s="305"/>
      <c r="BN442" s="305"/>
      <c r="BO442" s="305"/>
      <c r="BP442" s="305"/>
      <c r="BQ442" s="305"/>
      <c r="BR442" s="305"/>
      <c r="BS442" s="305"/>
      <c r="BT442" s="305"/>
      <c r="BU442" s="305"/>
      <c r="BV442" s="305"/>
      <c r="BW442" s="305"/>
      <c r="BX442" s="305"/>
      <c r="BY442" s="305"/>
      <c r="BZ442" s="305"/>
      <c r="CA442" s="305"/>
      <c r="CB442" s="305"/>
      <c r="CC442" s="305"/>
      <c r="CD442" s="305"/>
      <c r="CE442" s="305"/>
      <c r="CF442" s="305"/>
      <c r="CG442" s="305"/>
      <c r="CH442" s="305"/>
      <c r="CI442" s="305"/>
      <c r="CJ442" s="305"/>
      <c r="CK442" s="305"/>
      <c r="CL442" s="305"/>
      <c r="CM442" s="305"/>
      <c r="CN442" s="305"/>
      <c r="CO442" s="305"/>
      <c r="CP442" s="305"/>
      <c r="CQ442" s="305"/>
      <c r="CR442" s="305"/>
      <c r="CS442" s="305"/>
      <c r="CT442" s="305"/>
      <c r="CU442" s="305"/>
      <c r="CV442" s="305"/>
      <c r="CW442" s="305"/>
      <c r="CX442" s="305"/>
      <c r="CY442" s="305"/>
      <c r="CZ442" s="305"/>
      <c r="DA442" s="305"/>
      <c r="DB442" s="305"/>
      <c r="DC442" s="305"/>
      <c r="DD442" s="305"/>
      <c r="DE442" s="305"/>
      <c r="DF442" s="305"/>
      <c r="DG442" s="305"/>
      <c r="DH442" s="305"/>
      <c r="DI442" s="305"/>
      <c r="DJ442" s="305"/>
      <c r="DK442" s="305"/>
      <c r="DL442" s="305"/>
      <c r="DM442" s="305"/>
      <c r="DN442" s="305"/>
      <c r="DO442" s="305"/>
      <c r="DP442" s="305"/>
      <c r="DQ442" s="305"/>
      <c r="DR442" s="305"/>
      <c r="DS442" s="305"/>
      <c r="DT442" s="305"/>
      <c r="DU442" s="305"/>
      <c r="DV442" s="305"/>
      <c r="DW442" s="305"/>
      <c r="DX442" s="305"/>
      <c r="DY442" s="305"/>
      <c r="DZ442" s="305"/>
      <c r="EA442" s="305"/>
      <c r="EB442" s="305"/>
      <c r="EC442" s="305"/>
      <c r="ED442" s="305"/>
      <c r="EE442" s="305"/>
      <c r="EF442" s="305"/>
      <c r="EG442" s="305"/>
      <c r="EH442" s="305"/>
      <c r="EI442" s="305"/>
      <c r="EJ442" s="305"/>
      <c r="EK442" s="305"/>
      <c r="EL442" s="305"/>
      <c r="EM442" s="305"/>
      <c r="EN442" s="305"/>
      <c r="EO442" s="305"/>
      <c r="EP442" s="305"/>
      <c r="EQ442" s="305"/>
      <c r="ER442" s="305"/>
      <c r="ES442" s="305"/>
      <c r="ET442" s="305"/>
      <c r="EU442" s="305"/>
      <c r="EV442" s="305"/>
      <c r="EW442" s="305"/>
      <c r="EX442" s="305"/>
      <c r="EY442" s="305"/>
      <c r="EZ442" s="305"/>
      <c r="FA442" s="305"/>
      <c r="FB442" s="305"/>
      <c r="FC442" s="305"/>
      <c r="FD442" s="305"/>
      <c r="FE442" s="305"/>
      <c r="FF442" s="305"/>
      <c r="FG442" s="305"/>
      <c r="FH442" s="305"/>
      <c r="FI442" s="305"/>
      <c r="FJ442" s="305"/>
      <c r="FK442" s="305"/>
      <c r="FL442" s="305"/>
      <c r="FM442" s="305"/>
      <c r="FN442" s="305"/>
      <c r="FO442" s="305"/>
      <c r="FP442" s="305"/>
      <c r="FQ442" s="305"/>
      <c r="FR442" s="305"/>
      <c r="FS442" s="305"/>
      <c r="FT442" s="305"/>
      <c r="FU442" s="305"/>
      <c r="FV442" s="305"/>
      <c r="FW442" s="305"/>
      <c r="FX442" s="305"/>
      <c r="FY442" s="305"/>
      <c r="FZ442" s="305"/>
      <c r="GA442" s="305"/>
      <c r="GB442" s="305"/>
      <c r="GC442" s="305"/>
      <c r="GD442" s="305"/>
      <c r="GE442" s="305"/>
      <c r="GF442" s="305"/>
      <c r="GG442" s="305"/>
      <c r="GH442" s="305"/>
      <c r="GI442" s="305"/>
      <c r="GJ442" s="305"/>
      <c r="GK442" s="305"/>
      <c r="GL442" s="305"/>
      <c r="GM442" s="305"/>
      <c r="GN442" s="305"/>
      <c r="GO442" s="305"/>
      <c r="GP442" s="305"/>
      <c r="GQ442" s="305"/>
      <c r="GR442" s="305"/>
    </row>
    <row r="443" spans="3:200" s="318" customFormat="1" ht="12.75" customHeight="1" x14ac:dyDescent="0.2">
      <c r="C443" s="367"/>
      <c r="D443" s="403"/>
      <c r="E443" s="369"/>
      <c r="F443" s="369"/>
      <c r="G443" s="369"/>
      <c r="H443" s="369"/>
      <c r="I443" s="370"/>
      <c r="J443"/>
      <c r="K443" s="371"/>
      <c r="L443" s="371"/>
      <c r="M443" s="371"/>
      <c r="N443" s="371"/>
      <c r="O443" s="305"/>
      <c r="P443" s="305"/>
      <c r="Q443" s="305"/>
      <c r="R443" s="305"/>
      <c r="S443" s="305"/>
      <c r="T443" s="305"/>
      <c r="U443" s="305"/>
      <c r="V443" s="305"/>
      <c r="W443" s="305"/>
      <c r="X443" s="305"/>
      <c r="Y443" s="305"/>
      <c r="Z443" s="305"/>
      <c r="AA443" s="305"/>
      <c r="AB443" s="305"/>
      <c r="AC443" s="305"/>
      <c r="AD443" s="305"/>
      <c r="AE443" s="305"/>
      <c r="AF443" s="305"/>
      <c r="AG443" s="305"/>
      <c r="AH443" s="305"/>
      <c r="AI443" s="305"/>
      <c r="AJ443" s="305"/>
      <c r="AK443" s="305"/>
      <c r="AL443" s="305"/>
      <c r="AM443" s="305"/>
      <c r="AN443" s="305"/>
      <c r="AO443" s="305"/>
      <c r="AP443" s="305"/>
      <c r="AQ443" s="305"/>
      <c r="AR443" s="305"/>
      <c r="AS443" s="305"/>
      <c r="AT443" s="305"/>
      <c r="AU443" s="305"/>
      <c r="AV443" s="305"/>
      <c r="AW443" s="305"/>
      <c r="AX443" s="305"/>
      <c r="AY443" s="305"/>
      <c r="AZ443" s="305"/>
      <c r="BA443" s="305"/>
      <c r="BB443" s="305"/>
      <c r="BC443" s="305"/>
      <c r="BD443" s="305"/>
      <c r="BE443" s="305"/>
      <c r="BF443" s="305"/>
      <c r="BG443" s="305"/>
      <c r="BH443" s="305"/>
      <c r="BI443" s="305"/>
      <c r="BJ443" s="305"/>
      <c r="BK443" s="305"/>
      <c r="BL443" s="305"/>
      <c r="BM443" s="305"/>
      <c r="BN443" s="305"/>
      <c r="BO443" s="305"/>
      <c r="BP443" s="305"/>
      <c r="BQ443" s="305"/>
      <c r="BR443" s="305"/>
      <c r="BS443" s="305"/>
      <c r="BT443" s="305"/>
      <c r="BU443" s="305"/>
      <c r="BV443" s="305"/>
      <c r="BW443" s="305"/>
      <c r="BX443" s="305"/>
      <c r="BY443" s="305"/>
      <c r="BZ443" s="305"/>
      <c r="CA443" s="305"/>
      <c r="CB443" s="305"/>
      <c r="CC443" s="305"/>
      <c r="CD443" s="305"/>
      <c r="CE443" s="305"/>
      <c r="CF443" s="305"/>
      <c r="CG443" s="305"/>
      <c r="CH443" s="305"/>
      <c r="CI443" s="305"/>
      <c r="CJ443" s="305"/>
      <c r="CK443" s="305"/>
      <c r="CL443" s="305"/>
      <c r="CM443" s="305"/>
      <c r="CN443" s="305"/>
      <c r="CO443" s="305"/>
      <c r="CP443" s="305"/>
      <c r="CQ443" s="305"/>
      <c r="CR443" s="305"/>
      <c r="CS443" s="305"/>
      <c r="CT443" s="305"/>
      <c r="CU443" s="305"/>
      <c r="CV443" s="305"/>
      <c r="CW443" s="305"/>
      <c r="CX443" s="305"/>
      <c r="CY443" s="305"/>
      <c r="CZ443" s="305"/>
      <c r="DA443" s="305"/>
      <c r="DB443" s="305"/>
      <c r="DC443" s="305"/>
      <c r="DD443" s="305"/>
      <c r="DE443" s="305"/>
      <c r="DF443" s="305"/>
      <c r="DG443" s="305"/>
      <c r="DH443" s="305"/>
      <c r="DI443" s="305"/>
      <c r="DJ443" s="305"/>
      <c r="DK443" s="305"/>
      <c r="DL443" s="305"/>
      <c r="DM443" s="305"/>
      <c r="DN443" s="305"/>
      <c r="DO443" s="305"/>
      <c r="DP443" s="305"/>
      <c r="DQ443" s="305"/>
      <c r="DR443" s="305"/>
      <c r="DS443" s="305"/>
      <c r="DT443" s="305"/>
      <c r="DU443" s="305"/>
      <c r="DV443" s="305"/>
      <c r="DW443" s="305"/>
      <c r="DX443" s="305"/>
      <c r="DY443" s="305"/>
      <c r="DZ443" s="305"/>
      <c r="EA443" s="305"/>
      <c r="EB443" s="305"/>
      <c r="EC443" s="305"/>
      <c r="ED443" s="305"/>
      <c r="EE443" s="305"/>
      <c r="EF443" s="305"/>
      <c r="EG443" s="305"/>
      <c r="EH443" s="305"/>
      <c r="EI443" s="305"/>
      <c r="EJ443" s="305"/>
      <c r="EK443" s="305"/>
      <c r="EL443" s="305"/>
      <c r="EM443" s="305"/>
      <c r="EN443" s="305"/>
      <c r="EO443" s="305"/>
      <c r="EP443" s="305"/>
      <c r="EQ443" s="305"/>
      <c r="ER443" s="305"/>
      <c r="ES443" s="305"/>
      <c r="ET443" s="305"/>
      <c r="EU443" s="305"/>
      <c r="EV443" s="305"/>
      <c r="EW443" s="305"/>
      <c r="EX443" s="305"/>
      <c r="EY443" s="305"/>
      <c r="EZ443" s="305"/>
      <c r="FA443" s="305"/>
      <c r="FB443" s="305"/>
      <c r="FC443" s="305"/>
      <c r="FD443" s="305"/>
      <c r="FE443" s="305"/>
      <c r="FF443" s="305"/>
      <c r="FG443" s="305"/>
      <c r="FH443" s="305"/>
      <c r="FI443" s="305"/>
      <c r="FJ443" s="305"/>
      <c r="FK443" s="305"/>
      <c r="FL443" s="305"/>
      <c r="FM443" s="305"/>
      <c r="FN443" s="305"/>
      <c r="FO443" s="305"/>
      <c r="FP443" s="305"/>
      <c r="FQ443" s="305"/>
      <c r="FR443" s="305"/>
      <c r="FS443" s="305"/>
      <c r="FT443" s="305"/>
      <c r="FU443" s="305"/>
      <c r="FV443" s="305"/>
      <c r="FW443" s="305"/>
      <c r="FX443" s="305"/>
      <c r="FY443" s="305"/>
      <c r="FZ443" s="305"/>
      <c r="GA443" s="305"/>
      <c r="GB443" s="305"/>
      <c r="GC443" s="305"/>
      <c r="GD443" s="305"/>
      <c r="GE443" s="305"/>
      <c r="GF443" s="305"/>
      <c r="GG443" s="305"/>
      <c r="GH443" s="305"/>
      <c r="GI443" s="305"/>
      <c r="GJ443" s="305"/>
      <c r="GK443" s="305"/>
      <c r="GL443" s="305"/>
      <c r="GM443" s="305"/>
      <c r="GN443" s="305"/>
      <c r="GO443" s="305"/>
      <c r="GP443" s="305"/>
      <c r="GQ443" s="305"/>
      <c r="GR443" s="305"/>
    </row>
    <row r="444" spans="3:200" s="318" customFormat="1" ht="12.75" customHeight="1" x14ac:dyDescent="0.2">
      <c r="C444" s="367"/>
      <c r="D444" s="403"/>
      <c r="E444" s="369"/>
      <c r="F444" s="369"/>
      <c r="G444" s="369"/>
      <c r="H444" s="369"/>
      <c r="I444" s="370"/>
      <c r="J444"/>
      <c r="K444" s="371"/>
      <c r="L444" s="371"/>
      <c r="M444" s="371"/>
      <c r="N444" s="371"/>
      <c r="O444" s="305"/>
      <c r="P444" s="305"/>
      <c r="Q444" s="305"/>
      <c r="R444" s="305"/>
      <c r="S444" s="305"/>
      <c r="T444" s="305"/>
      <c r="U444" s="305"/>
      <c r="V444" s="305"/>
      <c r="W444" s="305"/>
      <c r="X444" s="305"/>
      <c r="Y444" s="305"/>
      <c r="Z444" s="305"/>
      <c r="AA444" s="305"/>
      <c r="AB444" s="305"/>
      <c r="AC444" s="305"/>
      <c r="AD444" s="305"/>
      <c r="AE444" s="305"/>
      <c r="AF444" s="305"/>
      <c r="AG444" s="305"/>
      <c r="AH444" s="305"/>
      <c r="AI444" s="305"/>
      <c r="AJ444" s="305"/>
      <c r="AK444" s="305"/>
      <c r="AL444" s="305"/>
      <c r="AM444" s="305"/>
      <c r="AN444" s="305"/>
      <c r="AO444" s="305"/>
      <c r="AP444" s="305"/>
      <c r="AQ444" s="305"/>
      <c r="AR444" s="305"/>
      <c r="AS444" s="305"/>
      <c r="AT444" s="305"/>
      <c r="AU444" s="305"/>
      <c r="AV444" s="305"/>
      <c r="AW444" s="305"/>
      <c r="AX444" s="305"/>
      <c r="AY444" s="305"/>
      <c r="AZ444" s="305"/>
      <c r="BA444" s="305"/>
      <c r="BB444" s="305"/>
      <c r="BC444" s="305"/>
      <c r="BD444" s="305"/>
      <c r="BE444" s="305"/>
      <c r="BF444" s="305"/>
      <c r="BG444" s="305"/>
      <c r="BH444" s="305"/>
      <c r="BI444" s="305"/>
      <c r="BJ444" s="305"/>
      <c r="BK444" s="305"/>
      <c r="BL444" s="305"/>
      <c r="BM444" s="305"/>
      <c r="BN444" s="305"/>
      <c r="BO444" s="305"/>
      <c r="BP444" s="305"/>
      <c r="BQ444" s="305"/>
      <c r="BR444" s="305"/>
      <c r="BS444" s="305"/>
      <c r="BT444" s="305"/>
      <c r="BU444" s="305"/>
      <c r="BV444" s="305"/>
      <c r="BW444" s="305"/>
      <c r="BX444" s="305"/>
      <c r="BY444" s="305"/>
      <c r="BZ444" s="305"/>
      <c r="CA444" s="305"/>
      <c r="CB444" s="305"/>
      <c r="CC444" s="305"/>
      <c r="CD444" s="305"/>
      <c r="CE444" s="305"/>
      <c r="CF444" s="305"/>
      <c r="CG444" s="305"/>
      <c r="CH444" s="305"/>
      <c r="CI444" s="305"/>
      <c r="CJ444" s="305"/>
      <c r="CK444" s="305"/>
      <c r="CL444" s="305"/>
      <c r="CM444" s="305"/>
      <c r="CN444" s="305"/>
      <c r="CO444" s="305"/>
      <c r="CP444" s="305"/>
      <c r="CQ444" s="305"/>
      <c r="CR444" s="305"/>
      <c r="CS444" s="305"/>
      <c r="CT444" s="305"/>
      <c r="CU444" s="305"/>
      <c r="CV444" s="305"/>
      <c r="CW444" s="305"/>
      <c r="CX444" s="305"/>
      <c r="CY444" s="305"/>
      <c r="CZ444" s="305"/>
      <c r="DA444" s="305"/>
      <c r="DB444" s="305"/>
      <c r="DC444" s="305"/>
      <c r="DD444" s="305"/>
      <c r="DE444" s="305"/>
      <c r="DF444" s="305"/>
      <c r="DG444" s="305"/>
      <c r="DH444" s="305"/>
      <c r="DI444" s="305"/>
      <c r="DJ444" s="305"/>
      <c r="DK444" s="305"/>
      <c r="DL444" s="305"/>
      <c r="DM444" s="305"/>
      <c r="DN444" s="305"/>
      <c r="DO444" s="305"/>
      <c r="DP444" s="305"/>
      <c r="DQ444" s="305"/>
      <c r="DR444" s="305"/>
      <c r="DS444" s="305"/>
      <c r="DT444" s="305"/>
      <c r="DU444" s="305"/>
      <c r="DV444" s="305"/>
      <c r="DW444" s="305"/>
      <c r="DX444" s="305"/>
      <c r="DY444" s="305"/>
      <c r="DZ444" s="305"/>
      <c r="EA444" s="305"/>
      <c r="EB444" s="305"/>
      <c r="EC444" s="305"/>
      <c r="ED444" s="305"/>
      <c r="EE444" s="305"/>
      <c r="EF444" s="305"/>
      <c r="EG444" s="305"/>
      <c r="EH444" s="305"/>
      <c r="EI444" s="305"/>
      <c r="EJ444" s="305"/>
      <c r="EK444" s="305"/>
      <c r="EL444" s="305"/>
      <c r="EM444" s="305"/>
      <c r="EN444" s="305"/>
      <c r="EO444" s="305"/>
      <c r="EP444" s="305"/>
      <c r="EQ444" s="305"/>
      <c r="ER444" s="305"/>
      <c r="ES444" s="305"/>
      <c r="ET444" s="305"/>
      <c r="EU444" s="305"/>
      <c r="EV444" s="305"/>
      <c r="EW444" s="305"/>
      <c r="EX444" s="305"/>
      <c r="EY444" s="305"/>
      <c r="EZ444" s="305"/>
      <c r="FA444" s="305"/>
      <c r="FB444" s="305"/>
      <c r="FC444" s="305"/>
      <c r="FD444" s="305"/>
      <c r="FE444" s="305"/>
      <c r="FF444" s="305"/>
      <c r="FG444" s="305"/>
      <c r="FH444" s="305"/>
      <c r="FI444" s="305"/>
      <c r="FJ444" s="305"/>
      <c r="FK444" s="305"/>
      <c r="FL444" s="305"/>
      <c r="FM444" s="305"/>
      <c r="FN444" s="305"/>
      <c r="FO444" s="305"/>
      <c r="FP444" s="305"/>
      <c r="FQ444" s="305"/>
      <c r="FR444" s="305"/>
      <c r="FS444" s="305"/>
      <c r="FT444" s="305"/>
      <c r="FU444" s="305"/>
      <c r="FV444" s="305"/>
      <c r="FW444" s="305"/>
      <c r="FX444" s="305"/>
      <c r="FY444" s="305"/>
      <c r="FZ444" s="305"/>
      <c r="GA444" s="305"/>
      <c r="GB444" s="305"/>
      <c r="GC444" s="305"/>
      <c r="GD444" s="305"/>
      <c r="GE444" s="305"/>
      <c r="GF444" s="305"/>
      <c r="GG444" s="305"/>
      <c r="GH444" s="305"/>
      <c r="GI444" s="305"/>
      <c r="GJ444" s="305"/>
      <c r="GK444" s="305"/>
      <c r="GL444" s="305"/>
      <c r="GM444" s="305"/>
      <c r="GN444" s="305"/>
      <c r="GO444" s="305"/>
      <c r="GP444" s="305"/>
      <c r="GQ444" s="305"/>
      <c r="GR444" s="305"/>
    </row>
    <row r="445" spans="3:200" s="318" customFormat="1" ht="12.75" customHeight="1" x14ac:dyDescent="0.2">
      <c r="C445" s="367"/>
      <c r="D445" s="403"/>
      <c r="E445" s="369"/>
      <c r="F445" s="369"/>
      <c r="G445" s="369"/>
      <c r="H445" s="369"/>
      <c r="I445" s="370"/>
      <c r="J445"/>
      <c r="K445" s="371"/>
      <c r="L445" s="371"/>
      <c r="M445" s="371"/>
      <c r="N445" s="371"/>
      <c r="O445" s="305"/>
      <c r="P445" s="305"/>
      <c r="Q445" s="305"/>
      <c r="R445" s="305"/>
      <c r="S445" s="305"/>
      <c r="T445" s="305"/>
      <c r="U445" s="305"/>
      <c r="V445" s="305"/>
      <c r="W445" s="305"/>
      <c r="X445" s="305"/>
      <c r="Y445" s="305"/>
      <c r="Z445" s="305"/>
      <c r="AA445" s="305"/>
      <c r="AB445" s="305"/>
      <c r="AC445" s="305"/>
      <c r="AD445" s="305"/>
      <c r="AE445" s="305"/>
      <c r="AF445" s="305"/>
      <c r="AG445" s="305"/>
      <c r="AH445" s="305"/>
      <c r="AI445" s="305"/>
      <c r="AJ445" s="305"/>
      <c r="AK445" s="305"/>
      <c r="AL445" s="305"/>
      <c r="AM445" s="305"/>
      <c r="AN445" s="305"/>
      <c r="AO445" s="305"/>
      <c r="AP445" s="305"/>
      <c r="AQ445" s="305"/>
      <c r="AR445" s="305"/>
      <c r="AS445" s="305"/>
      <c r="AT445" s="305"/>
      <c r="AU445" s="305"/>
      <c r="AV445" s="305"/>
      <c r="AW445" s="305"/>
      <c r="AX445" s="305"/>
      <c r="AY445" s="305"/>
      <c r="AZ445" s="305"/>
      <c r="BA445" s="305"/>
      <c r="BB445" s="305"/>
      <c r="BC445" s="305"/>
      <c r="BD445" s="305"/>
      <c r="BE445" s="305"/>
      <c r="BF445" s="305"/>
      <c r="BG445" s="305"/>
      <c r="BH445" s="305"/>
      <c r="BI445" s="305"/>
      <c r="BJ445" s="305"/>
      <c r="BK445" s="305"/>
      <c r="BL445" s="305"/>
      <c r="BM445" s="305"/>
      <c r="BN445" s="305"/>
      <c r="BO445" s="305"/>
      <c r="BP445" s="305"/>
      <c r="BQ445" s="305"/>
      <c r="BR445" s="305"/>
      <c r="BS445" s="305"/>
      <c r="BT445" s="305"/>
      <c r="BU445" s="305"/>
      <c r="BV445" s="305"/>
      <c r="BW445" s="305"/>
      <c r="BX445" s="305"/>
      <c r="BY445" s="305"/>
      <c r="BZ445" s="305"/>
      <c r="CA445" s="305"/>
      <c r="CB445" s="305"/>
      <c r="CC445" s="305"/>
      <c r="CD445" s="305"/>
      <c r="CE445" s="305"/>
      <c r="CF445" s="305"/>
      <c r="CG445" s="305"/>
      <c r="CH445" s="305"/>
      <c r="CI445" s="305"/>
      <c r="CJ445" s="305"/>
      <c r="CK445" s="305"/>
      <c r="CL445" s="305"/>
      <c r="CM445" s="305"/>
      <c r="CN445" s="305"/>
      <c r="CO445" s="305"/>
      <c r="CP445" s="305"/>
      <c r="CQ445" s="305"/>
      <c r="CR445" s="305"/>
      <c r="CS445" s="305"/>
      <c r="CT445" s="305"/>
      <c r="CU445" s="305"/>
      <c r="CV445" s="305"/>
      <c r="CW445" s="305"/>
      <c r="CX445" s="305"/>
      <c r="CY445" s="305"/>
      <c r="CZ445" s="305"/>
      <c r="DA445" s="305"/>
      <c r="DB445" s="305"/>
      <c r="DC445" s="305"/>
      <c r="DD445" s="305"/>
      <c r="DE445" s="305"/>
      <c r="DF445" s="305"/>
      <c r="DG445" s="305"/>
      <c r="DH445" s="305"/>
      <c r="DI445" s="305"/>
      <c r="DJ445" s="305"/>
      <c r="DK445" s="305"/>
      <c r="DL445" s="305"/>
      <c r="DM445" s="305"/>
      <c r="DN445" s="305"/>
      <c r="DO445" s="305"/>
      <c r="DP445" s="305"/>
      <c r="DQ445" s="305"/>
      <c r="DR445" s="305"/>
      <c r="DS445" s="305"/>
      <c r="DT445" s="305"/>
      <c r="DU445" s="305"/>
      <c r="DV445" s="305"/>
      <c r="DW445" s="305"/>
      <c r="DX445" s="305"/>
      <c r="DY445" s="305"/>
      <c r="DZ445" s="305"/>
      <c r="EA445" s="305"/>
      <c r="EB445" s="305"/>
      <c r="EC445" s="305"/>
      <c r="ED445" s="305"/>
      <c r="EE445" s="305"/>
      <c r="EF445" s="305"/>
      <c r="EG445" s="305"/>
      <c r="EH445" s="305"/>
      <c r="EI445" s="305"/>
      <c r="EJ445" s="305"/>
      <c r="EK445" s="305"/>
      <c r="EL445" s="305"/>
      <c r="EM445" s="305"/>
      <c r="EN445" s="305"/>
      <c r="EO445" s="305"/>
      <c r="EP445" s="305"/>
      <c r="EQ445" s="305"/>
      <c r="ER445" s="305"/>
      <c r="ES445" s="305"/>
      <c r="ET445" s="305"/>
      <c r="EU445" s="305"/>
      <c r="EV445" s="305"/>
      <c r="EW445" s="305"/>
      <c r="EX445" s="305"/>
      <c r="EY445" s="305"/>
      <c r="EZ445" s="305"/>
      <c r="FA445" s="305"/>
      <c r="FB445" s="305"/>
      <c r="FC445" s="305"/>
      <c r="FD445" s="305"/>
      <c r="FE445" s="305"/>
      <c r="FF445" s="305"/>
      <c r="FG445" s="305"/>
      <c r="FH445" s="305"/>
      <c r="FI445" s="305"/>
      <c r="FJ445" s="305"/>
      <c r="FK445" s="305"/>
      <c r="FL445" s="305"/>
      <c r="FM445" s="305"/>
      <c r="FN445" s="305"/>
      <c r="FO445" s="305"/>
      <c r="FP445" s="305"/>
      <c r="FQ445" s="305"/>
      <c r="FR445" s="305"/>
      <c r="FS445" s="305"/>
      <c r="FT445" s="305"/>
      <c r="FU445" s="305"/>
      <c r="FV445" s="305"/>
      <c r="FW445" s="305"/>
      <c r="FX445" s="305"/>
      <c r="FY445" s="305"/>
      <c r="FZ445" s="305"/>
      <c r="GA445" s="305"/>
      <c r="GB445" s="305"/>
      <c r="GC445" s="305"/>
      <c r="GD445" s="305"/>
      <c r="GE445" s="305"/>
      <c r="GF445" s="305"/>
      <c r="GG445" s="305"/>
      <c r="GH445" s="305"/>
      <c r="GI445" s="305"/>
      <c r="GJ445" s="305"/>
      <c r="GK445" s="305"/>
      <c r="GL445" s="305"/>
      <c r="GM445" s="305"/>
      <c r="GN445" s="305"/>
      <c r="GO445" s="305"/>
      <c r="GP445" s="305"/>
      <c r="GQ445" s="305"/>
      <c r="GR445" s="305"/>
    </row>
    <row r="446" spans="3:200" s="318" customFormat="1" ht="12.75" customHeight="1" x14ac:dyDescent="0.2">
      <c r="C446" s="367"/>
      <c r="D446" s="403"/>
      <c r="E446" s="369"/>
      <c r="F446" s="369"/>
      <c r="G446" s="369"/>
      <c r="H446" s="369"/>
      <c r="I446" s="370"/>
      <c r="J446"/>
      <c r="K446" s="371"/>
      <c r="L446" s="371"/>
      <c r="M446" s="371"/>
      <c r="N446" s="371"/>
      <c r="O446" s="305"/>
      <c r="P446" s="305"/>
      <c r="Q446" s="305"/>
      <c r="R446" s="305"/>
      <c r="S446" s="305"/>
      <c r="T446" s="305"/>
      <c r="U446" s="305"/>
      <c r="V446" s="305"/>
      <c r="W446" s="305"/>
      <c r="X446" s="305"/>
      <c r="Y446" s="305"/>
      <c r="Z446" s="305"/>
      <c r="AA446" s="305"/>
      <c r="AB446" s="305"/>
      <c r="AC446" s="305"/>
      <c r="AD446" s="305"/>
      <c r="AE446" s="305"/>
      <c r="AF446" s="305"/>
      <c r="AG446" s="305"/>
      <c r="AH446" s="305"/>
      <c r="AI446" s="305"/>
      <c r="AJ446" s="305"/>
      <c r="AK446" s="305"/>
      <c r="AL446" s="305"/>
      <c r="AM446" s="305"/>
      <c r="AN446" s="305"/>
      <c r="AO446" s="305"/>
      <c r="AP446" s="305"/>
      <c r="AQ446" s="305"/>
      <c r="AR446" s="305"/>
      <c r="AS446" s="305"/>
      <c r="AT446" s="305"/>
      <c r="AU446" s="305"/>
      <c r="AV446" s="305"/>
      <c r="AW446" s="305"/>
      <c r="AX446" s="305"/>
      <c r="AY446" s="305"/>
      <c r="AZ446" s="305"/>
      <c r="BA446" s="305"/>
      <c r="BB446" s="305"/>
      <c r="BC446" s="305"/>
      <c r="BD446" s="305"/>
      <c r="BE446" s="305"/>
      <c r="BF446" s="305"/>
      <c r="BG446" s="305"/>
      <c r="BH446" s="305"/>
      <c r="BI446" s="305"/>
      <c r="BJ446" s="305"/>
      <c r="BK446" s="305"/>
      <c r="BL446" s="305"/>
      <c r="BM446" s="305"/>
      <c r="BN446" s="305"/>
      <c r="BO446" s="305"/>
      <c r="BP446" s="305"/>
      <c r="BQ446" s="305"/>
      <c r="BR446" s="305"/>
      <c r="BS446" s="305"/>
      <c r="BT446" s="305"/>
      <c r="BU446" s="305"/>
      <c r="BV446" s="305"/>
      <c r="BW446" s="305"/>
      <c r="BX446" s="305"/>
      <c r="BY446" s="305"/>
      <c r="BZ446" s="305"/>
      <c r="CA446" s="305"/>
      <c r="CB446" s="305"/>
      <c r="CC446" s="305"/>
      <c r="CD446" s="305"/>
      <c r="CE446" s="305"/>
      <c r="CF446" s="305"/>
      <c r="CG446" s="305"/>
      <c r="CH446" s="305"/>
      <c r="CI446" s="305"/>
      <c r="CJ446" s="305"/>
      <c r="CK446" s="305"/>
      <c r="CL446" s="305"/>
      <c r="CM446" s="305"/>
      <c r="CN446" s="305"/>
      <c r="CO446" s="305"/>
      <c r="CP446" s="305"/>
      <c r="CQ446" s="305"/>
      <c r="CR446" s="305"/>
      <c r="CS446" s="305"/>
      <c r="CT446" s="305"/>
      <c r="CU446" s="305"/>
      <c r="CV446" s="305"/>
      <c r="CW446" s="305"/>
      <c r="CX446" s="305"/>
      <c r="CY446" s="305"/>
      <c r="CZ446" s="305"/>
      <c r="DA446" s="305"/>
      <c r="DB446" s="305"/>
      <c r="DC446" s="305"/>
      <c r="DD446" s="305"/>
      <c r="DE446" s="305"/>
      <c r="DF446" s="305"/>
      <c r="DG446" s="305"/>
      <c r="DH446" s="305"/>
      <c r="DI446" s="305"/>
      <c r="DJ446" s="305"/>
      <c r="DK446" s="305"/>
      <c r="DL446" s="305"/>
      <c r="DM446" s="305"/>
      <c r="DN446" s="305"/>
      <c r="DO446" s="305"/>
      <c r="DP446" s="305"/>
      <c r="DQ446" s="305"/>
      <c r="DR446" s="305"/>
      <c r="DS446" s="305"/>
      <c r="DT446" s="305"/>
      <c r="DU446" s="305"/>
      <c r="DV446" s="305"/>
      <c r="DW446" s="305"/>
      <c r="DX446" s="305"/>
      <c r="DY446" s="305"/>
      <c r="DZ446" s="305"/>
      <c r="EA446" s="305"/>
      <c r="EB446" s="305"/>
      <c r="EC446" s="305"/>
      <c r="ED446" s="305"/>
      <c r="EE446" s="305"/>
      <c r="EF446" s="305"/>
      <c r="EG446" s="305"/>
      <c r="EH446" s="305"/>
      <c r="EI446" s="305"/>
      <c r="EJ446" s="305"/>
      <c r="EK446" s="305"/>
      <c r="EL446" s="305"/>
      <c r="EM446" s="305"/>
      <c r="EN446" s="305"/>
      <c r="EO446" s="305"/>
      <c r="EP446" s="305"/>
      <c r="EQ446" s="305"/>
      <c r="ER446" s="305"/>
      <c r="ES446" s="305"/>
      <c r="ET446" s="305"/>
      <c r="EU446" s="305"/>
      <c r="EV446" s="305"/>
      <c r="EW446" s="305"/>
      <c r="EX446" s="305"/>
      <c r="EY446" s="305"/>
      <c r="EZ446" s="305"/>
      <c r="FA446" s="305"/>
      <c r="FB446" s="305"/>
      <c r="FC446" s="305"/>
      <c r="FD446" s="305"/>
      <c r="FE446" s="305"/>
      <c r="FF446" s="305"/>
      <c r="FG446" s="305"/>
      <c r="FH446" s="305"/>
      <c r="FI446" s="305"/>
      <c r="FJ446" s="305"/>
      <c r="FK446" s="305"/>
      <c r="FL446" s="305"/>
      <c r="FM446" s="305"/>
      <c r="FN446" s="305"/>
      <c r="FO446" s="305"/>
      <c r="FP446" s="305"/>
      <c r="FQ446" s="305"/>
      <c r="FR446" s="305"/>
      <c r="FS446" s="305"/>
      <c r="FT446" s="305"/>
      <c r="FU446" s="305"/>
      <c r="FV446" s="305"/>
      <c r="FW446" s="305"/>
      <c r="FX446" s="305"/>
      <c r="FY446" s="305"/>
      <c r="FZ446" s="305"/>
      <c r="GA446" s="305"/>
      <c r="GB446" s="305"/>
      <c r="GC446" s="305"/>
      <c r="GD446" s="305"/>
      <c r="GE446" s="305"/>
      <c r="GF446" s="305"/>
      <c r="GG446" s="305"/>
      <c r="GH446" s="305"/>
      <c r="GI446" s="305"/>
      <c r="GJ446" s="305"/>
      <c r="GK446" s="305"/>
      <c r="GL446" s="305"/>
      <c r="GM446" s="305"/>
      <c r="GN446" s="305"/>
      <c r="GO446" s="305"/>
      <c r="GP446" s="305"/>
      <c r="GQ446" s="305"/>
      <c r="GR446" s="305"/>
    </row>
    <row r="447" spans="3:200" s="318" customFormat="1" ht="12.75" customHeight="1" x14ac:dyDescent="0.2">
      <c r="C447" s="367"/>
      <c r="D447" s="403"/>
      <c r="E447" s="369"/>
      <c r="F447" s="369"/>
      <c r="G447" s="369"/>
      <c r="H447" s="369"/>
      <c r="I447" s="370"/>
      <c r="J447"/>
      <c r="K447" s="371"/>
      <c r="L447" s="371"/>
      <c r="M447" s="371"/>
      <c r="N447" s="371"/>
      <c r="O447" s="305"/>
      <c r="P447" s="305"/>
      <c r="Q447" s="305"/>
      <c r="R447" s="305"/>
      <c r="S447" s="305"/>
      <c r="T447" s="305"/>
      <c r="U447" s="305"/>
      <c r="V447" s="305"/>
      <c r="W447" s="305"/>
      <c r="X447" s="305"/>
      <c r="Y447" s="305"/>
      <c r="Z447" s="305"/>
      <c r="AA447" s="305"/>
      <c r="AB447" s="305"/>
      <c r="AC447" s="305"/>
      <c r="AD447" s="305"/>
      <c r="AE447" s="305"/>
      <c r="AF447" s="305"/>
      <c r="AG447" s="305"/>
      <c r="AH447" s="305"/>
      <c r="AI447" s="305"/>
      <c r="AJ447" s="305"/>
      <c r="AK447" s="305"/>
      <c r="AL447" s="305"/>
      <c r="AM447" s="305"/>
      <c r="AN447" s="305"/>
      <c r="AO447" s="305"/>
      <c r="AP447" s="305"/>
      <c r="AQ447" s="305"/>
      <c r="AR447" s="305"/>
      <c r="AS447" s="305"/>
      <c r="AT447" s="305"/>
      <c r="AU447" s="305"/>
      <c r="AV447" s="305"/>
      <c r="AW447" s="305"/>
      <c r="AX447" s="305"/>
      <c r="AY447" s="305"/>
      <c r="AZ447" s="305"/>
      <c r="BA447" s="305"/>
      <c r="BB447" s="305"/>
      <c r="BC447" s="305"/>
      <c r="BD447" s="305"/>
      <c r="BE447" s="305"/>
      <c r="BF447" s="305"/>
      <c r="BG447" s="305"/>
      <c r="BH447" s="305"/>
      <c r="BI447" s="305"/>
      <c r="BJ447" s="305"/>
      <c r="BK447" s="305"/>
      <c r="BL447" s="305"/>
      <c r="BM447" s="305"/>
      <c r="BN447" s="305"/>
      <c r="BO447" s="305"/>
      <c r="BP447" s="305"/>
      <c r="BQ447" s="305"/>
      <c r="BR447" s="305"/>
      <c r="BS447" s="305"/>
      <c r="BT447" s="305"/>
      <c r="BU447" s="305"/>
      <c r="BV447" s="305"/>
      <c r="BW447" s="305"/>
      <c r="BX447" s="305"/>
      <c r="BY447" s="305"/>
      <c r="BZ447" s="305"/>
      <c r="CA447" s="305"/>
      <c r="CB447" s="305"/>
      <c r="CC447" s="305"/>
      <c r="CD447" s="305"/>
      <c r="CE447" s="305"/>
      <c r="CF447" s="305"/>
      <c r="CG447" s="305"/>
      <c r="CH447" s="305"/>
      <c r="CI447" s="305"/>
      <c r="CJ447" s="305"/>
      <c r="CK447" s="305"/>
      <c r="CL447" s="305"/>
      <c r="CM447" s="305"/>
      <c r="CN447" s="305"/>
      <c r="CO447" s="305"/>
      <c r="CP447" s="305"/>
      <c r="CQ447" s="305"/>
      <c r="CR447" s="305"/>
      <c r="CS447" s="305"/>
      <c r="CT447" s="305"/>
      <c r="CU447" s="305"/>
      <c r="CV447" s="305"/>
      <c r="CW447" s="305"/>
      <c r="CX447" s="305"/>
      <c r="CY447" s="305"/>
      <c r="CZ447" s="305"/>
      <c r="DA447" s="305"/>
      <c r="DB447" s="305"/>
      <c r="DC447" s="305"/>
      <c r="DD447" s="305"/>
      <c r="DE447" s="305"/>
      <c r="DF447" s="305"/>
      <c r="DG447" s="305"/>
      <c r="DH447" s="305"/>
      <c r="DI447" s="305"/>
      <c r="DJ447" s="305"/>
      <c r="DK447" s="305"/>
      <c r="DL447" s="305"/>
      <c r="DM447" s="305"/>
      <c r="DN447" s="305"/>
      <c r="DO447" s="305"/>
      <c r="DP447" s="305"/>
      <c r="DQ447" s="305"/>
      <c r="DR447" s="305"/>
      <c r="DS447" s="305"/>
      <c r="DT447" s="305"/>
      <c r="DU447" s="305"/>
      <c r="DV447" s="305"/>
      <c r="DW447" s="305"/>
      <c r="DX447" s="305"/>
      <c r="DY447" s="305"/>
      <c r="DZ447" s="305"/>
      <c r="EA447" s="305"/>
      <c r="EB447" s="305"/>
      <c r="EC447" s="305"/>
      <c r="ED447" s="305"/>
      <c r="EE447" s="305"/>
      <c r="EF447" s="305"/>
      <c r="EG447" s="305"/>
      <c r="EH447" s="305"/>
      <c r="EI447" s="305"/>
      <c r="EJ447" s="305"/>
      <c r="EK447" s="305"/>
      <c r="EL447" s="305"/>
      <c r="EM447" s="305"/>
      <c r="EN447" s="305"/>
      <c r="EO447" s="305"/>
      <c r="EP447" s="305"/>
      <c r="EQ447" s="305"/>
      <c r="ER447" s="305"/>
      <c r="ES447" s="305"/>
      <c r="ET447" s="305"/>
      <c r="EU447" s="305"/>
      <c r="EV447" s="305"/>
      <c r="EW447" s="305"/>
      <c r="EX447" s="305"/>
      <c r="EY447" s="305"/>
      <c r="EZ447" s="305"/>
      <c r="FA447" s="305"/>
      <c r="FB447" s="305"/>
      <c r="FC447" s="305"/>
      <c r="FD447" s="305"/>
      <c r="FE447" s="305"/>
      <c r="FF447" s="305"/>
      <c r="FG447" s="305"/>
      <c r="FH447" s="305"/>
      <c r="FI447" s="305"/>
      <c r="FJ447" s="305"/>
      <c r="FK447" s="305"/>
      <c r="FL447" s="305"/>
      <c r="FM447" s="305"/>
      <c r="FN447" s="305"/>
      <c r="FO447" s="305"/>
      <c r="FP447" s="305"/>
      <c r="FQ447" s="305"/>
      <c r="FR447" s="305"/>
      <c r="FS447" s="305"/>
      <c r="FT447" s="305"/>
      <c r="FU447" s="305"/>
      <c r="FV447" s="305"/>
      <c r="FW447" s="305"/>
      <c r="FX447" s="305"/>
      <c r="FY447" s="305"/>
      <c r="FZ447" s="305"/>
      <c r="GA447" s="305"/>
      <c r="GB447" s="305"/>
      <c r="GC447" s="305"/>
      <c r="GD447" s="305"/>
      <c r="GE447" s="305"/>
      <c r="GF447" s="305"/>
      <c r="GG447" s="305"/>
      <c r="GH447" s="305"/>
      <c r="GI447" s="305"/>
      <c r="GJ447" s="305"/>
      <c r="GK447" s="305"/>
      <c r="GL447" s="305"/>
      <c r="GM447" s="305"/>
      <c r="GN447" s="305"/>
      <c r="GO447" s="305"/>
      <c r="GP447" s="305"/>
      <c r="GQ447" s="305"/>
      <c r="GR447" s="305"/>
    </row>
    <row r="448" spans="3:200" s="318" customFormat="1" ht="12.75" customHeight="1" x14ac:dyDescent="0.2">
      <c r="C448" s="367"/>
      <c r="D448" s="403"/>
      <c r="E448" s="369"/>
      <c r="F448" s="369"/>
      <c r="G448" s="369"/>
      <c r="H448" s="369"/>
      <c r="I448" s="370"/>
      <c r="J448"/>
      <c r="K448" s="371"/>
      <c r="L448" s="371"/>
      <c r="M448" s="371"/>
      <c r="N448" s="371"/>
      <c r="O448" s="305"/>
      <c r="P448" s="305"/>
      <c r="Q448" s="305"/>
      <c r="R448" s="305"/>
      <c r="S448" s="305"/>
      <c r="T448" s="305"/>
      <c r="U448" s="305"/>
      <c r="V448" s="305"/>
      <c r="W448" s="305"/>
      <c r="X448" s="305"/>
      <c r="Y448" s="305"/>
      <c r="Z448" s="305"/>
      <c r="AA448" s="305"/>
      <c r="AB448" s="305"/>
      <c r="AC448" s="305"/>
      <c r="AD448" s="305"/>
      <c r="AE448" s="305"/>
      <c r="AF448" s="305"/>
      <c r="AG448" s="305"/>
      <c r="AH448" s="305"/>
      <c r="AI448" s="305"/>
      <c r="AJ448" s="305"/>
      <c r="AK448" s="305"/>
      <c r="AL448" s="305"/>
      <c r="AM448" s="305"/>
      <c r="AN448" s="305"/>
      <c r="AO448" s="305"/>
      <c r="AP448" s="305"/>
      <c r="AQ448" s="305"/>
      <c r="AR448" s="305"/>
      <c r="AS448" s="305"/>
      <c r="AT448" s="305"/>
      <c r="AU448" s="305"/>
      <c r="AV448" s="305"/>
      <c r="AW448" s="305"/>
      <c r="AX448" s="305"/>
      <c r="AY448" s="305"/>
      <c r="AZ448" s="305"/>
      <c r="BA448" s="305"/>
      <c r="BB448" s="305"/>
      <c r="BC448" s="305"/>
      <c r="BD448" s="305"/>
      <c r="BE448" s="305"/>
      <c r="BF448" s="305"/>
      <c r="BG448" s="305"/>
      <c r="BH448" s="305"/>
      <c r="BI448" s="305"/>
      <c r="BJ448" s="305"/>
      <c r="BK448" s="305"/>
      <c r="BL448" s="305"/>
      <c r="BM448" s="305"/>
      <c r="BN448" s="305"/>
      <c r="BO448" s="305"/>
      <c r="BP448" s="305"/>
      <c r="BQ448" s="305"/>
      <c r="BR448" s="305"/>
      <c r="BS448" s="305"/>
      <c r="BT448" s="305"/>
      <c r="BU448" s="305"/>
      <c r="BV448" s="305"/>
      <c r="BW448" s="305"/>
      <c r="BX448" s="305"/>
      <c r="BY448" s="305"/>
      <c r="BZ448" s="305"/>
      <c r="CA448" s="305"/>
      <c r="CB448" s="305"/>
      <c r="CC448" s="305"/>
      <c r="CD448" s="305"/>
      <c r="CE448" s="305"/>
      <c r="CF448" s="305"/>
      <c r="CG448" s="305"/>
      <c r="CH448" s="305"/>
      <c r="CI448" s="305"/>
      <c r="CJ448" s="305"/>
      <c r="CK448" s="305"/>
      <c r="CL448" s="305"/>
      <c r="CM448" s="305"/>
      <c r="CN448" s="305"/>
      <c r="CO448" s="305"/>
      <c r="CP448" s="305"/>
      <c r="CQ448" s="305"/>
      <c r="CR448" s="305"/>
      <c r="CS448" s="305"/>
      <c r="CT448" s="305"/>
      <c r="CU448" s="305"/>
      <c r="CV448" s="305"/>
      <c r="CW448" s="305"/>
      <c r="CX448" s="305"/>
      <c r="CY448" s="305"/>
      <c r="CZ448" s="305"/>
      <c r="DA448" s="305"/>
      <c r="DB448" s="305"/>
      <c r="DC448" s="305"/>
      <c r="DD448" s="305"/>
      <c r="DE448" s="305"/>
      <c r="DF448" s="305"/>
      <c r="DG448" s="305"/>
      <c r="DH448" s="305"/>
      <c r="DI448" s="305"/>
      <c r="DJ448" s="305"/>
      <c r="DK448" s="305"/>
      <c r="DL448" s="305"/>
      <c r="DM448" s="305"/>
      <c r="DN448" s="305"/>
      <c r="DO448" s="305"/>
      <c r="DP448" s="305"/>
      <c r="DQ448" s="305"/>
      <c r="DR448" s="305"/>
      <c r="DS448" s="305"/>
      <c r="DT448" s="305"/>
      <c r="DU448" s="305"/>
      <c r="DV448" s="305"/>
      <c r="DW448" s="305"/>
      <c r="DX448" s="305"/>
      <c r="DY448" s="305"/>
      <c r="DZ448" s="305"/>
      <c r="EA448" s="305"/>
      <c r="EB448" s="305"/>
      <c r="EC448" s="305"/>
      <c r="ED448" s="305"/>
      <c r="EE448" s="305"/>
      <c r="EF448" s="305"/>
      <c r="EG448" s="305"/>
      <c r="EH448" s="305"/>
      <c r="EI448" s="305"/>
      <c r="EJ448" s="305"/>
      <c r="EK448" s="305"/>
      <c r="EL448" s="305"/>
      <c r="EM448" s="305"/>
      <c r="EN448" s="305"/>
      <c r="EO448" s="305"/>
      <c r="EP448" s="305"/>
      <c r="EQ448" s="305"/>
      <c r="ER448" s="305"/>
      <c r="ES448" s="305"/>
      <c r="ET448" s="305"/>
      <c r="EU448" s="305"/>
      <c r="EV448" s="305"/>
      <c r="EW448" s="305"/>
      <c r="EX448" s="305"/>
      <c r="EY448" s="305"/>
      <c r="EZ448" s="305"/>
      <c r="FA448" s="305"/>
      <c r="FB448" s="305"/>
      <c r="FC448" s="305"/>
      <c r="FD448" s="305"/>
      <c r="FE448" s="305"/>
      <c r="FF448" s="305"/>
      <c r="FG448" s="305"/>
      <c r="FH448" s="305"/>
      <c r="FI448" s="305"/>
      <c r="FJ448" s="305"/>
      <c r="FK448" s="305"/>
      <c r="FL448" s="305"/>
      <c r="FM448" s="305"/>
      <c r="FN448" s="305"/>
      <c r="FO448" s="305"/>
      <c r="FP448" s="305"/>
      <c r="FQ448" s="305"/>
      <c r="FR448" s="305"/>
      <c r="FS448" s="305"/>
      <c r="FT448" s="305"/>
      <c r="FU448" s="305"/>
      <c r="FV448" s="305"/>
      <c r="FW448" s="305"/>
      <c r="FX448" s="305"/>
      <c r="FY448" s="305"/>
      <c r="FZ448" s="305"/>
      <c r="GA448" s="305"/>
      <c r="GB448" s="305"/>
      <c r="GC448" s="305"/>
      <c r="GD448" s="305"/>
      <c r="GE448" s="305"/>
      <c r="GF448" s="305"/>
      <c r="GG448" s="305"/>
      <c r="GH448" s="305"/>
      <c r="GI448" s="305"/>
      <c r="GJ448" s="305"/>
      <c r="GK448" s="305"/>
      <c r="GL448" s="305"/>
      <c r="GM448" s="305"/>
      <c r="GN448" s="305"/>
      <c r="GO448" s="305"/>
      <c r="GP448" s="305"/>
      <c r="GQ448" s="305"/>
      <c r="GR448" s="305"/>
    </row>
    <row r="449" spans="3:200" s="318" customFormat="1" ht="12.75" customHeight="1" x14ac:dyDescent="0.2">
      <c r="C449" s="367"/>
      <c r="D449" s="403"/>
      <c r="E449" s="369"/>
      <c r="F449" s="369"/>
      <c r="G449" s="369"/>
      <c r="H449" s="369"/>
      <c r="I449" s="370"/>
      <c r="J449"/>
      <c r="K449" s="371"/>
      <c r="L449" s="371"/>
      <c r="M449" s="371"/>
      <c r="N449" s="371"/>
      <c r="O449" s="305"/>
      <c r="P449" s="305"/>
      <c r="Q449" s="305"/>
      <c r="R449" s="305"/>
      <c r="S449" s="305"/>
      <c r="T449" s="305"/>
      <c r="U449" s="305"/>
      <c r="V449" s="305"/>
      <c r="W449" s="305"/>
      <c r="X449" s="305"/>
      <c r="Y449" s="305"/>
      <c r="Z449" s="305"/>
      <c r="AA449" s="305"/>
      <c r="AB449" s="305"/>
      <c r="AC449" s="305"/>
      <c r="AD449" s="305"/>
      <c r="AE449" s="305"/>
      <c r="AF449" s="305"/>
      <c r="AG449" s="305"/>
      <c r="AH449" s="305"/>
      <c r="AI449" s="305"/>
      <c r="AJ449" s="305"/>
      <c r="AK449" s="305"/>
      <c r="AL449" s="305"/>
      <c r="AM449" s="305"/>
      <c r="AN449" s="305"/>
      <c r="AO449" s="305"/>
      <c r="AP449" s="305"/>
      <c r="AQ449" s="305"/>
      <c r="AR449" s="305"/>
      <c r="AS449" s="305"/>
      <c r="AT449" s="305"/>
      <c r="AU449" s="305"/>
      <c r="AV449" s="305"/>
      <c r="AW449" s="305"/>
      <c r="AX449" s="305"/>
      <c r="AY449" s="305"/>
      <c r="AZ449" s="305"/>
      <c r="BA449" s="305"/>
      <c r="BB449" s="305"/>
      <c r="BC449" s="305"/>
      <c r="BD449" s="305"/>
      <c r="BE449" s="305"/>
      <c r="BF449" s="305"/>
      <c r="BG449" s="305"/>
      <c r="BH449" s="305"/>
      <c r="BI449" s="305"/>
      <c r="BJ449" s="305"/>
      <c r="BK449" s="305"/>
      <c r="BL449" s="305"/>
      <c r="BM449" s="305"/>
      <c r="BN449" s="305"/>
      <c r="BO449" s="305"/>
      <c r="BP449" s="305"/>
      <c r="BQ449" s="305"/>
      <c r="BR449" s="305"/>
      <c r="BS449" s="305"/>
      <c r="BT449" s="305"/>
      <c r="BU449" s="305"/>
      <c r="BV449" s="305"/>
      <c r="BW449" s="305"/>
      <c r="BX449" s="305"/>
      <c r="BY449" s="305"/>
      <c r="BZ449" s="305"/>
      <c r="CA449" s="305"/>
      <c r="CB449" s="305"/>
      <c r="CC449" s="305"/>
      <c r="CD449" s="305"/>
      <c r="CE449" s="305"/>
      <c r="CF449" s="305"/>
      <c r="CG449" s="305"/>
      <c r="CH449" s="305"/>
      <c r="CI449" s="305"/>
      <c r="CJ449" s="305"/>
      <c r="CK449" s="305"/>
      <c r="CL449" s="305"/>
      <c r="CM449" s="305"/>
      <c r="CN449" s="305"/>
      <c r="CO449" s="305"/>
      <c r="CP449" s="305"/>
      <c r="CQ449" s="305"/>
      <c r="CR449" s="305"/>
      <c r="CS449" s="305"/>
      <c r="CT449" s="305"/>
      <c r="CU449" s="305"/>
      <c r="CV449" s="305"/>
      <c r="CW449" s="305"/>
      <c r="CX449" s="305"/>
      <c r="CY449" s="305"/>
      <c r="CZ449" s="305"/>
      <c r="DA449" s="305"/>
      <c r="DB449" s="305"/>
      <c r="DC449" s="305"/>
      <c r="DD449" s="305"/>
      <c r="DE449" s="305"/>
      <c r="DF449" s="305"/>
      <c r="DG449" s="305"/>
      <c r="DH449" s="305"/>
      <c r="DI449" s="305"/>
      <c r="DJ449" s="305"/>
      <c r="DK449" s="305"/>
      <c r="DL449" s="305"/>
      <c r="DM449" s="305"/>
      <c r="DN449" s="305"/>
      <c r="DO449" s="305"/>
      <c r="DP449" s="305"/>
      <c r="DQ449" s="305"/>
      <c r="DR449" s="305"/>
      <c r="DS449" s="305"/>
      <c r="DT449" s="305"/>
      <c r="DU449" s="305"/>
      <c r="DV449" s="305"/>
      <c r="DW449" s="305"/>
      <c r="DX449" s="305"/>
      <c r="DY449" s="305"/>
      <c r="DZ449" s="305"/>
      <c r="EA449" s="305"/>
      <c r="EB449" s="305"/>
      <c r="EC449" s="305"/>
      <c r="ED449" s="305"/>
      <c r="EE449" s="305"/>
      <c r="EF449" s="305"/>
      <c r="EG449" s="305"/>
      <c r="EH449" s="305"/>
      <c r="EI449" s="305"/>
      <c r="EJ449" s="305"/>
      <c r="EK449" s="305"/>
      <c r="EL449" s="305"/>
      <c r="EM449" s="305"/>
      <c r="EN449" s="305"/>
      <c r="EO449" s="305"/>
      <c r="EP449" s="305"/>
      <c r="EQ449" s="305"/>
      <c r="ER449" s="305"/>
      <c r="ES449" s="305"/>
      <c r="ET449" s="305"/>
      <c r="EU449" s="305"/>
      <c r="EV449" s="305"/>
      <c r="EW449" s="305"/>
      <c r="EX449" s="305"/>
      <c r="EY449" s="305"/>
      <c r="EZ449" s="305"/>
      <c r="FA449" s="305"/>
      <c r="FB449" s="305"/>
      <c r="FC449" s="305"/>
      <c r="FD449" s="305"/>
      <c r="FE449" s="305"/>
      <c r="FF449" s="305"/>
      <c r="FG449" s="305"/>
      <c r="FH449" s="305"/>
      <c r="FI449" s="305"/>
      <c r="FJ449" s="305"/>
      <c r="FK449" s="305"/>
      <c r="FL449" s="305"/>
      <c r="FM449" s="305"/>
      <c r="FN449" s="305"/>
      <c r="FO449" s="305"/>
      <c r="FP449" s="305"/>
      <c r="FQ449" s="305"/>
      <c r="FR449" s="305"/>
      <c r="FS449" s="305"/>
      <c r="FT449" s="305"/>
      <c r="FU449" s="305"/>
      <c r="FV449" s="305"/>
      <c r="FW449" s="305"/>
      <c r="FX449" s="305"/>
      <c r="FY449" s="305"/>
      <c r="FZ449" s="305"/>
      <c r="GA449" s="305"/>
      <c r="GB449" s="305"/>
      <c r="GC449" s="305"/>
      <c r="GD449" s="305"/>
      <c r="GE449" s="305"/>
      <c r="GF449" s="305"/>
      <c r="GG449" s="305"/>
      <c r="GH449" s="305"/>
      <c r="GI449" s="305"/>
      <c r="GJ449" s="305"/>
      <c r="GK449" s="305"/>
      <c r="GL449" s="305"/>
      <c r="GM449" s="305"/>
      <c r="GN449" s="305"/>
      <c r="GO449" s="305"/>
      <c r="GP449" s="305"/>
      <c r="GQ449" s="305"/>
      <c r="GR449" s="305"/>
    </row>
    <row r="450" spans="3:200" s="318" customFormat="1" ht="12.75" customHeight="1" x14ac:dyDescent="0.2">
      <c r="C450" s="367"/>
      <c r="D450" s="403"/>
      <c r="E450" s="369"/>
      <c r="F450" s="369"/>
      <c r="G450" s="369"/>
      <c r="H450" s="369"/>
      <c r="I450" s="370"/>
      <c r="J450"/>
      <c r="K450" s="371"/>
      <c r="L450" s="371"/>
      <c r="M450" s="371"/>
      <c r="N450" s="371"/>
      <c r="O450" s="305"/>
      <c r="P450" s="305"/>
      <c r="Q450" s="305"/>
      <c r="R450" s="305"/>
      <c r="S450" s="305"/>
      <c r="T450" s="305"/>
      <c r="U450" s="305"/>
      <c r="V450" s="305"/>
      <c r="W450" s="305"/>
      <c r="X450" s="305"/>
      <c r="Y450" s="305"/>
      <c r="Z450" s="305"/>
      <c r="AA450" s="305"/>
      <c r="AB450" s="305"/>
      <c r="AC450" s="305"/>
      <c r="AD450" s="305"/>
      <c r="AE450" s="305"/>
      <c r="AF450" s="305"/>
      <c r="AG450" s="305"/>
      <c r="AH450" s="305"/>
      <c r="AI450" s="305"/>
      <c r="AJ450" s="305"/>
      <c r="AK450" s="305"/>
      <c r="AL450" s="305"/>
      <c r="AM450" s="305"/>
      <c r="AN450" s="305"/>
      <c r="AO450" s="305"/>
      <c r="AP450" s="305"/>
      <c r="AQ450" s="305"/>
      <c r="AR450" s="305"/>
      <c r="AS450" s="305"/>
      <c r="AT450" s="305"/>
      <c r="AU450" s="305"/>
      <c r="AV450" s="305"/>
      <c r="AW450" s="305"/>
      <c r="AX450" s="305"/>
      <c r="AY450" s="305"/>
      <c r="AZ450" s="305"/>
      <c r="BA450" s="305"/>
      <c r="BB450" s="305"/>
      <c r="BC450" s="305"/>
      <c r="BD450" s="305"/>
      <c r="BE450" s="305"/>
      <c r="BF450" s="305"/>
      <c r="BG450" s="305"/>
      <c r="BH450" s="305"/>
      <c r="BI450" s="305"/>
      <c r="BJ450" s="305"/>
      <c r="BK450" s="305"/>
      <c r="BL450" s="305"/>
      <c r="BM450" s="305"/>
      <c r="BN450" s="305"/>
      <c r="BO450" s="305"/>
      <c r="BP450" s="305"/>
      <c r="BQ450" s="305"/>
      <c r="BR450" s="305"/>
      <c r="BS450" s="305"/>
      <c r="BT450" s="305"/>
      <c r="BU450" s="305"/>
      <c r="BV450" s="305"/>
      <c r="BW450" s="305"/>
      <c r="BX450" s="305"/>
      <c r="BY450" s="305"/>
      <c r="BZ450" s="305"/>
      <c r="CA450" s="305"/>
      <c r="CB450" s="305"/>
      <c r="CC450" s="305"/>
      <c r="CD450" s="305"/>
      <c r="CE450" s="305"/>
      <c r="CF450" s="305"/>
      <c r="CG450" s="305"/>
      <c r="CH450" s="305"/>
      <c r="CI450" s="305"/>
      <c r="CJ450" s="305"/>
      <c r="CK450" s="305"/>
      <c r="CL450" s="305"/>
      <c r="CM450" s="305"/>
      <c r="CN450" s="305"/>
      <c r="CO450" s="305"/>
      <c r="CP450" s="305"/>
      <c r="CQ450" s="305"/>
      <c r="CR450" s="305"/>
      <c r="CS450" s="305"/>
      <c r="CT450" s="305"/>
      <c r="CU450" s="305"/>
      <c r="CV450" s="305"/>
      <c r="CW450" s="305"/>
      <c r="CX450" s="305"/>
      <c r="CY450" s="305"/>
      <c r="CZ450" s="305"/>
      <c r="DA450" s="305"/>
      <c r="DB450" s="305"/>
      <c r="DC450" s="305"/>
      <c r="DD450" s="305"/>
      <c r="DE450" s="305"/>
      <c r="DF450" s="305"/>
      <c r="DG450" s="305"/>
      <c r="DH450" s="305"/>
      <c r="DI450" s="305"/>
      <c r="DJ450" s="305"/>
      <c r="DK450" s="305"/>
      <c r="DL450" s="305"/>
      <c r="DM450" s="305"/>
      <c r="DN450" s="305"/>
      <c r="DO450" s="305"/>
      <c r="DP450" s="305"/>
      <c r="DQ450" s="305"/>
      <c r="DR450" s="305"/>
      <c r="DS450" s="305"/>
      <c r="DT450" s="305"/>
      <c r="DU450" s="305"/>
      <c r="DV450" s="305"/>
      <c r="DW450" s="305"/>
      <c r="DX450" s="305"/>
      <c r="DY450" s="305"/>
      <c r="DZ450" s="305"/>
      <c r="EA450" s="305"/>
      <c r="EB450" s="305"/>
      <c r="EC450" s="305"/>
      <c r="ED450" s="305"/>
      <c r="EE450" s="305"/>
      <c r="EF450" s="305"/>
      <c r="EG450" s="305"/>
      <c r="EH450" s="305"/>
      <c r="EI450" s="305"/>
      <c r="EJ450" s="305"/>
      <c r="EK450" s="305"/>
      <c r="EL450" s="305"/>
      <c r="EM450" s="305"/>
      <c r="EN450" s="305"/>
      <c r="EO450" s="305"/>
      <c r="EP450" s="305"/>
      <c r="EQ450" s="305"/>
      <c r="ER450" s="305"/>
      <c r="ES450" s="305"/>
      <c r="ET450" s="305"/>
      <c r="EU450" s="305"/>
      <c r="EV450" s="305"/>
      <c r="EW450" s="305"/>
      <c r="EX450" s="305"/>
      <c r="EY450" s="305"/>
      <c r="EZ450" s="305"/>
      <c r="FA450" s="305"/>
      <c r="FB450" s="305"/>
      <c r="FC450" s="305"/>
      <c r="FD450" s="305"/>
      <c r="FE450" s="305"/>
      <c r="FF450" s="305"/>
      <c r="FG450" s="305"/>
      <c r="FH450" s="305"/>
      <c r="FI450" s="305"/>
      <c r="FJ450" s="305"/>
      <c r="FK450" s="305"/>
      <c r="FL450" s="305"/>
      <c r="FM450" s="305"/>
      <c r="FN450" s="305"/>
      <c r="FO450" s="305"/>
      <c r="FP450" s="305"/>
      <c r="FQ450" s="305"/>
      <c r="FR450" s="305"/>
      <c r="FS450" s="305"/>
      <c r="FT450" s="305"/>
      <c r="FU450" s="305"/>
      <c r="FV450" s="305"/>
      <c r="FW450" s="305"/>
      <c r="FX450" s="305"/>
      <c r="FY450" s="305"/>
      <c r="FZ450" s="305"/>
      <c r="GA450" s="305"/>
      <c r="GB450" s="305"/>
      <c r="GC450" s="305"/>
      <c r="GD450" s="305"/>
      <c r="GE450" s="305"/>
      <c r="GF450" s="305"/>
      <c r="GG450" s="305"/>
      <c r="GH450" s="305"/>
      <c r="GI450" s="305"/>
      <c r="GJ450" s="305"/>
      <c r="GK450" s="305"/>
      <c r="GL450" s="305"/>
      <c r="GM450" s="305"/>
      <c r="GN450" s="305"/>
      <c r="GO450" s="305"/>
      <c r="GP450" s="305"/>
      <c r="GQ450" s="305"/>
      <c r="GR450" s="305"/>
    </row>
    <row r="451" spans="3:200" s="318" customFormat="1" ht="12.75" customHeight="1" x14ac:dyDescent="0.2">
      <c r="C451" s="367"/>
      <c r="D451" s="403"/>
      <c r="E451" s="369"/>
      <c r="F451" s="369"/>
      <c r="G451" s="369"/>
      <c r="H451" s="369"/>
      <c r="I451" s="370"/>
      <c r="J451"/>
      <c r="K451" s="371"/>
      <c r="L451" s="371"/>
      <c r="M451" s="371"/>
      <c r="N451" s="371"/>
      <c r="O451" s="305"/>
      <c r="P451" s="305"/>
      <c r="Q451" s="305"/>
      <c r="R451" s="305"/>
      <c r="S451" s="305"/>
      <c r="T451" s="305"/>
      <c r="U451" s="305"/>
      <c r="V451" s="305"/>
      <c r="W451" s="305"/>
      <c r="X451" s="305"/>
      <c r="Y451" s="305"/>
      <c r="Z451" s="305"/>
      <c r="AA451" s="305"/>
      <c r="AB451" s="305"/>
      <c r="AC451" s="305"/>
      <c r="AD451" s="305"/>
      <c r="AE451" s="305"/>
      <c r="AF451" s="305"/>
      <c r="AG451" s="305"/>
      <c r="AH451" s="305"/>
      <c r="AI451" s="305"/>
      <c r="AJ451" s="305"/>
      <c r="AK451" s="305"/>
      <c r="AL451" s="305"/>
      <c r="AM451" s="305"/>
      <c r="AN451" s="305"/>
      <c r="AO451" s="305"/>
      <c r="AP451" s="305"/>
      <c r="AQ451" s="305"/>
      <c r="AR451" s="305"/>
      <c r="AS451" s="305"/>
      <c r="AT451" s="305"/>
      <c r="AU451" s="305"/>
      <c r="AV451" s="305"/>
      <c r="AW451" s="305"/>
      <c r="AX451" s="305"/>
      <c r="AY451" s="305"/>
      <c r="AZ451" s="305"/>
      <c r="BA451" s="305"/>
      <c r="BB451" s="305"/>
      <c r="BC451" s="305"/>
      <c r="BD451" s="305"/>
      <c r="BE451" s="305"/>
      <c r="BF451" s="305"/>
      <c r="BG451" s="305"/>
      <c r="BH451" s="305"/>
      <c r="BI451" s="305"/>
      <c r="BJ451" s="305"/>
      <c r="BK451" s="305"/>
      <c r="BL451" s="305"/>
      <c r="BM451" s="305"/>
      <c r="BN451" s="305"/>
      <c r="BO451" s="305"/>
      <c r="BP451" s="305"/>
      <c r="BQ451" s="305"/>
      <c r="BR451" s="305"/>
      <c r="BS451" s="305"/>
      <c r="BT451" s="305"/>
      <c r="BU451" s="305"/>
      <c r="BV451" s="305"/>
      <c r="BW451" s="305"/>
      <c r="BX451" s="305"/>
      <c r="BY451" s="305"/>
      <c r="BZ451" s="305"/>
      <c r="CA451" s="305"/>
      <c r="CB451" s="305"/>
      <c r="CC451" s="305"/>
      <c r="CD451" s="305"/>
      <c r="CE451" s="305"/>
      <c r="CF451" s="305"/>
      <c r="CG451" s="305"/>
      <c r="CH451" s="305"/>
      <c r="CI451" s="305"/>
      <c r="CJ451" s="305"/>
      <c r="CK451" s="305"/>
      <c r="CL451" s="305"/>
      <c r="CM451" s="305"/>
      <c r="CN451" s="305"/>
      <c r="CO451" s="305"/>
      <c r="CP451" s="305"/>
      <c r="CQ451" s="305"/>
      <c r="CR451" s="305"/>
      <c r="CS451" s="305"/>
      <c r="CT451" s="305"/>
      <c r="CU451" s="305"/>
      <c r="CV451" s="305"/>
      <c r="CW451" s="305"/>
      <c r="CX451" s="305"/>
      <c r="CY451" s="305"/>
      <c r="CZ451" s="305"/>
      <c r="DA451" s="305"/>
      <c r="DB451" s="305"/>
      <c r="DC451" s="305"/>
      <c r="DD451" s="305"/>
      <c r="DE451" s="305"/>
      <c r="DF451" s="305"/>
      <c r="DG451" s="305"/>
      <c r="DH451" s="305"/>
      <c r="DI451" s="305"/>
      <c r="DJ451" s="305"/>
      <c r="DK451" s="305"/>
      <c r="DL451" s="305"/>
      <c r="DM451" s="305"/>
      <c r="DN451" s="305"/>
      <c r="DO451" s="305"/>
      <c r="DP451" s="305"/>
      <c r="DQ451" s="305"/>
      <c r="DR451" s="305"/>
      <c r="DS451" s="305"/>
      <c r="DT451" s="305"/>
      <c r="DU451" s="305"/>
      <c r="DV451" s="305"/>
      <c r="DW451" s="305"/>
      <c r="DX451" s="305"/>
      <c r="DY451" s="305"/>
      <c r="DZ451" s="305"/>
      <c r="EA451" s="305"/>
      <c r="EB451" s="305"/>
      <c r="EC451" s="305"/>
      <c r="ED451" s="305"/>
      <c r="EE451" s="305"/>
      <c r="EF451" s="305"/>
      <c r="EG451" s="305"/>
      <c r="EH451" s="305"/>
      <c r="EI451" s="305"/>
      <c r="EJ451" s="305"/>
      <c r="EK451" s="305"/>
      <c r="EL451" s="305"/>
      <c r="EM451" s="305"/>
      <c r="EN451" s="305"/>
      <c r="EO451" s="305"/>
      <c r="EP451" s="305"/>
      <c r="EQ451" s="305"/>
      <c r="ER451" s="305"/>
      <c r="ES451" s="305"/>
      <c r="ET451" s="305"/>
      <c r="EU451" s="305"/>
      <c r="EV451" s="305"/>
      <c r="EW451" s="305"/>
      <c r="EX451" s="305"/>
      <c r="EY451" s="305"/>
      <c r="EZ451" s="305"/>
      <c r="FA451" s="305"/>
      <c r="FB451" s="305"/>
      <c r="FC451" s="305"/>
      <c r="FD451" s="305"/>
      <c r="FE451" s="305"/>
      <c r="FF451" s="305"/>
      <c r="FG451" s="305"/>
      <c r="FH451" s="305"/>
      <c r="FI451" s="305"/>
      <c r="FJ451" s="305"/>
      <c r="FK451" s="305"/>
      <c r="FL451" s="305"/>
      <c r="FM451" s="305"/>
      <c r="FN451" s="305"/>
      <c r="FO451" s="305"/>
      <c r="FP451" s="305"/>
      <c r="FQ451" s="305"/>
      <c r="FR451" s="305"/>
      <c r="FS451" s="305"/>
      <c r="FT451" s="305"/>
      <c r="FU451" s="305"/>
      <c r="FV451" s="305"/>
      <c r="FW451" s="305"/>
      <c r="FX451" s="305"/>
      <c r="FY451" s="305"/>
      <c r="FZ451" s="305"/>
      <c r="GA451" s="305"/>
      <c r="GB451" s="305"/>
      <c r="GC451" s="305"/>
      <c r="GD451" s="305"/>
      <c r="GE451" s="305"/>
      <c r="GF451" s="305"/>
      <c r="GG451" s="305"/>
      <c r="GH451" s="305"/>
      <c r="GI451" s="305"/>
      <c r="GJ451" s="305"/>
      <c r="GK451" s="305"/>
      <c r="GL451" s="305"/>
      <c r="GM451" s="305"/>
      <c r="GN451" s="305"/>
      <c r="GO451" s="305"/>
      <c r="GP451" s="305"/>
      <c r="GQ451" s="305"/>
      <c r="GR451" s="305"/>
    </row>
    <row r="452" spans="3:200" s="318" customFormat="1" ht="12.75" customHeight="1" x14ac:dyDescent="0.2">
      <c r="C452" s="367"/>
      <c r="D452" s="403"/>
      <c r="E452" s="369"/>
      <c r="F452" s="369"/>
      <c r="G452" s="369"/>
      <c r="H452" s="369"/>
      <c r="I452" s="370"/>
      <c r="J452"/>
      <c r="K452" s="371"/>
      <c r="L452" s="371"/>
      <c r="M452" s="371"/>
      <c r="N452" s="371"/>
      <c r="O452" s="305"/>
      <c r="P452" s="305"/>
      <c r="Q452" s="305"/>
      <c r="R452" s="305"/>
      <c r="S452" s="305"/>
      <c r="T452" s="305"/>
      <c r="U452" s="305"/>
      <c r="V452" s="305"/>
      <c r="W452" s="305"/>
      <c r="X452" s="305"/>
      <c r="Y452" s="305"/>
      <c r="Z452" s="305"/>
      <c r="AA452" s="305"/>
      <c r="AB452" s="305"/>
      <c r="AC452" s="305"/>
      <c r="AD452" s="305"/>
      <c r="AE452" s="305"/>
      <c r="AF452" s="305"/>
      <c r="AG452" s="305"/>
      <c r="AH452" s="305"/>
      <c r="AI452" s="305"/>
      <c r="AJ452" s="305"/>
      <c r="AK452" s="305"/>
      <c r="AL452" s="305"/>
      <c r="AM452" s="305"/>
      <c r="AN452" s="305"/>
      <c r="AO452" s="305"/>
      <c r="AP452" s="305"/>
      <c r="AQ452" s="305"/>
      <c r="AR452" s="305"/>
      <c r="AS452" s="305"/>
      <c r="AT452" s="305"/>
      <c r="AU452" s="305"/>
      <c r="AV452" s="305"/>
      <c r="AW452" s="305"/>
      <c r="AX452" s="305"/>
      <c r="AY452" s="305"/>
      <c r="AZ452" s="305"/>
      <c r="BA452" s="305"/>
      <c r="BB452" s="305"/>
      <c r="BC452" s="305"/>
      <c r="BD452" s="305"/>
      <c r="BE452" s="305"/>
      <c r="BF452" s="305"/>
      <c r="BG452" s="305"/>
      <c r="BH452" s="305"/>
      <c r="BI452" s="305"/>
      <c r="BJ452" s="305"/>
      <c r="BK452" s="305"/>
      <c r="BL452" s="305"/>
      <c r="BM452" s="305"/>
      <c r="BN452" s="305"/>
      <c r="BO452" s="305"/>
      <c r="BP452" s="305"/>
      <c r="BQ452" s="305"/>
      <c r="BR452" s="305"/>
      <c r="BS452" s="305"/>
      <c r="BT452" s="305"/>
      <c r="BU452" s="305"/>
      <c r="BV452" s="305"/>
      <c r="BW452" s="305"/>
      <c r="BX452" s="305"/>
      <c r="BY452" s="305"/>
      <c r="BZ452" s="305"/>
      <c r="CA452" s="305"/>
      <c r="CB452" s="305"/>
      <c r="CC452" s="305"/>
      <c r="CD452" s="305"/>
      <c r="CE452" s="305"/>
      <c r="CF452" s="305"/>
      <c r="CG452" s="305"/>
      <c r="CH452" s="305"/>
      <c r="CI452" s="305"/>
      <c r="CJ452" s="305"/>
      <c r="CK452" s="305"/>
      <c r="CL452" s="305"/>
      <c r="CM452" s="305"/>
      <c r="CN452" s="305"/>
      <c r="CO452" s="305"/>
      <c r="CP452" s="305"/>
      <c r="CQ452" s="305"/>
      <c r="CR452" s="305"/>
      <c r="CS452" s="305"/>
      <c r="CT452" s="305"/>
      <c r="CU452" s="305"/>
      <c r="CV452" s="305"/>
      <c r="CW452" s="305"/>
      <c r="CX452" s="305"/>
      <c r="CY452" s="305"/>
      <c r="CZ452" s="305"/>
      <c r="DA452" s="305"/>
      <c r="DB452" s="305"/>
      <c r="DC452" s="305"/>
      <c r="DD452" s="305"/>
      <c r="DE452" s="305"/>
      <c r="DF452" s="305"/>
      <c r="DG452" s="305"/>
      <c r="DH452" s="305"/>
      <c r="DI452" s="305"/>
      <c r="DJ452" s="305"/>
      <c r="DK452" s="305"/>
      <c r="DL452" s="305"/>
      <c r="DM452" s="305"/>
      <c r="DN452" s="305"/>
      <c r="DO452" s="305"/>
      <c r="DP452" s="305"/>
      <c r="DQ452" s="305"/>
      <c r="DR452" s="305"/>
      <c r="DS452" s="305"/>
      <c r="DT452" s="305"/>
      <c r="DU452" s="305"/>
      <c r="DV452" s="305"/>
      <c r="DW452" s="305"/>
      <c r="DX452" s="305"/>
      <c r="DY452" s="305"/>
      <c r="DZ452" s="305"/>
      <c r="EA452" s="305"/>
      <c r="EB452" s="305"/>
      <c r="EC452" s="305"/>
      <c r="ED452" s="305"/>
      <c r="EE452" s="305"/>
      <c r="EF452" s="305"/>
      <c r="EG452" s="305"/>
      <c r="EH452" s="305"/>
      <c r="EI452" s="305"/>
      <c r="EJ452" s="305"/>
      <c r="EK452" s="305"/>
      <c r="EL452" s="305"/>
      <c r="EM452" s="305"/>
      <c r="EN452" s="305"/>
      <c r="EO452" s="305"/>
      <c r="EP452" s="305"/>
      <c r="EQ452" s="305"/>
      <c r="ER452" s="305"/>
      <c r="ES452" s="305"/>
      <c r="ET452" s="305"/>
      <c r="EU452" s="305"/>
      <c r="EV452" s="305"/>
      <c r="EW452" s="305"/>
      <c r="EX452" s="305"/>
      <c r="EY452" s="305"/>
      <c r="EZ452" s="305"/>
      <c r="FA452" s="305"/>
      <c r="FB452" s="305"/>
      <c r="FC452" s="305"/>
      <c r="FD452" s="305"/>
      <c r="FE452" s="305"/>
      <c r="FF452" s="305"/>
      <c r="FG452" s="305"/>
      <c r="FH452" s="305"/>
      <c r="FI452" s="305"/>
      <c r="FJ452" s="305"/>
      <c r="FK452" s="305"/>
      <c r="FL452" s="305"/>
      <c r="FM452" s="305"/>
      <c r="FN452" s="305"/>
      <c r="FO452" s="305"/>
      <c r="FP452" s="305"/>
      <c r="FQ452" s="305"/>
      <c r="FR452" s="305"/>
      <c r="FS452" s="305"/>
      <c r="FT452" s="305"/>
      <c r="FU452" s="305"/>
      <c r="FV452" s="305"/>
      <c r="FW452" s="305"/>
      <c r="FX452" s="305"/>
      <c r="FY452" s="305"/>
      <c r="FZ452" s="305"/>
      <c r="GA452" s="305"/>
      <c r="GB452" s="305"/>
      <c r="GC452" s="305"/>
      <c r="GD452" s="305"/>
      <c r="GE452" s="305"/>
      <c r="GF452" s="305"/>
      <c r="GG452" s="305"/>
      <c r="GH452" s="305"/>
      <c r="GI452" s="305"/>
      <c r="GJ452" s="305"/>
      <c r="GK452" s="305"/>
      <c r="GL452" s="305"/>
      <c r="GM452" s="305"/>
      <c r="GN452" s="305"/>
      <c r="GO452" s="305"/>
      <c r="GP452" s="305"/>
      <c r="GQ452" s="305"/>
      <c r="GR452" s="305"/>
    </row>
    <row r="453" spans="3:200" s="318" customFormat="1" ht="12.75" customHeight="1" x14ac:dyDescent="0.2">
      <c r="C453" s="367"/>
      <c r="D453" s="403"/>
      <c r="E453" s="369"/>
      <c r="F453" s="369"/>
      <c r="G453" s="369"/>
      <c r="H453" s="369"/>
      <c r="I453" s="370"/>
      <c r="J453"/>
      <c r="K453" s="371"/>
      <c r="L453" s="371"/>
      <c r="M453" s="371"/>
      <c r="N453" s="371"/>
      <c r="O453" s="305"/>
      <c r="P453" s="305"/>
      <c r="Q453" s="305"/>
      <c r="R453" s="305"/>
      <c r="S453" s="305"/>
      <c r="T453" s="305"/>
      <c r="U453" s="305"/>
      <c r="V453" s="305"/>
      <c r="W453" s="305"/>
      <c r="X453" s="305"/>
      <c r="Y453" s="305"/>
      <c r="Z453" s="305"/>
      <c r="AA453" s="305"/>
      <c r="AB453" s="305"/>
      <c r="AC453" s="305"/>
      <c r="AD453" s="305"/>
      <c r="AE453" s="305"/>
      <c r="AF453" s="305"/>
      <c r="AG453" s="305"/>
      <c r="AH453" s="305"/>
      <c r="AI453" s="305"/>
      <c r="AJ453" s="305"/>
      <c r="AK453" s="305"/>
      <c r="AL453" s="305"/>
      <c r="AM453" s="305"/>
      <c r="AN453" s="305"/>
      <c r="AO453" s="305"/>
      <c r="AP453" s="305"/>
      <c r="AQ453" s="305"/>
      <c r="AR453" s="305"/>
      <c r="AS453" s="305"/>
      <c r="AT453" s="305"/>
      <c r="AU453" s="305"/>
      <c r="AV453" s="305"/>
      <c r="AW453" s="305"/>
      <c r="AX453" s="305"/>
      <c r="AY453" s="305"/>
      <c r="AZ453" s="305"/>
      <c r="BA453" s="305"/>
      <c r="BB453" s="305"/>
      <c r="BC453" s="305"/>
      <c r="BD453" s="305"/>
      <c r="BE453" s="305"/>
      <c r="BF453" s="305"/>
      <c r="BG453" s="305"/>
      <c r="BH453" s="305"/>
      <c r="BI453" s="305"/>
      <c r="BJ453" s="305"/>
      <c r="BK453" s="305"/>
      <c r="BL453" s="305"/>
      <c r="BM453" s="305"/>
      <c r="BN453" s="305"/>
      <c r="BO453" s="305"/>
      <c r="BP453" s="305"/>
      <c r="BQ453" s="305"/>
      <c r="BR453" s="305"/>
      <c r="BS453" s="305"/>
      <c r="BT453" s="305"/>
      <c r="BU453" s="305"/>
      <c r="BV453" s="305"/>
      <c r="BW453" s="305"/>
      <c r="BX453" s="305"/>
      <c r="BY453" s="305"/>
      <c r="BZ453" s="305"/>
      <c r="CA453" s="305"/>
      <c r="CB453" s="305"/>
      <c r="CC453" s="305"/>
      <c r="CD453" s="305"/>
      <c r="CE453" s="305"/>
      <c r="CF453" s="305"/>
      <c r="CG453" s="305"/>
      <c r="CH453" s="305"/>
      <c r="CI453" s="305"/>
      <c r="CJ453" s="305"/>
      <c r="CK453" s="305"/>
      <c r="CL453" s="305"/>
      <c r="CM453" s="305"/>
      <c r="CN453" s="305"/>
      <c r="CO453" s="305"/>
      <c r="CP453" s="305"/>
      <c r="CQ453" s="305"/>
      <c r="CR453" s="305"/>
      <c r="CS453" s="305"/>
      <c r="CT453" s="305"/>
      <c r="CU453" s="305"/>
      <c r="CV453" s="305"/>
      <c r="CW453" s="305"/>
      <c r="CX453" s="305"/>
      <c r="CY453" s="305"/>
      <c r="CZ453" s="305"/>
      <c r="DA453" s="305"/>
      <c r="DB453" s="305"/>
      <c r="DC453" s="305"/>
      <c r="DD453" s="305"/>
      <c r="DE453" s="305"/>
      <c r="DF453" s="305"/>
      <c r="DG453" s="305"/>
      <c r="DH453" s="305"/>
      <c r="DI453" s="305"/>
      <c r="DJ453" s="305"/>
      <c r="DK453" s="305"/>
      <c r="DL453" s="305"/>
      <c r="DM453" s="305"/>
      <c r="DN453" s="305"/>
      <c r="DO453" s="305"/>
      <c r="DP453" s="305"/>
      <c r="DQ453" s="305"/>
      <c r="DR453" s="305"/>
      <c r="DS453" s="305"/>
      <c r="DT453" s="305"/>
      <c r="DU453" s="305"/>
      <c r="DV453" s="305"/>
      <c r="DW453" s="305"/>
      <c r="DX453" s="305"/>
      <c r="DY453" s="305"/>
      <c r="DZ453" s="305"/>
      <c r="EA453" s="305"/>
      <c r="EB453" s="305"/>
      <c r="EC453" s="305"/>
      <c r="ED453" s="305"/>
      <c r="EE453" s="305"/>
      <c r="EF453" s="305"/>
      <c r="EG453" s="305"/>
      <c r="EH453" s="305"/>
      <c r="EI453" s="305"/>
      <c r="EJ453" s="305"/>
      <c r="EK453" s="305"/>
      <c r="EL453" s="305"/>
      <c r="EM453" s="305"/>
      <c r="EN453" s="305"/>
      <c r="EO453" s="305"/>
      <c r="EP453" s="305"/>
      <c r="EQ453" s="305"/>
      <c r="ER453" s="305"/>
      <c r="ES453" s="305"/>
      <c r="ET453" s="305"/>
      <c r="EU453" s="305"/>
      <c r="EV453" s="305"/>
      <c r="EW453" s="305"/>
      <c r="EX453" s="305"/>
      <c r="EY453" s="305"/>
      <c r="EZ453" s="305"/>
      <c r="FA453" s="305"/>
      <c r="FB453" s="305"/>
      <c r="FC453" s="305"/>
      <c r="FD453" s="305"/>
      <c r="FE453" s="305"/>
      <c r="FF453" s="305"/>
      <c r="FG453" s="305"/>
      <c r="FH453" s="305"/>
      <c r="FI453" s="305"/>
      <c r="FJ453" s="305"/>
      <c r="FK453" s="305"/>
      <c r="FL453" s="305"/>
      <c r="FM453" s="305"/>
      <c r="FN453" s="305"/>
      <c r="FO453" s="305"/>
      <c r="FP453" s="305"/>
      <c r="FQ453" s="305"/>
      <c r="FR453" s="305"/>
      <c r="FS453" s="305"/>
      <c r="FT453" s="305"/>
      <c r="FU453" s="305"/>
      <c r="FV453" s="305"/>
      <c r="FW453" s="305"/>
      <c r="FX453" s="305"/>
      <c r="FY453" s="305"/>
      <c r="FZ453" s="305"/>
      <c r="GA453" s="305"/>
      <c r="GB453" s="305"/>
      <c r="GC453" s="305"/>
      <c r="GD453" s="305"/>
      <c r="GE453" s="305"/>
      <c r="GF453" s="305"/>
      <c r="GG453" s="305"/>
      <c r="GH453" s="305"/>
      <c r="GI453" s="305"/>
      <c r="GJ453" s="305"/>
      <c r="GK453" s="305"/>
      <c r="GL453" s="305"/>
      <c r="GM453" s="305"/>
      <c r="GN453" s="305"/>
      <c r="GO453" s="305"/>
      <c r="GP453" s="305"/>
      <c r="GQ453" s="305"/>
      <c r="GR453" s="305"/>
    </row>
    <row r="454" spans="3:200" s="318" customFormat="1" ht="12.75" customHeight="1" x14ac:dyDescent="0.2">
      <c r="C454" s="367"/>
      <c r="D454" s="403"/>
      <c r="E454" s="369"/>
      <c r="F454" s="369"/>
      <c r="G454" s="369"/>
      <c r="H454" s="369"/>
      <c r="I454" s="370"/>
      <c r="J454"/>
      <c r="K454" s="371"/>
      <c r="L454" s="371"/>
      <c r="M454" s="371"/>
      <c r="N454" s="371"/>
      <c r="O454" s="305"/>
      <c r="P454" s="305"/>
      <c r="Q454" s="305"/>
      <c r="R454" s="305"/>
      <c r="S454" s="305"/>
      <c r="T454" s="305"/>
      <c r="U454" s="305"/>
      <c r="V454" s="305"/>
      <c r="W454" s="305"/>
      <c r="X454" s="305"/>
      <c r="Y454" s="305"/>
      <c r="Z454" s="305"/>
      <c r="AA454" s="305"/>
      <c r="AB454" s="305"/>
      <c r="AC454" s="305"/>
      <c r="AD454" s="305"/>
      <c r="AE454" s="305"/>
      <c r="AF454" s="305"/>
      <c r="AG454" s="305"/>
      <c r="AH454" s="305"/>
      <c r="AI454" s="305"/>
      <c r="AJ454" s="305"/>
      <c r="AK454" s="305"/>
      <c r="AL454" s="305"/>
      <c r="AM454" s="305"/>
      <c r="AN454" s="305"/>
      <c r="AO454" s="305"/>
      <c r="AP454" s="305"/>
      <c r="AQ454" s="305"/>
      <c r="AR454" s="305"/>
      <c r="AS454" s="305"/>
      <c r="AT454" s="305"/>
      <c r="AU454" s="305"/>
      <c r="AV454" s="305"/>
      <c r="AW454" s="305"/>
      <c r="AX454" s="305"/>
      <c r="AY454" s="305"/>
      <c r="AZ454" s="305"/>
      <c r="BA454" s="305"/>
      <c r="BB454" s="305"/>
      <c r="BC454" s="305"/>
      <c r="BD454" s="305"/>
      <c r="BE454" s="305"/>
      <c r="BF454" s="305"/>
      <c r="BG454" s="305"/>
      <c r="BH454" s="305"/>
      <c r="BI454" s="305"/>
      <c r="BJ454" s="305"/>
      <c r="BK454" s="305"/>
      <c r="BL454" s="305"/>
      <c r="BM454" s="305"/>
      <c r="BN454" s="305"/>
      <c r="BO454" s="305"/>
      <c r="BP454" s="305"/>
      <c r="BQ454" s="305"/>
      <c r="BR454" s="305"/>
      <c r="BS454" s="305"/>
      <c r="BT454" s="305"/>
      <c r="BU454" s="305"/>
      <c r="BV454" s="305"/>
      <c r="BW454" s="305"/>
      <c r="BX454" s="305"/>
      <c r="BY454" s="305"/>
      <c r="BZ454" s="305"/>
      <c r="CA454" s="305"/>
      <c r="CB454" s="305"/>
      <c r="CC454" s="305"/>
      <c r="CD454" s="305"/>
      <c r="CE454" s="305"/>
      <c r="CF454" s="305"/>
      <c r="CG454" s="305"/>
      <c r="CH454" s="305"/>
      <c r="CI454" s="305"/>
      <c r="CJ454" s="305"/>
      <c r="CK454" s="305"/>
      <c r="CL454" s="305"/>
      <c r="CM454" s="305"/>
      <c r="CN454" s="305"/>
      <c r="CO454" s="305"/>
      <c r="CP454" s="305"/>
      <c r="CQ454" s="305"/>
      <c r="CR454" s="305"/>
      <c r="CS454" s="305"/>
      <c r="CT454" s="305"/>
      <c r="CU454" s="305"/>
      <c r="CV454" s="305"/>
      <c r="CW454" s="305"/>
      <c r="CX454" s="305"/>
      <c r="CY454" s="305"/>
      <c r="CZ454" s="305"/>
      <c r="DA454" s="305"/>
      <c r="DB454" s="305"/>
      <c r="DC454" s="305"/>
      <c r="DD454" s="305"/>
      <c r="DE454" s="305"/>
      <c r="DF454" s="305"/>
      <c r="DG454" s="305"/>
      <c r="DH454" s="305"/>
      <c r="DI454" s="305"/>
      <c r="DJ454" s="305"/>
      <c r="DK454" s="305"/>
      <c r="DL454" s="305"/>
      <c r="DM454" s="305"/>
      <c r="DN454" s="305"/>
      <c r="DO454" s="305"/>
      <c r="DP454" s="305"/>
      <c r="DQ454" s="305"/>
      <c r="DR454" s="305"/>
      <c r="DS454" s="305"/>
      <c r="DT454" s="305"/>
      <c r="DU454" s="305"/>
      <c r="DV454" s="305"/>
      <c r="DW454" s="305"/>
      <c r="DX454" s="305"/>
      <c r="DY454" s="305"/>
      <c r="DZ454" s="305"/>
      <c r="EA454" s="305"/>
      <c r="EB454" s="305"/>
      <c r="EC454" s="305"/>
      <c r="ED454" s="305"/>
      <c r="EE454" s="305"/>
      <c r="EF454" s="305"/>
      <c r="EG454" s="305"/>
      <c r="EH454" s="305"/>
      <c r="EI454" s="305"/>
      <c r="EJ454" s="305"/>
      <c r="EK454" s="305"/>
      <c r="EL454" s="305"/>
      <c r="EM454" s="305"/>
      <c r="EN454" s="305"/>
      <c r="EO454" s="305"/>
      <c r="EP454" s="305"/>
      <c r="EQ454" s="305"/>
      <c r="ER454" s="305"/>
      <c r="ES454" s="305"/>
      <c r="ET454" s="305"/>
      <c r="EU454" s="305"/>
      <c r="EV454" s="305"/>
      <c r="EW454" s="305"/>
      <c r="EX454" s="305"/>
      <c r="EY454" s="305"/>
      <c r="EZ454" s="305"/>
      <c r="FA454" s="305"/>
      <c r="FB454" s="305"/>
      <c r="FC454" s="305"/>
      <c r="FD454" s="305"/>
      <c r="FE454" s="305"/>
      <c r="FF454" s="305"/>
      <c r="FG454" s="305"/>
      <c r="FH454" s="305"/>
      <c r="FI454" s="305"/>
      <c r="FJ454" s="305"/>
      <c r="FK454" s="305"/>
      <c r="FL454" s="305"/>
      <c r="FM454" s="305"/>
      <c r="FN454" s="305"/>
      <c r="FO454" s="305"/>
      <c r="FP454" s="305"/>
      <c r="FQ454" s="305"/>
      <c r="FR454" s="305"/>
      <c r="FS454" s="305"/>
      <c r="FT454" s="305"/>
      <c r="FU454" s="305"/>
      <c r="FV454" s="305"/>
      <c r="FW454" s="305"/>
      <c r="FX454" s="305"/>
      <c r="FY454" s="305"/>
      <c r="FZ454" s="305"/>
      <c r="GA454" s="305"/>
      <c r="GB454" s="305"/>
      <c r="GC454" s="305"/>
      <c r="GD454" s="305"/>
      <c r="GE454" s="305"/>
      <c r="GF454" s="305"/>
      <c r="GG454" s="305"/>
      <c r="GH454" s="305"/>
      <c r="GI454" s="305"/>
      <c r="GJ454" s="305"/>
      <c r="GK454" s="305"/>
      <c r="GL454" s="305"/>
      <c r="GM454" s="305"/>
      <c r="GN454" s="305"/>
      <c r="GO454" s="305"/>
      <c r="GP454" s="305"/>
      <c r="GQ454" s="305"/>
      <c r="GR454" s="305"/>
    </row>
    <row r="455" spans="3:200" s="318" customFormat="1" ht="12.75" customHeight="1" x14ac:dyDescent="0.2">
      <c r="C455" s="367"/>
      <c r="D455" s="403"/>
      <c r="E455" s="369"/>
      <c r="F455" s="369"/>
      <c r="G455" s="369"/>
      <c r="H455" s="369"/>
      <c r="I455" s="370"/>
      <c r="J455"/>
      <c r="K455" s="371"/>
      <c r="L455" s="371"/>
      <c r="M455" s="371"/>
      <c r="N455" s="371"/>
      <c r="O455" s="305"/>
      <c r="P455" s="305"/>
      <c r="Q455" s="305"/>
      <c r="R455" s="305"/>
      <c r="S455" s="305"/>
      <c r="T455" s="305"/>
      <c r="U455" s="305"/>
      <c r="V455" s="305"/>
      <c r="W455" s="305"/>
      <c r="X455" s="305"/>
      <c r="Y455" s="305"/>
      <c r="Z455" s="305"/>
      <c r="AA455" s="305"/>
      <c r="AB455" s="305"/>
      <c r="AC455" s="305"/>
      <c r="AD455" s="305"/>
      <c r="AE455" s="305"/>
      <c r="AF455" s="305"/>
      <c r="AG455" s="305"/>
      <c r="AH455" s="305"/>
      <c r="AI455" s="305"/>
      <c r="AJ455" s="305"/>
      <c r="AK455" s="305"/>
      <c r="AL455" s="305"/>
      <c r="AM455" s="305"/>
      <c r="AN455" s="305"/>
      <c r="AO455" s="305"/>
      <c r="AP455" s="305"/>
      <c r="AQ455" s="305"/>
      <c r="AR455" s="305"/>
      <c r="AS455" s="305"/>
      <c r="AT455" s="305"/>
      <c r="AU455" s="305"/>
      <c r="AV455" s="305"/>
      <c r="AW455" s="305"/>
      <c r="AX455" s="305"/>
      <c r="AY455" s="305"/>
      <c r="AZ455" s="305"/>
      <c r="BA455" s="305"/>
      <c r="BB455" s="305"/>
      <c r="BC455" s="305"/>
      <c r="BD455" s="305"/>
      <c r="BE455" s="305"/>
      <c r="BF455" s="305"/>
      <c r="BG455" s="305"/>
      <c r="BH455" s="305"/>
      <c r="BI455" s="305"/>
      <c r="BJ455" s="305"/>
      <c r="BK455" s="305"/>
      <c r="BL455" s="305"/>
      <c r="BM455" s="305"/>
      <c r="BN455" s="305"/>
      <c r="BO455" s="305"/>
      <c r="BP455" s="305"/>
      <c r="BQ455" s="305"/>
      <c r="BR455" s="305"/>
      <c r="BS455" s="305"/>
      <c r="BT455" s="305"/>
      <c r="BU455" s="305"/>
      <c r="BV455" s="305"/>
      <c r="BW455" s="305"/>
      <c r="BX455" s="305"/>
      <c r="BY455" s="305"/>
      <c r="BZ455" s="305"/>
      <c r="CA455" s="305"/>
      <c r="CB455" s="305"/>
      <c r="CC455" s="305"/>
      <c r="CD455" s="305"/>
      <c r="CE455" s="305"/>
      <c r="CF455" s="305"/>
      <c r="CG455" s="305"/>
      <c r="CH455" s="305"/>
      <c r="CI455" s="305"/>
      <c r="CJ455" s="305"/>
      <c r="CK455" s="305"/>
      <c r="CL455" s="305"/>
      <c r="CM455" s="305"/>
      <c r="CN455" s="305"/>
      <c r="CO455" s="305"/>
      <c r="CP455" s="305"/>
      <c r="CQ455" s="305"/>
      <c r="CR455" s="305"/>
      <c r="CS455" s="305"/>
      <c r="CT455" s="305"/>
      <c r="CU455" s="305"/>
      <c r="CV455" s="305"/>
      <c r="CW455" s="305"/>
      <c r="CX455" s="305"/>
      <c r="CY455" s="305"/>
      <c r="CZ455" s="305"/>
      <c r="DA455" s="305"/>
      <c r="DB455" s="305"/>
      <c r="DC455" s="305"/>
      <c r="DD455" s="305"/>
      <c r="DE455" s="305"/>
      <c r="DF455" s="305"/>
      <c r="DG455" s="305"/>
      <c r="DH455" s="305"/>
      <c r="DI455" s="305"/>
      <c r="DJ455" s="305"/>
      <c r="DK455" s="305"/>
      <c r="DL455" s="305"/>
      <c r="DM455" s="305"/>
      <c r="DN455" s="305"/>
      <c r="DO455" s="305"/>
      <c r="DP455" s="305"/>
      <c r="DQ455" s="305"/>
      <c r="DR455" s="305"/>
      <c r="DS455" s="305"/>
      <c r="DT455" s="305"/>
      <c r="DU455" s="305"/>
      <c r="DV455" s="305"/>
      <c r="DW455" s="305"/>
      <c r="DX455" s="305"/>
      <c r="DY455" s="305"/>
      <c r="DZ455" s="305"/>
      <c r="EA455" s="305"/>
      <c r="EB455" s="305"/>
      <c r="EC455" s="305"/>
      <c r="ED455" s="305"/>
      <c r="EE455" s="305"/>
      <c r="EF455" s="305"/>
      <c r="EG455" s="305"/>
      <c r="EH455" s="305"/>
      <c r="EI455" s="305"/>
      <c r="EJ455" s="305"/>
      <c r="EK455" s="305"/>
      <c r="EL455" s="305"/>
      <c r="EM455" s="305"/>
      <c r="EN455" s="305"/>
      <c r="EO455" s="305"/>
      <c r="EP455" s="305"/>
      <c r="EQ455" s="305"/>
      <c r="ER455" s="305"/>
      <c r="ES455" s="305"/>
      <c r="ET455" s="305"/>
      <c r="EU455" s="305"/>
      <c r="EV455" s="305"/>
      <c r="EW455" s="305"/>
      <c r="EX455" s="305"/>
      <c r="EY455" s="305"/>
      <c r="EZ455" s="305"/>
      <c r="FA455" s="305"/>
      <c r="FB455" s="305"/>
      <c r="FC455" s="305"/>
      <c r="FD455" s="305"/>
      <c r="FE455" s="305"/>
      <c r="FF455" s="305"/>
      <c r="FG455" s="305"/>
      <c r="FH455" s="305"/>
      <c r="FI455" s="305"/>
      <c r="FJ455" s="305"/>
      <c r="FK455" s="305"/>
      <c r="FL455" s="305"/>
      <c r="FM455" s="305"/>
      <c r="FN455" s="305"/>
      <c r="FO455" s="305"/>
      <c r="FP455" s="305"/>
      <c r="FQ455" s="305"/>
      <c r="FR455" s="305"/>
      <c r="FS455" s="305"/>
      <c r="FT455" s="305"/>
      <c r="FU455" s="305"/>
      <c r="FV455" s="305"/>
      <c r="FW455" s="305"/>
      <c r="FX455" s="305"/>
      <c r="FY455" s="305"/>
      <c r="FZ455" s="305"/>
      <c r="GA455" s="305"/>
      <c r="GB455" s="305"/>
      <c r="GC455" s="305"/>
      <c r="GD455" s="305"/>
      <c r="GE455" s="305"/>
      <c r="GF455" s="305"/>
      <c r="GG455" s="305"/>
      <c r="GH455" s="305"/>
      <c r="GI455" s="305"/>
      <c r="GJ455" s="305"/>
      <c r="GK455" s="305"/>
      <c r="GL455" s="305"/>
      <c r="GM455" s="305"/>
      <c r="GN455" s="305"/>
      <c r="GO455" s="305"/>
      <c r="GP455" s="305"/>
      <c r="GQ455" s="305"/>
      <c r="GR455" s="305"/>
    </row>
    <row r="456" spans="3:200" s="318" customFormat="1" ht="12.75" customHeight="1" x14ac:dyDescent="0.2">
      <c r="C456" s="367"/>
      <c r="D456" s="403"/>
      <c r="E456" s="369"/>
      <c r="F456" s="369"/>
      <c r="G456" s="369"/>
      <c r="H456" s="369"/>
      <c r="I456" s="370"/>
      <c r="J456"/>
      <c r="K456" s="371"/>
      <c r="L456" s="371"/>
      <c r="M456" s="371"/>
      <c r="N456" s="371"/>
      <c r="O456" s="305"/>
      <c r="P456" s="305"/>
      <c r="Q456" s="305"/>
      <c r="R456" s="305"/>
      <c r="S456" s="305"/>
      <c r="T456" s="305"/>
      <c r="U456" s="305"/>
      <c r="V456" s="305"/>
      <c r="W456" s="305"/>
      <c r="X456" s="305"/>
      <c r="Y456" s="305"/>
      <c r="Z456" s="305"/>
      <c r="AA456" s="305"/>
      <c r="AB456" s="305"/>
      <c r="AC456" s="305"/>
      <c r="AD456" s="305"/>
      <c r="AE456" s="305"/>
      <c r="AF456" s="305"/>
      <c r="AG456" s="305"/>
      <c r="AH456" s="305"/>
      <c r="AI456" s="305"/>
      <c r="AJ456" s="305"/>
      <c r="AK456" s="305"/>
      <c r="AL456" s="305"/>
      <c r="AM456" s="305"/>
      <c r="AN456" s="305"/>
      <c r="AO456" s="305"/>
      <c r="AP456" s="305"/>
      <c r="AQ456" s="305"/>
      <c r="AR456" s="305"/>
      <c r="AS456" s="305"/>
      <c r="AT456" s="305"/>
      <c r="AU456" s="305"/>
      <c r="AV456" s="305"/>
      <c r="AW456" s="305"/>
      <c r="AX456" s="305"/>
      <c r="AY456" s="305"/>
      <c r="AZ456" s="305"/>
      <c r="BA456" s="305"/>
      <c r="BB456" s="305"/>
      <c r="BC456" s="305"/>
      <c r="BD456" s="305"/>
      <c r="BE456" s="305"/>
      <c r="BF456" s="305"/>
      <c r="BG456" s="305"/>
      <c r="BH456" s="305"/>
      <c r="BI456" s="305"/>
      <c r="BJ456" s="305"/>
      <c r="BK456" s="305"/>
      <c r="BL456" s="305"/>
      <c r="BM456" s="305"/>
      <c r="BN456" s="305"/>
      <c r="BO456" s="305"/>
      <c r="BP456" s="305"/>
      <c r="BQ456" s="305"/>
      <c r="BR456" s="305"/>
      <c r="BS456" s="305"/>
      <c r="BT456" s="305"/>
      <c r="BU456" s="305"/>
      <c r="BV456" s="305"/>
      <c r="BW456" s="305"/>
      <c r="BX456" s="305"/>
      <c r="BY456" s="305"/>
      <c r="BZ456" s="305"/>
      <c r="CA456" s="305"/>
      <c r="CB456" s="305"/>
      <c r="CC456" s="305"/>
      <c r="CD456" s="305"/>
      <c r="CE456" s="305"/>
      <c r="CF456" s="305"/>
      <c r="CG456" s="305"/>
      <c r="CH456" s="305"/>
      <c r="CI456" s="305"/>
      <c r="CJ456" s="305"/>
      <c r="CK456" s="305"/>
      <c r="CL456" s="305"/>
      <c r="CM456" s="305"/>
      <c r="CN456" s="305"/>
      <c r="CO456" s="305"/>
      <c r="CP456" s="305"/>
      <c r="CQ456" s="305"/>
      <c r="CR456" s="305"/>
      <c r="CS456" s="305"/>
      <c r="CT456" s="305"/>
      <c r="CU456" s="305"/>
      <c r="CV456" s="305"/>
      <c r="CW456" s="305"/>
      <c r="CX456" s="305"/>
      <c r="CY456" s="305"/>
      <c r="CZ456" s="305"/>
      <c r="DA456" s="305"/>
      <c r="DB456" s="305"/>
      <c r="DC456" s="305"/>
      <c r="DD456" s="305"/>
      <c r="DE456" s="305"/>
      <c r="DF456" s="305"/>
      <c r="DG456" s="305"/>
      <c r="DH456" s="305"/>
      <c r="DI456" s="305"/>
      <c r="DJ456" s="305"/>
      <c r="DK456" s="305"/>
      <c r="DL456" s="305"/>
      <c r="DM456" s="305"/>
      <c r="DN456" s="305"/>
      <c r="DO456" s="305"/>
      <c r="DP456" s="305"/>
      <c r="DQ456" s="305"/>
      <c r="DR456" s="305"/>
      <c r="DS456" s="305"/>
      <c r="DT456" s="305"/>
      <c r="DU456" s="305"/>
      <c r="DV456" s="305"/>
      <c r="DW456" s="305"/>
      <c r="DX456" s="305"/>
      <c r="DY456" s="305"/>
      <c r="DZ456" s="305"/>
      <c r="EA456" s="305"/>
      <c r="EB456" s="305"/>
      <c r="EC456" s="305"/>
      <c r="ED456" s="305"/>
      <c r="EE456" s="305"/>
      <c r="EF456" s="305"/>
      <c r="EG456" s="305"/>
      <c r="EH456" s="305"/>
      <c r="EI456" s="305"/>
      <c r="EJ456" s="305"/>
      <c r="EK456" s="305"/>
      <c r="EL456" s="305"/>
      <c r="EM456" s="305"/>
      <c r="EN456" s="305"/>
      <c r="EO456" s="305"/>
      <c r="EP456" s="305"/>
      <c r="EQ456" s="305"/>
      <c r="ER456" s="305"/>
      <c r="ES456" s="305"/>
      <c r="ET456" s="305"/>
      <c r="EU456" s="305"/>
      <c r="EV456" s="305"/>
      <c r="EW456" s="305"/>
      <c r="EX456" s="305"/>
      <c r="EY456" s="305"/>
      <c r="EZ456" s="305"/>
      <c r="FA456" s="305"/>
      <c r="FB456" s="305"/>
      <c r="FC456" s="305"/>
      <c r="FD456" s="305"/>
      <c r="FE456" s="305"/>
      <c r="FF456" s="305"/>
      <c r="FG456" s="305"/>
      <c r="FH456" s="305"/>
      <c r="FI456" s="305"/>
      <c r="FJ456" s="305"/>
      <c r="FK456" s="305"/>
      <c r="FL456" s="305"/>
      <c r="FM456" s="305"/>
      <c r="FN456" s="305"/>
      <c r="FO456" s="305"/>
      <c r="FP456" s="305"/>
      <c r="FQ456" s="305"/>
      <c r="FR456" s="305"/>
      <c r="FS456" s="305"/>
      <c r="FT456" s="305"/>
      <c r="FU456" s="305"/>
      <c r="FV456" s="305"/>
      <c r="FW456" s="305"/>
      <c r="FX456" s="305"/>
      <c r="FY456" s="305"/>
      <c r="FZ456" s="305"/>
      <c r="GA456" s="305"/>
      <c r="GB456" s="305"/>
      <c r="GC456" s="305"/>
      <c r="GD456" s="305"/>
      <c r="GE456" s="305"/>
      <c r="GF456" s="305"/>
      <c r="GG456" s="305"/>
      <c r="GH456" s="305"/>
      <c r="GI456" s="305"/>
      <c r="GJ456" s="305"/>
      <c r="GK456" s="305"/>
      <c r="GL456" s="305"/>
      <c r="GM456" s="305"/>
      <c r="GN456" s="305"/>
      <c r="GO456" s="305"/>
      <c r="GP456" s="305"/>
      <c r="GQ456" s="305"/>
      <c r="GR456" s="305"/>
    </row>
    <row r="457" spans="3:200" s="318" customFormat="1" ht="12.75" customHeight="1" x14ac:dyDescent="0.2">
      <c r="C457" s="367"/>
      <c r="D457" s="403"/>
      <c r="E457" s="369"/>
      <c r="F457" s="369"/>
      <c r="G457" s="369"/>
      <c r="H457" s="369"/>
      <c r="I457" s="370"/>
      <c r="J457"/>
      <c r="K457" s="371"/>
      <c r="L457" s="371"/>
      <c r="M457" s="371"/>
      <c r="N457" s="371"/>
      <c r="O457" s="305"/>
      <c r="P457" s="305"/>
      <c r="Q457" s="305"/>
      <c r="R457" s="305"/>
      <c r="S457" s="305"/>
      <c r="T457" s="305"/>
      <c r="U457" s="305"/>
      <c r="V457" s="305"/>
      <c r="W457" s="305"/>
      <c r="X457" s="305"/>
      <c r="Y457" s="305"/>
      <c r="Z457" s="305"/>
      <c r="AA457" s="305"/>
      <c r="AB457" s="305"/>
      <c r="AC457" s="305"/>
      <c r="AD457" s="305"/>
      <c r="AE457" s="305"/>
      <c r="AF457" s="305"/>
      <c r="AG457" s="305"/>
      <c r="AH457" s="305"/>
      <c r="AI457" s="305"/>
      <c r="AJ457" s="305"/>
      <c r="AK457" s="305"/>
      <c r="AL457" s="305"/>
      <c r="AM457" s="305"/>
      <c r="AN457" s="305"/>
      <c r="AO457" s="305"/>
      <c r="AP457" s="305"/>
      <c r="AQ457" s="305"/>
      <c r="AR457" s="305"/>
      <c r="AS457" s="305"/>
      <c r="AT457" s="305"/>
      <c r="AU457" s="305"/>
      <c r="AV457" s="305"/>
      <c r="AW457" s="305"/>
      <c r="AX457" s="305"/>
      <c r="AY457" s="305"/>
      <c r="AZ457" s="305"/>
      <c r="BA457" s="305"/>
      <c r="BB457" s="305"/>
      <c r="BC457" s="305"/>
      <c r="BD457" s="305"/>
      <c r="BE457" s="305"/>
      <c r="BF457" s="305"/>
      <c r="BG457" s="305"/>
      <c r="BH457" s="305"/>
      <c r="BI457" s="305"/>
      <c r="BJ457" s="305"/>
      <c r="BK457" s="305"/>
      <c r="BL457" s="305"/>
      <c r="BM457" s="305"/>
      <c r="BN457" s="305"/>
      <c r="BO457" s="305"/>
      <c r="BP457" s="305"/>
      <c r="BQ457" s="305"/>
      <c r="BR457" s="305"/>
      <c r="BS457" s="305"/>
      <c r="BT457" s="305"/>
      <c r="BU457" s="305"/>
      <c r="BV457" s="305"/>
      <c r="BW457" s="305"/>
      <c r="BX457" s="305"/>
      <c r="BY457" s="305"/>
      <c r="BZ457" s="305"/>
      <c r="CA457" s="305"/>
      <c r="CB457" s="305"/>
      <c r="CC457" s="305"/>
      <c r="CD457" s="305"/>
      <c r="CE457" s="305"/>
      <c r="CF457" s="305"/>
      <c r="CG457" s="305"/>
      <c r="CH457" s="305"/>
      <c r="CI457" s="305"/>
      <c r="CJ457" s="305"/>
      <c r="CK457" s="305"/>
      <c r="CL457" s="305"/>
      <c r="CM457" s="305"/>
      <c r="CN457" s="305"/>
      <c r="CO457" s="305"/>
      <c r="CP457" s="305"/>
      <c r="CQ457" s="305"/>
      <c r="CR457" s="305"/>
      <c r="CS457" s="305"/>
      <c r="CT457" s="305"/>
      <c r="CU457" s="305"/>
      <c r="CV457" s="305"/>
      <c r="CW457" s="305"/>
      <c r="CX457" s="305"/>
      <c r="CY457" s="305"/>
      <c r="CZ457" s="305"/>
      <c r="DA457" s="305"/>
      <c r="DB457" s="305"/>
      <c r="DC457" s="305"/>
      <c r="DD457" s="305"/>
      <c r="DE457" s="305"/>
      <c r="DF457" s="305"/>
      <c r="DG457" s="305"/>
      <c r="DH457" s="305"/>
      <c r="DI457" s="305"/>
      <c r="DJ457" s="305"/>
      <c r="DK457" s="305"/>
      <c r="DL457" s="305"/>
      <c r="DM457" s="305"/>
      <c r="DN457" s="305"/>
      <c r="DO457" s="305"/>
      <c r="DP457" s="305"/>
      <c r="DQ457" s="305"/>
      <c r="DR457" s="305"/>
      <c r="DS457" s="305"/>
      <c r="DT457" s="305"/>
      <c r="DU457" s="305"/>
      <c r="DV457" s="305"/>
      <c r="DW457" s="305"/>
      <c r="DX457" s="305"/>
      <c r="DY457" s="305"/>
      <c r="DZ457" s="305"/>
      <c r="EA457" s="305"/>
      <c r="EB457" s="305"/>
      <c r="EC457" s="305"/>
      <c r="ED457" s="305"/>
      <c r="EE457" s="305"/>
      <c r="EF457" s="305"/>
      <c r="EG457" s="305"/>
      <c r="EH457" s="305"/>
      <c r="EI457" s="305"/>
      <c r="EJ457" s="305"/>
      <c r="EK457" s="305"/>
      <c r="EL457" s="305"/>
      <c r="EM457" s="305"/>
      <c r="EN457" s="305"/>
      <c r="EO457" s="305"/>
      <c r="EP457" s="305"/>
      <c r="EQ457" s="305"/>
      <c r="ER457" s="305"/>
      <c r="ES457" s="305"/>
      <c r="ET457" s="305"/>
      <c r="EU457" s="305"/>
      <c r="EV457" s="305"/>
      <c r="EW457" s="305"/>
      <c r="EX457" s="305"/>
      <c r="EY457" s="305"/>
      <c r="EZ457" s="305"/>
      <c r="FA457" s="305"/>
      <c r="FB457" s="305"/>
      <c r="FC457" s="305"/>
      <c r="FD457" s="305"/>
      <c r="FE457" s="305"/>
      <c r="FF457" s="305"/>
      <c r="FG457" s="305"/>
      <c r="FH457" s="305"/>
      <c r="FI457" s="305"/>
      <c r="FJ457" s="305"/>
      <c r="FK457" s="305"/>
      <c r="FL457" s="305"/>
      <c r="FM457" s="305"/>
      <c r="FN457" s="305"/>
      <c r="FO457" s="305"/>
      <c r="FP457" s="305"/>
      <c r="FQ457" s="305"/>
      <c r="FR457" s="305"/>
      <c r="FS457" s="305"/>
      <c r="FT457" s="305"/>
      <c r="FU457" s="305"/>
      <c r="FV457" s="305"/>
      <c r="FW457" s="305"/>
      <c r="FX457" s="305"/>
      <c r="FY457" s="305"/>
      <c r="FZ457" s="305"/>
      <c r="GA457" s="305"/>
      <c r="GB457" s="305"/>
      <c r="GC457" s="305"/>
      <c r="GD457" s="305"/>
      <c r="GE457" s="305"/>
      <c r="GF457" s="305"/>
      <c r="GG457" s="305"/>
      <c r="GH457" s="305"/>
      <c r="GI457" s="305"/>
      <c r="GJ457" s="305"/>
      <c r="GK457" s="305"/>
      <c r="GL457" s="305"/>
      <c r="GM457" s="305"/>
      <c r="GN457" s="305"/>
      <c r="GO457" s="305"/>
      <c r="GP457" s="305"/>
      <c r="GQ457" s="305"/>
      <c r="GR457" s="305"/>
    </row>
    <row r="458" spans="3:200" s="318" customFormat="1" ht="12.75" customHeight="1" x14ac:dyDescent="0.2">
      <c r="C458" s="367"/>
      <c r="D458" s="403"/>
      <c r="E458" s="369"/>
      <c r="F458" s="369"/>
      <c r="G458" s="369"/>
      <c r="H458" s="369"/>
      <c r="I458" s="370"/>
      <c r="J458"/>
      <c r="K458" s="371"/>
      <c r="L458" s="371"/>
      <c r="M458" s="371"/>
      <c r="N458" s="371"/>
      <c r="O458" s="305"/>
      <c r="P458" s="305"/>
      <c r="Q458" s="305"/>
      <c r="R458" s="305"/>
      <c r="S458" s="305"/>
      <c r="T458" s="305"/>
      <c r="U458" s="305"/>
      <c r="V458" s="305"/>
      <c r="W458" s="305"/>
      <c r="X458" s="305"/>
      <c r="Y458" s="305"/>
      <c r="Z458" s="305"/>
      <c r="AA458" s="305"/>
      <c r="AB458" s="305"/>
      <c r="AC458" s="305"/>
      <c r="AD458" s="305"/>
      <c r="AE458" s="305"/>
      <c r="AF458" s="305"/>
      <c r="AG458" s="305"/>
      <c r="AH458" s="305"/>
      <c r="AI458" s="305"/>
      <c r="AJ458" s="305"/>
      <c r="AK458" s="305"/>
      <c r="AL458" s="305"/>
      <c r="AM458" s="305"/>
      <c r="AN458" s="305"/>
      <c r="AO458" s="305"/>
      <c r="AP458" s="305"/>
      <c r="AQ458" s="305"/>
      <c r="AR458" s="305"/>
      <c r="AS458" s="305"/>
      <c r="AT458" s="305"/>
      <c r="AU458" s="305"/>
      <c r="AV458" s="305"/>
      <c r="AW458" s="305"/>
      <c r="AX458" s="305"/>
      <c r="AY458" s="305"/>
      <c r="AZ458" s="305"/>
      <c r="BA458" s="305"/>
      <c r="BB458" s="305"/>
      <c r="BC458" s="305"/>
      <c r="BD458" s="305"/>
      <c r="BE458" s="305"/>
      <c r="BF458" s="305"/>
      <c r="BG458" s="305"/>
      <c r="BH458" s="305"/>
      <c r="BI458" s="305"/>
      <c r="BJ458" s="305"/>
      <c r="BK458" s="305"/>
      <c r="BL458" s="305"/>
      <c r="BM458" s="305"/>
      <c r="BN458" s="305"/>
      <c r="BO458" s="305"/>
      <c r="BP458" s="305"/>
      <c r="BQ458" s="305"/>
      <c r="BR458" s="305"/>
      <c r="BS458" s="305"/>
      <c r="BT458" s="305"/>
      <c r="BU458" s="305"/>
      <c r="BV458" s="305"/>
      <c r="BW458" s="305"/>
      <c r="BX458" s="305"/>
      <c r="BY458" s="305"/>
      <c r="BZ458" s="305"/>
      <c r="CA458" s="305"/>
      <c r="CB458" s="305"/>
      <c r="CC458" s="305"/>
      <c r="CD458" s="305"/>
      <c r="CE458" s="305"/>
      <c r="CF458" s="305"/>
      <c r="CG458" s="305"/>
      <c r="CH458" s="305"/>
      <c r="CI458" s="305"/>
      <c r="CJ458" s="305"/>
      <c r="CK458" s="305"/>
      <c r="CL458" s="305"/>
      <c r="CM458" s="305"/>
      <c r="CN458" s="305"/>
      <c r="CO458" s="305"/>
      <c r="CP458" s="305"/>
      <c r="CQ458" s="305"/>
      <c r="CR458" s="305"/>
      <c r="CS458" s="305"/>
      <c r="CT458" s="305"/>
      <c r="CU458" s="305"/>
      <c r="CV458" s="305"/>
      <c r="CW458" s="305"/>
      <c r="CX458" s="305"/>
      <c r="CY458" s="305"/>
      <c r="CZ458" s="305"/>
      <c r="DA458" s="305"/>
      <c r="DB458" s="305"/>
      <c r="DC458" s="305"/>
      <c r="DD458" s="305"/>
      <c r="DE458" s="305"/>
      <c r="DF458" s="305"/>
      <c r="DG458" s="305"/>
      <c r="DH458" s="305"/>
      <c r="DI458" s="305"/>
      <c r="DJ458" s="305"/>
      <c r="DK458" s="305"/>
      <c r="DL458" s="305"/>
      <c r="DM458" s="305"/>
      <c r="DN458" s="305"/>
      <c r="DO458" s="305"/>
      <c r="DP458" s="305"/>
      <c r="DQ458" s="305"/>
      <c r="DR458" s="305"/>
      <c r="DS458" s="305"/>
      <c r="DT458" s="305"/>
      <c r="DU458" s="305"/>
      <c r="DV458" s="305"/>
      <c r="DW458" s="305"/>
      <c r="DX458" s="305"/>
      <c r="DY458" s="305"/>
      <c r="DZ458" s="305"/>
      <c r="EA458" s="305"/>
      <c r="EB458" s="305"/>
      <c r="EC458" s="305"/>
      <c r="ED458" s="305"/>
      <c r="EE458" s="305"/>
      <c r="EF458" s="305"/>
      <c r="EG458" s="305"/>
      <c r="EH458" s="305"/>
      <c r="EI458" s="305"/>
      <c r="EJ458" s="305"/>
      <c r="EK458" s="305"/>
      <c r="EL458" s="305"/>
      <c r="EM458" s="305"/>
      <c r="EN458" s="305"/>
      <c r="EO458" s="305"/>
      <c r="EP458" s="305"/>
      <c r="EQ458" s="305"/>
      <c r="ER458" s="305"/>
      <c r="ES458" s="305"/>
      <c r="ET458" s="305"/>
      <c r="EU458" s="305"/>
      <c r="EV458" s="305"/>
      <c r="EW458" s="305"/>
      <c r="EX458" s="305"/>
      <c r="EY458" s="305"/>
      <c r="EZ458" s="305"/>
      <c r="FA458" s="305"/>
      <c r="FB458" s="305"/>
      <c r="FC458" s="305"/>
      <c r="FD458" s="305"/>
      <c r="FE458" s="305"/>
      <c r="FF458" s="305"/>
      <c r="FG458" s="305"/>
      <c r="FH458" s="305"/>
      <c r="FI458" s="305"/>
      <c r="FJ458" s="305"/>
      <c r="FK458" s="305"/>
      <c r="FL458" s="305"/>
      <c r="FM458" s="305"/>
      <c r="FN458" s="305"/>
      <c r="FO458" s="305"/>
      <c r="FP458" s="305"/>
      <c r="FQ458" s="305"/>
      <c r="FR458" s="305"/>
      <c r="FS458" s="305"/>
      <c r="FT458" s="305"/>
      <c r="FU458" s="305"/>
      <c r="FV458" s="305"/>
      <c r="FW458" s="305"/>
      <c r="FX458" s="305"/>
      <c r="FY458" s="305"/>
      <c r="FZ458" s="305"/>
      <c r="GA458" s="305"/>
      <c r="GB458" s="305"/>
      <c r="GC458" s="305"/>
      <c r="GD458" s="305"/>
      <c r="GE458" s="305"/>
      <c r="GF458" s="305"/>
      <c r="GG458" s="305"/>
      <c r="GH458" s="305"/>
      <c r="GI458" s="305"/>
      <c r="GJ458" s="305"/>
      <c r="GK458" s="305"/>
      <c r="GL458" s="305"/>
      <c r="GM458" s="305"/>
      <c r="GN458" s="305"/>
      <c r="GO458" s="305"/>
      <c r="GP458" s="305"/>
      <c r="GQ458" s="305"/>
      <c r="GR458" s="305"/>
    </row>
    <row r="459" spans="3:200" s="318" customFormat="1" ht="12.75" customHeight="1" x14ac:dyDescent="0.2">
      <c r="C459" s="367"/>
      <c r="D459" s="403"/>
      <c r="E459" s="369"/>
      <c r="F459" s="369"/>
      <c r="G459" s="369"/>
      <c r="H459" s="369"/>
      <c r="I459" s="370"/>
      <c r="J459"/>
      <c r="K459" s="371"/>
      <c r="L459" s="371"/>
      <c r="M459" s="371"/>
      <c r="N459" s="371"/>
      <c r="O459" s="305"/>
      <c r="P459" s="305"/>
      <c r="Q459" s="305"/>
      <c r="R459" s="305"/>
      <c r="S459" s="305"/>
      <c r="T459" s="305"/>
      <c r="U459" s="305"/>
      <c r="V459" s="305"/>
      <c r="W459" s="305"/>
      <c r="X459" s="305"/>
      <c r="Y459" s="305"/>
      <c r="Z459" s="305"/>
      <c r="AA459" s="305"/>
      <c r="AB459" s="305"/>
      <c r="AC459" s="305"/>
      <c r="AD459" s="305"/>
      <c r="AE459" s="305"/>
      <c r="AF459" s="305"/>
      <c r="AG459" s="305"/>
      <c r="AH459" s="305"/>
      <c r="AI459" s="305"/>
      <c r="AJ459" s="305"/>
      <c r="AK459" s="305"/>
      <c r="AL459" s="305"/>
      <c r="AM459" s="305"/>
      <c r="AN459" s="305"/>
      <c r="AO459" s="305"/>
      <c r="AP459" s="305"/>
      <c r="AQ459" s="305"/>
      <c r="AR459" s="305"/>
      <c r="AS459" s="305"/>
      <c r="AT459" s="305"/>
      <c r="AU459" s="305"/>
      <c r="AV459" s="305"/>
      <c r="AW459" s="305"/>
      <c r="AX459" s="305"/>
      <c r="AY459" s="305"/>
      <c r="AZ459" s="305"/>
      <c r="BA459" s="305"/>
      <c r="BB459" s="305"/>
      <c r="BC459" s="305"/>
      <c r="BD459" s="305"/>
      <c r="BE459" s="305"/>
      <c r="BF459" s="305"/>
      <c r="BG459" s="305"/>
      <c r="BH459" s="305"/>
      <c r="BI459" s="305"/>
      <c r="BJ459" s="305"/>
      <c r="BK459" s="305"/>
      <c r="BL459" s="305"/>
      <c r="BM459" s="305"/>
      <c r="BN459" s="305"/>
      <c r="BO459" s="305"/>
      <c r="BP459" s="305"/>
      <c r="BQ459" s="305"/>
      <c r="BR459" s="305"/>
      <c r="BS459" s="305"/>
      <c r="BT459" s="305"/>
      <c r="BU459" s="305"/>
      <c r="BV459" s="305"/>
      <c r="BW459" s="305"/>
      <c r="BX459" s="305"/>
      <c r="BY459" s="305"/>
      <c r="BZ459" s="305"/>
      <c r="CA459" s="305"/>
      <c r="CB459" s="305"/>
      <c r="CC459" s="305"/>
      <c r="CD459" s="305"/>
      <c r="CE459" s="305"/>
      <c r="CF459" s="305"/>
      <c r="CG459" s="305"/>
      <c r="CH459" s="305"/>
      <c r="CI459" s="305"/>
      <c r="CJ459" s="305"/>
      <c r="CK459" s="305"/>
      <c r="CL459" s="305"/>
      <c r="CM459" s="305"/>
      <c r="CN459" s="305"/>
      <c r="CO459" s="305"/>
      <c r="CP459" s="305"/>
      <c r="CQ459" s="305"/>
      <c r="CR459" s="305"/>
      <c r="CS459" s="305"/>
      <c r="CT459" s="305"/>
      <c r="CU459" s="305"/>
      <c r="CV459" s="305"/>
      <c r="CW459" s="305"/>
      <c r="CX459" s="305"/>
      <c r="CY459" s="305"/>
      <c r="CZ459" s="305"/>
      <c r="DA459" s="305"/>
      <c r="DB459" s="305"/>
      <c r="DC459" s="305"/>
      <c r="DD459" s="305"/>
      <c r="DE459" s="305"/>
      <c r="DF459" s="305"/>
      <c r="DG459" s="305"/>
      <c r="DH459" s="305"/>
      <c r="DI459" s="305"/>
      <c r="DJ459" s="305"/>
      <c r="DK459" s="305"/>
      <c r="DL459" s="305"/>
      <c r="DM459" s="305"/>
      <c r="DN459" s="305"/>
      <c r="DO459" s="305"/>
      <c r="DP459" s="305"/>
      <c r="DQ459" s="305"/>
      <c r="DR459" s="305"/>
      <c r="DS459" s="305"/>
      <c r="DT459" s="305"/>
      <c r="DU459" s="305"/>
      <c r="DV459" s="305"/>
      <c r="DW459" s="305"/>
      <c r="DX459" s="305"/>
      <c r="DY459" s="305"/>
      <c r="DZ459" s="305"/>
      <c r="EA459" s="305"/>
      <c r="EB459" s="305"/>
      <c r="EC459" s="305"/>
      <c r="ED459" s="305"/>
      <c r="EE459" s="305"/>
      <c r="EF459" s="305"/>
      <c r="EG459" s="305"/>
      <c r="EH459" s="305"/>
      <c r="EI459" s="305"/>
      <c r="EJ459" s="305"/>
      <c r="EK459" s="305"/>
      <c r="EL459" s="305"/>
      <c r="EM459" s="305"/>
      <c r="EN459" s="305"/>
      <c r="EO459" s="305"/>
      <c r="EP459" s="305"/>
      <c r="EQ459" s="305"/>
      <c r="ER459" s="305"/>
      <c r="ES459" s="305"/>
      <c r="ET459" s="305"/>
      <c r="EU459" s="305"/>
      <c r="EV459" s="305"/>
      <c r="EW459" s="305"/>
      <c r="EX459" s="305"/>
      <c r="EY459" s="305"/>
      <c r="EZ459" s="305"/>
      <c r="FA459" s="305"/>
      <c r="FB459" s="305"/>
      <c r="FC459" s="305"/>
      <c r="FD459" s="305"/>
      <c r="FE459" s="305"/>
      <c r="FF459" s="305"/>
      <c r="FG459" s="305"/>
      <c r="FH459" s="305"/>
      <c r="FI459" s="305"/>
      <c r="FJ459" s="305"/>
      <c r="FK459" s="305"/>
      <c r="FL459" s="305"/>
      <c r="FM459" s="305"/>
      <c r="FN459" s="305"/>
      <c r="FO459" s="305"/>
      <c r="FP459" s="305"/>
      <c r="FQ459" s="305"/>
      <c r="FR459" s="305"/>
      <c r="FS459" s="305"/>
      <c r="FT459" s="305"/>
      <c r="FU459" s="305"/>
      <c r="FV459" s="305"/>
      <c r="FW459" s="305"/>
      <c r="FX459" s="305"/>
      <c r="FY459" s="305"/>
      <c r="FZ459" s="305"/>
      <c r="GA459" s="305"/>
      <c r="GB459" s="305"/>
      <c r="GC459" s="305"/>
      <c r="GD459" s="305"/>
      <c r="GE459" s="305"/>
      <c r="GF459" s="305"/>
      <c r="GG459" s="305"/>
      <c r="GH459" s="305"/>
      <c r="GI459" s="305"/>
      <c r="GJ459" s="305"/>
      <c r="GK459" s="305"/>
      <c r="GL459" s="305"/>
      <c r="GM459" s="305"/>
      <c r="GN459" s="305"/>
      <c r="GO459" s="305"/>
      <c r="GP459" s="305"/>
      <c r="GQ459" s="305"/>
      <c r="GR459" s="305"/>
    </row>
    <row r="460" spans="3:200" s="318" customFormat="1" ht="12.75" customHeight="1" x14ac:dyDescent="0.2">
      <c r="C460" s="367"/>
      <c r="D460" s="403"/>
      <c r="E460" s="369"/>
      <c r="F460" s="369"/>
      <c r="G460" s="369"/>
      <c r="H460" s="369"/>
      <c r="I460" s="370"/>
      <c r="J460"/>
      <c r="K460" s="371"/>
      <c r="L460" s="371"/>
      <c r="M460" s="371"/>
      <c r="N460" s="371"/>
      <c r="O460" s="305"/>
      <c r="P460" s="305"/>
      <c r="Q460" s="305"/>
      <c r="R460" s="305"/>
      <c r="S460" s="305"/>
      <c r="T460" s="305"/>
      <c r="U460" s="305"/>
      <c r="V460" s="305"/>
      <c r="W460" s="305"/>
      <c r="X460" s="305"/>
      <c r="Y460" s="305"/>
      <c r="Z460" s="305"/>
      <c r="AA460" s="305"/>
      <c r="AB460" s="305"/>
      <c r="AC460" s="305"/>
      <c r="AD460" s="305"/>
      <c r="AE460" s="305"/>
      <c r="AF460" s="305"/>
      <c r="AG460" s="305"/>
      <c r="AH460" s="305"/>
      <c r="AI460" s="305"/>
      <c r="AJ460" s="305"/>
      <c r="AK460" s="305"/>
      <c r="AL460" s="305"/>
      <c r="AM460" s="305"/>
      <c r="AN460" s="305"/>
      <c r="AO460" s="305"/>
      <c r="AP460" s="305"/>
      <c r="AQ460" s="305"/>
      <c r="AR460" s="305"/>
      <c r="AS460" s="305"/>
      <c r="AT460" s="305"/>
      <c r="AU460" s="305"/>
      <c r="AV460" s="305"/>
      <c r="AW460" s="305"/>
      <c r="AX460" s="305"/>
      <c r="AY460" s="305"/>
      <c r="AZ460" s="305"/>
      <c r="BA460" s="305"/>
      <c r="BB460" s="305"/>
      <c r="BC460" s="305"/>
      <c r="BD460" s="305"/>
      <c r="BE460" s="305"/>
      <c r="BF460" s="305"/>
      <c r="BG460" s="305"/>
      <c r="BH460" s="305"/>
      <c r="BI460" s="305"/>
      <c r="BJ460" s="305"/>
      <c r="BK460" s="305"/>
      <c r="BL460" s="305"/>
      <c r="BM460" s="305"/>
      <c r="BN460" s="305"/>
      <c r="BO460" s="305"/>
      <c r="BP460" s="305"/>
      <c r="BQ460" s="305"/>
      <c r="BR460" s="305"/>
      <c r="BS460" s="305"/>
      <c r="BT460" s="305"/>
      <c r="BU460" s="305"/>
      <c r="BV460" s="305"/>
      <c r="BW460" s="305"/>
      <c r="BX460" s="305"/>
      <c r="BY460" s="305"/>
      <c r="BZ460" s="305"/>
      <c r="CA460" s="305"/>
      <c r="CB460" s="305"/>
      <c r="CC460" s="305"/>
      <c r="CD460" s="305"/>
      <c r="CE460" s="305"/>
      <c r="CF460" s="305"/>
      <c r="CG460" s="305"/>
      <c r="CH460" s="305"/>
      <c r="CI460" s="305"/>
      <c r="CJ460" s="305"/>
      <c r="CK460" s="305"/>
      <c r="CL460" s="305"/>
      <c r="CM460" s="305"/>
      <c r="CN460" s="305"/>
      <c r="CO460" s="305"/>
      <c r="CP460" s="305"/>
      <c r="CQ460" s="305"/>
      <c r="CR460" s="305"/>
      <c r="CS460" s="305"/>
      <c r="CT460" s="305"/>
      <c r="CU460" s="305"/>
      <c r="CV460" s="305"/>
      <c r="CW460" s="305"/>
      <c r="CX460" s="305"/>
      <c r="CY460" s="305"/>
      <c r="CZ460" s="305"/>
      <c r="DA460" s="305"/>
      <c r="DB460" s="305"/>
      <c r="DC460" s="305"/>
      <c r="DD460" s="305"/>
      <c r="DE460" s="305"/>
      <c r="DF460" s="305"/>
      <c r="DG460" s="305"/>
      <c r="DH460" s="305"/>
      <c r="DI460" s="305"/>
      <c r="DJ460" s="305"/>
      <c r="DK460" s="305"/>
      <c r="DL460" s="305"/>
      <c r="DM460" s="305"/>
      <c r="DN460" s="305"/>
      <c r="DO460" s="305"/>
      <c r="DP460" s="305"/>
      <c r="DQ460" s="305"/>
      <c r="DR460" s="305"/>
      <c r="DS460" s="305"/>
      <c r="DT460" s="305"/>
      <c r="DU460" s="305"/>
      <c r="DV460" s="305"/>
      <c r="DW460" s="305"/>
      <c r="DX460" s="305"/>
      <c r="DY460" s="305"/>
      <c r="DZ460" s="305"/>
      <c r="EA460" s="305"/>
      <c r="EB460" s="305"/>
      <c r="EC460" s="305"/>
      <c r="ED460" s="305"/>
      <c r="EE460" s="305"/>
      <c r="EF460" s="305"/>
      <c r="EG460" s="305"/>
      <c r="EH460" s="305"/>
      <c r="EI460" s="305"/>
      <c r="EJ460" s="305"/>
      <c r="EK460" s="305"/>
      <c r="EL460" s="305"/>
      <c r="EM460" s="305"/>
      <c r="EN460" s="305"/>
      <c r="EO460" s="305"/>
      <c r="EP460" s="305"/>
      <c r="EQ460" s="305"/>
      <c r="ER460" s="305"/>
      <c r="ES460" s="305"/>
      <c r="ET460" s="305"/>
      <c r="EU460" s="305"/>
      <c r="EV460" s="305"/>
      <c r="EW460" s="305"/>
      <c r="EX460" s="305"/>
      <c r="EY460" s="305"/>
      <c r="EZ460" s="305"/>
      <c r="FA460" s="305"/>
      <c r="FB460" s="305"/>
      <c r="FC460" s="305"/>
      <c r="FD460" s="305"/>
      <c r="FE460" s="305"/>
      <c r="FF460" s="305"/>
      <c r="FG460" s="305"/>
      <c r="FH460" s="305"/>
      <c r="FI460" s="305"/>
      <c r="FJ460" s="305"/>
      <c r="FK460" s="305"/>
      <c r="FL460" s="305"/>
      <c r="FM460" s="305"/>
      <c r="FN460" s="305"/>
      <c r="FO460" s="305"/>
      <c r="FP460" s="305"/>
      <c r="FQ460" s="305"/>
      <c r="FR460" s="305"/>
      <c r="FS460" s="305"/>
      <c r="FT460" s="305"/>
      <c r="FU460" s="305"/>
      <c r="FV460" s="305"/>
      <c r="FW460" s="305"/>
      <c r="FX460" s="305"/>
      <c r="FY460" s="305"/>
      <c r="FZ460" s="305"/>
      <c r="GA460" s="305"/>
      <c r="GB460" s="305"/>
      <c r="GC460" s="305"/>
      <c r="GD460" s="305"/>
      <c r="GE460" s="305"/>
      <c r="GF460" s="305"/>
      <c r="GG460" s="305"/>
      <c r="GH460" s="305"/>
      <c r="GI460" s="305"/>
      <c r="GJ460" s="305"/>
      <c r="GK460" s="305"/>
      <c r="GL460" s="305"/>
      <c r="GM460" s="305"/>
      <c r="GN460" s="305"/>
      <c r="GO460" s="305"/>
      <c r="GP460" s="305"/>
      <c r="GQ460" s="305"/>
      <c r="GR460" s="305"/>
    </row>
    <row r="461" spans="3:200" s="318" customFormat="1" ht="12.75" customHeight="1" x14ac:dyDescent="0.2">
      <c r="C461" s="367"/>
      <c r="D461" s="403"/>
      <c r="E461" s="369"/>
      <c r="F461" s="369"/>
      <c r="G461" s="369"/>
      <c r="H461" s="369"/>
      <c r="I461" s="370"/>
      <c r="J461"/>
      <c r="K461" s="371"/>
      <c r="L461" s="371"/>
      <c r="M461" s="371"/>
      <c r="N461" s="371"/>
      <c r="O461" s="305"/>
      <c r="P461" s="305"/>
      <c r="Q461" s="305"/>
      <c r="R461" s="305"/>
      <c r="S461" s="305"/>
      <c r="T461" s="305"/>
      <c r="U461" s="305"/>
      <c r="V461" s="305"/>
      <c r="W461" s="305"/>
      <c r="X461" s="305"/>
      <c r="Y461" s="305"/>
      <c r="Z461" s="305"/>
      <c r="AA461" s="305"/>
      <c r="AB461" s="305"/>
      <c r="AC461" s="305"/>
      <c r="AD461" s="305"/>
      <c r="AE461" s="305"/>
      <c r="AF461" s="305"/>
      <c r="AG461" s="305"/>
      <c r="AH461" s="305"/>
      <c r="AI461" s="305"/>
      <c r="AJ461" s="305"/>
      <c r="AK461" s="305"/>
      <c r="AL461" s="305"/>
      <c r="AM461" s="305"/>
      <c r="AN461" s="305"/>
      <c r="AO461" s="305"/>
      <c r="AP461" s="305"/>
      <c r="AQ461" s="305"/>
      <c r="AR461" s="305"/>
      <c r="AS461" s="305"/>
      <c r="AT461" s="305"/>
      <c r="AU461" s="305"/>
      <c r="AV461" s="305"/>
      <c r="AW461" s="305"/>
      <c r="AX461" s="305"/>
      <c r="AY461" s="305"/>
      <c r="AZ461" s="305"/>
      <c r="BA461" s="305"/>
      <c r="BB461" s="305"/>
      <c r="BC461" s="305"/>
      <c r="BD461" s="305"/>
      <c r="BE461" s="305"/>
      <c r="BF461" s="305"/>
      <c r="BG461" s="305"/>
      <c r="BH461" s="305"/>
      <c r="BI461" s="305"/>
      <c r="BJ461" s="305"/>
      <c r="BK461" s="305"/>
      <c r="BL461" s="305"/>
      <c r="BM461" s="305"/>
      <c r="BN461" s="305"/>
      <c r="BO461" s="305"/>
      <c r="BP461" s="305"/>
      <c r="BQ461" s="305"/>
      <c r="BR461" s="305"/>
      <c r="BS461" s="305"/>
      <c r="BT461" s="305"/>
      <c r="BU461" s="305"/>
      <c r="BV461" s="305"/>
      <c r="BW461" s="305"/>
      <c r="BX461" s="305"/>
      <c r="BY461" s="305"/>
      <c r="BZ461" s="305"/>
      <c r="CA461" s="305"/>
      <c r="CB461" s="305"/>
      <c r="CC461" s="305"/>
      <c r="CD461" s="305"/>
      <c r="CE461" s="305"/>
      <c r="CF461" s="305"/>
      <c r="CG461" s="305"/>
      <c r="CH461" s="305"/>
      <c r="CI461" s="305"/>
      <c r="CJ461" s="305"/>
      <c r="CK461" s="305"/>
      <c r="CL461" s="305"/>
      <c r="CM461" s="305"/>
      <c r="CN461" s="305"/>
      <c r="CO461" s="305"/>
      <c r="CP461" s="305"/>
      <c r="CQ461" s="305"/>
      <c r="CR461" s="305"/>
      <c r="CS461" s="305"/>
      <c r="CT461" s="305"/>
      <c r="CU461" s="305"/>
      <c r="CV461" s="305"/>
      <c r="CW461" s="305"/>
      <c r="CX461" s="305"/>
      <c r="CY461" s="305"/>
      <c r="CZ461" s="305"/>
      <c r="DA461" s="305"/>
      <c r="DB461" s="305"/>
      <c r="DC461" s="305"/>
      <c r="DD461" s="305"/>
      <c r="DE461" s="305"/>
      <c r="DF461" s="305"/>
      <c r="DG461" s="305"/>
      <c r="DH461" s="305"/>
      <c r="DI461" s="305"/>
      <c r="DJ461" s="305"/>
      <c r="DK461" s="305"/>
      <c r="DL461" s="305"/>
      <c r="DM461" s="305"/>
      <c r="DN461" s="305"/>
      <c r="DO461" s="305"/>
      <c r="DP461" s="305"/>
      <c r="DQ461" s="305"/>
      <c r="DR461" s="305"/>
      <c r="DS461" s="305"/>
      <c r="DT461" s="305"/>
      <c r="DU461" s="305"/>
      <c r="DV461" s="305"/>
      <c r="DW461" s="305"/>
      <c r="DX461" s="305"/>
      <c r="DY461" s="305"/>
      <c r="DZ461" s="305"/>
      <c r="EA461" s="305"/>
      <c r="EB461" s="305"/>
      <c r="EC461" s="305"/>
      <c r="ED461" s="305"/>
      <c r="EE461" s="305"/>
      <c r="EF461" s="305"/>
      <c r="EG461" s="305"/>
      <c r="EH461" s="305"/>
      <c r="EI461" s="305"/>
      <c r="EJ461" s="305"/>
      <c r="EK461" s="305"/>
      <c r="EL461" s="305"/>
      <c r="EM461" s="305"/>
      <c r="EN461" s="305"/>
      <c r="EO461" s="305"/>
      <c r="EP461" s="305"/>
      <c r="EQ461" s="305"/>
      <c r="ER461" s="305"/>
      <c r="ES461" s="305"/>
      <c r="ET461" s="305"/>
      <c r="EU461" s="305"/>
      <c r="EV461" s="305"/>
      <c r="EW461" s="305"/>
      <c r="EX461" s="305"/>
      <c r="EY461" s="305"/>
      <c r="EZ461" s="305"/>
      <c r="FA461" s="305"/>
      <c r="FB461" s="305"/>
      <c r="FC461" s="305"/>
      <c r="FD461" s="305"/>
      <c r="FE461" s="305"/>
      <c r="FF461" s="305"/>
      <c r="FG461" s="305"/>
      <c r="FH461" s="305"/>
      <c r="FI461" s="305"/>
      <c r="FJ461" s="305"/>
      <c r="FK461" s="305"/>
      <c r="FL461" s="305"/>
      <c r="FM461" s="305"/>
      <c r="FN461" s="305"/>
      <c r="FO461" s="305"/>
      <c r="FP461" s="305"/>
      <c r="FQ461" s="305"/>
      <c r="FR461" s="305"/>
      <c r="FS461" s="305"/>
      <c r="FT461" s="305"/>
      <c r="FU461" s="305"/>
      <c r="FV461" s="305"/>
      <c r="FW461" s="305"/>
      <c r="FX461" s="305"/>
      <c r="FY461" s="305"/>
      <c r="FZ461" s="305"/>
      <c r="GA461" s="305"/>
      <c r="GB461" s="305"/>
      <c r="GC461" s="305"/>
      <c r="GD461" s="305"/>
      <c r="GE461" s="305"/>
      <c r="GF461" s="305"/>
      <c r="GG461" s="305"/>
      <c r="GH461" s="305"/>
      <c r="GI461" s="305"/>
      <c r="GJ461" s="305"/>
      <c r="GK461" s="305"/>
      <c r="GL461" s="305"/>
      <c r="GM461" s="305"/>
      <c r="GN461" s="305"/>
      <c r="GO461" s="305"/>
      <c r="GP461" s="305"/>
      <c r="GQ461" s="305"/>
      <c r="GR461" s="305"/>
    </row>
    <row r="462" spans="3:200" s="318" customFormat="1" ht="12.75" customHeight="1" x14ac:dyDescent="0.2">
      <c r="C462" s="367"/>
      <c r="D462" s="403"/>
      <c r="E462" s="369"/>
      <c r="F462" s="369"/>
      <c r="G462" s="369"/>
      <c r="H462" s="369"/>
      <c r="I462" s="370"/>
      <c r="J462"/>
      <c r="K462" s="371"/>
      <c r="L462" s="371"/>
      <c r="M462" s="371"/>
      <c r="N462" s="371"/>
      <c r="O462" s="305"/>
      <c r="P462" s="305"/>
      <c r="Q462" s="305"/>
      <c r="R462" s="305"/>
      <c r="S462" s="305"/>
      <c r="T462" s="305"/>
      <c r="U462" s="305"/>
      <c r="V462" s="305"/>
      <c r="W462" s="305"/>
      <c r="X462" s="305"/>
      <c r="Y462" s="305"/>
      <c r="Z462" s="305"/>
      <c r="AA462" s="305"/>
      <c r="AB462" s="305"/>
      <c r="AC462" s="305"/>
      <c r="AD462" s="305"/>
      <c r="AE462" s="305"/>
      <c r="AF462" s="305"/>
      <c r="AG462" s="305"/>
      <c r="AH462" s="305"/>
      <c r="AI462" s="305"/>
      <c r="AJ462" s="305"/>
      <c r="AK462" s="305"/>
      <c r="AL462" s="305"/>
      <c r="AM462" s="305"/>
      <c r="AN462" s="305"/>
      <c r="AO462" s="305"/>
      <c r="AP462" s="305"/>
      <c r="AQ462" s="305"/>
      <c r="AR462" s="305"/>
      <c r="AS462" s="305"/>
      <c r="AT462" s="305"/>
      <c r="AU462" s="305"/>
      <c r="AV462" s="305"/>
      <c r="AW462" s="305"/>
      <c r="AX462" s="305"/>
      <c r="AY462" s="305"/>
      <c r="AZ462" s="305"/>
      <c r="BA462" s="305"/>
      <c r="BB462" s="305"/>
      <c r="BC462" s="305"/>
      <c r="BD462" s="305"/>
      <c r="BE462" s="305"/>
      <c r="BF462" s="305"/>
      <c r="BG462" s="305"/>
      <c r="BH462" s="305"/>
      <c r="BI462" s="305"/>
      <c r="BJ462" s="305"/>
      <c r="BK462" s="305"/>
      <c r="BL462" s="305"/>
      <c r="BM462" s="305"/>
      <c r="BN462" s="305"/>
      <c r="BO462" s="305"/>
      <c r="BP462" s="305"/>
      <c r="BQ462" s="305"/>
      <c r="BR462" s="305"/>
      <c r="BS462" s="305"/>
      <c r="BT462" s="305"/>
      <c r="BU462" s="305"/>
      <c r="BV462" s="305"/>
      <c r="BW462" s="305"/>
      <c r="BX462" s="305"/>
      <c r="BY462" s="305"/>
      <c r="BZ462" s="305"/>
      <c r="CA462" s="305"/>
      <c r="CB462" s="305"/>
      <c r="CC462" s="305"/>
      <c r="CD462" s="305"/>
      <c r="CE462" s="305"/>
      <c r="CF462" s="305"/>
      <c r="CG462" s="305"/>
      <c r="CH462" s="305"/>
      <c r="CI462" s="305"/>
      <c r="CJ462" s="305"/>
      <c r="CK462" s="305"/>
      <c r="CL462" s="305"/>
      <c r="CM462" s="305"/>
      <c r="CN462" s="305"/>
      <c r="CO462" s="305"/>
      <c r="CP462" s="305"/>
      <c r="CQ462" s="305"/>
      <c r="CR462" s="305"/>
      <c r="CS462" s="305"/>
      <c r="CT462" s="305"/>
      <c r="CU462" s="305"/>
      <c r="CV462" s="305"/>
      <c r="CW462" s="305"/>
      <c r="CX462" s="305"/>
      <c r="CY462" s="305"/>
      <c r="CZ462" s="305"/>
      <c r="DA462" s="305"/>
      <c r="DB462" s="305"/>
      <c r="DC462" s="305"/>
      <c r="DD462" s="305"/>
      <c r="DE462" s="305"/>
      <c r="DF462" s="305"/>
      <c r="DG462" s="305"/>
      <c r="DH462" s="305"/>
      <c r="DI462" s="305"/>
      <c r="DJ462" s="305"/>
      <c r="DK462" s="305"/>
      <c r="DL462" s="305"/>
      <c r="DM462" s="305"/>
      <c r="DN462" s="305"/>
      <c r="DO462" s="305"/>
      <c r="DP462" s="305"/>
      <c r="DQ462" s="305"/>
      <c r="DR462" s="305"/>
      <c r="DS462" s="305"/>
      <c r="DT462" s="305"/>
      <c r="DU462" s="305"/>
      <c r="DV462" s="305"/>
      <c r="DW462" s="305"/>
      <c r="DX462" s="305"/>
      <c r="DY462" s="305"/>
      <c r="DZ462" s="305"/>
      <c r="EA462" s="305"/>
      <c r="EB462" s="305"/>
      <c r="EC462" s="305"/>
      <c r="ED462" s="305"/>
      <c r="EE462" s="305"/>
      <c r="EF462" s="305"/>
      <c r="EG462" s="305"/>
      <c r="EH462" s="305"/>
      <c r="EI462" s="305"/>
      <c r="EJ462" s="305"/>
      <c r="EK462" s="305"/>
      <c r="EL462" s="305"/>
      <c r="EM462" s="305"/>
      <c r="EN462" s="305"/>
      <c r="EO462" s="305"/>
      <c r="EP462" s="305"/>
      <c r="EQ462" s="305"/>
      <c r="ER462" s="305"/>
      <c r="ES462" s="305"/>
      <c r="ET462" s="305"/>
      <c r="EU462" s="305"/>
      <c r="EV462" s="305"/>
      <c r="EW462" s="305"/>
      <c r="EX462" s="305"/>
      <c r="EY462" s="305"/>
      <c r="EZ462" s="305"/>
      <c r="FA462" s="305"/>
      <c r="FB462" s="305"/>
      <c r="FC462" s="305"/>
      <c r="FD462" s="305"/>
      <c r="FE462" s="305"/>
      <c r="FF462" s="305"/>
      <c r="FG462" s="305"/>
      <c r="FH462" s="305"/>
      <c r="FI462" s="305"/>
      <c r="FJ462" s="305"/>
      <c r="FK462" s="305"/>
      <c r="FL462" s="305"/>
      <c r="FM462" s="305"/>
      <c r="FN462" s="305"/>
      <c r="FO462" s="305"/>
      <c r="FP462" s="305"/>
      <c r="FQ462" s="305"/>
      <c r="FR462" s="305"/>
      <c r="FS462" s="305"/>
      <c r="FT462" s="305"/>
      <c r="FU462" s="305"/>
      <c r="FV462" s="305"/>
      <c r="FW462" s="305"/>
      <c r="FX462" s="305"/>
      <c r="FY462" s="305"/>
      <c r="FZ462" s="305"/>
      <c r="GA462" s="305"/>
      <c r="GB462" s="305"/>
      <c r="GC462" s="305"/>
      <c r="GD462" s="305"/>
      <c r="GE462" s="305"/>
      <c r="GF462" s="305"/>
      <c r="GG462" s="305"/>
      <c r="GH462" s="305"/>
      <c r="GI462" s="305"/>
      <c r="GJ462" s="305"/>
      <c r="GK462" s="305"/>
      <c r="GL462" s="305"/>
      <c r="GM462" s="305"/>
      <c r="GN462" s="305"/>
      <c r="GO462" s="305"/>
      <c r="GP462" s="305"/>
      <c r="GQ462" s="305"/>
      <c r="GR462" s="305"/>
    </row>
    <row r="463" spans="3:200" s="318" customFormat="1" ht="12.75" customHeight="1" x14ac:dyDescent="0.2">
      <c r="C463" s="367"/>
      <c r="D463" s="403"/>
      <c r="E463" s="369"/>
      <c r="F463" s="369"/>
      <c r="G463" s="369"/>
      <c r="H463" s="369"/>
      <c r="I463" s="370"/>
      <c r="J463"/>
      <c r="K463" s="371"/>
      <c r="L463" s="371"/>
      <c r="M463" s="371"/>
      <c r="N463" s="371"/>
      <c r="O463" s="305"/>
      <c r="P463" s="305"/>
      <c r="Q463" s="305"/>
      <c r="R463" s="305"/>
      <c r="S463" s="305"/>
      <c r="T463" s="305"/>
      <c r="U463" s="305"/>
      <c r="V463" s="305"/>
      <c r="W463" s="305"/>
      <c r="X463" s="305"/>
      <c r="Y463" s="305"/>
      <c r="Z463" s="305"/>
      <c r="AA463" s="305"/>
      <c r="AB463" s="305"/>
      <c r="AC463" s="305"/>
      <c r="AD463" s="305"/>
      <c r="AE463" s="305"/>
      <c r="AF463" s="305"/>
      <c r="AG463" s="305"/>
      <c r="AH463" s="305"/>
      <c r="AI463" s="305"/>
      <c r="AJ463" s="305"/>
      <c r="AK463" s="305"/>
      <c r="AL463" s="305"/>
      <c r="AM463" s="305"/>
      <c r="AN463" s="305"/>
      <c r="AO463" s="305"/>
      <c r="AP463" s="305"/>
      <c r="AQ463" s="305"/>
      <c r="AR463" s="305"/>
      <c r="AS463" s="305"/>
      <c r="AT463" s="305"/>
      <c r="AU463" s="305"/>
      <c r="AV463" s="305"/>
      <c r="AW463" s="305"/>
      <c r="AX463" s="305"/>
      <c r="AY463" s="305"/>
      <c r="AZ463" s="305"/>
      <c r="BA463" s="305"/>
      <c r="BB463" s="305"/>
      <c r="BC463" s="305"/>
      <c r="BD463" s="305"/>
      <c r="BE463" s="305"/>
      <c r="BF463" s="305"/>
      <c r="BG463" s="305"/>
      <c r="BH463" s="305"/>
      <c r="BI463" s="305"/>
      <c r="BJ463" s="305"/>
      <c r="BK463" s="305"/>
      <c r="BL463" s="305"/>
      <c r="BM463" s="305"/>
      <c r="BN463" s="305"/>
      <c r="BO463" s="305"/>
      <c r="BP463" s="305"/>
      <c r="BQ463" s="305"/>
      <c r="BR463" s="305"/>
      <c r="BS463" s="305"/>
      <c r="BT463" s="305"/>
      <c r="BU463" s="305"/>
      <c r="BV463" s="305"/>
      <c r="BW463" s="305"/>
      <c r="BX463" s="305"/>
      <c r="BY463" s="305"/>
      <c r="BZ463" s="305"/>
      <c r="CA463" s="305"/>
      <c r="CB463" s="305"/>
      <c r="CC463" s="305"/>
      <c r="CD463" s="305"/>
      <c r="CE463" s="305"/>
      <c r="CF463" s="305"/>
      <c r="CG463" s="305"/>
      <c r="CH463" s="305"/>
      <c r="CI463" s="305"/>
      <c r="CJ463" s="305"/>
      <c r="CK463" s="305"/>
      <c r="CL463" s="305"/>
      <c r="CM463" s="305"/>
      <c r="CN463" s="305"/>
      <c r="CO463" s="305"/>
      <c r="CP463" s="305"/>
      <c r="CQ463" s="305"/>
      <c r="CR463" s="305"/>
      <c r="CS463" s="305"/>
      <c r="CT463" s="305"/>
      <c r="CU463" s="305"/>
      <c r="CV463" s="305"/>
      <c r="CW463" s="305"/>
      <c r="CX463" s="305"/>
      <c r="CY463" s="305"/>
      <c r="CZ463" s="305"/>
      <c r="DA463" s="305"/>
      <c r="DB463" s="305"/>
      <c r="DC463" s="305"/>
      <c r="DD463" s="305"/>
      <c r="DE463" s="305"/>
      <c r="DF463" s="305"/>
      <c r="DG463" s="305"/>
      <c r="DH463" s="305"/>
      <c r="DI463" s="305"/>
      <c r="DJ463" s="305"/>
      <c r="DK463" s="305"/>
      <c r="DL463" s="305"/>
      <c r="DM463" s="305"/>
      <c r="DN463" s="305"/>
      <c r="DO463" s="305"/>
      <c r="DP463" s="305"/>
      <c r="DQ463" s="305"/>
      <c r="DR463" s="305"/>
      <c r="DS463" s="305"/>
      <c r="DT463" s="305"/>
      <c r="DU463" s="305"/>
      <c r="DV463" s="305"/>
      <c r="DW463" s="305"/>
      <c r="DX463" s="305"/>
      <c r="DY463" s="305"/>
      <c r="DZ463" s="305"/>
      <c r="EA463" s="305"/>
      <c r="EB463" s="305"/>
      <c r="EC463" s="305"/>
      <c r="ED463" s="305"/>
      <c r="EE463" s="305"/>
      <c r="EF463" s="305"/>
      <c r="EG463" s="305"/>
      <c r="EH463" s="305"/>
      <c r="EI463" s="305"/>
      <c r="EJ463" s="305"/>
      <c r="EK463" s="305"/>
      <c r="EL463" s="305"/>
      <c r="EM463" s="305"/>
      <c r="EN463" s="305"/>
      <c r="EO463" s="305"/>
      <c r="EP463" s="305"/>
      <c r="EQ463" s="305"/>
      <c r="ER463" s="305"/>
      <c r="ES463" s="305"/>
      <c r="ET463" s="305"/>
      <c r="EU463" s="305"/>
      <c r="EV463" s="305"/>
      <c r="EW463" s="305"/>
      <c r="EX463" s="305"/>
      <c r="EY463" s="305"/>
      <c r="EZ463" s="305"/>
      <c r="FA463" s="305"/>
      <c r="FB463" s="305"/>
      <c r="FC463" s="305"/>
      <c r="FD463" s="305"/>
      <c r="FE463" s="305"/>
      <c r="FF463" s="305"/>
      <c r="FG463" s="305"/>
      <c r="FH463" s="305"/>
      <c r="FI463" s="305"/>
      <c r="FJ463" s="305"/>
      <c r="FK463" s="305"/>
      <c r="FL463" s="305"/>
      <c r="FM463" s="305"/>
      <c r="FN463" s="305"/>
      <c r="FO463" s="305"/>
      <c r="FP463" s="305"/>
      <c r="FQ463" s="305"/>
      <c r="FR463" s="305"/>
      <c r="FS463" s="305"/>
      <c r="FT463" s="305"/>
      <c r="FU463" s="305"/>
      <c r="FV463" s="305"/>
      <c r="FW463" s="305"/>
      <c r="FX463" s="305"/>
      <c r="FY463" s="305"/>
      <c r="FZ463" s="305"/>
      <c r="GA463" s="305"/>
      <c r="GB463" s="305"/>
      <c r="GC463" s="305"/>
      <c r="GD463" s="305"/>
      <c r="GE463" s="305"/>
      <c r="GF463" s="305"/>
      <c r="GG463" s="305"/>
      <c r="GH463" s="305"/>
      <c r="GI463" s="305"/>
      <c r="GJ463" s="305"/>
      <c r="GK463" s="305"/>
      <c r="GL463" s="305"/>
      <c r="GM463" s="305"/>
      <c r="GN463" s="305"/>
      <c r="GO463" s="305"/>
      <c r="GP463" s="305"/>
      <c r="GQ463" s="305"/>
      <c r="GR463" s="305"/>
    </row>
    <row r="464" spans="3:200" s="318" customFormat="1" ht="12.75" customHeight="1" x14ac:dyDescent="0.2">
      <c r="C464" s="367"/>
      <c r="D464" s="403"/>
      <c r="E464" s="369"/>
      <c r="F464" s="369"/>
      <c r="G464" s="369"/>
      <c r="H464" s="369"/>
      <c r="I464" s="370"/>
      <c r="J464"/>
      <c r="K464" s="371"/>
      <c r="L464" s="371"/>
      <c r="M464" s="371"/>
      <c r="N464" s="371"/>
      <c r="O464" s="305"/>
      <c r="P464" s="305"/>
      <c r="Q464" s="305"/>
      <c r="R464" s="305"/>
      <c r="S464" s="305"/>
      <c r="T464" s="305"/>
      <c r="U464" s="305"/>
      <c r="V464" s="305"/>
      <c r="W464" s="305"/>
      <c r="X464" s="305"/>
      <c r="Y464" s="305"/>
      <c r="Z464" s="305"/>
      <c r="AA464" s="305"/>
      <c r="AB464" s="305"/>
      <c r="AC464" s="305"/>
      <c r="AD464" s="305"/>
      <c r="AE464" s="305"/>
      <c r="AF464" s="305"/>
      <c r="AG464" s="305"/>
      <c r="AH464" s="305"/>
      <c r="AI464" s="305"/>
      <c r="AJ464" s="305"/>
      <c r="AK464" s="305"/>
      <c r="AL464" s="305"/>
      <c r="AM464" s="305"/>
      <c r="AN464" s="305"/>
      <c r="AO464" s="305"/>
      <c r="AP464" s="305"/>
      <c r="AQ464" s="305"/>
      <c r="AR464" s="305"/>
      <c r="AS464" s="305"/>
      <c r="AT464" s="305"/>
      <c r="AU464" s="305"/>
      <c r="AV464" s="305"/>
      <c r="AW464" s="305"/>
      <c r="AX464" s="305"/>
      <c r="AY464" s="305"/>
      <c r="AZ464" s="305"/>
      <c r="BA464" s="305"/>
      <c r="BB464" s="305"/>
      <c r="BC464" s="305"/>
      <c r="BD464" s="305"/>
      <c r="BE464" s="305"/>
      <c r="BF464" s="305"/>
      <c r="BG464" s="305"/>
      <c r="BH464" s="305"/>
      <c r="BI464" s="305"/>
      <c r="BJ464" s="305"/>
      <c r="BK464" s="305"/>
      <c r="BL464" s="305"/>
      <c r="BM464" s="305"/>
      <c r="BN464" s="305"/>
      <c r="BO464" s="305"/>
      <c r="BP464" s="305"/>
      <c r="BQ464" s="305"/>
      <c r="BR464" s="305"/>
      <c r="BS464" s="305"/>
      <c r="BT464" s="305"/>
      <c r="BU464" s="305"/>
      <c r="BV464" s="305"/>
      <c r="BW464" s="305"/>
      <c r="BX464" s="305"/>
      <c r="BY464" s="305"/>
      <c r="BZ464" s="305"/>
      <c r="CA464" s="305"/>
      <c r="CB464" s="305"/>
      <c r="CC464" s="305"/>
      <c r="CD464" s="305"/>
      <c r="CE464" s="305"/>
      <c r="CF464" s="305"/>
      <c r="CG464" s="305"/>
      <c r="CH464" s="305"/>
      <c r="CI464" s="305"/>
      <c r="CJ464" s="305"/>
      <c r="CK464" s="305"/>
      <c r="CL464" s="305"/>
      <c r="CM464" s="305"/>
      <c r="CN464" s="305"/>
      <c r="CO464" s="305"/>
      <c r="CP464" s="305"/>
      <c r="CQ464" s="305"/>
      <c r="CR464" s="305"/>
      <c r="CS464" s="305"/>
      <c r="CT464" s="305"/>
      <c r="CU464" s="305"/>
      <c r="CV464" s="305"/>
      <c r="CW464" s="305"/>
      <c r="CX464" s="305"/>
      <c r="CY464" s="305"/>
      <c r="CZ464" s="305"/>
      <c r="DA464" s="305"/>
      <c r="DB464" s="305"/>
      <c r="DC464" s="305"/>
      <c r="DD464" s="305"/>
      <c r="DE464" s="305"/>
      <c r="DF464" s="305"/>
      <c r="DG464" s="305"/>
      <c r="DH464" s="305"/>
      <c r="DI464" s="305"/>
      <c r="DJ464" s="305"/>
      <c r="DK464" s="305"/>
      <c r="DL464" s="305"/>
      <c r="DM464" s="305"/>
      <c r="DN464" s="305"/>
      <c r="DO464" s="305"/>
      <c r="DP464" s="305"/>
      <c r="DQ464" s="305"/>
      <c r="DR464" s="305"/>
      <c r="DS464" s="305"/>
      <c r="DT464" s="305"/>
      <c r="DU464" s="305"/>
      <c r="DV464" s="305"/>
      <c r="DW464" s="305"/>
      <c r="DX464" s="305"/>
      <c r="DY464" s="305"/>
      <c r="DZ464" s="305"/>
      <c r="EA464" s="305"/>
      <c r="EB464" s="305"/>
      <c r="EC464" s="305"/>
      <c r="ED464" s="305"/>
      <c r="EE464" s="305"/>
      <c r="EF464" s="305"/>
      <c r="EG464" s="305"/>
      <c r="EH464" s="305"/>
      <c r="EI464" s="305"/>
      <c r="EJ464" s="305"/>
      <c r="EK464" s="305"/>
      <c r="EL464" s="305"/>
      <c r="EM464" s="305"/>
      <c r="EN464" s="305"/>
      <c r="EO464" s="305"/>
      <c r="EP464" s="305"/>
      <c r="EQ464" s="305"/>
      <c r="ER464" s="305"/>
      <c r="ES464" s="305"/>
      <c r="ET464" s="305"/>
      <c r="EU464" s="305"/>
      <c r="EV464" s="305"/>
      <c r="EW464" s="305"/>
      <c r="EX464" s="305"/>
      <c r="EY464" s="305"/>
      <c r="EZ464" s="305"/>
      <c r="FA464" s="305"/>
      <c r="FB464" s="305"/>
      <c r="FC464" s="305"/>
      <c r="FD464" s="305"/>
      <c r="FE464" s="305"/>
      <c r="FF464" s="305"/>
      <c r="FG464" s="305"/>
      <c r="FH464" s="305"/>
      <c r="FI464" s="305"/>
      <c r="FJ464" s="305"/>
      <c r="FK464" s="305"/>
      <c r="FL464" s="305"/>
      <c r="FM464" s="305"/>
      <c r="FN464" s="305"/>
      <c r="FO464" s="305"/>
      <c r="FP464" s="305"/>
      <c r="FQ464" s="305"/>
      <c r="FR464" s="305"/>
      <c r="FS464" s="305"/>
      <c r="FT464" s="305"/>
      <c r="FU464" s="305"/>
      <c r="FV464" s="305"/>
      <c r="FW464" s="305"/>
      <c r="FX464" s="305"/>
      <c r="FY464" s="305"/>
      <c r="FZ464" s="305"/>
      <c r="GA464" s="305"/>
      <c r="GB464" s="305"/>
      <c r="GC464" s="305"/>
      <c r="GD464" s="305"/>
      <c r="GE464" s="305"/>
      <c r="GF464" s="305"/>
      <c r="GG464" s="305"/>
      <c r="GH464" s="305"/>
      <c r="GI464" s="305"/>
      <c r="GJ464" s="305"/>
      <c r="GK464" s="305"/>
      <c r="GL464" s="305"/>
      <c r="GM464" s="305"/>
      <c r="GN464" s="305"/>
      <c r="GO464" s="305"/>
      <c r="GP464" s="305"/>
      <c r="GQ464" s="305"/>
      <c r="GR464" s="305"/>
    </row>
    <row r="465" spans="3:200" s="318" customFormat="1" ht="12.75" customHeight="1" x14ac:dyDescent="0.2">
      <c r="C465" s="367"/>
      <c r="D465" s="403"/>
      <c r="E465" s="369"/>
      <c r="F465" s="369"/>
      <c r="G465" s="369"/>
      <c r="H465" s="369"/>
      <c r="I465" s="370"/>
      <c r="J465"/>
      <c r="K465" s="371"/>
      <c r="L465" s="371"/>
      <c r="M465" s="371"/>
      <c r="N465" s="371"/>
      <c r="O465" s="305"/>
      <c r="P465" s="305"/>
      <c r="Q465" s="305"/>
      <c r="R465" s="305"/>
      <c r="S465" s="305"/>
      <c r="T465" s="305"/>
      <c r="U465" s="305"/>
      <c r="V465" s="305"/>
      <c r="W465" s="305"/>
      <c r="X465" s="305"/>
      <c r="Y465" s="305"/>
      <c r="Z465" s="305"/>
      <c r="AA465" s="305"/>
      <c r="AB465" s="305"/>
      <c r="AC465" s="305"/>
      <c r="AD465" s="305"/>
      <c r="AE465" s="305"/>
      <c r="AF465" s="305"/>
      <c r="AG465" s="305"/>
      <c r="AH465" s="305"/>
      <c r="AI465" s="305"/>
      <c r="AJ465" s="305"/>
      <c r="AK465" s="305"/>
      <c r="AL465" s="305"/>
      <c r="AM465" s="305"/>
      <c r="AN465" s="305"/>
      <c r="AO465" s="305"/>
      <c r="AP465" s="305"/>
      <c r="AQ465" s="305"/>
      <c r="AR465" s="305"/>
      <c r="AS465" s="305"/>
      <c r="AT465" s="305"/>
      <c r="AU465" s="305"/>
      <c r="AV465" s="305"/>
      <c r="AW465" s="305"/>
      <c r="AX465" s="305"/>
      <c r="AY465" s="305"/>
      <c r="AZ465" s="305"/>
      <c r="BA465" s="305"/>
      <c r="BB465" s="305"/>
      <c r="BC465" s="305"/>
      <c r="BD465" s="305"/>
      <c r="BE465" s="305"/>
      <c r="BF465" s="305"/>
      <c r="BG465" s="305"/>
      <c r="BH465" s="305"/>
      <c r="BI465" s="305"/>
      <c r="BJ465" s="305"/>
      <c r="BK465" s="305"/>
      <c r="BL465" s="305"/>
      <c r="BM465" s="305"/>
      <c r="BN465" s="305"/>
      <c r="BO465" s="305"/>
      <c r="BP465" s="305"/>
      <c r="BQ465" s="305"/>
      <c r="BR465" s="305"/>
      <c r="BS465" s="305"/>
      <c r="BT465" s="305"/>
      <c r="BU465" s="305"/>
      <c r="BV465" s="305"/>
      <c r="BW465" s="305"/>
      <c r="BX465" s="305"/>
      <c r="BY465" s="305"/>
      <c r="BZ465" s="305"/>
      <c r="CA465" s="305"/>
      <c r="CB465" s="305"/>
      <c r="CC465" s="305"/>
      <c r="CD465" s="305"/>
      <c r="CE465" s="305"/>
      <c r="CF465" s="305"/>
      <c r="CG465" s="305"/>
      <c r="CH465" s="305"/>
      <c r="CI465" s="305"/>
      <c r="CJ465" s="305"/>
      <c r="CK465" s="305"/>
      <c r="CL465" s="305"/>
      <c r="CM465" s="305"/>
      <c r="CN465" s="305"/>
      <c r="CO465" s="305"/>
      <c r="CP465" s="305"/>
      <c r="CQ465" s="305"/>
      <c r="CR465" s="305"/>
      <c r="CS465" s="305"/>
      <c r="CT465" s="305"/>
      <c r="CU465" s="305"/>
      <c r="CV465" s="305"/>
      <c r="CW465" s="305"/>
      <c r="CX465" s="305"/>
      <c r="CY465" s="305"/>
      <c r="CZ465" s="305"/>
      <c r="DA465" s="305"/>
      <c r="DB465" s="305"/>
      <c r="DC465" s="305"/>
      <c r="DD465" s="305"/>
      <c r="DE465" s="305"/>
      <c r="DF465" s="305"/>
      <c r="DG465" s="305"/>
      <c r="DH465" s="305"/>
      <c r="DI465" s="305"/>
      <c r="DJ465" s="305"/>
      <c r="DK465" s="305"/>
      <c r="DL465" s="305"/>
      <c r="DM465" s="305"/>
      <c r="DN465" s="305"/>
      <c r="DO465" s="305"/>
      <c r="DP465" s="305"/>
      <c r="DQ465" s="305"/>
      <c r="DR465" s="305"/>
      <c r="DS465" s="305"/>
      <c r="DT465" s="305"/>
      <c r="DU465" s="305"/>
      <c r="DV465" s="305"/>
      <c r="DW465" s="305"/>
      <c r="DX465" s="305"/>
      <c r="DY465" s="305"/>
      <c r="DZ465" s="305"/>
      <c r="EA465" s="305"/>
      <c r="EB465" s="305"/>
      <c r="EC465" s="305"/>
      <c r="ED465" s="305"/>
      <c r="EE465" s="305"/>
      <c r="EF465" s="305"/>
      <c r="EG465" s="305"/>
      <c r="EH465" s="305"/>
      <c r="EI465" s="305"/>
      <c r="EJ465" s="305"/>
      <c r="EK465" s="305"/>
      <c r="EL465" s="305"/>
      <c r="EM465" s="305"/>
      <c r="EN465" s="305"/>
      <c r="EO465" s="305"/>
      <c r="EP465" s="305"/>
      <c r="EQ465" s="305"/>
      <c r="ER465" s="305"/>
      <c r="ES465" s="305"/>
      <c r="ET465" s="305"/>
      <c r="EU465" s="305"/>
      <c r="EV465" s="305"/>
      <c r="EW465" s="305"/>
      <c r="EX465" s="305"/>
      <c r="EY465" s="305"/>
      <c r="EZ465" s="305"/>
      <c r="FA465" s="305"/>
      <c r="FB465" s="305"/>
      <c r="FC465" s="305"/>
      <c r="FD465" s="305"/>
      <c r="FE465" s="305"/>
      <c r="FF465" s="305"/>
      <c r="FG465" s="305"/>
      <c r="FH465" s="305"/>
      <c r="FI465" s="305"/>
      <c r="FJ465" s="305"/>
      <c r="FK465" s="305"/>
      <c r="FL465" s="305"/>
      <c r="FM465" s="305"/>
      <c r="FN465" s="305"/>
      <c r="FO465" s="305"/>
      <c r="FP465" s="305"/>
      <c r="FQ465" s="305"/>
      <c r="FR465" s="305"/>
      <c r="FS465" s="305"/>
      <c r="FT465" s="305"/>
      <c r="FU465" s="305"/>
      <c r="FV465" s="305"/>
      <c r="FW465" s="305"/>
      <c r="FX465" s="305"/>
      <c r="FY465" s="305"/>
      <c r="FZ465" s="305"/>
      <c r="GA465" s="305"/>
      <c r="GB465" s="305"/>
      <c r="GC465" s="305"/>
      <c r="GD465" s="305"/>
      <c r="GE465" s="305"/>
      <c r="GF465" s="305"/>
      <c r="GG465" s="305"/>
      <c r="GH465" s="305"/>
      <c r="GI465" s="305"/>
      <c r="GJ465" s="305"/>
      <c r="GK465" s="305"/>
      <c r="GL465" s="305"/>
      <c r="GM465" s="305"/>
      <c r="GN465" s="305"/>
      <c r="GO465" s="305"/>
      <c r="GP465" s="305"/>
      <c r="GQ465" s="305"/>
      <c r="GR465" s="305"/>
    </row>
    <row r="466" spans="3:200" s="318" customFormat="1" ht="12.75" customHeight="1" x14ac:dyDescent="0.2">
      <c r="C466" s="367"/>
      <c r="D466" s="403"/>
      <c r="E466" s="369"/>
      <c r="F466" s="369"/>
      <c r="G466" s="369"/>
      <c r="H466" s="369"/>
      <c r="I466" s="370"/>
      <c r="J466"/>
      <c r="K466" s="371"/>
      <c r="L466" s="371"/>
      <c r="M466" s="371"/>
      <c r="N466" s="371"/>
      <c r="O466" s="305"/>
      <c r="P466" s="305"/>
      <c r="Q466" s="305"/>
      <c r="R466" s="305"/>
      <c r="S466" s="305"/>
      <c r="T466" s="305"/>
      <c r="U466" s="305"/>
      <c r="V466" s="305"/>
      <c r="W466" s="305"/>
      <c r="X466" s="305"/>
      <c r="Y466" s="305"/>
      <c r="Z466" s="305"/>
      <c r="AA466" s="305"/>
      <c r="AB466" s="305"/>
      <c r="AC466" s="305"/>
      <c r="AD466" s="305"/>
      <c r="AE466" s="305"/>
      <c r="AF466" s="305"/>
      <c r="AG466" s="305"/>
      <c r="AH466" s="305"/>
      <c r="AI466" s="305"/>
      <c r="AJ466" s="305"/>
      <c r="AK466" s="305"/>
      <c r="AL466" s="305"/>
      <c r="AM466" s="305"/>
      <c r="AN466" s="305"/>
      <c r="AO466" s="305"/>
      <c r="AP466" s="305"/>
      <c r="AQ466" s="305"/>
      <c r="AR466" s="305"/>
      <c r="AS466" s="305"/>
      <c r="AT466" s="305"/>
      <c r="AU466" s="305"/>
      <c r="AV466" s="305"/>
      <c r="AW466" s="305"/>
      <c r="AX466" s="305"/>
      <c r="AY466" s="305"/>
      <c r="AZ466" s="305"/>
      <c r="BA466" s="305"/>
      <c r="BB466" s="305"/>
      <c r="BC466" s="305"/>
      <c r="BD466" s="305"/>
      <c r="BE466" s="305"/>
      <c r="BF466" s="305"/>
      <c r="BG466" s="305"/>
      <c r="BH466" s="305"/>
      <c r="BI466" s="305"/>
      <c r="BJ466" s="305"/>
      <c r="BK466" s="305"/>
      <c r="BL466" s="305"/>
      <c r="BM466" s="305"/>
      <c r="BN466" s="305"/>
      <c r="BO466" s="305"/>
      <c r="BP466" s="305"/>
      <c r="BQ466" s="305"/>
      <c r="BR466" s="305"/>
      <c r="BS466" s="305"/>
      <c r="BT466" s="305"/>
      <c r="BU466" s="305"/>
      <c r="BV466" s="305"/>
      <c r="BW466" s="305"/>
      <c r="BX466" s="305"/>
      <c r="BY466" s="305"/>
      <c r="BZ466" s="305"/>
      <c r="CA466" s="305"/>
      <c r="CB466" s="305"/>
      <c r="CC466" s="305"/>
      <c r="CD466" s="305"/>
      <c r="CE466" s="305"/>
      <c r="CF466" s="305"/>
      <c r="CG466" s="305"/>
      <c r="CH466" s="305"/>
      <c r="CI466" s="305"/>
      <c r="CJ466" s="305"/>
      <c r="CK466" s="305"/>
      <c r="CL466" s="305"/>
      <c r="CM466" s="305"/>
      <c r="CN466" s="305"/>
      <c r="CO466" s="305"/>
      <c r="CP466" s="305"/>
      <c r="CQ466" s="305"/>
      <c r="CR466" s="305"/>
      <c r="CS466" s="305"/>
      <c r="CT466" s="305"/>
      <c r="CU466" s="305"/>
      <c r="CV466" s="305"/>
      <c r="CW466" s="305"/>
      <c r="CX466" s="305"/>
      <c r="CY466" s="305"/>
      <c r="CZ466" s="305"/>
      <c r="DA466" s="305"/>
      <c r="DB466" s="305"/>
      <c r="DC466" s="305"/>
      <c r="DD466" s="305"/>
      <c r="DE466" s="305"/>
      <c r="DF466" s="305"/>
      <c r="DG466" s="305"/>
      <c r="DH466" s="305"/>
      <c r="DI466" s="305"/>
      <c r="DJ466" s="305"/>
      <c r="DK466" s="305"/>
      <c r="DL466" s="305"/>
      <c r="DM466" s="305"/>
      <c r="DN466" s="305"/>
      <c r="DO466" s="305"/>
      <c r="DP466" s="305"/>
      <c r="DQ466" s="305"/>
      <c r="DR466" s="305"/>
      <c r="DS466" s="305"/>
      <c r="DT466" s="305"/>
      <c r="DU466" s="305"/>
      <c r="DV466" s="305"/>
      <c r="DW466" s="305"/>
      <c r="DX466" s="305"/>
      <c r="DY466" s="305"/>
      <c r="DZ466" s="305"/>
      <c r="EA466" s="305"/>
      <c r="EB466" s="305"/>
      <c r="EC466" s="305"/>
      <c r="ED466" s="305"/>
      <c r="EE466" s="305"/>
      <c r="EF466" s="305"/>
      <c r="EG466" s="305"/>
      <c r="EH466" s="305"/>
      <c r="EI466" s="305"/>
      <c r="EJ466" s="305"/>
      <c r="EK466" s="305"/>
      <c r="EL466" s="305"/>
      <c r="EM466" s="305"/>
      <c r="EN466" s="305"/>
      <c r="EO466" s="305"/>
      <c r="EP466" s="305"/>
      <c r="EQ466" s="305"/>
      <c r="ER466" s="305"/>
      <c r="ES466" s="305"/>
      <c r="ET466" s="305"/>
      <c r="EU466" s="305"/>
      <c r="EV466" s="305"/>
      <c r="EW466" s="305"/>
      <c r="EX466" s="305"/>
      <c r="EY466" s="305"/>
      <c r="EZ466" s="305"/>
      <c r="FA466" s="305"/>
      <c r="FB466" s="305"/>
      <c r="FC466" s="305"/>
      <c r="FD466" s="305"/>
      <c r="FE466" s="305"/>
      <c r="FF466" s="305"/>
      <c r="FG466" s="305"/>
      <c r="FH466" s="305"/>
      <c r="FI466" s="305"/>
      <c r="FJ466" s="305"/>
      <c r="FK466" s="305"/>
      <c r="FL466" s="305"/>
      <c r="FM466" s="305"/>
      <c r="FN466" s="305"/>
      <c r="FO466" s="305"/>
      <c r="FP466" s="305"/>
      <c r="FQ466" s="305"/>
      <c r="FR466" s="305"/>
      <c r="FS466" s="305"/>
      <c r="FT466" s="305"/>
      <c r="FU466" s="305"/>
      <c r="FV466" s="305"/>
      <c r="FW466" s="305"/>
      <c r="FX466" s="305"/>
      <c r="FY466" s="305"/>
      <c r="FZ466" s="305"/>
      <c r="GA466" s="305"/>
      <c r="GB466" s="305"/>
      <c r="GC466" s="305"/>
      <c r="GD466" s="305"/>
      <c r="GE466" s="305"/>
      <c r="GF466" s="305"/>
      <c r="GG466" s="305"/>
      <c r="GH466" s="305"/>
      <c r="GI466" s="305"/>
      <c r="GJ466" s="305"/>
      <c r="GK466" s="305"/>
      <c r="GL466" s="305"/>
      <c r="GM466" s="305"/>
      <c r="GN466" s="305"/>
      <c r="GO466" s="305"/>
      <c r="GP466" s="305"/>
      <c r="GQ466" s="305"/>
      <c r="GR466" s="305"/>
    </row>
    <row r="467" spans="3:200" s="318" customFormat="1" ht="12.75" customHeight="1" x14ac:dyDescent="0.2">
      <c r="C467" s="367"/>
      <c r="D467" s="403"/>
      <c r="E467" s="369"/>
      <c r="F467" s="369"/>
      <c r="G467" s="369"/>
      <c r="H467" s="369"/>
      <c r="I467" s="370"/>
      <c r="J467"/>
      <c r="K467" s="371"/>
      <c r="L467" s="371"/>
      <c r="M467" s="371"/>
      <c r="N467" s="371"/>
      <c r="O467" s="305"/>
      <c r="P467" s="305"/>
      <c r="Q467" s="305"/>
      <c r="R467" s="305"/>
      <c r="S467" s="305"/>
      <c r="T467" s="305"/>
      <c r="U467" s="305"/>
      <c r="V467" s="305"/>
      <c r="W467" s="305"/>
      <c r="X467" s="305"/>
      <c r="Y467" s="305"/>
      <c r="Z467" s="305"/>
      <c r="AA467" s="305"/>
      <c r="AB467" s="305"/>
      <c r="AC467" s="305"/>
      <c r="AD467" s="305"/>
      <c r="AE467" s="305"/>
      <c r="AF467" s="305"/>
      <c r="AG467" s="305"/>
      <c r="AH467" s="305"/>
      <c r="AI467" s="305"/>
      <c r="AJ467" s="305"/>
      <c r="AK467" s="305"/>
      <c r="AL467" s="305"/>
      <c r="AM467" s="305"/>
      <c r="AN467" s="305"/>
      <c r="AO467" s="305"/>
      <c r="AP467" s="305"/>
      <c r="AQ467" s="305"/>
      <c r="AR467" s="305"/>
      <c r="AS467" s="305"/>
      <c r="AT467" s="305"/>
      <c r="AU467" s="305"/>
      <c r="AV467" s="305"/>
      <c r="AW467" s="305"/>
      <c r="AX467" s="305"/>
      <c r="AY467" s="305"/>
      <c r="AZ467" s="305"/>
      <c r="BA467" s="305"/>
      <c r="BB467" s="305"/>
      <c r="BC467" s="305"/>
      <c r="BD467" s="305"/>
      <c r="BE467" s="305"/>
      <c r="BF467" s="305"/>
      <c r="BG467" s="305"/>
      <c r="BH467" s="305"/>
      <c r="BI467" s="305"/>
      <c r="BJ467" s="305"/>
      <c r="BK467" s="305"/>
      <c r="BL467" s="305"/>
      <c r="BM467" s="305"/>
      <c r="BN467" s="305"/>
      <c r="BO467" s="305"/>
      <c r="BP467" s="305"/>
      <c r="BQ467" s="305"/>
      <c r="BR467" s="305"/>
      <c r="BS467" s="305"/>
      <c r="BT467" s="305"/>
      <c r="BU467" s="305"/>
      <c r="BV467" s="305"/>
      <c r="BW467" s="305"/>
      <c r="BX467" s="305"/>
      <c r="BY467" s="305"/>
      <c r="BZ467" s="305"/>
      <c r="CA467" s="305"/>
      <c r="CB467" s="305"/>
      <c r="CC467" s="305"/>
      <c r="CD467" s="305"/>
      <c r="CE467" s="305"/>
      <c r="CF467" s="305"/>
      <c r="CG467" s="305"/>
      <c r="CH467" s="305"/>
      <c r="CI467" s="305"/>
      <c r="CJ467" s="305"/>
      <c r="CK467" s="305"/>
      <c r="CL467" s="305"/>
      <c r="CM467" s="305"/>
      <c r="CN467" s="305"/>
      <c r="CO467" s="305"/>
      <c r="CP467" s="305"/>
      <c r="CQ467" s="305"/>
      <c r="CR467" s="305"/>
      <c r="CS467" s="305"/>
      <c r="CT467" s="305"/>
      <c r="CU467" s="305"/>
      <c r="CV467" s="305"/>
      <c r="CW467" s="305"/>
      <c r="CX467" s="305"/>
      <c r="CY467" s="305"/>
      <c r="CZ467" s="305"/>
      <c r="DA467" s="305"/>
      <c r="DB467" s="305"/>
      <c r="DC467" s="305"/>
      <c r="DD467" s="305"/>
      <c r="DE467" s="305"/>
      <c r="DF467" s="305"/>
      <c r="DG467" s="305"/>
      <c r="DH467" s="305"/>
      <c r="DI467" s="305"/>
      <c r="DJ467" s="305"/>
      <c r="DK467" s="305"/>
      <c r="DL467" s="305"/>
      <c r="DM467" s="305"/>
      <c r="DN467" s="305"/>
      <c r="DO467" s="305"/>
      <c r="DP467" s="305"/>
      <c r="DQ467" s="305"/>
      <c r="DR467" s="305"/>
      <c r="DS467" s="305"/>
      <c r="DT467" s="305"/>
      <c r="DU467" s="305"/>
      <c r="DV467" s="305"/>
      <c r="DW467" s="305"/>
      <c r="DX467" s="305"/>
      <c r="DY467" s="305"/>
      <c r="DZ467" s="305"/>
      <c r="EA467" s="305"/>
      <c r="EB467" s="305"/>
      <c r="EC467" s="305"/>
      <c r="ED467" s="305"/>
      <c r="EE467" s="305"/>
      <c r="EF467" s="305"/>
      <c r="EG467" s="305"/>
      <c r="EH467" s="305"/>
      <c r="EI467" s="305"/>
      <c r="EJ467" s="305"/>
      <c r="EK467" s="305"/>
      <c r="EL467" s="305"/>
      <c r="EM467" s="305"/>
      <c r="EN467" s="305"/>
      <c r="EO467" s="305"/>
      <c r="EP467" s="305"/>
      <c r="EQ467" s="305"/>
      <c r="ER467" s="305"/>
      <c r="ES467" s="305"/>
      <c r="ET467" s="305"/>
      <c r="EU467" s="305"/>
      <c r="EV467" s="305"/>
      <c r="EW467" s="305"/>
      <c r="EX467" s="305"/>
      <c r="EY467" s="305"/>
      <c r="EZ467" s="305"/>
      <c r="FA467" s="305"/>
      <c r="FB467" s="305"/>
      <c r="FC467" s="305"/>
      <c r="FD467" s="305"/>
      <c r="FE467" s="305"/>
      <c r="FF467" s="305"/>
      <c r="FG467" s="305"/>
      <c r="FH467" s="305"/>
      <c r="FI467" s="305"/>
      <c r="FJ467" s="305"/>
      <c r="FK467" s="305"/>
      <c r="FL467" s="305"/>
      <c r="FM467" s="305"/>
      <c r="FN467" s="305"/>
      <c r="FO467" s="305"/>
      <c r="FP467" s="305"/>
      <c r="FQ467" s="305"/>
      <c r="FR467" s="305"/>
      <c r="FS467" s="305"/>
      <c r="FT467" s="305"/>
      <c r="FU467" s="305"/>
      <c r="FV467" s="305"/>
      <c r="FW467" s="305"/>
      <c r="FX467" s="305"/>
      <c r="FY467" s="305"/>
      <c r="FZ467" s="305"/>
      <c r="GA467" s="305"/>
      <c r="GB467" s="305"/>
      <c r="GC467" s="305"/>
      <c r="GD467" s="305"/>
      <c r="GE467" s="305"/>
      <c r="GF467" s="305"/>
      <c r="GG467" s="305"/>
      <c r="GH467" s="305"/>
      <c r="GI467" s="305"/>
      <c r="GJ467" s="305"/>
      <c r="GK467" s="305"/>
      <c r="GL467" s="305"/>
      <c r="GM467" s="305"/>
      <c r="GN467" s="305"/>
      <c r="GO467" s="305"/>
      <c r="GP467" s="305"/>
      <c r="GQ467" s="305"/>
      <c r="GR467" s="305"/>
    </row>
    <row r="468" spans="3:200" s="318" customFormat="1" ht="12.75" customHeight="1" x14ac:dyDescent="0.2">
      <c r="C468" s="367"/>
      <c r="D468" s="403"/>
      <c r="E468" s="369"/>
      <c r="F468" s="369"/>
      <c r="G468" s="369"/>
      <c r="H468" s="369"/>
      <c r="I468" s="370"/>
      <c r="J468"/>
      <c r="K468" s="371"/>
      <c r="L468" s="371"/>
      <c r="M468" s="371"/>
      <c r="N468" s="371"/>
      <c r="O468" s="305"/>
      <c r="P468" s="305"/>
      <c r="Q468" s="305"/>
      <c r="R468" s="305"/>
      <c r="S468" s="305"/>
      <c r="T468" s="305"/>
      <c r="U468" s="305"/>
      <c r="V468" s="305"/>
      <c r="W468" s="305"/>
      <c r="X468" s="305"/>
      <c r="Y468" s="305"/>
      <c r="Z468" s="305"/>
      <c r="AA468" s="305"/>
      <c r="AB468" s="305"/>
      <c r="AC468" s="305"/>
      <c r="AD468" s="305"/>
      <c r="AE468" s="305"/>
      <c r="AF468" s="305"/>
      <c r="AG468" s="305"/>
      <c r="AH468" s="305"/>
      <c r="AI468" s="305"/>
      <c r="AJ468" s="305"/>
      <c r="AK468" s="305"/>
      <c r="AL468" s="305"/>
      <c r="AM468" s="305"/>
      <c r="AN468" s="305"/>
      <c r="AO468" s="305"/>
      <c r="AP468" s="305"/>
      <c r="AQ468" s="305"/>
      <c r="AR468" s="305"/>
      <c r="AS468" s="305"/>
      <c r="AT468" s="305"/>
      <c r="AU468" s="305"/>
      <c r="AV468" s="305"/>
      <c r="AW468" s="305"/>
      <c r="AX468" s="305"/>
      <c r="AY468" s="305"/>
      <c r="AZ468" s="305"/>
      <c r="BA468" s="305"/>
      <c r="BB468" s="305"/>
      <c r="BC468" s="305"/>
      <c r="BD468" s="305"/>
      <c r="BE468" s="305"/>
      <c r="BF468" s="305"/>
      <c r="BG468" s="305"/>
      <c r="BH468" s="305"/>
      <c r="BI468" s="305"/>
      <c r="BJ468" s="305"/>
      <c r="BK468" s="305"/>
      <c r="BL468" s="305"/>
      <c r="BM468" s="305"/>
      <c r="BN468" s="305"/>
      <c r="BO468" s="305"/>
      <c r="BP468" s="305"/>
      <c r="BQ468" s="305"/>
      <c r="BR468" s="305"/>
      <c r="BS468" s="305"/>
      <c r="BT468" s="305"/>
      <c r="BU468" s="305"/>
      <c r="BV468" s="305"/>
      <c r="BW468" s="305"/>
      <c r="BX468" s="305"/>
      <c r="BY468" s="305"/>
      <c r="BZ468" s="305"/>
      <c r="CA468" s="305"/>
      <c r="CB468" s="305"/>
      <c r="CC468" s="305"/>
      <c r="CD468" s="305"/>
      <c r="CE468" s="305"/>
      <c r="CF468" s="305"/>
      <c r="CG468" s="305"/>
      <c r="CH468" s="305"/>
      <c r="CI468" s="305"/>
      <c r="CJ468" s="305"/>
      <c r="CK468" s="305"/>
      <c r="CL468" s="305"/>
      <c r="CM468" s="305"/>
      <c r="CN468" s="305"/>
      <c r="CO468" s="305"/>
      <c r="CP468" s="305"/>
      <c r="CQ468" s="305"/>
      <c r="CR468" s="305"/>
      <c r="CS468" s="305"/>
      <c r="CT468" s="305"/>
      <c r="CU468" s="305"/>
      <c r="CV468" s="305"/>
      <c r="CW468" s="305"/>
      <c r="CX468" s="305"/>
      <c r="CY468" s="305"/>
      <c r="CZ468" s="305"/>
      <c r="DA468" s="305"/>
      <c r="DB468" s="305"/>
      <c r="DC468" s="305"/>
      <c r="DD468" s="305"/>
      <c r="DE468" s="305"/>
      <c r="DF468" s="305"/>
      <c r="DG468" s="305"/>
      <c r="DH468" s="305"/>
      <c r="DI468" s="305"/>
      <c r="DJ468" s="305"/>
      <c r="DK468" s="305"/>
      <c r="DL468" s="305"/>
      <c r="DM468" s="305"/>
      <c r="DN468" s="305"/>
      <c r="DO468" s="305"/>
      <c r="DP468" s="305"/>
      <c r="DQ468" s="305"/>
      <c r="DR468" s="305"/>
      <c r="DS468" s="305"/>
      <c r="DT468" s="305"/>
      <c r="DU468" s="305"/>
      <c r="DV468" s="305"/>
      <c r="DW468" s="305"/>
      <c r="DX468" s="305"/>
      <c r="DY468" s="305"/>
      <c r="DZ468" s="305"/>
      <c r="EA468" s="305"/>
      <c r="EB468" s="305"/>
      <c r="EC468" s="305"/>
      <c r="ED468" s="305"/>
      <c r="EE468" s="305"/>
      <c r="EF468" s="305"/>
      <c r="EG468" s="305"/>
      <c r="EH468" s="305"/>
      <c r="EI468" s="305"/>
      <c r="EJ468" s="305"/>
      <c r="EK468" s="305"/>
      <c r="EL468" s="305"/>
      <c r="EM468" s="305"/>
      <c r="EN468" s="305"/>
      <c r="EO468" s="305"/>
      <c r="EP468" s="305"/>
      <c r="EQ468" s="305"/>
      <c r="ER468" s="305"/>
      <c r="ES468" s="305"/>
      <c r="ET468" s="305"/>
      <c r="EU468" s="305"/>
      <c r="EV468" s="305"/>
      <c r="EW468" s="305"/>
      <c r="EX468" s="305"/>
      <c r="EY468" s="305"/>
      <c r="EZ468" s="305"/>
      <c r="FA468" s="305"/>
      <c r="FB468" s="305"/>
      <c r="FC468" s="305"/>
      <c r="FD468" s="305"/>
      <c r="FE468" s="305"/>
      <c r="FF468" s="305"/>
      <c r="FG468" s="305"/>
      <c r="FH468" s="305"/>
      <c r="FI468" s="305"/>
      <c r="FJ468" s="305"/>
      <c r="FK468" s="305"/>
      <c r="FL468" s="305"/>
      <c r="FM468" s="305"/>
      <c r="FN468" s="305"/>
      <c r="FO468" s="305"/>
      <c r="FP468" s="305"/>
      <c r="FQ468" s="305"/>
      <c r="FR468" s="305"/>
      <c r="FS468" s="305"/>
      <c r="FT468" s="305"/>
      <c r="FU468" s="305"/>
      <c r="FV468" s="305"/>
      <c r="FW468" s="305"/>
      <c r="FX468" s="305"/>
      <c r="FY468" s="305"/>
      <c r="FZ468" s="305"/>
      <c r="GA468" s="305"/>
      <c r="GB468" s="305"/>
      <c r="GC468" s="305"/>
      <c r="GD468" s="305"/>
      <c r="GE468" s="305"/>
      <c r="GF468" s="305"/>
      <c r="GG468" s="305"/>
      <c r="GH468" s="305"/>
      <c r="GI468" s="305"/>
      <c r="GJ468" s="305"/>
      <c r="GK468" s="305"/>
      <c r="GL468" s="305"/>
      <c r="GM468" s="305"/>
      <c r="GN468" s="305"/>
      <c r="GO468" s="305"/>
      <c r="GP468" s="305"/>
      <c r="GQ468" s="305"/>
      <c r="GR468" s="305"/>
    </row>
    <row r="469" spans="3:200" s="318" customFormat="1" ht="12.75" customHeight="1" x14ac:dyDescent="0.2">
      <c r="C469" s="367"/>
      <c r="D469" s="403"/>
      <c r="E469" s="369"/>
      <c r="F469" s="369"/>
      <c r="G469" s="369"/>
      <c r="H469" s="369"/>
      <c r="I469" s="370"/>
      <c r="J469"/>
      <c r="K469" s="371"/>
      <c r="L469" s="371"/>
      <c r="M469" s="371"/>
      <c r="N469" s="371"/>
      <c r="O469" s="305"/>
      <c r="P469" s="305"/>
      <c r="Q469" s="305"/>
      <c r="R469" s="305"/>
      <c r="S469" s="305"/>
      <c r="T469" s="305"/>
      <c r="U469" s="305"/>
      <c r="V469" s="305"/>
      <c r="W469" s="305"/>
      <c r="X469" s="305"/>
      <c r="Y469" s="305"/>
      <c r="Z469" s="305"/>
      <c r="AA469" s="305"/>
      <c r="AB469" s="305"/>
      <c r="AC469" s="305"/>
      <c r="AD469" s="305"/>
      <c r="AE469" s="305"/>
      <c r="AF469" s="305"/>
      <c r="AG469" s="305"/>
      <c r="AH469" s="305"/>
      <c r="AI469" s="305"/>
      <c r="AJ469" s="305"/>
      <c r="AK469" s="305"/>
      <c r="AL469" s="305"/>
      <c r="AM469" s="305"/>
      <c r="AN469" s="305"/>
      <c r="AO469" s="305"/>
      <c r="AP469" s="305"/>
      <c r="AQ469" s="305"/>
      <c r="AR469" s="305"/>
      <c r="AS469" s="305"/>
      <c r="AT469" s="305"/>
      <c r="AU469" s="305"/>
      <c r="AV469" s="305"/>
      <c r="AW469" s="305"/>
      <c r="AX469" s="305"/>
      <c r="AY469" s="305"/>
      <c r="AZ469" s="305"/>
      <c r="BA469" s="305"/>
      <c r="BB469" s="305"/>
      <c r="BC469" s="305"/>
      <c r="BD469" s="305"/>
      <c r="BE469" s="305"/>
      <c r="BF469" s="305"/>
      <c r="BG469" s="305"/>
      <c r="BH469" s="305"/>
      <c r="BI469" s="305"/>
      <c r="BJ469" s="305"/>
      <c r="BK469" s="305"/>
      <c r="BL469" s="305"/>
      <c r="BM469" s="305"/>
      <c r="BN469" s="305"/>
      <c r="BO469" s="305"/>
      <c r="BP469" s="305"/>
      <c r="BQ469" s="305"/>
      <c r="BR469" s="305"/>
      <c r="BS469" s="305"/>
      <c r="BT469" s="305"/>
      <c r="BU469" s="305"/>
      <c r="BV469" s="305"/>
      <c r="BW469" s="305"/>
      <c r="BX469" s="305"/>
      <c r="BY469" s="305"/>
      <c r="BZ469" s="305"/>
      <c r="CA469" s="305"/>
      <c r="CB469" s="305"/>
      <c r="CC469" s="305"/>
      <c r="CD469" s="305"/>
      <c r="CE469" s="305"/>
      <c r="CF469" s="305"/>
      <c r="CG469" s="305"/>
      <c r="CH469" s="305"/>
      <c r="CI469" s="305"/>
      <c r="CJ469" s="305"/>
      <c r="CK469" s="305"/>
      <c r="CL469" s="305"/>
      <c r="CM469" s="305"/>
      <c r="CN469" s="305"/>
      <c r="CO469" s="305"/>
      <c r="CP469" s="305"/>
      <c r="CQ469" s="305"/>
      <c r="CR469" s="305"/>
      <c r="CS469" s="305"/>
      <c r="CT469" s="305"/>
      <c r="CU469" s="305"/>
      <c r="CV469" s="305"/>
      <c r="CW469" s="305"/>
      <c r="CX469" s="305"/>
      <c r="CY469" s="305"/>
      <c r="CZ469" s="305"/>
      <c r="DA469" s="305"/>
      <c r="DB469" s="305"/>
      <c r="DC469" s="305"/>
      <c r="DD469" s="305"/>
      <c r="DE469" s="305"/>
      <c r="DF469" s="305"/>
      <c r="DG469" s="305"/>
      <c r="DH469" s="305"/>
      <c r="DI469" s="305"/>
      <c r="DJ469" s="305"/>
      <c r="DK469" s="305"/>
      <c r="DL469" s="305"/>
      <c r="DM469" s="305"/>
      <c r="DN469" s="305"/>
      <c r="DO469" s="305"/>
      <c r="DP469" s="305"/>
      <c r="DQ469" s="305"/>
      <c r="DR469" s="305"/>
      <c r="DS469" s="305"/>
      <c r="DT469" s="305"/>
      <c r="DU469" s="305"/>
      <c r="DV469" s="305"/>
      <c r="DW469" s="305"/>
      <c r="DX469" s="305"/>
      <c r="DY469" s="305"/>
      <c r="DZ469" s="305"/>
      <c r="EA469" s="305"/>
      <c r="EB469" s="305"/>
      <c r="EC469" s="305"/>
      <c r="ED469" s="305"/>
      <c r="EE469" s="305"/>
      <c r="EF469" s="305"/>
      <c r="EG469" s="305"/>
      <c r="EH469" s="305"/>
      <c r="EI469" s="305"/>
      <c r="EJ469" s="305"/>
      <c r="EK469" s="305"/>
      <c r="EL469" s="305"/>
      <c r="EM469" s="305"/>
      <c r="EN469" s="305"/>
      <c r="EO469" s="305"/>
      <c r="EP469" s="305"/>
      <c r="EQ469" s="305"/>
      <c r="ER469" s="305"/>
      <c r="ES469" s="305"/>
      <c r="ET469" s="305"/>
      <c r="EU469" s="305"/>
      <c r="EV469" s="305"/>
      <c r="EW469" s="305"/>
      <c r="EX469" s="305"/>
      <c r="EY469" s="305"/>
      <c r="EZ469" s="305"/>
      <c r="FA469" s="305"/>
      <c r="FB469" s="305"/>
      <c r="FC469" s="305"/>
      <c r="FD469" s="305"/>
      <c r="FE469" s="305"/>
      <c r="FF469" s="305"/>
      <c r="FG469" s="305"/>
      <c r="FH469" s="305"/>
      <c r="FI469" s="305"/>
      <c r="FJ469" s="305"/>
      <c r="FK469" s="305"/>
      <c r="FL469" s="305"/>
      <c r="FM469" s="305"/>
      <c r="FN469" s="305"/>
      <c r="FO469" s="305"/>
      <c r="FP469" s="305"/>
      <c r="FQ469" s="305"/>
      <c r="FR469" s="305"/>
      <c r="FS469" s="305"/>
      <c r="FT469" s="305"/>
      <c r="FU469" s="305"/>
      <c r="FV469" s="305"/>
      <c r="FW469" s="305"/>
      <c r="FX469" s="305"/>
      <c r="FY469" s="305"/>
      <c r="FZ469" s="305"/>
      <c r="GA469" s="305"/>
      <c r="GB469" s="305"/>
      <c r="GC469" s="305"/>
      <c r="GD469" s="305"/>
      <c r="GE469" s="305"/>
      <c r="GF469" s="305"/>
      <c r="GG469" s="305"/>
      <c r="GH469" s="305"/>
      <c r="GI469" s="305"/>
      <c r="GJ469" s="305"/>
      <c r="GK469" s="305"/>
      <c r="GL469" s="305"/>
      <c r="GM469" s="305"/>
      <c r="GN469" s="305"/>
      <c r="GO469" s="305"/>
      <c r="GP469" s="305"/>
      <c r="GQ469" s="305"/>
      <c r="GR469" s="305"/>
    </row>
    <row r="470" spans="3:200" s="318" customFormat="1" ht="12.75" customHeight="1" x14ac:dyDescent="0.2">
      <c r="C470" s="367"/>
      <c r="D470" s="403"/>
      <c r="E470" s="369"/>
      <c r="F470" s="369"/>
      <c r="G470" s="369"/>
      <c r="H470" s="369"/>
      <c r="I470" s="370"/>
      <c r="J470"/>
      <c r="K470" s="371"/>
      <c r="L470" s="371"/>
      <c r="M470" s="371"/>
      <c r="N470" s="371"/>
      <c r="O470" s="305"/>
      <c r="P470" s="305"/>
      <c r="Q470" s="305"/>
      <c r="R470" s="305"/>
      <c r="S470" s="305"/>
      <c r="T470" s="305"/>
      <c r="U470" s="305"/>
      <c r="V470" s="305"/>
      <c r="W470" s="305"/>
      <c r="X470" s="305"/>
      <c r="Y470" s="305"/>
      <c r="Z470" s="305"/>
      <c r="AA470" s="305"/>
      <c r="AB470" s="305"/>
      <c r="AC470" s="305"/>
      <c r="AD470" s="305"/>
      <c r="AE470" s="305"/>
      <c r="AF470" s="305"/>
      <c r="AG470" s="305"/>
      <c r="AH470" s="305"/>
      <c r="AI470" s="305"/>
      <c r="AJ470" s="305"/>
      <c r="AK470" s="305"/>
      <c r="AL470" s="305"/>
      <c r="AM470" s="305"/>
      <c r="AN470" s="305"/>
      <c r="AO470" s="305"/>
      <c r="AP470" s="305"/>
      <c r="AQ470" s="305"/>
      <c r="AR470" s="305"/>
      <c r="AS470" s="305"/>
      <c r="AT470" s="305"/>
      <c r="AU470" s="305"/>
      <c r="AV470" s="305"/>
      <c r="AW470" s="305"/>
      <c r="AX470" s="305"/>
      <c r="AY470" s="305"/>
      <c r="AZ470" s="305"/>
      <c r="BA470" s="305"/>
      <c r="BB470" s="305"/>
      <c r="BC470" s="305"/>
      <c r="BD470" s="305"/>
      <c r="BE470" s="305"/>
      <c r="BF470" s="305"/>
      <c r="BG470" s="305"/>
      <c r="BH470" s="305"/>
      <c r="BI470" s="305"/>
      <c r="BJ470" s="305"/>
      <c r="BK470" s="305"/>
      <c r="BL470" s="305"/>
      <c r="BM470" s="305"/>
      <c r="BN470" s="305"/>
      <c r="BO470" s="305"/>
      <c r="BP470" s="305"/>
      <c r="BQ470" s="305"/>
      <c r="BR470" s="305"/>
      <c r="BS470" s="305"/>
      <c r="BT470" s="305"/>
      <c r="BU470" s="305"/>
      <c r="BV470" s="305"/>
      <c r="BW470" s="305"/>
      <c r="BX470" s="305"/>
      <c r="BY470" s="305"/>
      <c r="BZ470" s="305"/>
      <c r="CA470" s="305"/>
      <c r="CB470" s="305"/>
      <c r="CC470" s="305"/>
      <c r="CD470" s="305"/>
      <c r="CE470" s="305"/>
      <c r="CF470" s="305"/>
      <c r="CG470" s="305"/>
      <c r="CH470" s="305"/>
      <c r="CI470" s="305"/>
      <c r="CJ470" s="305"/>
      <c r="CK470" s="305"/>
      <c r="CL470" s="305"/>
      <c r="CM470" s="305"/>
      <c r="CN470" s="305"/>
      <c r="CO470" s="305"/>
      <c r="CP470" s="305"/>
      <c r="CQ470" s="305"/>
      <c r="CR470" s="305"/>
      <c r="CS470" s="305"/>
      <c r="CT470" s="305"/>
      <c r="CU470" s="305"/>
      <c r="CV470" s="305"/>
      <c r="CW470" s="305"/>
      <c r="CX470" s="305"/>
      <c r="CY470" s="305"/>
      <c r="CZ470" s="305"/>
      <c r="DA470" s="305"/>
      <c r="DB470" s="305"/>
      <c r="DC470" s="305"/>
      <c r="DD470" s="305"/>
      <c r="DE470" s="305"/>
      <c r="DF470" s="305"/>
      <c r="DG470" s="305"/>
      <c r="DH470" s="305"/>
      <c r="DI470" s="305"/>
      <c r="DJ470" s="305"/>
      <c r="DK470" s="305"/>
      <c r="DL470" s="305"/>
      <c r="DM470" s="305"/>
      <c r="DN470" s="305"/>
      <c r="DO470" s="305"/>
      <c r="DP470" s="305"/>
      <c r="DQ470" s="305"/>
      <c r="DR470" s="305"/>
      <c r="DS470" s="305"/>
      <c r="DT470" s="305"/>
      <c r="DU470" s="305"/>
      <c r="DV470" s="305"/>
      <c r="DW470" s="305"/>
      <c r="DX470" s="305"/>
      <c r="DY470" s="305"/>
      <c r="DZ470" s="305"/>
      <c r="EA470" s="305"/>
      <c r="EB470" s="305"/>
      <c r="EC470" s="305"/>
      <c r="ED470" s="305"/>
      <c r="EE470" s="305"/>
      <c r="EF470" s="305"/>
      <c r="EG470" s="305"/>
      <c r="EH470" s="305"/>
      <c r="EI470" s="305"/>
      <c r="EJ470" s="305"/>
      <c r="EK470" s="305"/>
      <c r="EL470" s="305"/>
      <c r="EM470" s="305"/>
      <c r="EN470" s="305"/>
      <c r="EO470" s="305"/>
      <c r="EP470" s="305"/>
      <c r="EQ470" s="305"/>
      <c r="ER470" s="305"/>
      <c r="ES470" s="305"/>
      <c r="ET470" s="305"/>
      <c r="EU470" s="305"/>
      <c r="EV470" s="305"/>
      <c r="EW470" s="305"/>
      <c r="EX470" s="305"/>
      <c r="EY470" s="305"/>
      <c r="EZ470" s="305"/>
      <c r="FA470" s="305"/>
      <c r="FB470" s="305"/>
      <c r="FC470" s="305"/>
      <c r="FD470" s="305"/>
      <c r="FE470" s="305"/>
      <c r="FF470" s="305"/>
      <c r="FG470" s="305"/>
      <c r="FH470" s="305"/>
      <c r="FI470" s="305"/>
      <c r="FJ470" s="305"/>
      <c r="FK470" s="305"/>
      <c r="FL470" s="305"/>
      <c r="FM470" s="305"/>
      <c r="FN470" s="305"/>
      <c r="FO470" s="305"/>
      <c r="FP470" s="305"/>
      <c r="FQ470" s="305"/>
      <c r="FR470" s="305"/>
      <c r="FS470" s="305"/>
      <c r="FT470" s="305"/>
      <c r="FU470" s="305"/>
      <c r="FV470" s="305"/>
      <c r="FW470" s="305"/>
      <c r="FX470" s="305"/>
      <c r="FY470" s="305"/>
      <c r="FZ470" s="305"/>
      <c r="GA470" s="305"/>
      <c r="GB470" s="305"/>
      <c r="GC470" s="305"/>
      <c r="GD470" s="305"/>
      <c r="GE470" s="305"/>
      <c r="GF470" s="305"/>
      <c r="GG470" s="305"/>
      <c r="GH470" s="305"/>
      <c r="GI470" s="305"/>
      <c r="GJ470" s="305"/>
      <c r="GK470" s="305"/>
      <c r="GL470" s="305"/>
      <c r="GM470" s="305"/>
      <c r="GN470" s="305"/>
      <c r="GO470" s="305"/>
      <c r="GP470" s="305"/>
      <c r="GQ470" s="305"/>
      <c r="GR470" s="305"/>
    </row>
    <row r="471" spans="3:200" s="318" customFormat="1" ht="12.75" customHeight="1" x14ac:dyDescent="0.2">
      <c r="C471" s="367"/>
      <c r="D471" s="403"/>
      <c r="E471" s="369"/>
      <c r="F471" s="369"/>
      <c r="G471" s="369"/>
      <c r="H471" s="369"/>
      <c r="I471" s="370"/>
      <c r="J471"/>
      <c r="K471" s="371"/>
      <c r="L471" s="371"/>
      <c r="M471" s="371"/>
      <c r="N471" s="371"/>
      <c r="O471" s="305"/>
      <c r="P471" s="305"/>
      <c r="Q471" s="305"/>
      <c r="R471" s="305"/>
      <c r="S471" s="305"/>
      <c r="T471" s="305"/>
      <c r="U471" s="305"/>
      <c r="V471" s="305"/>
      <c r="W471" s="305"/>
      <c r="X471" s="305"/>
      <c r="Y471" s="305"/>
      <c r="Z471" s="305"/>
      <c r="AA471" s="305"/>
      <c r="AB471" s="305"/>
      <c r="AC471" s="305"/>
      <c r="AD471" s="305"/>
      <c r="AE471" s="305"/>
      <c r="AF471" s="305"/>
      <c r="AG471" s="305"/>
      <c r="AH471" s="305"/>
      <c r="AI471" s="305"/>
      <c r="AJ471" s="305"/>
      <c r="AK471" s="305"/>
      <c r="AL471" s="305"/>
      <c r="AM471" s="305"/>
      <c r="AN471" s="305"/>
      <c r="AO471" s="305"/>
      <c r="AP471" s="305"/>
      <c r="AQ471" s="305"/>
      <c r="AR471" s="305"/>
      <c r="AS471" s="305"/>
      <c r="AT471" s="305"/>
      <c r="AU471" s="305"/>
      <c r="AV471" s="305"/>
      <c r="AW471" s="305"/>
      <c r="AX471" s="305"/>
      <c r="AY471" s="305"/>
      <c r="AZ471" s="305"/>
      <c r="BA471" s="305"/>
      <c r="BB471" s="305"/>
      <c r="BC471" s="305"/>
      <c r="BD471" s="305"/>
      <c r="BE471" s="305"/>
      <c r="BF471" s="305"/>
      <c r="BG471" s="305"/>
      <c r="BH471" s="305"/>
      <c r="BI471" s="305"/>
      <c r="BJ471" s="305"/>
      <c r="BK471" s="305"/>
      <c r="BL471" s="305"/>
      <c r="BM471" s="305"/>
      <c r="BN471" s="305"/>
      <c r="BO471" s="305"/>
      <c r="BP471" s="305"/>
      <c r="BQ471" s="305"/>
      <c r="BR471" s="305"/>
      <c r="BS471" s="305"/>
      <c r="BT471" s="305"/>
      <c r="BU471" s="305"/>
      <c r="BV471" s="305"/>
      <c r="BW471" s="305"/>
      <c r="BX471" s="305"/>
      <c r="BY471" s="305"/>
      <c r="BZ471" s="305"/>
      <c r="CA471" s="305"/>
      <c r="CB471" s="305"/>
      <c r="CC471" s="305"/>
      <c r="CD471" s="305"/>
      <c r="CE471" s="305"/>
      <c r="CF471" s="305"/>
      <c r="CG471" s="305"/>
      <c r="CH471" s="305"/>
      <c r="CI471" s="305"/>
      <c r="CJ471" s="305"/>
      <c r="CK471" s="305"/>
      <c r="CL471" s="305"/>
      <c r="CM471" s="305"/>
      <c r="CN471" s="305"/>
      <c r="CO471" s="305"/>
      <c r="CP471" s="305"/>
      <c r="CQ471" s="305"/>
      <c r="CR471" s="305"/>
      <c r="CS471" s="305"/>
      <c r="CT471" s="305"/>
      <c r="CU471" s="305"/>
      <c r="CV471" s="305"/>
      <c r="CW471" s="305"/>
      <c r="CX471" s="305"/>
      <c r="CY471" s="305"/>
      <c r="CZ471" s="305"/>
      <c r="DA471" s="305"/>
      <c r="DB471" s="305"/>
      <c r="DC471" s="305"/>
      <c r="DD471" s="305"/>
      <c r="DE471" s="305"/>
      <c r="DF471" s="305"/>
      <c r="DG471" s="305"/>
      <c r="DH471" s="305"/>
      <c r="DI471" s="305"/>
      <c r="DJ471" s="305"/>
      <c r="DK471" s="305"/>
      <c r="DL471" s="305"/>
      <c r="DM471" s="305"/>
      <c r="DN471" s="305"/>
      <c r="DO471" s="305"/>
      <c r="DP471" s="305"/>
      <c r="DQ471" s="305"/>
      <c r="DR471" s="305"/>
      <c r="DS471" s="305"/>
      <c r="DT471" s="305"/>
      <c r="DU471" s="305"/>
      <c r="DV471" s="305"/>
      <c r="DW471" s="305"/>
      <c r="DX471" s="305"/>
      <c r="DY471" s="305"/>
      <c r="DZ471" s="305"/>
      <c r="EA471" s="305"/>
      <c r="EB471" s="305"/>
      <c r="EC471" s="305"/>
      <c r="ED471" s="305"/>
      <c r="EE471" s="305"/>
      <c r="EF471" s="305"/>
      <c r="EG471" s="305"/>
      <c r="EH471" s="305"/>
      <c r="EI471" s="305"/>
      <c r="EJ471" s="305"/>
      <c r="EK471" s="305"/>
      <c r="EL471" s="305"/>
      <c r="EM471" s="305"/>
      <c r="EN471" s="305"/>
      <c r="EO471" s="305"/>
      <c r="EP471" s="305"/>
      <c r="EQ471" s="305"/>
      <c r="ER471" s="305"/>
      <c r="ES471" s="305"/>
      <c r="ET471" s="305"/>
      <c r="EU471" s="305"/>
      <c r="EV471" s="305"/>
      <c r="EW471" s="305"/>
      <c r="EX471" s="305"/>
      <c r="EY471" s="305"/>
      <c r="EZ471" s="305"/>
      <c r="FA471" s="305"/>
      <c r="FB471" s="305"/>
      <c r="FC471" s="305"/>
      <c r="FD471" s="305"/>
      <c r="FE471" s="305"/>
      <c r="FF471" s="305"/>
      <c r="FG471" s="305"/>
      <c r="FH471" s="305"/>
      <c r="FI471" s="305"/>
      <c r="FJ471" s="305"/>
      <c r="FK471" s="305"/>
      <c r="FL471" s="305"/>
      <c r="FM471" s="305"/>
      <c r="FN471" s="305"/>
      <c r="FO471" s="305"/>
      <c r="FP471" s="305"/>
      <c r="FQ471" s="305"/>
      <c r="FR471" s="305"/>
      <c r="FS471" s="305"/>
      <c r="FT471" s="305"/>
      <c r="FU471" s="305"/>
      <c r="FV471" s="305"/>
      <c r="FW471" s="305"/>
      <c r="FX471" s="305"/>
      <c r="FY471" s="305"/>
      <c r="FZ471" s="305"/>
      <c r="GA471" s="305"/>
      <c r="GB471" s="305"/>
      <c r="GC471" s="305"/>
      <c r="GD471" s="305"/>
      <c r="GE471" s="305"/>
      <c r="GF471" s="305"/>
      <c r="GG471" s="305"/>
      <c r="GH471" s="305"/>
      <c r="GI471" s="305"/>
      <c r="GJ471" s="305"/>
      <c r="GK471" s="305"/>
      <c r="GL471" s="305"/>
      <c r="GM471" s="305"/>
      <c r="GN471" s="305"/>
      <c r="GO471" s="305"/>
      <c r="GP471" s="305"/>
      <c r="GQ471" s="305"/>
      <c r="GR471" s="305"/>
    </row>
    <row r="472" spans="3:200" s="318" customFormat="1" ht="12.75" customHeight="1" x14ac:dyDescent="0.2">
      <c r="C472" s="367"/>
      <c r="D472" s="403"/>
      <c r="E472" s="369"/>
      <c r="F472" s="369"/>
      <c r="G472" s="369"/>
      <c r="H472" s="369"/>
      <c r="I472" s="370"/>
      <c r="J472"/>
      <c r="K472" s="371"/>
      <c r="L472" s="371"/>
      <c r="M472" s="371"/>
      <c r="N472" s="371"/>
      <c r="O472" s="305"/>
      <c r="P472" s="305"/>
      <c r="Q472" s="305"/>
      <c r="R472" s="305"/>
      <c r="S472" s="305"/>
      <c r="T472" s="305"/>
      <c r="U472" s="305"/>
      <c r="V472" s="305"/>
      <c r="W472" s="305"/>
      <c r="X472" s="305"/>
      <c r="Y472" s="305"/>
      <c r="Z472" s="305"/>
      <c r="AA472" s="305"/>
      <c r="AB472" s="305"/>
      <c r="AC472" s="305"/>
      <c r="AD472" s="305"/>
      <c r="AE472" s="305"/>
      <c r="AF472" s="305"/>
      <c r="AG472" s="305"/>
      <c r="AH472" s="305"/>
      <c r="AI472" s="305"/>
      <c r="AJ472" s="305"/>
      <c r="AK472" s="305"/>
      <c r="AL472" s="305"/>
      <c r="AM472" s="305"/>
      <c r="AN472" s="305"/>
      <c r="AO472" s="305"/>
      <c r="AP472" s="305"/>
      <c r="AQ472" s="305"/>
      <c r="AR472" s="305"/>
      <c r="AS472" s="305"/>
      <c r="AT472" s="305"/>
      <c r="AU472" s="305"/>
      <c r="AV472" s="305"/>
      <c r="AW472" s="305"/>
      <c r="AX472" s="305"/>
      <c r="AY472" s="305"/>
      <c r="AZ472" s="305"/>
      <c r="BA472" s="305"/>
      <c r="BB472" s="305"/>
      <c r="BC472" s="305"/>
      <c r="BD472" s="305"/>
      <c r="BE472" s="305"/>
      <c r="BF472" s="305"/>
      <c r="BG472" s="305"/>
      <c r="BH472" s="305"/>
      <c r="BI472" s="305"/>
      <c r="BJ472" s="305"/>
      <c r="BK472" s="305"/>
      <c r="BL472" s="305"/>
      <c r="BM472" s="305"/>
      <c r="BN472" s="305"/>
      <c r="BO472" s="305"/>
      <c r="BP472" s="305"/>
      <c r="BQ472" s="305"/>
      <c r="BR472" s="305"/>
      <c r="BS472" s="305"/>
      <c r="BT472" s="305"/>
      <c r="BU472" s="305"/>
      <c r="BV472" s="305"/>
      <c r="BW472" s="305"/>
      <c r="BX472" s="305"/>
      <c r="BY472" s="305"/>
      <c r="BZ472" s="305"/>
      <c r="CA472" s="305"/>
      <c r="CB472" s="305"/>
      <c r="CC472" s="305"/>
      <c r="CD472" s="305"/>
      <c r="CE472" s="305"/>
      <c r="CF472" s="305"/>
      <c r="CG472" s="305"/>
      <c r="CH472" s="305"/>
      <c r="CI472" s="305"/>
      <c r="CJ472" s="305"/>
      <c r="CK472" s="305"/>
      <c r="CL472" s="305"/>
      <c r="CM472" s="305"/>
      <c r="CN472" s="305"/>
      <c r="CO472" s="305"/>
      <c r="CP472" s="305"/>
      <c r="CQ472" s="305"/>
      <c r="CR472" s="305"/>
      <c r="CS472" s="305"/>
      <c r="CT472" s="305"/>
      <c r="CU472" s="305"/>
      <c r="CV472" s="305"/>
      <c r="CW472" s="305"/>
      <c r="CX472" s="305"/>
      <c r="CY472" s="305"/>
      <c r="CZ472" s="305"/>
      <c r="DA472" s="305"/>
      <c r="DB472" s="305"/>
      <c r="DC472" s="305"/>
      <c r="DD472" s="305"/>
      <c r="DE472" s="305"/>
      <c r="DF472" s="305"/>
      <c r="DG472" s="305"/>
      <c r="DH472" s="305"/>
      <c r="DI472" s="305"/>
      <c r="DJ472" s="305"/>
      <c r="DK472" s="305"/>
      <c r="DL472" s="305"/>
      <c r="DM472" s="305"/>
      <c r="DN472" s="305"/>
      <c r="DO472" s="305"/>
      <c r="DP472" s="305"/>
      <c r="DQ472" s="305"/>
      <c r="DR472" s="305"/>
      <c r="DS472" s="305"/>
      <c r="DT472" s="305"/>
      <c r="DU472" s="305"/>
      <c r="DV472" s="305"/>
      <c r="DW472" s="305"/>
      <c r="DX472" s="305"/>
      <c r="DY472" s="305"/>
      <c r="DZ472" s="305"/>
      <c r="EA472" s="305"/>
      <c r="EB472" s="305"/>
      <c r="EC472" s="305"/>
      <c r="ED472" s="305"/>
      <c r="EE472" s="305"/>
      <c r="EF472" s="305"/>
      <c r="EG472" s="305"/>
      <c r="EH472" s="305"/>
      <c r="EI472" s="305"/>
      <c r="EJ472" s="305"/>
      <c r="EK472" s="305"/>
      <c r="EL472" s="305"/>
      <c r="EM472" s="305"/>
      <c r="EN472" s="305"/>
      <c r="EO472" s="305"/>
      <c r="EP472" s="305"/>
      <c r="EQ472" s="305"/>
      <c r="ER472" s="305"/>
      <c r="ES472" s="305"/>
      <c r="ET472" s="305"/>
      <c r="EU472" s="305"/>
      <c r="EV472" s="305"/>
      <c r="EW472" s="305"/>
      <c r="EX472" s="305"/>
      <c r="EY472" s="305"/>
      <c r="EZ472" s="305"/>
      <c r="FA472" s="305"/>
      <c r="FB472" s="305"/>
      <c r="FC472" s="305"/>
      <c r="FD472" s="305"/>
      <c r="FE472" s="305"/>
      <c r="FF472" s="305"/>
      <c r="FG472" s="305"/>
      <c r="FH472" s="305"/>
      <c r="FI472" s="305"/>
      <c r="FJ472" s="305"/>
      <c r="FK472" s="305"/>
      <c r="FL472" s="305"/>
      <c r="FM472" s="305"/>
      <c r="FN472" s="305"/>
      <c r="FO472" s="305"/>
      <c r="FP472" s="305"/>
      <c r="FQ472" s="305"/>
      <c r="FR472" s="305"/>
      <c r="FS472" s="305"/>
      <c r="FT472" s="305"/>
      <c r="FU472" s="305"/>
      <c r="FV472" s="305"/>
      <c r="FW472" s="305"/>
      <c r="FX472" s="305"/>
      <c r="FY472" s="305"/>
      <c r="FZ472" s="305"/>
      <c r="GA472" s="305"/>
      <c r="GB472" s="305"/>
      <c r="GC472" s="305"/>
      <c r="GD472" s="305"/>
      <c r="GE472" s="305"/>
      <c r="GF472" s="305"/>
      <c r="GG472" s="305"/>
      <c r="GH472" s="305"/>
      <c r="GI472" s="305"/>
      <c r="GJ472" s="305"/>
      <c r="GK472" s="305"/>
      <c r="GL472" s="305"/>
      <c r="GM472" s="305"/>
      <c r="GN472" s="305"/>
      <c r="GO472" s="305"/>
      <c r="GP472" s="305"/>
      <c r="GQ472" s="305"/>
      <c r="GR472" s="305"/>
    </row>
    <row r="473" spans="3:200" s="318" customFormat="1" ht="12.75" customHeight="1" x14ac:dyDescent="0.2">
      <c r="C473" s="367"/>
      <c r="D473" s="403"/>
      <c r="E473" s="369"/>
      <c r="F473" s="369"/>
      <c r="G473" s="369"/>
      <c r="H473" s="369"/>
      <c r="I473" s="370"/>
      <c r="J473"/>
      <c r="K473" s="371"/>
      <c r="L473" s="371"/>
      <c r="M473" s="371"/>
      <c r="N473" s="371"/>
      <c r="O473" s="305"/>
      <c r="P473" s="305"/>
      <c r="Q473" s="305"/>
      <c r="R473" s="305"/>
      <c r="S473" s="305"/>
      <c r="T473" s="305"/>
      <c r="U473" s="305"/>
      <c r="V473" s="305"/>
      <c r="W473" s="305"/>
      <c r="X473" s="305"/>
      <c r="Y473" s="305"/>
      <c r="Z473" s="305"/>
      <c r="AA473" s="305"/>
      <c r="AB473" s="305"/>
      <c r="AC473" s="305"/>
      <c r="AD473" s="305"/>
      <c r="AE473" s="305"/>
      <c r="AF473" s="305"/>
      <c r="AG473" s="305"/>
      <c r="AH473" s="305"/>
      <c r="AI473" s="305"/>
      <c r="AJ473" s="305"/>
      <c r="AK473" s="305"/>
      <c r="AL473" s="305"/>
      <c r="AM473" s="305"/>
      <c r="AN473" s="305"/>
      <c r="AO473" s="305"/>
      <c r="AP473" s="305"/>
      <c r="AQ473" s="305"/>
      <c r="AR473" s="305"/>
      <c r="AS473" s="305"/>
      <c r="AT473" s="305"/>
      <c r="AU473" s="305"/>
      <c r="AV473" s="305"/>
      <c r="AW473" s="305"/>
      <c r="AX473" s="305"/>
      <c r="AY473" s="305"/>
      <c r="AZ473" s="305"/>
      <c r="BA473" s="305"/>
      <c r="BB473" s="305"/>
      <c r="BC473" s="305"/>
      <c r="BD473" s="305"/>
      <c r="BE473" s="305"/>
      <c r="BF473" s="305"/>
      <c r="BG473" s="305"/>
      <c r="BH473" s="305"/>
      <c r="BI473" s="305"/>
      <c r="BJ473" s="305"/>
      <c r="BK473" s="305"/>
      <c r="BL473" s="305"/>
      <c r="BM473" s="305"/>
      <c r="BN473" s="305"/>
      <c r="BO473" s="305"/>
      <c r="BP473" s="305"/>
      <c r="BQ473" s="305"/>
      <c r="BR473" s="305"/>
      <c r="BS473" s="305"/>
      <c r="BT473" s="305"/>
      <c r="BU473" s="305"/>
      <c r="BV473" s="305"/>
      <c r="BW473" s="305"/>
      <c r="BX473" s="305"/>
      <c r="BY473" s="305"/>
      <c r="BZ473" s="305"/>
      <c r="CA473" s="305"/>
      <c r="CB473" s="305"/>
      <c r="CC473" s="305"/>
      <c r="CD473" s="305"/>
      <c r="CE473" s="305"/>
      <c r="CF473" s="305"/>
      <c r="CG473" s="305"/>
      <c r="CH473" s="305"/>
      <c r="CI473" s="305"/>
      <c r="CJ473" s="305"/>
      <c r="CK473" s="305"/>
      <c r="CL473" s="305"/>
      <c r="CM473" s="305"/>
      <c r="CN473" s="305"/>
      <c r="CO473" s="305"/>
      <c r="CP473" s="305"/>
      <c r="CQ473" s="305"/>
      <c r="CR473" s="305"/>
      <c r="CS473" s="305"/>
      <c r="CT473" s="305"/>
      <c r="CU473" s="305"/>
      <c r="CV473" s="305"/>
      <c r="CW473" s="305"/>
      <c r="CX473" s="305"/>
      <c r="CY473" s="305"/>
      <c r="CZ473" s="305"/>
      <c r="DA473" s="305"/>
      <c r="DB473" s="305"/>
      <c r="DC473" s="305"/>
      <c r="DD473" s="305"/>
      <c r="DE473" s="305"/>
      <c r="DF473" s="305"/>
      <c r="DG473" s="305"/>
      <c r="DH473" s="305"/>
      <c r="DI473" s="305"/>
      <c r="DJ473" s="305"/>
      <c r="DK473" s="305"/>
      <c r="DL473" s="305"/>
      <c r="DM473" s="305"/>
      <c r="DN473" s="305"/>
      <c r="DO473" s="305"/>
      <c r="DP473" s="305"/>
      <c r="DQ473" s="305"/>
      <c r="DR473" s="305"/>
      <c r="DS473" s="305"/>
      <c r="DT473" s="305"/>
      <c r="DU473" s="305"/>
      <c r="DV473" s="305"/>
      <c r="DW473" s="305"/>
      <c r="DX473" s="305"/>
      <c r="DY473" s="305"/>
      <c r="DZ473" s="305"/>
      <c r="EA473" s="305"/>
      <c r="EB473" s="305"/>
      <c r="EC473" s="305"/>
      <c r="ED473" s="305"/>
      <c r="EE473" s="305"/>
      <c r="EF473" s="305"/>
      <c r="EG473" s="305"/>
      <c r="EH473" s="305"/>
      <c r="EI473" s="305"/>
      <c r="EJ473" s="305"/>
      <c r="EK473" s="305"/>
      <c r="EL473" s="305"/>
      <c r="EM473" s="305"/>
      <c r="EN473" s="305"/>
      <c r="EO473" s="305"/>
      <c r="EP473" s="305"/>
      <c r="EQ473" s="305"/>
      <c r="ER473" s="305"/>
      <c r="ES473" s="305"/>
      <c r="ET473" s="305"/>
      <c r="EU473" s="305"/>
      <c r="EV473" s="305"/>
      <c r="EW473" s="305"/>
      <c r="EX473" s="305"/>
      <c r="EY473" s="305"/>
      <c r="EZ473" s="305"/>
      <c r="FA473" s="305"/>
      <c r="FB473" s="305"/>
      <c r="FC473" s="305"/>
      <c r="FD473" s="305"/>
      <c r="FE473" s="305"/>
      <c r="FF473" s="305"/>
      <c r="FG473" s="305"/>
      <c r="FH473" s="305"/>
      <c r="FI473" s="305"/>
      <c r="FJ473" s="305"/>
      <c r="FK473" s="305"/>
      <c r="FL473" s="305"/>
      <c r="FM473" s="305"/>
      <c r="FN473" s="305"/>
      <c r="FO473" s="305"/>
      <c r="FP473" s="305"/>
      <c r="FQ473" s="305"/>
      <c r="FR473" s="305"/>
      <c r="FS473" s="305"/>
      <c r="FT473" s="305"/>
      <c r="FU473" s="305"/>
      <c r="FV473" s="305"/>
      <c r="FW473" s="305"/>
      <c r="FX473" s="305"/>
      <c r="FY473" s="305"/>
      <c r="FZ473" s="305"/>
      <c r="GA473" s="305"/>
      <c r="GB473" s="305"/>
      <c r="GC473" s="305"/>
      <c r="GD473" s="305"/>
      <c r="GE473" s="305"/>
      <c r="GF473" s="305"/>
      <c r="GG473" s="305"/>
      <c r="GH473" s="305"/>
      <c r="GI473" s="305"/>
      <c r="GJ473" s="305"/>
      <c r="GK473" s="305"/>
      <c r="GL473" s="305"/>
      <c r="GM473" s="305"/>
      <c r="GN473" s="305"/>
      <c r="GO473" s="305"/>
      <c r="GP473" s="305"/>
      <c r="GQ473" s="305"/>
      <c r="GR473" s="305"/>
    </row>
    <row r="474" spans="3:200" s="318" customFormat="1" ht="12.75" customHeight="1" x14ac:dyDescent="0.2">
      <c r="C474" s="367"/>
      <c r="D474" s="403"/>
      <c r="E474" s="369"/>
      <c r="F474" s="369"/>
      <c r="G474" s="369"/>
      <c r="H474" s="369"/>
      <c r="I474" s="370"/>
      <c r="J474"/>
      <c r="K474" s="371"/>
      <c r="L474" s="371"/>
      <c r="M474" s="371"/>
      <c r="N474" s="371"/>
      <c r="O474" s="305"/>
      <c r="P474" s="305"/>
      <c r="Q474" s="305"/>
      <c r="R474" s="305"/>
      <c r="S474" s="305"/>
      <c r="T474" s="305"/>
      <c r="U474" s="305"/>
      <c r="V474" s="305"/>
      <c r="W474" s="305"/>
      <c r="X474" s="305"/>
      <c r="Y474" s="305"/>
      <c r="Z474" s="305"/>
      <c r="AA474" s="305"/>
      <c r="AB474" s="305"/>
      <c r="AC474" s="305"/>
      <c r="AD474" s="305"/>
      <c r="AE474" s="305"/>
      <c r="AF474" s="305"/>
      <c r="AG474" s="305"/>
      <c r="AH474" s="305"/>
      <c r="AI474" s="305"/>
      <c r="AJ474" s="305"/>
      <c r="AK474" s="305"/>
      <c r="AL474" s="305"/>
      <c r="AM474" s="305"/>
      <c r="AN474" s="305"/>
      <c r="AO474" s="305"/>
      <c r="AP474" s="305"/>
      <c r="AQ474" s="305"/>
      <c r="AR474" s="305"/>
      <c r="AS474" s="305"/>
      <c r="AT474" s="305"/>
      <c r="AU474" s="305"/>
      <c r="AV474" s="305"/>
      <c r="AW474" s="305"/>
      <c r="AX474" s="305"/>
      <c r="AY474" s="305"/>
      <c r="AZ474" s="305"/>
      <c r="BA474" s="305"/>
      <c r="BB474" s="305"/>
      <c r="BC474" s="305"/>
      <c r="BD474" s="305"/>
      <c r="BE474" s="305"/>
      <c r="BF474" s="305"/>
      <c r="BG474" s="305"/>
      <c r="BH474" s="305"/>
      <c r="BI474" s="305"/>
      <c r="BJ474" s="305"/>
      <c r="BK474" s="305"/>
      <c r="BL474" s="305"/>
      <c r="BM474" s="305"/>
      <c r="BN474" s="305"/>
      <c r="BO474" s="305"/>
      <c r="BP474" s="305"/>
      <c r="BQ474" s="305"/>
      <c r="BR474" s="305"/>
      <c r="BS474" s="305"/>
      <c r="BT474" s="305"/>
      <c r="BU474" s="305"/>
      <c r="BV474" s="305"/>
      <c r="BW474" s="305"/>
      <c r="BX474" s="305"/>
      <c r="BY474" s="305"/>
      <c r="BZ474" s="305"/>
      <c r="CA474" s="305"/>
      <c r="CB474" s="305"/>
      <c r="CC474" s="305"/>
      <c r="CD474" s="305"/>
      <c r="CE474" s="305"/>
      <c r="CF474" s="305"/>
      <c r="CG474" s="305"/>
      <c r="CH474" s="305"/>
      <c r="CI474" s="305"/>
      <c r="CJ474" s="305"/>
      <c r="CK474" s="305"/>
      <c r="CL474" s="305"/>
      <c r="CM474" s="305"/>
      <c r="CN474" s="305"/>
      <c r="CO474" s="305"/>
      <c r="CP474" s="305"/>
      <c r="CQ474" s="305"/>
      <c r="CR474" s="305"/>
      <c r="CS474" s="305"/>
      <c r="CT474" s="305"/>
      <c r="CU474" s="305"/>
      <c r="CV474" s="305"/>
      <c r="CW474" s="305"/>
      <c r="CX474" s="305"/>
      <c r="CY474" s="305"/>
      <c r="CZ474" s="305"/>
      <c r="DA474" s="305"/>
      <c r="DB474" s="305"/>
      <c r="DC474" s="305"/>
      <c r="DD474" s="305"/>
      <c r="DE474" s="305"/>
      <c r="DF474" s="305"/>
      <c r="DG474" s="305"/>
      <c r="DH474" s="305"/>
      <c r="DI474" s="305"/>
      <c r="DJ474" s="305"/>
      <c r="DK474" s="305"/>
      <c r="DL474" s="305"/>
      <c r="DM474" s="305"/>
      <c r="DN474" s="305"/>
      <c r="DO474" s="305"/>
      <c r="DP474" s="305"/>
      <c r="DQ474" s="305"/>
      <c r="DR474" s="305"/>
      <c r="DS474" s="305"/>
      <c r="DT474" s="305"/>
      <c r="DU474" s="305"/>
      <c r="DV474" s="305"/>
      <c r="DW474" s="305"/>
      <c r="DX474" s="305"/>
      <c r="DY474" s="305"/>
      <c r="DZ474" s="305"/>
      <c r="EA474" s="305"/>
      <c r="EB474" s="305"/>
      <c r="EC474" s="305"/>
      <c r="ED474" s="305"/>
      <c r="EE474" s="305"/>
      <c r="EF474" s="305"/>
      <c r="EG474" s="305"/>
      <c r="EH474" s="305"/>
      <c r="EI474" s="305"/>
      <c r="EJ474" s="305"/>
      <c r="EK474" s="305"/>
      <c r="EL474" s="305"/>
      <c r="EM474" s="305"/>
      <c r="EN474" s="305"/>
      <c r="EO474" s="305"/>
      <c r="EP474" s="305"/>
      <c r="EQ474" s="305"/>
      <c r="ER474" s="305"/>
      <c r="ES474" s="305"/>
      <c r="ET474" s="305"/>
      <c r="EU474" s="305"/>
      <c r="EV474" s="305"/>
      <c r="EW474" s="305"/>
      <c r="EX474" s="305"/>
      <c r="EY474" s="305"/>
      <c r="EZ474" s="305"/>
      <c r="FA474" s="305"/>
      <c r="FB474" s="305"/>
      <c r="FC474" s="305"/>
      <c r="FD474" s="305"/>
      <c r="FE474" s="305"/>
      <c r="FF474" s="305"/>
      <c r="FG474" s="305"/>
      <c r="FH474" s="305"/>
      <c r="FI474" s="305"/>
      <c r="FJ474" s="305"/>
      <c r="FK474" s="305"/>
      <c r="FL474" s="305"/>
      <c r="FM474" s="305"/>
      <c r="FN474" s="305"/>
      <c r="FO474" s="305"/>
      <c r="FP474" s="305"/>
      <c r="FQ474" s="305"/>
      <c r="FR474" s="305"/>
      <c r="FS474" s="305"/>
      <c r="FT474" s="305"/>
      <c r="FU474" s="305"/>
      <c r="FV474" s="305"/>
      <c r="FW474" s="305"/>
      <c r="FX474" s="305"/>
      <c r="FY474" s="305"/>
      <c r="FZ474" s="305"/>
      <c r="GA474" s="305"/>
      <c r="GB474" s="305"/>
      <c r="GC474" s="305"/>
      <c r="GD474" s="305"/>
      <c r="GE474" s="305"/>
      <c r="GF474" s="305"/>
      <c r="GG474" s="305"/>
      <c r="GH474" s="305"/>
      <c r="GI474" s="305"/>
      <c r="GJ474" s="305"/>
      <c r="GK474" s="305"/>
      <c r="GL474" s="305"/>
      <c r="GM474" s="305"/>
      <c r="GN474" s="305"/>
      <c r="GO474" s="305"/>
      <c r="GP474" s="305"/>
      <c r="GQ474" s="305"/>
      <c r="GR474" s="305"/>
    </row>
    <row r="475" spans="3:200" s="318" customFormat="1" ht="12.75" customHeight="1" x14ac:dyDescent="0.2">
      <c r="C475" s="367"/>
      <c r="D475" s="403"/>
      <c r="E475" s="369"/>
      <c r="F475" s="369"/>
      <c r="G475" s="369"/>
      <c r="H475" s="369"/>
      <c r="I475" s="370"/>
      <c r="J475"/>
      <c r="K475" s="371"/>
      <c r="L475" s="371"/>
      <c r="M475" s="371"/>
      <c r="N475" s="371"/>
      <c r="O475" s="305"/>
      <c r="P475" s="305"/>
      <c r="Q475" s="305"/>
      <c r="R475" s="305"/>
      <c r="S475" s="305"/>
      <c r="T475" s="305"/>
      <c r="U475" s="305"/>
      <c r="V475" s="305"/>
      <c r="W475" s="305"/>
      <c r="X475" s="305"/>
      <c r="Y475" s="305"/>
      <c r="Z475" s="305"/>
      <c r="AA475" s="305"/>
      <c r="AB475" s="305"/>
      <c r="AC475" s="305"/>
      <c r="AD475" s="305"/>
      <c r="AE475" s="305"/>
      <c r="AF475" s="305"/>
      <c r="AG475" s="305"/>
      <c r="AH475" s="305"/>
      <c r="AI475" s="305"/>
      <c r="AJ475" s="305"/>
      <c r="AK475" s="305"/>
      <c r="AL475" s="305"/>
      <c r="AM475" s="305"/>
      <c r="AN475" s="305"/>
      <c r="AO475" s="305"/>
      <c r="AP475" s="305"/>
      <c r="AQ475" s="305"/>
      <c r="AR475" s="305"/>
      <c r="AS475" s="305"/>
      <c r="AT475" s="305"/>
      <c r="AU475" s="305"/>
      <c r="AV475" s="305"/>
      <c r="AW475" s="305"/>
      <c r="AX475" s="305"/>
      <c r="AY475" s="305"/>
      <c r="AZ475" s="305"/>
      <c r="BA475" s="305"/>
      <c r="BB475" s="305"/>
      <c r="BC475" s="305"/>
      <c r="BD475" s="305"/>
      <c r="BE475" s="305"/>
      <c r="BF475" s="305"/>
      <c r="BG475" s="305"/>
      <c r="BH475" s="305"/>
      <c r="BI475" s="305"/>
      <c r="BJ475" s="305"/>
      <c r="BK475" s="305"/>
      <c r="BL475" s="305"/>
      <c r="BM475" s="305"/>
      <c r="BN475" s="305"/>
      <c r="BO475" s="305"/>
      <c r="BP475" s="305"/>
      <c r="BQ475" s="305"/>
      <c r="BR475" s="305"/>
      <c r="BS475" s="305"/>
      <c r="BT475" s="305"/>
      <c r="BU475" s="305"/>
      <c r="BV475" s="305"/>
      <c r="BW475" s="305"/>
      <c r="BX475" s="305"/>
      <c r="BY475" s="305"/>
      <c r="BZ475" s="305"/>
      <c r="CA475" s="305"/>
      <c r="CB475" s="305"/>
      <c r="CC475" s="305"/>
      <c r="CD475" s="305"/>
      <c r="CE475" s="305"/>
      <c r="CF475" s="305"/>
      <c r="CG475" s="305"/>
      <c r="CH475" s="305"/>
      <c r="CI475" s="305"/>
      <c r="CJ475" s="305"/>
      <c r="CK475" s="305"/>
      <c r="CL475" s="305"/>
      <c r="CM475" s="305"/>
      <c r="CN475" s="305"/>
      <c r="CO475" s="305"/>
      <c r="CP475" s="305"/>
      <c r="CQ475" s="305"/>
      <c r="CR475" s="305"/>
      <c r="CS475" s="305"/>
      <c r="CT475" s="305"/>
      <c r="CU475" s="305"/>
      <c r="CV475" s="305"/>
      <c r="CW475" s="305"/>
      <c r="CX475" s="305"/>
      <c r="CY475" s="305"/>
      <c r="CZ475" s="305"/>
      <c r="DA475" s="305"/>
      <c r="DB475" s="305"/>
      <c r="DC475" s="305"/>
      <c r="DD475" s="305"/>
      <c r="DE475" s="305"/>
      <c r="DF475" s="305"/>
      <c r="DG475" s="305"/>
      <c r="DH475" s="305"/>
      <c r="DI475" s="305"/>
      <c r="DJ475" s="305"/>
      <c r="DK475" s="305"/>
      <c r="DL475" s="305"/>
      <c r="DM475" s="305"/>
      <c r="DN475" s="305"/>
      <c r="DO475" s="305"/>
      <c r="DP475" s="305"/>
      <c r="DQ475" s="305"/>
      <c r="DR475" s="305"/>
      <c r="DS475" s="305"/>
      <c r="DT475" s="305"/>
      <c r="DU475" s="305"/>
      <c r="DV475" s="305"/>
      <c r="DW475" s="305"/>
      <c r="DX475" s="305"/>
      <c r="DY475" s="305"/>
      <c r="DZ475" s="305"/>
      <c r="EA475" s="305"/>
      <c r="EB475" s="305"/>
      <c r="EC475" s="305"/>
      <c r="ED475" s="305"/>
      <c r="EE475" s="305"/>
      <c r="EF475" s="305"/>
      <c r="EG475" s="305"/>
      <c r="EH475" s="305"/>
      <c r="EI475" s="305"/>
      <c r="EJ475" s="305"/>
      <c r="EK475" s="305"/>
      <c r="EL475" s="305"/>
      <c r="EM475" s="305"/>
      <c r="EN475" s="305"/>
      <c r="EO475" s="305"/>
      <c r="EP475" s="305"/>
      <c r="EQ475" s="305"/>
      <c r="ER475" s="305"/>
      <c r="ES475" s="305"/>
      <c r="ET475" s="305"/>
      <c r="EU475" s="305"/>
      <c r="EV475" s="305"/>
      <c r="EW475" s="305"/>
      <c r="EX475" s="305"/>
      <c r="EY475" s="305"/>
      <c r="EZ475" s="305"/>
      <c r="FA475" s="305"/>
      <c r="FB475" s="305"/>
      <c r="FC475" s="305"/>
      <c r="FD475" s="305"/>
      <c r="FE475" s="305"/>
      <c r="FF475" s="305"/>
      <c r="FG475" s="305"/>
      <c r="FH475" s="305"/>
      <c r="FI475" s="305"/>
      <c r="FJ475" s="305"/>
      <c r="FK475" s="305"/>
      <c r="FL475" s="305"/>
      <c r="FM475" s="305"/>
      <c r="FN475" s="305"/>
      <c r="FO475" s="305"/>
      <c r="FP475" s="305"/>
      <c r="FQ475" s="305"/>
      <c r="FR475" s="305"/>
      <c r="FS475" s="305"/>
      <c r="FT475" s="305"/>
      <c r="FU475" s="305"/>
      <c r="FV475" s="305"/>
      <c r="FW475" s="305"/>
      <c r="FX475" s="305"/>
      <c r="FY475" s="305"/>
      <c r="FZ475" s="305"/>
      <c r="GA475" s="305"/>
      <c r="GB475" s="305"/>
      <c r="GC475" s="305"/>
      <c r="GD475" s="305"/>
      <c r="GE475" s="305"/>
      <c r="GF475" s="305"/>
      <c r="GG475" s="305"/>
      <c r="GH475" s="305"/>
      <c r="GI475" s="305"/>
      <c r="GJ475" s="305"/>
      <c r="GK475" s="305"/>
      <c r="GL475" s="305"/>
      <c r="GM475" s="305"/>
      <c r="GN475" s="305"/>
      <c r="GO475" s="305"/>
      <c r="GP475" s="305"/>
      <c r="GQ475" s="305"/>
      <c r="GR475" s="305"/>
    </row>
    <row r="476" spans="3:200" s="318" customFormat="1" ht="12.75" customHeight="1" x14ac:dyDescent="0.2">
      <c r="C476" s="367"/>
      <c r="D476" s="403"/>
      <c r="E476" s="369"/>
      <c r="F476" s="369"/>
      <c r="G476" s="369"/>
      <c r="H476" s="369"/>
      <c r="I476" s="370"/>
      <c r="J476"/>
      <c r="K476" s="371"/>
      <c r="L476" s="371"/>
      <c r="M476" s="371"/>
      <c r="N476" s="371"/>
      <c r="O476" s="305"/>
      <c r="P476" s="305"/>
      <c r="Q476" s="305"/>
      <c r="R476" s="305"/>
      <c r="S476" s="305"/>
      <c r="T476" s="305"/>
      <c r="U476" s="305"/>
      <c r="V476" s="305"/>
      <c r="W476" s="305"/>
      <c r="X476" s="305"/>
      <c r="Y476" s="305"/>
      <c r="Z476" s="305"/>
      <c r="AA476" s="305"/>
      <c r="AB476" s="305"/>
      <c r="AC476" s="305"/>
      <c r="AD476" s="305"/>
      <c r="AE476" s="305"/>
      <c r="AF476" s="305"/>
      <c r="AG476" s="305"/>
      <c r="AH476" s="305"/>
      <c r="AI476" s="305"/>
      <c r="AJ476" s="305"/>
      <c r="AK476" s="305"/>
      <c r="AL476" s="305"/>
      <c r="AM476" s="305"/>
      <c r="AN476" s="305"/>
      <c r="AO476" s="305"/>
      <c r="AP476" s="305"/>
      <c r="AQ476" s="305"/>
      <c r="AR476" s="305"/>
      <c r="AS476" s="305"/>
      <c r="AT476" s="305"/>
      <c r="AU476" s="305"/>
      <c r="AV476" s="305"/>
      <c r="AW476" s="305"/>
      <c r="AX476" s="305"/>
      <c r="AY476" s="305"/>
      <c r="AZ476" s="305"/>
      <c r="BA476" s="305"/>
      <c r="BB476" s="305"/>
      <c r="BC476" s="305"/>
      <c r="BD476" s="305"/>
      <c r="BE476" s="305"/>
      <c r="BF476" s="305"/>
      <c r="BG476" s="305"/>
      <c r="BH476" s="305"/>
      <c r="BI476" s="305"/>
      <c r="BJ476" s="305"/>
      <c r="BK476" s="305"/>
      <c r="BL476" s="305"/>
      <c r="BM476" s="305"/>
      <c r="BN476" s="305"/>
      <c r="BO476" s="305"/>
      <c r="BP476" s="305"/>
      <c r="BQ476" s="305"/>
      <c r="BR476" s="305"/>
      <c r="BS476" s="305"/>
      <c r="BT476" s="305"/>
      <c r="BU476" s="305"/>
      <c r="BV476" s="305"/>
      <c r="BW476" s="305"/>
      <c r="BX476" s="305"/>
      <c r="BY476" s="305"/>
      <c r="BZ476" s="305"/>
      <c r="CA476" s="305"/>
      <c r="CB476" s="305"/>
      <c r="CC476" s="305"/>
      <c r="CD476" s="305"/>
      <c r="CE476" s="305"/>
      <c r="CF476" s="305"/>
      <c r="CG476" s="305"/>
      <c r="CH476" s="305"/>
      <c r="CI476" s="305"/>
      <c r="CJ476" s="305"/>
      <c r="CK476" s="305"/>
      <c r="CL476" s="305"/>
      <c r="CM476" s="305"/>
      <c r="CN476" s="305"/>
      <c r="CO476" s="305"/>
      <c r="CP476" s="305"/>
      <c r="CQ476" s="305"/>
      <c r="CR476" s="305"/>
      <c r="CS476" s="305"/>
      <c r="CT476" s="305"/>
      <c r="CU476" s="305"/>
      <c r="CV476" s="305"/>
      <c r="CW476" s="305"/>
      <c r="CX476" s="305"/>
      <c r="CY476" s="305"/>
      <c r="CZ476" s="305"/>
      <c r="DA476" s="305"/>
      <c r="DB476" s="305"/>
      <c r="DC476" s="305"/>
      <c r="DD476" s="305"/>
      <c r="DE476" s="305"/>
      <c r="DF476" s="305"/>
      <c r="DG476" s="305"/>
      <c r="DH476" s="305"/>
      <c r="DI476" s="305"/>
      <c r="DJ476" s="305"/>
      <c r="DK476" s="305"/>
      <c r="DL476" s="305"/>
      <c r="DM476" s="305"/>
      <c r="DN476" s="305"/>
      <c r="DO476" s="305"/>
      <c r="DP476" s="305"/>
      <c r="DQ476" s="305"/>
      <c r="DR476" s="305"/>
      <c r="DS476" s="305"/>
      <c r="DT476" s="305"/>
      <c r="DU476" s="305"/>
      <c r="DV476" s="305"/>
      <c r="DW476" s="305"/>
      <c r="DX476" s="305"/>
      <c r="DY476" s="305"/>
      <c r="DZ476" s="305"/>
      <c r="EA476" s="305"/>
      <c r="EB476" s="305"/>
      <c r="EC476" s="305"/>
      <c r="ED476" s="305"/>
      <c r="EE476" s="305"/>
      <c r="EF476" s="305"/>
      <c r="EG476" s="305"/>
      <c r="EH476" s="305"/>
      <c r="EI476" s="305"/>
      <c r="EJ476" s="305"/>
      <c r="EK476" s="305"/>
      <c r="EL476" s="305"/>
      <c r="EM476" s="305"/>
      <c r="EN476" s="305"/>
      <c r="EO476" s="305"/>
      <c r="EP476" s="305"/>
      <c r="EQ476" s="305"/>
      <c r="ER476" s="305"/>
      <c r="ES476" s="305"/>
      <c r="ET476" s="305"/>
      <c r="EU476" s="305"/>
      <c r="EV476" s="305"/>
      <c r="EW476" s="305"/>
      <c r="EX476" s="305"/>
      <c r="EY476" s="305"/>
      <c r="EZ476" s="305"/>
      <c r="FA476" s="305"/>
      <c r="FB476" s="305"/>
      <c r="FC476" s="305"/>
      <c r="FD476" s="305"/>
      <c r="FE476" s="305"/>
      <c r="FF476" s="305"/>
      <c r="FG476" s="305"/>
      <c r="FH476" s="305"/>
      <c r="FI476" s="305"/>
      <c r="FJ476" s="305"/>
      <c r="FK476" s="305"/>
      <c r="FL476" s="305"/>
      <c r="FM476" s="305"/>
      <c r="FN476" s="305"/>
      <c r="FO476" s="305"/>
      <c r="FP476" s="305"/>
      <c r="FQ476" s="305"/>
      <c r="FR476" s="305"/>
      <c r="FS476" s="305"/>
      <c r="FT476" s="305"/>
      <c r="FU476" s="305"/>
      <c r="FV476" s="305"/>
      <c r="FW476" s="305"/>
      <c r="FX476" s="305"/>
      <c r="FY476" s="305"/>
      <c r="FZ476" s="305"/>
      <c r="GA476" s="305"/>
      <c r="GB476" s="305"/>
      <c r="GC476" s="305"/>
      <c r="GD476" s="305"/>
      <c r="GE476" s="305"/>
      <c r="GF476" s="305"/>
      <c r="GG476" s="305"/>
      <c r="GH476" s="305"/>
      <c r="GI476" s="305"/>
      <c r="GJ476" s="305"/>
      <c r="GK476" s="305"/>
      <c r="GL476" s="305"/>
      <c r="GM476" s="305"/>
      <c r="GN476" s="305"/>
      <c r="GO476" s="305"/>
      <c r="GP476" s="305"/>
      <c r="GQ476" s="305"/>
      <c r="GR476" s="305"/>
    </row>
    <row r="477" spans="3:200" s="318" customFormat="1" ht="12.75" customHeight="1" x14ac:dyDescent="0.2">
      <c r="C477" s="367"/>
      <c r="D477" s="403"/>
      <c r="E477" s="369"/>
      <c r="F477" s="369"/>
      <c r="G477" s="369"/>
      <c r="H477" s="369"/>
      <c r="I477" s="370"/>
      <c r="J477"/>
      <c r="K477" s="371"/>
      <c r="L477" s="371"/>
      <c r="M477" s="371"/>
      <c r="N477" s="371"/>
      <c r="O477" s="305"/>
      <c r="P477" s="305"/>
      <c r="Q477" s="305"/>
      <c r="R477" s="305"/>
      <c r="S477" s="305"/>
      <c r="T477" s="305"/>
      <c r="U477" s="305"/>
      <c r="V477" s="305"/>
      <c r="W477" s="305"/>
      <c r="X477" s="305"/>
      <c r="Y477" s="305"/>
      <c r="Z477" s="305"/>
      <c r="AA477" s="305"/>
      <c r="AB477" s="305"/>
      <c r="AC477" s="305"/>
      <c r="AD477" s="305"/>
      <c r="AE477" s="305"/>
      <c r="AF477" s="305"/>
      <c r="AG477" s="305"/>
      <c r="AH477" s="305"/>
      <c r="AI477" s="305"/>
      <c r="AJ477" s="305"/>
      <c r="AK477" s="305"/>
      <c r="AL477" s="305"/>
      <c r="AM477" s="305"/>
      <c r="AN477" s="305"/>
      <c r="AO477" s="305"/>
      <c r="AP477" s="305"/>
      <c r="AQ477" s="305"/>
      <c r="AR477" s="305"/>
      <c r="AS477" s="305"/>
      <c r="AT477" s="305"/>
      <c r="AU477" s="305"/>
      <c r="AV477" s="305"/>
      <c r="AW477" s="305"/>
      <c r="AX477" s="305"/>
      <c r="AY477" s="305"/>
      <c r="AZ477" s="305"/>
      <c r="BA477" s="305"/>
      <c r="BB477" s="305"/>
      <c r="BC477" s="305"/>
      <c r="BD477" s="305"/>
      <c r="BE477" s="305"/>
      <c r="BF477" s="305"/>
      <c r="BG477" s="305"/>
      <c r="BH477" s="305"/>
      <c r="BI477" s="305"/>
      <c r="BJ477" s="305"/>
      <c r="BK477" s="305"/>
      <c r="BL477" s="305"/>
      <c r="BM477" s="305"/>
      <c r="BN477" s="305"/>
      <c r="BO477" s="305"/>
      <c r="BP477" s="305"/>
      <c r="BQ477" s="305"/>
      <c r="BR477" s="305"/>
      <c r="BS477" s="305"/>
      <c r="BT477" s="305"/>
      <c r="BU477" s="305"/>
      <c r="BV477" s="305"/>
      <c r="BW477" s="305"/>
      <c r="BX477" s="305"/>
      <c r="BY477" s="305"/>
      <c r="BZ477" s="305"/>
      <c r="CA477" s="305"/>
      <c r="CB477" s="305"/>
      <c r="CC477" s="305"/>
      <c r="CD477" s="305"/>
      <c r="CE477" s="305"/>
      <c r="CF477" s="305"/>
      <c r="CG477" s="305"/>
      <c r="CH477" s="305"/>
      <c r="CI477" s="305"/>
      <c r="CJ477" s="305"/>
      <c r="CK477" s="305"/>
      <c r="CL477" s="305"/>
      <c r="CM477" s="305"/>
      <c r="CN477" s="305"/>
      <c r="CO477" s="305"/>
      <c r="CP477" s="305"/>
      <c r="CQ477" s="305"/>
      <c r="CR477" s="305"/>
      <c r="CS477" s="305"/>
      <c r="CT477" s="305"/>
      <c r="CU477" s="305"/>
      <c r="CV477" s="305"/>
      <c r="CW477" s="305"/>
      <c r="CX477" s="305"/>
      <c r="CY477" s="305"/>
      <c r="CZ477" s="305"/>
      <c r="DA477" s="305"/>
      <c r="DB477" s="305"/>
      <c r="DC477" s="305"/>
      <c r="DD477" s="305"/>
      <c r="DE477" s="305"/>
      <c r="DF477" s="305"/>
      <c r="DG477" s="305"/>
      <c r="DH477" s="305"/>
      <c r="DI477" s="305"/>
      <c r="DJ477" s="305"/>
      <c r="DK477" s="305"/>
      <c r="DL477" s="305"/>
      <c r="DM477" s="305"/>
      <c r="DN477" s="305"/>
      <c r="DO477" s="305"/>
      <c r="DP477" s="305"/>
      <c r="DQ477" s="305"/>
      <c r="DR477" s="305"/>
      <c r="DS477" s="305"/>
      <c r="DT477" s="305"/>
      <c r="DU477" s="305"/>
      <c r="DV477" s="305"/>
      <c r="DW477" s="305"/>
      <c r="DX477" s="305"/>
      <c r="DY477" s="305"/>
      <c r="DZ477" s="305"/>
      <c r="EA477" s="305"/>
      <c r="EB477" s="305"/>
      <c r="EC477" s="305"/>
      <c r="ED477" s="305"/>
      <c r="EE477" s="305"/>
      <c r="EF477" s="305"/>
      <c r="EG477" s="305"/>
      <c r="EH477" s="305"/>
      <c r="EI477" s="305"/>
      <c r="EJ477" s="305"/>
      <c r="EK477" s="305"/>
      <c r="EL477" s="305"/>
      <c r="EM477" s="305"/>
      <c r="EN477" s="305"/>
      <c r="EO477" s="305"/>
      <c r="EP477" s="305"/>
      <c r="EQ477" s="305"/>
      <c r="ER477" s="305"/>
      <c r="ES477" s="305"/>
      <c r="ET477" s="305"/>
      <c r="EU477" s="305"/>
      <c r="EV477" s="305"/>
      <c r="EW477" s="305"/>
      <c r="EX477" s="305"/>
      <c r="EY477" s="305"/>
      <c r="EZ477" s="305"/>
      <c r="FA477" s="305"/>
      <c r="FB477" s="305"/>
      <c r="FC477" s="305"/>
      <c r="FD477" s="305"/>
      <c r="FE477" s="305"/>
      <c r="FF477" s="305"/>
      <c r="FG477" s="305"/>
      <c r="FH477" s="305"/>
      <c r="FI477" s="305"/>
      <c r="FJ477" s="305"/>
      <c r="FK477" s="305"/>
      <c r="FL477" s="305"/>
      <c r="FM477" s="305"/>
      <c r="FN477" s="305"/>
      <c r="FO477" s="305"/>
      <c r="FP477" s="305"/>
      <c r="FQ477" s="305"/>
      <c r="FR477" s="305"/>
      <c r="FS477" s="305"/>
      <c r="FT477" s="305"/>
      <c r="FU477" s="305"/>
      <c r="FV477" s="305"/>
      <c r="FW477" s="305"/>
      <c r="FX477" s="305"/>
      <c r="FY477" s="305"/>
      <c r="FZ477" s="305"/>
      <c r="GA477" s="305"/>
      <c r="GB477" s="305"/>
      <c r="GC477" s="305"/>
      <c r="GD477" s="305"/>
      <c r="GE477" s="305"/>
      <c r="GF477" s="305"/>
      <c r="GG477" s="305"/>
      <c r="GH477" s="305"/>
      <c r="GI477" s="305"/>
      <c r="GJ477" s="305"/>
      <c r="GK477" s="305"/>
      <c r="GL477" s="305"/>
      <c r="GM477" s="305"/>
      <c r="GN477" s="305"/>
      <c r="GO477" s="305"/>
      <c r="GP477" s="305"/>
      <c r="GQ477" s="305"/>
      <c r="GR477" s="305"/>
    </row>
    <row r="478" spans="3:200" s="318" customFormat="1" ht="12.75" customHeight="1" x14ac:dyDescent="0.2">
      <c r="C478" s="367"/>
      <c r="D478" s="403"/>
      <c r="E478" s="369"/>
      <c r="F478" s="369"/>
      <c r="G478" s="369"/>
      <c r="H478" s="369"/>
      <c r="I478" s="370"/>
      <c r="J478"/>
      <c r="K478" s="371"/>
      <c r="L478" s="371"/>
      <c r="M478" s="371"/>
      <c r="N478" s="371"/>
      <c r="O478" s="305"/>
      <c r="P478" s="305"/>
      <c r="Q478" s="305"/>
      <c r="R478" s="305"/>
      <c r="S478" s="305"/>
      <c r="T478" s="305"/>
      <c r="U478" s="305"/>
      <c r="V478" s="305"/>
      <c r="W478" s="305"/>
      <c r="X478" s="305"/>
      <c r="Y478" s="305"/>
      <c r="Z478" s="305"/>
      <c r="AA478" s="305"/>
      <c r="AB478" s="305"/>
      <c r="AC478" s="305"/>
      <c r="AD478" s="305"/>
      <c r="AE478" s="305"/>
      <c r="AF478" s="305"/>
      <c r="AG478" s="305"/>
      <c r="AH478" s="305"/>
      <c r="AI478" s="305"/>
      <c r="AJ478" s="305"/>
      <c r="AK478" s="305"/>
      <c r="AL478" s="305"/>
      <c r="AM478" s="305"/>
      <c r="AN478" s="305"/>
      <c r="AO478" s="305"/>
      <c r="AP478" s="305"/>
      <c r="AQ478" s="305"/>
      <c r="AR478" s="305"/>
      <c r="AS478" s="305"/>
      <c r="AT478" s="305"/>
      <c r="AU478" s="305"/>
      <c r="AV478" s="305"/>
      <c r="AW478" s="305"/>
      <c r="AX478" s="305"/>
      <c r="AY478" s="305"/>
      <c r="AZ478" s="305"/>
      <c r="BA478" s="305"/>
      <c r="BB478" s="305"/>
      <c r="BC478" s="305"/>
      <c r="BD478" s="305"/>
      <c r="BE478" s="305"/>
      <c r="BF478" s="305"/>
      <c r="BG478" s="305"/>
      <c r="BH478" s="305"/>
      <c r="BI478" s="305"/>
      <c r="BJ478" s="305"/>
      <c r="BK478" s="305"/>
      <c r="BL478" s="305"/>
      <c r="BM478" s="305"/>
      <c r="BN478" s="305"/>
      <c r="BO478" s="305"/>
      <c r="BP478" s="305"/>
      <c r="BQ478" s="305"/>
      <c r="BR478" s="305"/>
      <c r="BS478" s="305"/>
      <c r="BT478" s="305"/>
      <c r="BU478" s="305"/>
      <c r="BV478" s="305"/>
      <c r="BW478" s="305"/>
      <c r="BX478" s="305"/>
      <c r="BY478" s="305"/>
      <c r="BZ478" s="305"/>
      <c r="CA478" s="305"/>
      <c r="CB478" s="305"/>
      <c r="CC478" s="305"/>
      <c r="CD478" s="305"/>
      <c r="CE478" s="305"/>
      <c r="CF478" s="305"/>
      <c r="CG478" s="305"/>
      <c r="CH478" s="305"/>
      <c r="CI478" s="305"/>
      <c r="CJ478" s="305"/>
      <c r="CK478" s="305"/>
      <c r="CL478" s="305"/>
      <c r="CM478" s="305"/>
      <c r="CN478" s="305"/>
      <c r="CO478" s="305"/>
      <c r="CP478" s="305"/>
      <c r="CQ478" s="305"/>
      <c r="CR478" s="305"/>
      <c r="CS478" s="305"/>
      <c r="CT478" s="305"/>
      <c r="CU478" s="305"/>
      <c r="CV478" s="305"/>
      <c r="CW478" s="305"/>
      <c r="CX478" s="305"/>
      <c r="CY478" s="305"/>
      <c r="CZ478" s="305"/>
      <c r="DA478" s="305"/>
      <c r="DB478" s="305"/>
      <c r="DC478" s="305"/>
      <c r="DD478" s="305"/>
      <c r="DE478" s="305"/>
      <c r="DF478" s="305"/>
      <c r="DG478" s="305"/>
      <c r="DH478" s="305"/>
      <c r="DI478" s="305"/>
      <c r="DJ478" s="305"/>
      <c r="DK478" s="305"/>
      <c r="DL478" s="305"/>
      <c r="DM478" s="305"/>
      <c r="DN478" s="305"/>
      <c r="DO478" s="305"/>
      <c r="DP478" s="305"/>
      <c r="DQ478" s="305"/>
      <c r="DR478" s="305"/>
      <c r="DS478" s="305"/>
      <c r="DT478" s="305"/>
      <c r="DU478" s="305"/>
      <c r="DV478" s="305"/>
      <c r="DW478" s="305"/>
      <c r="DX478" s="305"/>
      <c r="DY478" s="305"/>
      <c r="DZ478" s="305"/>
      <c r="EA478" s="305"/>
      <c r="EB478" s="305"/>
      <c r="EC478" s="305"/>
      <c r="ED478" s="305"/>
      <c r="EE478" s="305"/>
      <c r="EF478" s="305"/>
      <c r="EG478" s="305"/>
      <c r="EH478" s="305"/>
      <c r="EI478" s="305"/>
      <c r="EJ478" s="305"/>
      <c r="EK478" s="305"/>
      <c r="EL478" s="305"/>
      <c r="EM478" s="305"/>
      <c r="EN478" s="305"/>
      <c r="EO478" s="305"/>
      <c r="EP478" s="305"/>
      <c r="EQ478" s="305"/>
      <c r="ER478" s="305"/>
      <c r="ES478" s="305"/>
      <c r="ET478" s="305"/>
      <c r="EU478" s="305"/>
      <c r="EV478" s="305"/>
      <c r="EW478" s="305"/>
      <c r="EX478" s="305"/>
      <c r="EY478" s="305"/>
      <c r="EZ478" s="305"/>
      <c r="FA478" s="305"/>
      <c r="FB478" s="305"/>
      <c r="FC478" s="305"/>
      <c r="FD478" s="305"/>
      <c r="FE478" s="305"/>
      <c r="FF478" s="305"/>
      <c r="FG478" s="305"/>
      <c r="FH478" s="305"/>
      <c r="FI478" s="305"/>
      <c r="FJ478" s="305"/>
      <c r="FK478" s="305"/>
      <c r="FL478" s="305"/>
      <c r="FM478" s="305"/>
      <c r="FN478" s="305"/>
      <c r="FO478" s="305"/>
      <c r="FP478" s="305"/>
      <c r="FQ478" s="305"/>
      <c r="FR478" s="305"/>
      <c r="FS478" s="305"/>
      <c r="FT478" s="305"/>
      <c r="FU478" s="305"/>
      <c r="FV478" s="305"/>
      <c r="FW478" s="305"/>
      <c r="FX478" s="305"/>
      <c r="FY478" s="305"/>
      <c r="FZ478" s="305"/>
      <c r="GA478" s="305"/>
      <c r="GB478" s="305"/>
      <c r="GC478" s="305"/>
      <c r="GD478" s="305"/>
      <c r="GE478" s="305"/>
      <c r="GF478" s="305"/>
      <c r="GG478" s="305"/>
      <c r="GH478" s="305"/>
      <c r="GI478" s="305"/>
      <c r="GJ478" s="305"/>
      <c r="GK478" s="305"/>
      <c r="GL478" s="305"/>
      <c r="GM478" s="305"/>
      <c r="GN478" s="305"/>
      <c r="GO478" s="305"/>
      <c r="GP478" s="305"/>
      <c r="GQ478" s="305"/>
      <c r="GR478" s="305"/>
    </row>
    <row r="479" spans="3:200" s="318" customFormat="1" ht="12.75" customHeight="1" x14ac:dyDescent="0.2">
      <c r="C479" s="367"/>
      <c r="D479" s="403"/>
      <c r="E479" s="369"/>
      <c r="F479" s="369"/>
      <c r="G479" s="369"/>
      <c r="H479" s="369"/>
      <c r="I479" s="370"/>
      <c r="J479"/>
      <c r="K479" s="371"/>
      <c r="L479" s="371"/>
      <c r="M479" s="371"/>
      <c r="N479" s="371"/>
      <c r="O479" s="305"/>
      <c r="P479" s="305"/>
      <c r="Q479" s="305"/>
      <c r="R479" s="305"/>
      <c r="S479" s="305"/>
      <c r="T479" s="305"/>
      <c r="U479" s="305"/>
      <c r="V479" s="305"/>
      <c r="W479" s="305"/>
      <c r="X479" s="305"/>
      <c r="Y479" s="305"/>
      <c r="Z479" s="305"/>
      <c r="AA479" s="305"/>
      <c r="AB479" s="305"/>
      <c r="AC479" s="305"/>
      <c r="AD479" s="305"/>
      <c r="AE479" s="305"/>
      <c r="AF479" s="305"/>
      <c r="AG479" s="305"/>
      <c r="AH479" s="305"/>
      <c r="AI479" s="305"/>
      <c r="AJ479" s="305"/>
      <c r="AK479" s="305"/>
      <c r="AL479" s="305"/>
      <c r="AM479" s="305"/>
      <c r="AN479" s="305"/>
      <c r="AO479" s="305"/>
      <c r="AP479" s="305"/>
      <c r="AQ479" s="305"/>
      <c r="AR479" s="305"/>
      <c r="AS479" s="305"/>
      <c r="AT479" s="305"/>
      <c r="AU479" s="305"/>
      <c r="AV479" s="305"/>
      <c r="AW479" s="305"/>
      <c r="AX479" s="305"/>
      <c r="AY479" s="305"/>
      <c r="AZ479" s="305"/>
      <c r="BA479" s="305"/>
      <c r="BB479" s="305"/>
      <c r="BC479" s="305"/>
      <c r="BD479" s="305"/>
      <c r="BE479" s="305"/>
      <c r="BF479" s="305"/>
      <c r="BG479" s="305"/>
      <c r="BH479" s="305"/>
      <c r="BI479" s="305"/>
      <c r="BJ479" s="305"/>
      <c r="BK479" s="305"/>
      <c r="BL479" s="305"/>
      <c r="BM479" s="305"/>
      <c r="BN479" s="305"/>
      <c r="BO479" s="305"/>
      <c r="BP479" s="305"/>
      <c r="BQ479" s="305"/>
      <c r="BR479" s="305"/>
      <c r="BS479" s="305"/>
      <c r="BT479" s="305"/>
      <c r="BU479" s="305"/>
      <c r="BV479" s="305"/>
      <c r="BW479" s="305"/>
      <c r="BX479" s="305"/>
      <c r="BY479" s="305"/>
      <c r="BZ479" s="305"/>
      <c r="CA479" s="305"/>
      <c r="CB479" s="305"/>
      <c r="CC479" s="305"/>
      <c r="CD479" s="305"/>
      <c r="CE479" s="305"/>
      <c r="CF479" s="305"/>
      <c r="CG479" s="305"/>
      <c r="CH479" s="305"/>
      <c r="CI479" s="305"/>
      <c r="CJ479" s="305"/>
      <c r="CK479" s="305"/>
      <c r="CL479" s="305"/>
      <c r="CM479" s="305"/>
      <c r="CN479" s="305"/>
      <c r="CO479" s="305"/>
      <c r="CP479" s="305"/>
      <c r="CQ479" s="305"/>
      <c r="CR479" s="305"/>
      <c r="CS479" s="305"/>
      <c r="CT479" s="305"/>
      <c r="CU479" s="305"/>
      <c r="CV479" s="305"/>
      <c r="CW479" s="305"/>
      <c r="CX479" s="305"/>
      <c r="CY479" s="305"/>
      <c r="CZ479" s="305"/>
      <c r="DA479" s="305"/>
      <c r="DB479" s="305"/>
      <c r="DC479" s="305"/>
      <c r="DD479" s="305"/>
      <c r="DE479" s="305"/>
      <c r="DF479" s="305"/>
      <c r="DG479" s="305"/>
      <c r="DH479" s="305"/>
      <c r="DI479" s="305"/>
      <c r="DJ479" s="305"/>
      <c r="DK479" s="305"/>
      <c r="DL479" s="305"/>
      <c r="DM479" s="305"/>
      <c r="DN479" s="305"/>
      <c r="DO479" s="305"/>
      <c r="DP479" s="305"/>
      <c r="DQ479" s="305"/>
      <c r="DR479" s="305"/>
      <c r="DS479" s="305"/>
      <c r="DT479" s="305"/>
      <c r="DU479" s="305"/>
      <c r="DV479" s="305"/>
      <c r="DW479" s="305"/>
      <c r="DX479" s="305"/>
      <c r="DY479" s="305"/>
      <c r="DZ479" s="305"/>
      <c r="EA479" s="305"/>
      <c r="EB479" s="305"/>
      <c r="EC479" s="305"/>
      <c r="ED479" s="305"/>
      <c r="EE479" s="305"/>
      <c r="EF479" s="305"/>
      <c r="EG479" s="305"/>
      <c r="EH479" s="305"/>
      <c r="EI479" s="305"/>
      <c r="EJ479" s="305"/>
      <c r="EK479" s="305"/>
      <c r="EL479" s="305"/>
      <c r="EM479" s="305"/>
      <c r="EN479" s="305"/>
      <c r="EO479" s="305"/>
      <c r="EP479" s="305"/>
      <c r="EQ479" s="305"/>
      <c r="ER479" s="305"/>
      <c r="ES479" s="305"/>
      <c r="ET479" s="305"/>
      <c r="EU479" s="305"/>
      <c r="EV479" s="305"/>
      <c r="EW479" s="305"/>
      <c r="EX479" s="305"/>
      <c r="EY479" s="305"/>
      <c r="EZ479" s="305"/>
      <c r="FA479" s="305"/>
      <c r="FB479" s="305"/>
      <c r="FC479" s="305"/>
      <c r="FD479" s="305"/>
      <c r="FE479" s="305"/>
      <c r="FF479" s="305"/>
      <c r="FG479" s="305"/>
      <c r="FH479" s="305"/>
      <c r="FI479" s="305"/>
      <c r="FJ479" s="305"/>
      <c r="FK479" s="305"/>
      <c r="FL479" s="305"/>
      <c r="FM479" s="305"/>
      <c r="FN479" s="305"/>
      <c r="FO479" s="305"/>
      <c r="FP479" s="305"/>
      <c r="FQ479" s="305"/>
      <c r="FR479" s="305"/>
      <c r="FS479" s="305"/>
      <c r="FT479" s="305"/>
      <c r="FU479" s="305"/>
      <c r="FV479" s="305"/>
      <c r="FW479" s="305"/>
      <c r="FX479" s="305"/>
      <c r="FY479" s="305"/>
      <c r="FZ479" s="305"/>
      <c r="GA479" s="305"/>
      <c r="GB479" s="305"/>
      <c r="GC479" s="305"/>
      <c r="GD479" s="305"/>
      <c r="GE479" s="305"/>
      <c r="GF479" s="305"/>
      <c r="GG479" s="305"/>
      <c r="GH479" s="305"/>
      <c r="GI479" s="305"/>
      <c r="GJ479" s="305"/>
      <c r="GK479" s="305"/>
      <c r="GL479" s="305"/>
      <c r="GM479" s="305"/>
      <c r="GN479" s="305"/>
      <c r="GO479" s="305"/>
      <c r="GP479" s="305"/>
      <c r="GQ479" s="305"/>
      <c r="GR479" s="305"/>
    </row>
    <row r="480" spans="3:200" s="318" customFormat="1" ht="12.75" customHeight="1" x14ac:dyDescent="0.2">
      <c r="C480" s="367"/>
      <c r="D480" s="403"/>
      <c r="E480" s="369"/>
      <c r="F480" s="369"/>
      <c r="G480" s="369"/>
      <c r="H480" s="369"/>
      <c r="I480" s="370"/>
      <c r="J480"/>
      <c r="K480" s="371"/>
      <c r="L480" s="371"/>
      <c r="M480" s="371"/>
      <c r="N480" s="371"/>
      <c r="O480" s="305"/>
      <c r="P480" s="305"/>
      <c r="Q480" s="305"/>
      <c r="R480" s="305"/>
      <c r="S480" s="305"/>
      <c r="T480" s="305"/>
      <c r="U480" s="305"/>
      <c r="V480" s="305"/>
      <c r="W480" s="305"/>
      <c r="X480" s="305"/>
      <c r="Y480" s="305"/>
      <c r="Z480" s="305"/>
      <c r="AA480" s="305"/>
      <c r="AB480" s="305"/>
      <c r="AC480" s="305"/>
      <c r="AD480" s="305"/>
      <c r="AE480" s="305"/>
      <c r="AF480" s="305"/>
      <c r="AG480" s="305"/>
      <c r="AH480" s="305"/>
      <c r="AI480" s="305"/>
      <c r="AJ480" s="305"/>
      <c r="AK480" s="305"/>
      <c r="AL480" s="305"/>
      <c r="AM480" s="305"/>
      <c r="AN480" s="305"/>
      <c r="AO480" s="305"/>
      <c r="AP480" s="305"/>
      <c r="AQ480" s="305"/>
      <c r="AR480" s="305"/>
      <c r="AS480" s="305"/>
      <c r="AT480" s="305"/>
      <c r="AU480" s="305"/>
      <c r="AV480" s="305"/>
      <c r="AW480" s="305"/>
      <c r="AX480" s="305"/>
      <c r="AY480" s="305"/>
      <c r="AZ480" s="305"/>
      <c r="BA480" s="305"/>
      <c r="BB480" s="305"/>
      <c r="BC480" s="305"/>
      <c r="BD480" s="305"/>
      <c r="BE480" s="305"/>
      <c r="BF480" s="305"/>
      <c r="BG480" s="305"/>
      <c r="BH480" s="305"/>
      <c r="BI480" s="305"/>
      <c r="BJ480" s="305"/>
      <c r="BK480" s="305"/>
      <c r="BL480" s="305"/>
      <c r="BM480" s="305"/>
      <c r="BN480" s="305"/>
      <c r="BO480" s="305"/>
      <c r="BP480" s="305"/>
      <c r="BQ480" s="305"/>
      <c r="BR480" s="305"/>
      <c r="BS480" s="305"/>
      <c r="BT480" s="305"/>
      <c r="BU480" s="305"/>
      <c r="BV480" s="305"/>
      <c r="BW480" s="305"/>
      <c r="BX480" s="305"/>
      <c r="BY480" s="305"/>
      <c r="BZ480" s="305"/>
      <c r="CA480" s="305"/>
      <c r="CB480" s="305"/>
      <c r="CC480" s="305"/>
      <c r="CD480" s="305"/>
      <c r="CE480" s="305"/>
      <c r="CF480" s="305"/>
      <c r="CG480" s="305"/>
      <c r="CH480" s="305"/>
      <c r="CI480" s="305"/>
      <c r="CJ480" s="305"/>
      <c r="CK480" s="305"/>
      <c r="CL480" s="305"/>
      <c r="CM480" s="305"/>
      <c r="CN480" s="305"/>
      <c r="CO480" s="305"/>
      <c r="CP480" s="305"/>
      <c r="CQ480" s="305"/>
      <c r="CR480" s="305"/>
      <c r="CS480" s="305"/>
      <c r="CT480" s="305"/>
      <c r="CU480" s="305"/>
      <c r="CV480" s="305"/>
      <c r="CW480" s="305"/>
      <c r="CX480" s="305"/>
      <c r="CY480" s="305"/>
      <c r="CZ480" s="305"/>
      <c r="DA480" s="305"/>
      <c r="DB480" s="305"/>
      <c r="DC480" s="305"/>
      <c r="DD480" s="305"/>
      <c r="DE480" s="305"/>
      <c r="DF480" s="305"/>
      <c r="DG480" s="305"/>
      <c r="DH480" s="305"/>
      <c r="DI480" s="305"/>
      <c r="DJ480" s="305"/>
      <c r="DK480" s="305"/>
      <c r="DL480" s="305"/>
      <c r="DM480" s="305"/>
      <c r="DN480" s="305"/>
      <c r="DO480" s="305"/>
      <c r="DP480" s="305"/>
      <c r="DQ480" s="305"/>
      <c r="DR480" s="305"/>
      <c r="DS480" s="305"/>
      <c r="DT480" s="305"/>
      <c r="DU480" s="305"/>
      <c r="DV480" s="305"/>
      <c r="DW480" s="305"/>
      <c r="DX480" s="305"/>
      <c r="DY480" s="305"/>
      <c r="DZ480" s="305"/>
      <c r="EA480" s="305"/>
      <c r="EB480" s="305"/>
      <c r="EC480" s="305"/>
      <c r="ED480" s="305"/>
      <c r="EE480" s="305"/>
      <c r="EF480" s="305"/>
      <c r="EG480" s="305"/>
      <c r="EH480" s="305"/>
      <c r="EI480" s="305"/>
      <c r="EJ480" s="305"/>
      <c r="EK480" s="305"/>
      <c r="EL480" s="305"/>
      <c r="EM480" s="305"/>
      <c r="EN480" s="305"/>
      <c r="EO480" s="305"/>
      <c r="EP480" s="305"/>
      <c r="EQ480" s="305"/>
      <c r="ER480" s="305"/>
      <c r="ES480" s="305"/>
      <c r="ET480" s="305"/>
      <c r="EU480" s="305"/>
      <c r="EV480" s="305"/>
      <c r="EW480" s="305"/>
      <c r="EX480" s="305"/>
      <c r="EY480" s="305"/>
      <c r="EZ480" s="305"/>
      <c r="FA480" s="305"/>
      <c r="FB480" s="305"/>
      <c r="FC480" s="305"/>
      <c r="FD480" s="305"/>
      <c r="FE480" s="305"/>
      <c r="FF480" s="305"/>
      <c r="FG480" s="305"/>
      <c r="FH480" s="305"/>
      <c r="FI480" s="305"/>
      <c r="FJ480" s="305"/>
      <c r="FK480" s="305"/>
      <c r="FL480" s="305"/>
      <c r="FM480" s="305"/>
      <c r="FN480" s="305"/>
      <c r="FO480" s="305"/>
      <c r="FP480" s="305"/>
      <c r="FQ480" s="305"/>
      <c r="FR480" s="305"/>
      <c r="FS480" s="305"/>
      <c r="FT480" s="305"/>
      <c r="FU480" s="305"/>
      <c r="FV480" s="305"/>
      <c r="FW480" s="305"/>
      <c r="FX480" s="305"/>
      <c r="FY480" s="305"/>
      <c r="FZ480" s="305"/>
      <c r="GA480" s="305"/>
      <c r="GB480" s="305"/>
      <c r="GC480" s="305"/>
      <c r="GD480" s="305"/>
      <c r="GE480" s="305"/>
      <c r="GF480" s="305"/>
      <c r="GG480" s="305"/>
      <c r="GH480" s="305"/>
      <c r="GI480" s="305"/>
      <c r="GJ480" s="305"/>
      <c r="GK480" s="305"/>
      <c r="GL480" s="305"/>
      <c r="GM480" s="305"/>
      <c r="GN480" s="305"/>
      <c r="GO480" s="305"/>
      <c r="GP480" s="305"/>
      <c r="GQ480" s="305"/>
      <c r="GR480" s="305"/>
    </row>
    <row r="481" spans="3:200" s="318" customFormat="1" ht="12.75" customHeight="1" x14ac:dyDescent="0.2">
      <c r="C481" s="367"/>
      <c r="D481" s="403"/>
      <c r="E481" s="369"/>
      <c r="F481" s="369"/>
      <c r="G481" s="369"/>
      <c r="H481" s="369"/>
      <c r="I481" s="370"/>
      <c r="J481"/>
      <c r="K481" s="371"/>
      <c r="L481" s="371"/>
      <c r="M481" s="371"/>
      <c r="N481" s="371"/>
      <c r="O481" s="305"/>
      <c r="P481" s="305"/>
      <c r="Q481" s="305"/>
      <c r="R481" s="305"/>
      <c r="S481" s="305"/>
      <c r="T481" s="305"/>
      <c r="U481" s="305"/>
      <c r="V481" s="305"/>
      <c r="W481" s="305"/>
      <c r="X481" s="305"/>
      <c r="Y481" s="305"/>
      <c r="Z481" s="305"/>
      <c r="AA481" s="305"/>
      <c r="AB481" s="305"/>
      <c r="AC481" s="305"/>
      <c r="AD481" s="305"/>
      <c r="AE481" s="305"/>
      <c r="AF481" s="305"/>
      <c r="AG481" s="305"/>
      <c r="AH481" s="305"/>
      <c r="AI481" s="305"/>
      <c r="AJ481" s="305"/>
      <c r="AK481" s="305"/>
      <c r="AL481" s="305"/>
      <c r="AM481" s="305"/>
      <c r="AN481" s="305"/>
      <c r="AO481" s="305"/>
      <c r="AP481" s="305"/>
      <c r="AQ481" s="305"/>
      <c r="AR481" s="305"/>
      <c r="AS481" s="305"/>
      <c r="AT481" s="305"/>
      <c r="AU481" s="305"/>
      <c r="AV481" s="305"/>
      <c r="AW481" s="305"/>
      <c r="AX481" s="305"/>
      <c r="AY481" s="305"/>
      <c r="AZ481" s="305"/>
      <c r="BA481" s="305"/>
      <c r="BB481" s="305"/>
      <c r="BC481" s="305"/>
      <c r="BD481" s="305"/>
      <c r="BE481" s="305"/>
      <c r="BF481" s="305"/>
      <c r="BG481" s="305"/>
      <c r="BH481" s="305"/>
      <c r="BI481" s="305"/>
      <c r="BJ481" s="305"/>
      <c r="BK481" s="305"/>
      <c r="BL481" s="305"/>
      <c r="BM481" s="305"/>
      <c r="BN481" s="305"/>
      <c r="BO481" s="305"/>
      <c r="BP481" s="305"/>
      <c r="BQ481" s="305"/>
      <c r="BR481" s="305"/>
      <c r="BS481" s="305"/>
      <c r="BT481" s="305"/>
      <c r="BU481" s="305"/>
      <c r="BV481" s="305"/>
      <c r="BW481" s="305"/>
      <c r="BX481" s="305"/>
      <c r="BY481" s="305"/>
      <c r="BZ481" s="305"/>
      <c r="CA481" s="305"/>
      <c r="CB481" s="305"/>
      <c r="CC481" s="305"/>
      <c r="CD481" s="305"/>
      <c r="CE481" s="305"/>
      <c r="CF481" s="305"/>
      <c r="CG481" s="305"/>
      <c r="CH481" s="305"/>
      <c r="CI481" s="305"/>
      <c r="CJ481" s="305"/>
      <c r="CK481" s="305"/>
      <c r="CL481" s="305"/>
      <c r="CM481" s="305"/>
      <c r="CN481" s="305"/>
      <c r="CO481" s="305"/>
      <c r="CP481" s="305"/>
      <c r="CQ481" s="305"/>
      <c r="CR481" s="305"/>
      <c r="CS481" s="305"/>
      <c r="CT481" s="305"/>
      <c r="CU481" s="305"/>
      <c r="CV481" s="305"/>
      <c r="CW481" s="305"/>
      <c r="CX481" s="305"/>
      <c r="CY481" s="305"/>
      <c r="CZ481" s="305"/>
      <c r="DA481" s="305"/>
      <c r="DB481" s="305"/>
      <c r="DC481" s="305"/>
      <c r="DD481" s="305"/>
      <c r="DE481" s="305"/>
      <c r="DF481" s="305"/>
      <c r="DG481" s="305"/>
      <c r="DH481" s="305"/>
      <c r="DI481" s="305"/>
      <c r="DJ481" s="305"/>
      <c r="DK481" s="305"/>
      <c r="DL481" s="305"/>
      <c r="DM481" s="305"/>
      <c r="DN481" s="305"/>
      <c r="DO481" s="305"/>
      <c r="DP481" s="305"/>
      <c r="DQ481" s="305"/>
      <c r="DR481" s="305"/>
      <c r="DS481" s="305"/>
      <c r="DT481" s="305"/>
      <c r="DU481" s="305"/>
      <c r="DV481" s="305"/>
      <c r="DW481" s="305"/>
      <c r="DX481" s="305"/>
      <c r="DY481" s="305"/>
      <c r="DZ481" s="305"/>
      <c r="EA481" s="305"/>
      <c r="EB481" s="305"/>
      <c r="EC481" s="305"/>
      <c r="ED481" s="305"/>
      <c r="EE481" s="305"/>
      <c r="EF481" s="305"/>
      <c r="EG481" s="305"/>
      <c r="EH481" s="305"/>
      <c r="EI481" s="305"/>
      <c r="EJ481" s="305"/>
      <c r="EK481" s="305"/>
      <c r="EL481" s="305"/>
      <c r="EM481" s="305"/>
      <c r="EN481" s="305"/>
      <c r="EO481" s="305"/>
      <c r="EP481" s="305"/>
      <c r="EQ481" s="305"/>
      <c r="ER481" s="305"/>
      <c r="ES481" s="305"/>
      <c r="ET481" s="305"/>
      <c r="EU481" s="305"/>
      <c r="EV481" s="305"/>
      <c r="EW481" s="305"/>
      <c r="EX481" s="305"/>
      <c r="EY481" s="305"/>
      <c r="EZ481" s="305"/>
      <c r="FA481" s="305"/>
      <c r="FB481" s="305"/>
      <c r="FC481" s="305"/>
      <c r="FD481" s="305"/>
      <c r="FE481" s="305"/>
      <c r="FF481" s="305"/>
      <c r="FG481" s="305"/>
      <c r="FH481" s="305"/>
      <c r="FI481" s="305"/>
      <c r="FJ481" s="305"/>
      <c r="FK481" s="305"/>
      <c r="FL481" s="305"/>
      <c r="FM481" s="305"/>
      <c r="FN481" s="305"/>
      <c r="FO481" s="305"/>
      <c r="FP481" s="305"/>
      <c r="FQ481" s="305"/>
      <c r="FR481" s="305"/>
      <c r="FS481" s="305"/>
      <c r="FT481" s="305"/>
      <c r="FU481" s="305"/>
      <c r="FV481" s="305"/>
      <c r="FW481" s="305"/>
      <c r="FX481" s="305"/>
      <c r="FY481" s="305"/>
      <c r="FZ481" s="305"/>
      <c r="GA481" s="305"/>
      <c r="GB481" s="305"/>
      <c r="GC481" s="305"/>
      <c r="GD481" s="305"/>
      <c r="GE481" s="305"/>
      <c r="GF481" s="305"/>
      <c r="GG481" s="305"/>
      <c r="GH481" s="305"/>
      <c r="GI481" s="305"/>
      <c r="GJ481" s="305"/>
      <c r="GK481" s="305"/>
      <c r="GL481" s="305"/>
      <c r="GM481" s="305"/>
      <c r="GN481" s="305"/>
      <c r="GO481" s="305"/>
      <c r="GP481" s="305"/>
      <c r="GQ481" s="305"/>
      <c r="GR481" s="305"/>
    </row>
    <row r="482" spans="3:200" s="318" customFormat="1" ht="12.75" customHeight="1" x14ac:dyDescent="0.2">
      <c r="C482" s="367"/>
      <c r="D482" s="403"/>
      <c r="E482" s="369"/>
      <c r="F482" s="369"/>
      <c r="G482" s="369"/>
      <c r="H482" s="369"/>
      <c r="I482" s="370"/>
      <c r="J482"/>
      <c r="K482" s="371"/>
      <c r="L482" s="371"/>
      <c r="M482" s="371"/>
      <c r="N482" s="371"/>
      <c r="O482" s="305"/>
      <c r="P482" s="305"/>
      <c r="Q482" s="305"/>
      <c r="R482" s="305"/>
      <c r="S482" s="305"/>
      <c r="T482" s="305"/>
      <c r="U482" s="305"/>
      <c r="V482" s="305"/>
      <c r="W482" s="305"/>
      <c r="X482" s="305"/>
      <c r="Y482" s="305"/>
      <c r="Z482" s="305"/>
      <c r="AA482" s="305"/>
      <c r="AB482" s="305"/>
      <c r="AC482" s="305"/>
      <c r="AD482" s="305"/>
      <c r="AE482" s="305"/>
      <c r="AF482" s="305"/>
      <c r="AG482" s="305"/>
      <c r="AH482" s="305"/>
      <c r="AI482" s="305"/>
      <c r="AJ482" s="305"/>
      <c r="AK482" s="305"/>
      <c r="AL482" s="305"/>
      <c r="AM482" s="305"/>
      <c r="AN482" s="305"/>
      <c r="AO482" s="305"/>
      <c r="AP482" s="305"/>
      <c r="AQ482" s="305"/>
      <c r="AR482" s="305"/>
      <c r="AS482" s="305"/>
      <c r="AT482" s="305"/>
      <c r="AU482" s="305"/>
      <c r="AV482" s="305"/>
      <c r="AW482" s="305"/>
      <c r="AX482" s="305"/>
      <c r="AY482" s="305"/>
      <c r="AZ482" s="305"/>
      <c r="BA482" s="305"/>
      <c r="BB482" s="305"/>
      <c r="BC482" s="305"/>
      <c r="BD482" s="305"/>
      <c r="BE482" s="305"/>
      <c r="BF482" s="305"/>
      <c r="BG482" s="305"/>
      <c r="BH482" s="305"/>
      <c r="BI482" s="305"/>
      <c r="BJ482" s="305"/>
      <c r="BK482" s="305"/>
      <c r="BL482" s="305"/>
      <c r="BM482" s="305"/>
      <c r="BN482" s="305"/>
      <c r="BO482" s="305"/>
      <c r="BP482" s="305"/>
      <c r="BQ482" s="305"/>
      <c r="BR482" s="305"/>
      <c r="BS482" s="305"/>
      <c r="BT482" s="305"/>
      <c r="BU482" s="305"/>
      <c r="BV482" s="305"/>
      <c r="BW482" s="305"/>
      <c r="BX482" s="305"/>
      <c r="BY482" s="305"/>
      <c r="BZ482" s="305"/>
      <c r="CA482" s="305"/>
      <c r="CB482" s="305"/>
      <c r="CC482" s="305"/>
      <c r="CD482" s="305"/>
      <c r="CE482" s="305"/>
      <c r="CF482" s="305"/>
      <c r="CG482" s="305"/>
      <c r="CH482" s="305"/>
      <c r="CI482" s="305"/>
      <c r="CJ482" s="305"/>
      <c r="CK482" s="305"/>
      <c r="CL482" s="305"/>
      <c r="CM482" s="305"/>
      <c r="CN482" s="305"/>
      <c r="CO482" s="305"/>
      <c r="CP482" s="305"/>
      <c r="CQ482" s="305"/>
      <c r="CR482" s="305"/>
      <c r="CS482" s="305"/>
      <c r="CT482" s="305"/>
      <c r="CU482" s="305"/>
      <c r="CV482" s="305"/>
      <c r="CW482" s="305"/>
      <c r="CX482" s="305"/>
      <c r="CY482" s="305"/>
      <c r="CZ482" s="305"/>
      <c r="DA482" s="305"/>
      <c r="DB482" s="305"/>
      <c r="DC482" s="305"/>
      <c r="DD482" s="305"/>
      <c r="DE482" s="305"/>
      <c r="DF482" s="305"/>
      <c r="DG482" s="305"/>
      <c r="DH482" s="305"/>
      <c r="DI482" s="305"/>
      <c r="DJ482" s="305"/>
      <c r="DK482" s="305"/>
      <c r="DL482" s="305"/>
      <c r="DM482" s="305"/>
      <c r="DN482" s="305"/>
      <c r="DO482" s="305"/>
      <c r="DP482" s="305"/>
      <c r="DQ482" s="305"/>
      <c r="DR482" s="305"/>
      <c r="DS482" s="305"/>
      <c r="DT482" s="305"/>
      <c r="DU482" s="305"/>
      <c r="DV482" s="305"/>
      <c r="DW482" s="305"/>
      <c r="DX482" s="305"/>
      <c r="DY482" s="305"/>
      <c r="DZ482" s="305"/>
      <c r="EA482" s="305"/>
      <c r="EB482" s="305"/>
      <c r="EC482" s="305"/>
      <c r="ED482" s="305"/>
      <c r="EE482" s="305"/>
      <c r="EF482" s="305"/>
      <c r="EG482" s="305"/>
      <c r="EH482" s="305"/>
      <c r="EI482" s="305"/>
      <c r="EJ482" s="305"/>
      <c r="EK482" s="305"/>
      <c r="EL482" s="305"/>
      <c r="EM482" s="305"/>
      <c r="EN482" s="305"/>
      <c r="EO482" s="305"/>
      <c r="EP482" s="305"/>
      <c r="EQ482" s="305"/>
      <c r="ER482" s="305"/>
      <c r="ES482" s="305"/>
      <c r="ET482" s="305"/>
      <c r="EU482" s="305"/>
      <c r="EV482" s="305"/>
      <c r="EW482" s="305"/>
      <c r="EX482" s="305"/>
      <c r="EY482" s="305"/>
      <c r="EZ482" s="305"/>
      <c r="FA482" s="305"/>
      <c r="FB482" s="305"/>
      <c r="FC482" s="305"/>
      <c r="FD482" s="305"/>
      <c r="FE482" s="305"/>
      <c r="FF482" s="305"/>
      <c r="FG482" s="305"/>
      <c r="FH482" s="305"/>
      <c r="FI482" s="305"/>
      <c r="FJ482" s="305"/>
      <c r="FK482" s="305"/>
      <c r="FL482" s="305"/>
      <c r="FM482" s="305"/>
      <c r="FN482" s="305"/>
      <c r="FO482" s="305"/>
      <c r="FP482" s="305"/>
      <c r="FQ482" s="305"/>
      <c r="FR482" s="305"/>
      <c r="FS482" s="305"/>
      <c r="FT482" s="305"/>
      <c r="FU482" s="305"/>
      <c r="FV482" s="305"/>
      <c r="FW482" s="305"/>
      <c r="FX482" s="305"/>
      <c r="FY482" s="305"/>
      <c r="FZ482" s="305"/>
      <c r="GA482" s="305"/>
      <c r="GB482" s="305"/>
      <c r="GC482" s="305"/>
      <c r="GD482" s="305"/>
      <c r="GE482" s="305"/>
      <c r="GF482" s="305"/>
      <c r="GG482" s="305"/>
      <c r="GH482" s="305"/>
      <c r="GI482" s="305"/>
      <c r="GJ482" s="305"/>
      <c r="GK482" s="305"/>
      <c r="GL482" s="305"/>
      <c r="GM482" s="305"/>
      <c r="GN482" s="305"/>
      <c r="GO482" s="305"/>
      <c r="GP482" s="305"/>
      <c r="GQ482" s="305"/>
      <c r="GR482" s="305"/>
    </row>
    <row r="483" spans="3:200" s="318" customFormat="1" ht="12.75" customHeight="1" x14ac:dyDescent="0.2">
      <c r="C483" s="367"/>
      <c r="D483" s="403"/>
      <c r="E483" s="369"/>
      <c r="F483" s="369"/>
      <c r="G483" s="369"/>
      <c r="H483" s="369"/>
      <c r="I483" s="370"/>
      <c r="J483"/>
      <c r="K483" s="371"/>
      <c r="L483" s="371"/>
      <c r="M483" s="371"/>
      <c r="N483" s="371"/>
      <c r="O483" s="305"/>
      <c r="P483" s="305"/>
      <c r="Q483" s="305"/>
      <c r="R483" s="305"/>
      <c r="S483" s="305"/>
      <c r="T483" s="305"/>
      <c r="U483" s="305"/>
      <c r="V483" s="305"/>
      <c r="W483" s="305"/>
      <c r="X483" s="305"/>
      <c r="Y483" s="305"/>
      <c r="Z483" s="305"/>
      <c r="AA483" s="305"/>
      <c r="AB483" s="305"/>
      <c r="AC483" s="305"/>
      <c r="AD483" s="305"/>
      <c r="AE483" s="305"/>
      <c r="AF483" s="305"/>
      <c r="AG483" s="305"/>
      <c r="AH483" s="305"/>
      <c r="AI483" s="305"/>
      <c r="AJ483" s="305"/>
      <c r="AK483" s="305"/>
      <c r="AL483" s="305"/>
      <c r="AM483" s="305"/>
      <c r="AN483" s="305"/>
      <c r="AO483" s="305"/>
      <c r="AP483" s="305"/>
      <c r="AQ483" s="305"/>
      <c r="AR483" s="305"/>
      <c r="AS483" s="305"/>
      <c r="AT483" s="305"/>
      <c r="AU483" s="305"/>
      <c r="AV483" s="305"/>
      <c r="AW483" s="305"/>
      <c r="AX483" s="305"/>
      <c r="AY483" s="305"/>
      <c r="AZ483" s="305"/>
      <c r="BA483" s="305"/>
      <c r="BB483" s="305"/>
      <c r="BC483" s="305"/>
      <c r="BD483" s="305"/>
      <c r="BE483" s="305"/>
      <c r="BF483" s="305"/>
      <c r="BG483" s="305"/>
      <c r="BH483" s="305"/>
      <c r="BI483" s="305"/>
      <c r="BJ483" s="305"/>
      <c r="BK483" s="305"/>
      <c r="BL483" s="305"/>
      <c r="BM483" s="305"/>
      <c r="BN483" s="305"/>
      <c r="BO483" s="305"/>
      <c r="BP483" s="305"/>
      <c r="BQ483" s="305"/>
      <c r="BR483" s="305"/>
      <c r="BS483" s="305"/>
      <c r="BT483" s="305"/>
      <c r="BU483" s="305"/>
      <c r="BV483" s="305"/>
      <c r="BW483" s="305"/>
      <c r="BX483" s="305"/>
      <c r="BY483" s="305"/>
      <c r="BZ483" s="305"/>
      <c r="CA483" s="305"/>
      <c r="CB483" s="305"/>
      <c r="CC483" s="305"/>
      <c r="CD483" s="305"/>
      <c r="CE483" s="305"/>
      <c r="CF483" s="305"/>
      <c r="CG483" s="305"/>
      <c r="CH483" s="305"/>
      <c r="CI483" s="305"/>
      <c r="CJ483" s="305"/>
      <c r="CK483" s="305"/>
      <c r="CL483" s="305"/>
      <c r="CM483" s="305"/>
      <c r="CN483" s="305"/>
      <c r="CO483" s="305"/>
      <c r="CP483" s="305"/>
      <c r="CQ483" s="305"/>
      <c r="CR483" s="305"/>
      <c r="CS483" s="305"/>
      <c r="CT483" s="305"/>
      <c r="CU483" s="305"/>
      <c r="CV483" s="305"/>
      <c r="CW483" s="305"/>
      <c r="CX483" s="305"/>
      <c r="CY483" s="305"/>
      <c r="CZ483" s="305"/>
      <c r="DA483" s="305"/>
      <c r="DB483" s="305"/>
      <c r="DC483" s="305"/>
      <c r="DD483" s="305"/>
      <c r="DE483" s="305"/>
      <c r="DF483" s="305"/>
      <c r="DG483" s="305"/>
      <c r="DH483" s="305"/>
      <c r="DI483" s="305"/>
      <c r="DJ483" s="305"/>
      <c r="DK483" s="305"/>
      <c r="DL483" s="305"/>
      <c r="DM483" s="305"/>
      <c r="DN483" s="305"/>
      <c r="DO483" s="305"/>
      <c r="DP483" s="305"/>
      <c r="DQ483" s="305"/>
      <c r="DR483" s="305"/>
      <c r="DS483" s="305"/>
      <c r="DT483" s="305"/>
      <c r="DU483" s="305"/>
      <c r="DV483" s="305"/>
      <c r="DW483" s="305"/>
      <c r="DX483" s="305"/>
      <c r="DY483" s="305"/>
      <c r="DZ483" s="305"/>
      <c r="EA483" s="305"/>
      <c r="EB483" s="305"/>
      <c r="EC483" s="305"/>
      <c r="ED483" s="305"/>
      <c r="EE483" s="305"/>
      <c r="EF483" s="305"/>
      <c r="EG483" s="305"/>
      <c r="EH483" s="305"/>
      <c r="EI483" s="305"/>
      <c r="EJ483" s="305"/>
      <c r="EK483" s="305"/>
      <c r="EL483" s="305"/>
      <c r="EM483" s="305"/>
      <c r="EN483" s="305"/>
      <c r="EO483" s="305"/>
      <c r="EP483" s="305"/>
      <c r="EQ483" s="305"/>
      <c r="ER483" s="305"/>
      <c r="ES483" s="305"/>
      <c r="ET483" s="305"/>
      <c r="EU483" s="305"/>
      <c r="EV483" s="305"/>
      <c r="EW483" s="305"/>
      <c r="EX483" s="305"/>
      <c r="EY483" s="305"/>
      <c r="EZ483" s="305"/>
      <c r="FA483" s="305"/>
      <c r="FB483" s="305"/>
      <c r="FC483" s="305"/>
      <c r="FD483" s="305"/>
      <c r="FE483" s="305"/>
      <c r="FF483" s="305"/>
      <c r="FG483" s="305"/>
      <c r="FH483" s="305"/>
      <c r="FI483" s="305"/>
      <c r="FJ483" s="305"/>
      <c r="FK483" s="305"/>
      <c r="FL483" s="305"/>
      <c r="FM483" s="305"/>
      <c r="FN483" s="305"/>
      <c r="FO483" s="305"/>
      <c r="FP483" s="305"/>
      <c r="FQ483" s="305"/>
      <c r="FR483" s="305"/>
      <c r="FS483" s="305"/>
      <c r="FT483" s="305"/>
      <c r="FU483" s="305"/>
      <c r="FV483" s="305"/>
      <c r="FW483" s="305"/>
      <c r="FX483" s="305"/>
      <c r="FY483" s="305"/>
      <c r="FZ483" s="305"/>
      <c r="GA483" s="305"/>
      <c r="GB483" s="305"/>
      <c r="GC483" s="305"/>
      <c r="GD483" s="305"/>
      <c r="GE483" s="305"/>
      <c r="GF483" s="305"/>
      <c r="GG483" s="305"/>
      <c r="GH483" s="305"/>
      <c r="GI483" s="305"/>
      <c r="GJ483" s="305"/>
      <c r="GK483" s="305"/>
      <c r="GL483" s="305"/>
      <c r="GM483" s="305"/>
      <c r="GN483" s="305"/>
      <c r="GO483" s="305"/>
      <c r="GP483" s="305"/>
      <c r="GQ483" s="305"/>
      <c r="GR483" s="305"/>
    </row>
    <row r="484" spans="3:200" s="318" customFormat="1" ht="12.75" customHeight="1" x14ac:dyDescent="0.2">
      <c r="C484" s="367"/>
      <c r="D484" s="403"/>
      <c r="E484" s="369"/>
      <c r="F484" s="369"/>
      <c r="G484" s="369"/>
      <c r="H484" s="369"/>
      <c r="I484" s="370"/>
      <c r="J484"/>
      <c r="K484" s="371"/>
      <c r="L484" s="371"/>
      <c r="M484" s="371"/>
      <c r="N484" s="371"/>
      <c r="O484" s="305"/>
      <c r="P484" s="305"/>
      <c r="Q484" s="305"/>
      <c r="R484" s="305"/>
      <c r="S484" s="305"/>
      <c r="T484" s="305"/>
      <c r="U484" s="305"/>
      <c r="V484" s="305"/>
      <c r="W484" s="305"/>
      <c r="X484" s="305"/>
      <c r="Y484" s="305"/>
      <c r="Z484" s="305"/>
      <c r="AA484" s="305"/>
      <c r="AB484" s="305"/>
      <c r="AC484" s="305"/>
      <c r="AD484" s="305"/>
      <c r="AE484" s="305"/>
      <c r="AF484" s="305"/>
      <c r="AG484" s="305"/>
      <c r="AH484" s="305"/>
      <c r="AI484" s="305"/>
      <c r="AJ484" s="305"/>
      <c r="AK484" s="305"/>
      <c r="AL484" s="305"/>
      <c r="AM484" s="305"/>
      <c r="AN484" s="305"/>
      <c r="AO484" s="305"/>
      <c r="AP484" s="305"/>
      <c r="AQ484" s="305"/>
      <c r="AR484" s="305"/>
      <c r="AS484" s="305"/>
      <c r="AT484" s="305"/>
      <c r="AU484" s="305"/>
      <c r="AV484" s="305"/>
      <c r="AW484" s="305"/>
      <c r="AX484" s="305"/>
      <c r="AY484" s="305"/>
      <c r="AZ484" s="305"/>
      <c r="BA484" s="305"/>
      <c r="BB484" s="305"/>
      <c r="BC484" s="305"/>
      <c r="BD484" s="305"/>
      <c r="BE484" s="305"/>
      <c r="BF484" s="305"/>
      <c r="BG484" s="305"/>
      <c r="BH484" s="305"/>
      <c r="BI484" s="305"/>
      <c r="BJ484" s="305"/>
      <c r="BK484" s="305"/>
      <c r="BL484" s="305"/>
      <c r="BM484" s="305"/>
      <c r="BN484" s="305"/>
      <c r="BO484" s="305"/>
      <c r="BP484" s="305"/>
      <c r="BQ484" s="305"/>
      <c r="BR484" s="305"/>
      <c r="BS484" s="305"/>
      <c r="BT484" s="305"/>
      <c r="BU484" s="305"/>
      <c r="BV484" s="305"/>
      <c r="BW484" s="305"/>
      <c r="BX484" s="305"/>
      <c r="BY484" s="305"/>
      <c r="BZ484" s="305"/>
      <c r="CA484" s="305"/>
      <c r="CB484" s="305"/>
      <c r="CC484" s="305"/>
      <c r="CD484" s="305"/>
      <c r="CE484" s="305"/>
      <c r="CF484" s="305"/>
      <c r="CG484" s="305"/>
      <c r="CH484" s="305"/>
      <c r="CI484" s="305"/>
      <c r="CJ484" s="305"/>
      <c r="CK484" s="305"/>
      <c r="CL484" s="305"/>
      <c r="CM484" s="305"/>
      <c r="CN484" s="305"/>
      <c r="CO484" s="305"/>
      <c r="CP484" s="305"/>
      <c r="CQ484" s="305"/>
      <c r="CR484" s="305"/>
      <c r="CS484" s="305"/>
      <c r="CT484" s="305"/>
      <c r="CU484" s="305"/>
      <c r="CV484" s="305"/>
      <c r="CW484" s="305"/>
      <c r="CX484" s="305"/>
      <c r="CY484" s="305"/>
      <c r="CZ484" s="305"/>
      <c r="DA484" s="305"/>
      <c r="DB484" s="305"/>
      <c r="DC484" s="305"/>
      <c r="DD484" s="305"/>
      <c r="DE484" s="305"/>
      <c r="DF484" s="305"/>
      <c r="DG484" s="305"/>
      <c r="DH484" s="305"/>
      <c r="DI484" s="305"/>
      <c r="DJ484" s="305"/>
      <c r="DK484" s="305"/>
      <c r="DL484" s="305"/>
      <c r="DM484" s="305"/>
      <c r="DN484" s="305"/>
      <c r="DO484" s="305"/>
      <c r="DP484" s="305"/>
      <c r="DQ484" s="305"/>
      <c r="DR484" s="305"/>
      <c r="DS484" s="305"/>
      <c r="DT484" s="305"/>
      <c r="DU484" s="305"/>
      <c r="DV484" s="305"/>
      <c r="DW484" s="305"/>
      <c r="DX484" s="305"/>
      <c r="DY484" s="305"/>
      <c r="DZ484" s="305"/>
      <c r="EA484" s="305"/>
      <c r="EB484" s="305"/>
      <c r="EC484" s="305"/>
      <c r="ED484" s="305"/>
      <c r="EE484" s="305"/>
      <c r="EF484" s="305"/>
      <c r="EG484" s="305"/>
      <c r="EH484" s="305"/>
      <c r="EI484" s="305"/>
      <c r="EJ484" s="305"/>
      <c r="EK484" s="305"/>
      <c r="EL484" s="305"/>
      <c r="EM484" s="305"/>
      <c r="EN484" s="305"/>
      <c r="EO484" s="305"/>
      <c r="EP484" s="305"/>
      <c r="EQ484" s="305"/>
      <c r="ER484" s="305"/>
      <c r="ES484" s="305"/>
      <c r="ET484" s="305"/>
      <c r="EU484" s="305"/>
      <c r="EV484" s="305"/>
      <c r="EW484" s="305"/>
      <c r="EX484" s="305"/>
      <c r="EY484" s="305"/>
      <c r="EZ484" s="305"/>
      <c r="FA484" s="305"/>
      <c r="FB484" s="305"/>
      <c r="FC484" s="305"/>
      <c r="FD484" s="305"/>
      <c r="FE484" s="305"/>
      <c r="FF484" s="305"/>
      <c r="FG484" s="305"/>
      <c r="FH484" s="305"/>
      <c r="FI484" s="305"/>
      <c r="FJ484" s="305"/>
      <c r="FK484" s="305"/>
      <c r="FL484" s="305"/>
      <c r="FM484" s="305"/>
      <c r="FN484" s="305"/>
      <c r="FO484" s="305"/>
      <c r="FP484" s="305"/>
      <c r="FQ484" s="305"/>
      <c r="FR484" s="305"/>
      <c r="FS484" s="305"/>
      <c r="FT484" s="305"/>
      <c r="FU484" s="305"/>
      <c r="FV484" s="305"/>
      <c r="FW484" s="305"/>
      <c r="FX484" s="305"/>
      <c r="FY484" s="305"/>
      <c r="FZ484" s="305"/>
      <c r="GA484" s="305"/>
      <c r="GB484" s="305"/>
      <c r="GC484" s="305"/>
      <c r="GD484" s="305"/>
      <c r="GE484" s="305"/>
      <c r="GF484" s="305"/>
      <c r="GG484" s="305"/>
      <c r="GH484" s="305"/>
      <c r="GI484" s="305"/>
      <c r="GJ484" s="305"/>
      <c r="GK484" s="305"/>
      <c r="GL484" s="305"/>
      <c r="GM484" s="305"/>
      <c r="GN484" s="305"/>
      <c r="GO484" s="305"/>
      <c r="GP484" s="305"/>
      <c r="GQ484" s="305"/>
      <c r="GR484" s="305"/>
    </row>
    <row r="485" spans="3:200" s="318" customFormat="1" ht="12.75" customHeight="1" x14ac:dyDescent="0.2">
      <c r="C485" s="367"/>
      <c r="D485" s="403"/>
      <c r="E485" s="369"/>
      <c r="F485" s="369"/>
      <c r="G485" s="369"/>
      <c r="H485" s="369"/>
      <c r="I485" s="370"/>
      <c r="J485"/>
      <c r="K485" s="371"/>
      <c r="L485" s="371"/>
      <c r="M485" s="371"/>
      <c r="N485" s="371"/>
      <c r="O485" s="305"/>
      <c r="P485" s="305"/>
      <c r="Q485" s="305"/>
      <c r="R485" s="305"/>
      <c r="S485" s="305"/>
      <c r="T485" s="305"/>
      <c r="U485" s="305"/>
      <c r="V485" s="305"/>
      <c r="W485" s="305"/>
      <c r="X485" s="305"/>
      <c r="Y485" s="305"/>
      <c r="Z485" s="305"/>
      <c r="AA485" s="305"/>
      <c r="AB485" s="305"/>
      <c r="AC485" s="305"/>
      <c r="AD485" s="305"/>
      <c r="AE485" s="305"/>
      <c r="AF485" s="305"/>
      <c r="AG485" s="305"/>
      <c r="AH485" s="305"/>
      <c r="AI485" s="305"/>
      <c r="AJ485" s="305"/>
      <c r="AK485" s="305"/>
      <c r="AL485" s="305"/>
      <c r="AM485" s="305"/>
      <c r="AN485" s="305"/>
      <c r="AO485" s="305"/>
      <c r="AP485" s="305"/>
      <c r="AQ485" s="305"/>
      <c r="AR485" s="305"/>
      <c r="AS485" s="305"/>
      <c r="AT485" s="305"/>
      <c r="AU485" s="305"/>
      <c r="AV485" s="305"/>
      <c r="AW485" s="305"/>
      <c r="AX485" s="305"/>
      <c r="AY485" s="305"/>
      <c r="AZ485" s="305"/>
      <c r="BA485" s="305"/>
      <c r="BB485" s="305"/>
      <c r="BC485" s="305"/>
      <c r="BD485" s="305"/>
      <c r="BE485" s="305"/>
      <c r="BF485" s="305"/>
      <c r="BG485" s="305"/>
      <c r="BH485" s="305"/>
      <c r="BI485" s="305"/>
      <c r="BJ485" s="305"/>
      <c r="BK485" s="305"/>
      <c r="BL485" s="305"/>
      <c r="BM485" s="305"/>
      <c r="BN485" s="305"/>
      <c r="BO485" s="305"/>
      <c r="BP485" s="305"/>
      <c r="BQ485" s="305"/>
      <c r="BR485" s="305"/>
      <c r="BS485" s="305"/>
      <c r="BT485" s="305"/>
      <c r="BU485" s="305"/>
      <c r="BV485" s="305"/>
      <c r="BW485" s="305"/>
      <c r="BX485" s="305"/>
      <c r="BY485" s="305"/>
      <c r="BZ485" s="305"/>
      <c r="CA485" s="305"/>
      <c r="CB485" s="305"/>
      <c r="CC485" s="305"/>
      <c r="CD485" s="305"/>
      <c r="CE485" s="305"/>
      <c r="CF485" s="305"/>
      <c r="CG485" s="305"/>
      <c r="CH485" s="305"/>
      <c r="CI485" s="305"/>
      <c r="CJ485" s="305"/>
      <c r="CK485" s="305"/>
      <c r="CL485" s="305"/>
      <c r="CM485" s="305"/>
      <c r="CN485" s="305"/>
      <c r="CO485" s="305"/>
      <c r="CP485" s="305"/>
      <c r="CQ485" s="305"/>
      <c r="CR485" s="305"/>
      <c r="CS485" s="305"/>
      <c r="CT485" s="305"/>
      <c r="CU485" s="305"/>
      <c r="CV485" s="305"/>
      <c r="CW485" s="305"/>
      <c r="CX485" s="305"/>
      <c r="CY485" s="305"/>
      <c r="CZ485" s="305"/>
      <c r="DA485" s="305"/>
      <c r="DB485" s="305"/>
      <c r="DC485" s="305"/>
      <c r="DD485" s="305"/>
      <c r="DE485" s="305"/>
      <c r="DF485" s="305"/>
      <c r="DG485" s="305"/>
      <c r="DH485" s="305"/>
      <c r="DI485" s="305"/>
      <c r="DJ485" s="305"/>
      <c r="DK485" s="305"/>
      <c r="DL485" s="305"/>
      <c r="DM485" s="305"/>
      <c r="DN485" s="305"/>
      <c r="DO485" s="305"/>
      <c r="DP485" s="305"/>
      <c r="DQ485" s="305"/>
      <c r="DR485" s="305"/>
      <c r="DS485" s="305"/>
      <c r="DT485" s="305"/>
      <c r="DU485" s="305"/>
      <c r="DV485" s="305"/>
      <c r="DW485" s="305"/>
      <c r="DX485" s="305"/>
      <c r="DY485" s="305"/>
      <c r="DZ485" s="305"/>
      <c r="EA485" s="305"/>
      <c r="EB485" s="305"/>
      <c r="EC485" s="305"/>
      <c r="ED485" s="305"/>
      <c r="EE485" s="305"/>
      <c r="EF485" s="305"/>
      <c r="EG485" s="305"/>
      <c r="EH485" s="305"/>
      <c r="EI485" s="305"/>
      <c r="EJ485" s="305"/>
      <c r="EK485" s="305"/>
      <c r="EL485" s="305"/>
      <c r="EM485" s="305"/>
      <c r="EN485" s="305"/>
      <c r="EO485" s="305"/>
      <c r="EP485" s="305"/>
      <c r="EQ485" s="305"/>
      <c r="ER485" s="305"/>
      <c r="ES485" s="305"/>
      <c r="ET485" s="305"/>
      <c r="EU485" s="305"/>
      <c r="EV485" s="305"/>
      <c r="EW485" s="305"/>
      <c r="EX485" s="305"/>
      <c r="EY485" s="305"/>
      <c r="EZ485" s="305"/>
      <c r="FA485" s="305"/>
      <c r="FB485" s="305"/>
      <c r="FC485" s="305"/>
      <c r="FD485" s="305"/>
      <c r="FE485" s="305"/>
      <c r="FF485" s="305"/>
      <c r="FG485" s="305"/>
      <c r="FH485" s="305"/>
      <c r="FI485" s="305"/>
      <c r="FJ485" s="305"/>
      <c r="FK485" s="305"/>
      <c r="FL485" s="305"/>
      <c r="FM485" s="305"/>
      <c r="FN485" s="305"/>
      <c r="FO485" s="305"/>
      <c r="FP485" s="305"/>
      <c r="FQ485" s="305"/>
      <c r="FR485" s="305"/>
      <c r="FS485" s="305"/>
      <c r="FT485" s="305"/>
      <c r="FU485" s="305"/>
      <c r="FV485" s="305"/>
      <c r="FW485" s="305"/>
      <c r="FX485" s="305"/>
      <c r="FY485" s="305"/>
      <c r="FZ485" s="305"/>
      <c r="GA485" s="305"/>
      <c r="GB485" s="305"/>
      <c r="GC485" s="305"/>
      <c r="GD485" s="305"/>
      <c r="GE485" s="305"/>
      <c r="GF485" s="305"/>
      <c r="GG485" s="305"/>
      <c r="GH485" s="305"/>
      <c r="GI485" s="305"/>
      <c r="GJ485" s="305"/>
      <c r="GK485" s="305"/>
      <c r="GL485" s="305"/>
      <c r="GM485" s="305"/>
      <c r="GN485" s="305"/>
      <c r="GO485" s="305"/>
      <c r="GP485" s="305"/>
      <c r="GQ485" s="305"/>
      <c r="GR485" s="305"/>
    </row>
    <row r="486" spans="3:200" s="318" customFormat="1" ht="12.75" customHeight="1" x14ac:dyDescent="0.2">
      <c r="C486" s="367"/>
      <c r="D486" s="403"/>
      <c r="E486" s="369"/>
      <c r="F486" s="369"/>
      <c r="G486" s="369"/>
      <c r="H486" s="369"/>
      <c r="I486" s="370"/>
      <c r="J486"/>
      <c r="K486" s="371"/>
      <c r="L486" s="371"/>
      <c r="M486" s="371"/>
      <c r="N486" s="371"/>
      <c r="O486" s="305"/>
      <c r="P486" s="305"/>
      <c r="Q486" s="305"/>
      <c r="R486" s="305"/>
      <c r="S486" s="305"/>
      <c r="T486" s="305"/>
      <c r="U486" s="305"/>
      <c r="V486" s="305"/>
      <c r="W486" s="305"/>
      <c r="X486" s="305"/>
      <c r="Y486" s="305"/>
      <c r="Z486" s="305"/>
      <c r="AA486" s="305"/>
      <c r="AB486" s="305"/>
      <c r="AC486" s="305"/>
      <c r="AD486" s="305"/>
      <c r="AE486" s="305"/>
      <c r="AF486" s="305"/>
      <c r="AG486" s="305"/>
      <c r="AH486" s="305"/>
      <c r="AI486" s="305"/>
      <c r="AJ486" s="305"/>
      <c r="AK486" s="305"/>
      <c r="AL486" s="305"/>
      <c r="AM486" s="305"/>
      <c r="AN486" s="305"/>
      <c r="AO486" s="305"/>
      <c r="AP486" s="305"/>
      <c r="AQ486" s="305"/>
      <c r="AR486" s="305"/>
      <c r="AS486" s="305"/>
      <c r="AT486" s="305"/>
      <c r="AU486" s="305"/>
      <c r="AV486" s="305"/>
      <c r="AW486" s="305"/>
      <c r="AX486" s="305"/>
      <c r="AY486" s="305"/>
      <c r="AZ486" s="305"/>
      <c r="BA486" s="305"/>
      <c r="BB486" s="305"/>
      <c r="BC486" s="305"/>
      <c r="BD486" s="305"/>
      <c r="BE486" s="305"/>
      <c r="BF486" s="305"/>
      <c r="BG486" s="305"/>
      <c r="BH486" s="305"/>
      <c r="BI486" s="305"/>
      <c r="BJ486" s="305"/>
      <c r="BK486" s="305"/>
      <c r="BL486" s="305"/>
      <c r="BM486" s="305"/>
      <c r="BN486" s="305"/>
      <c r="BO486" s="305"/>
      <c r="BP486" s="305"/>
      <c r="BQ486" s="305"/>
      <c r="BR486" s="305"/>
      <c r="BS486" s="305"/>
      <c r="BT486" s="305"/>
      <c r="BU486" s="305"/>
      <c r="BV486" s="305"/>
      <c r="BW486" s="305"/>
      <c r="BX486" s="305"/>
      <c r="BY486" s="305"/>
      <c r="BZ486" s="305"/>
      <c r="CA486" s="305"/>
      <c r="CB486" s="305"/>
      <c r="CC486" s="305"/>
      <c r="CD486" s="305"/>
      <c r="CE486" s="305"/>
      <c r="CF486" s="305"/>
      <c r="CG486" s="305"/>
      <c r="CH486" s="305"/>
      <c r="CI486" s="305"/>
      <c r="CJ486" s="305"/>
      <c r="CK486" s="305"/>
      <c r="CL486" s="305"/>
      <c r="CM486" s="305"/>
      <c r="CN486" s="305"/>
      <c r="CO486" s="305"/>
      <c r="CP486" s="305"/>
      <c r="CQ486" s="305"/>
      <c r="CR486" s="305"/>
      <c r="CS486" s="305"/>
      <c r="CT486" s="305"/>
      <c r="CU486" s="305"/>
      <c r="CV486" s="305"/>
      <c r="CW486" s="305"/>
      <c r="CX486" s="305"/>
      <c r="CY486" s="305"/>
      <c r="CZ486" s="305"/>
      <c r="DA486" s="305"/>
      <c r="DB486" s="305"/>
      <c r="DC486" s="305"/>
      <c r="DD486" s="305"/>
      <c r="DE486" s="305"/>
      <c r="DF486" s="305"/>
      <c r="DG486" s="305"/>
      <c r="DH486" s="305"/>
      <c r="DI486" s="305"/>
      <c r="DJ486" s="305"/>
      <c r="DK486" s="305"/>
      <c r="DL486" s="305"/>
      <c r="DM486" s="305"/>
      <c r="DN486" s="305"/>
      <c r="DO486" s="305"/>
      <c r="DP486" s="305"/>
      <c r="DQ486" s="305"/>
      <c r="DR486" s="305"/>
      <c r="DS486" s="305"/>
      <c r="DT486" s="305"/>
      <c r="DU486" s="305"/>
      <c r="DV486" s="305"/>
      <c r="DW486" s="305"/>
      <c r="DX486" s="305"/>
      <c r="DY486" s="305"/>
      <c r="DZ486" s="305"/>
      <c r="EA486" s="305"/>
      <c r="EB486" s="305"/>
      <c r="EC486" s="305"/>
      <c r="ED486" s="305"/>
      <c r="EE486" s="305"/>
      <c r="EF486" s="305"/>
      <c r="EG486" s="305"/>
      <c r="EH486" s="305"/>
      <c r="EI486" s="305"/>
      <c r="EJ486" s="305"/>
      <c r="EK486" s="305"/>
      <c r="EL486" s="305"/>
      <c r="EM486" s="305"/>
      <c r="EN486" s="305"/>
      <c r="EO486" s="305"/>
      <c r="EP486" s="305"/>
      <c r="EQ486" s="305"/>
      <c r="ER486" s="305"/>
      <c r="ES486" s="305"/>
      <c r="ET486" s="305"/>
      <c r="EU486" s="305"/>
      <c r="EV486" s="305"/>
      <c r="EW486" s="305"/>
      <c r="EX486" s="305"/>
      <c r="EY486" s="305"/>
      <c r="EZ486" s="305"/>
      <c r="FA486" s="305"/>
      <c r="FB486" s="305"/>
      <c r="FC486" s="305"/>
      <c r="FD486" s="305"/>
      <c r="FE486" s="305"/>
      <c r="FF486" s="305"/>
      <c r="FG486" s="305"/>
      <c r="FH486" s="305"/>
      <c r="FI486" s="305"/>
      <c r="FJ486" s="305"/>
      <c r="FK486" s="305"/>
      <c r="FL486" s="305"/>
      <c r="FM486" s="305"/>
      <c r="FN486" s="305"/>
      <c r="FO486" s="305"/>
      <c r="FP486" s="305"/>
      <c r="FQ486" s="305"/>
      <c r="FR486" s="305"/>
      <c r="FS486" s="305"/>
      <c r="FT486" s="305"/>
      <c r="FU486" s="305"/>
      <c r="FV486" s="305"/>
      <c r="FW486" s="305"/>
      <c r="FX486" s="305"/>
      <c r="FY486" s="305"/>
      <c r="FZ486" s="305"/>
      <c r="GA486" s="305"/>
      <c r="GB486" s="305"/>
      <c r="GC486" s="305"/>
      <c r="GD486" s="305"/>
      <c r="GE486" s="305"/>
      <c r="GF486" s="305"/>
      <c r="GG486" s="305"/>
      <c r="GH486" s="305"/>
      <c r="GI486" s="305"/>
      <c r="GJ486" s="305"/>
      <c r="GK486" s="305"/>
      <c r="GL486" s="305"/>
      <c r="GM486" s="305"/>
      <c r="GN486" s="305"/>
      <c r="GO486" s="305"/>
      <c r="GP486" s="305"/>
      <c r="GQ486" s="305"/>
      <c r="GR486" s="305"/>
    </row>
    <row r="487" spans="3:200" s="318" customFormat="1" ht="12.75" customHeight="1" x14ac:dyDescent="0.2">
      <c r="C487" s="367"/>
      <c r="D487" s="403"/>
      <c r="E487" s="369"/>
      <c r="F487" s="369"/>
      <c r="G487" s="369"/>
      <c r="H487" s="369"/>
      <c r="I487" s="370"/>
      <c r="J487"/>
      <c r="K487" s="371"/>
      <c r="L487" s="371"/>
      <c r="M487" s="371"/>
      <c r="N487" s="371"/>
      <c r="O487" s="305"/>
      <c r="P487" s="305"/>
      <c r="Q487" s="305"/>
      <c r="R487" s="305"/>
      <c r="S487" s="305"/>
      <c r="T487" s="305"/>
      <c r="U487" s="305"/>
      <c r="V487" s="305"/>
      <c r="W487" s="305"/>
      <c r="X487" s="305"/>
      <c r="Y487" s="305"/>
      <c r="Z487" s="305"/>
      <c r="AA487" s="305"/>
      <c r="AB487" s="305"/>
      <c r="AC487" s="305"/>
      <c r="AD487" s="305"/>
      <c r="AE487" s="305"/>
      <c r="AF487" s="305"/>
      <c r="AG487" s="305"/>
      <c r="AH487" s="305"/>
      <c r="AI487" s="305"/>
      <c r="AJ487" s="305"/>
      <c r="AK487" s="305"/>
      <c r="AL487" s="305"/>
      <c r="AM487" s="305"/>
      <c r="AN487" s="305"/>
      <c r="AO487" s="305"/>
      <c r="AP487" s="305"/>
      <c r="AQ487" s="305"/>
      <c r="AR487" s="305"/>
      <c r="AS487" s="305"/>
      <c r="AT487" s="305"/>
      <c r="AU487" s="305"/>
      <c r="AV487" s="305"/>
      <c r="AW487" s="305"/>
      <c r="AX487" s="305"/>
      <c r="AY487" s="305"/>
      <c r="AZ487" s="305"/>
      <c r="BA487" s="305"/>
      <c r="BB487" s="305"/>
      <c r="BC487" s="305"/>
      <c r="BD487" s="305"/>
      <c r="BE487" s="305"/>
      <c r="BF487" s="305"/>
      <c r="BG487" s="305"/>
      <c r="BH487" s="305"/>
      <c r="BI487" s="305"/>
      <c r="BJ487" s="305"/>
      <c r="BK487" s="305"/>
      <c r="BL487" s="305"/>
      <c r="BM487" s="305"/>
      <c r="BN487" s="305"/>
      <c r="BO487" s="305"/>
      <c r="BP487" s="305"/>
      <c r="BQ487" s="305"/>
      <c r="BR487" s="305"/>
      <c r="BS487" s="305"/>
      <c r="BT487" s="305"/>
      <c r="BU487" s="305"/>
      <c r="BV487" s="305"/>
      <c r="BW487" s="305"/>
      <c r="BX487" s="305"/>
      <c r="BY487" s="305"/>
      <c r="BZ487" s="305"/>
      <c r="CA487" s="305"/>
      <c r="CB487" s="305"/>
      <c r="CC487" s="305"/>
      <c r="CD487" s="305"/>
      <c r="CE487" s="305"/>
      <c r="CF487" s="305"/>
      <c r="CG487" s="305"/>
      <c r="CH487" s="305"/>
      <c r="CI487" s="305"/>
      <c r="CJ487" s="305"/>
      <c r="CK487" s="305"/>
      <c r="CL487" s="305"/>
      <c r="CM487" s="305"/>
      <c r="CN487" s="305"/>
      <c r="CO487" s="305"/>
      <c r="CP487" s="305"/>
      <c r="CQ487" s="305"/>
      <c r="CR487" s="305"/>
      <c r="CS487" s="305"/>
      <c r="CT487" s="305"/>
      <c r="CU487" s="305"/>
      <c r="CV487" s="305"/>
      <c r="CW487" s="305"/>
      <c r="CX487" s="305"/>
      <c r="CY487" s="305"/>
      <c r="CZ487" s="305"/>
      <c r="DA487" s="305"/>
      <c r="DB487" s="305"/>
      <c r="DC487" s="305"/>
      <c r="DD487" s="305"/>
      <c r="DE487" s="305"/>
      <c r="DF487" s="305"/>
      <c r="DG487" s="305"/>
      <c r="DH487" s="305"/>
      <c r="DI487" s="305"/>
      <c r="DJ487" s="305"/>
      <c r="DK487" s="305"/>
      <c r="DL487" s="305"/>
      <c r="DM487" s="305"/>
      <c r="DN487" s="305"/>
      <c r="DO487" s="305"/>
      <c r="DP487" s="305"/>
      <c r="DQ487" s="305"/>
      <c r="DR487" s="305"/>
      <c r="DS487" s="305"/>
      <c r="DT487" s="305"/>
      <c r="DU487" s="305"/>
      <c r="DV487" s="305"/>
      <c r="DW487" s="305"/>
      <c r="DX487" s="305"/>
      <c r="DY487" s="305"/>
      <c r="DZ487" s="305"/>
      <c r="EA487" s="305"/>
      <c r="EB487" s="305"/>
      <c r="EC487" s="305"/>
      <c r="ED487" s="305"/>
      <c r="EE487" s="305"/>
      <c r="EF487" s="305"/>
      <c r="EG487" s="305"/>
      <c r="EH487" s="305"/>
      <c r="EI487" s="305"/>
      <c r="EJ487" s="305"/>
      <c r="EK487" s="305"/>
      <c r="EL487" s="305"/>
      <c r="EM487" s="305"/>
      <c r="EN487" s="305"/>
      <c r="EO487" s="305"/>
      <c r="EP487" s="305"/>
      <c r="EQ487" s="305"/>
      <c r="ER487" s="305"/>
      <c r="ES487" s="305"/>
      <c r="ET487" s="305"/>
      <c r="EU487" s="305"/>
      <c r="EV487" s="305"/>
      <c r="EW487" s="305"/>
      <c r="EX487" s="305"/>
      <c r="EY487" s="305"/>
      <c r="EZ487" s="305"/>
      <c r="FA487" s="305"/>
      <c r="FB487" s="305"/>
      <c r="FC487" s="305"/>
      <c r="FD487" s="305"/>
      <c r="FE487" s="305"/>
      <c r="FF487" s="305"/>
      <c r="FG487" s="305"/>
      <c r="FH487" s="305"/>
      <c r="FI487" s="305"/>
      <c r="FJ487" s="305"/>
      <c r="FK487" s="305"/>
      <c r="FL487" s="305"/>
      <c r="FM487" s="305"/>
      <c r="FN487" s="305"/>
      <c r="FO487" s="305"/>
      <c r="FP487" s="305"/>
      <c r="FQ487" s="305"/>
      <c r="FR487" s="305"/>
      <c r="FS487" s="305"/>
      <c r="FT487" s="305"/>
      <c r="FU487" s="305"/>
      <c r="FV487" s="305"/>
      <c r="FW487" s="305"/>
      <c r="FX487" s="305"/>
      <c r="FY487" s="305"/>
      <c r="FZ487" s="305"/>
      <c r="GA487" s="305"/>
      <c r="GB487" s="305"/>
      <c r="GC487" s="305"/>
      <c r="GD487" s="305"/>
      <c r="GE487" s="305"/>
      <c r="GF487" s="305"/>
      <c r="GG487" s="305"/>
      <c r="GH487" s="305"/>
      <c r="GI487" s="305"/>
      <c r="GJ487" s="305"/>
      <c r="GK487" s="305"/>
      <c r="GL487" s="305"/>
      <c r="GM487" s="305"/>
      <c r="GN487" s="305"/>
      <c r="GO487" s="305"/>
      <c r="GP487" s="305"/>
      <c r="GQ487" s="305"/>
      <c r="GR487" s="305"/>
    </row>
    <row r="488" spans="3:200" s="318" customFormat="1" ht="12.75" customHeight="1" x14ac:dyDescent="0.2">
      <c r="C488" s="367"/>
      <c r="D488" s="403"/>
      <c r="E488" s="369"/>
      <c r="F488" s="369"/>
      <c r="G488" s="369"/>
      <c r="H488" s="369"/>
      <c r="I488" s="370"/>
      <c r="J488"/>
      <c r="K488" s="371"/>
      <c r="L488" s="371"/>
      <c r="M488" s="371"/>
      <c r="N488" s="371"/>
      <c r="O488" s="305"/>
      <c r="P488" s="305"/>
      <c r="Q488" s="305"/>
      <c r="R488" s="305"/>
      <c r="S488" s="305"/>
      <c r="T488" s="305"/>
      <c r="U488" s="305"/>
      <c r="V488" s="305"/>
      <c r="W488" s="305"/>
      <c r="X488" s="305"/>
      <c r="Y488" s="305"/>
      <c r="Z488" s="305"/>
      <c r="AA488" s="305"/>
      <c r="AB488" s="305"/>
      <c r="AC488" s="305"/>
      <c r="AD488" s="305"/>
      <c r="AE488" s="305"/>
      <c r="AF488" s="305"/>
      <c r="AG488" s="305"/>
      <c r="AH488" s="305"/>
      <c r="AI488" s="305"/>
      <c r="AJ488" s="305"/>
      <c r="AK488" s="305"/>
      <c r="AL488" s="305"/>
      <c r="AM488" s="305"/>
      <c r="AN488" s="305"/>
      <c r="AO488" s="305"/>
      <c r="AP488" s="305"/>
      <c r="AQ488" s="305"/>
      <c r="AR488" s="305"/>
      <c r="AS488" s="305"/>
      <c r="AT488" s="305"/>
      <c r="AU488" s="305"/>
      <c r="AV488" s="305"/>
      <c r="AW488" s="305"/>
      <c r="AX488" s="305"/>
      <c r="AY488" s="305"/>
      <c r="AZ488" s="305"/>
      <c r="BA488" s="305"/>
      <c r="BB488" s="305"/>
      <c r="BC488" s="305"/>
      <c r="BD488" s="305"/>
      <c r="BE488" s="305"/>
      <c r="BF488" s="305"/>
      <c r="BG488" s="305"/>
      <c r="BH488" s="305"/>
      <c r="BI488" s="305"/>
      <c r="BJ488" s="305"/>
      <c r="BK488" s="305"/>
      <c r="BL488" s="305"/>
      <c r="BM488" s="305"/>
      <c r="BN488" s="305"/>
      <c r="BO488" s="305"/>
      <c r="BP488" s="305"/>
      <c r="BQ488" s="305"/>
      <c r="BR488" s="305"/>
      <c r="BS488" s="305"/>
      <c r="BT488" s="305"/>
      <c r="BU488" s="305"/>
      <c r="BV488" s="305"/>
      <c r="BW488" s="305"/>
      <c r="BX488" s="305"/>
      <c r="BY488" s="305"/>
      <c r="BZ488" s="305"/>
      <c r="CA488" s="305"/>
      <c r="CB488" s="305"/>
      <c r="CC488" s="305"/>
      <c r="CD488" s="305"/>
      <c r="CE488" s="305"/>
      <c r="CF488" s="305"/>
      <c r="CG488" s="305"/>
      <c r="CH488" s="305"/>
      <c r="CI488" s="305"/>
      <c r="CJ488" s="305"/>
      <c r="CK488" s="305"/>
      <c r="CL488" s="305"/>
      <c r="CM488" s="305"/>
      <c r="CN488" s="305"/>
      <c r="CO488" s="305"/>
      <c r="CP488" s="305"/>
      <c r="CQ488" s="305"/>
      <c r="CR488" s="305"/>
      <c r="CS488" s="305"/>
      <c r="CT488" s="305"/>
      <c r="CU488" s="305"/>
      <c r="CV488" s="305"/>
      <c r="CW488" s="305"/>
      <c r="CX488" s="305"/>
      <c r="CY488" s="305"/>
      <c r="CZ488" s="305"/>
      <c r="DA488" s="305"/>
      <c r="DB488" s="305"/>
      <c r="DC488" s="305"/>
      <c r="DD488" s="305"/>
      <c r="DE488" s="305"/>
      <c r="DF488" s="305"/>
      <c r="DG488" s="305"/>
      <c r="DH488" s="305"/>
      <c r="DI488" s="305"/>
      <c r="DJ488" s="305"/>
      <c r="DK488" s="305"/>
      <c r="DL488" s="305"/>
      <c r="DM488" s="305"/>
      <c r="DN488" s="305"/>
      <c r="DO488" s="305"/>
      <c r="DP488" s="305"/>
      <c r="DQ488" s="305"/>
      <c r="DR488" s="305"/>
      <c r="DS488" s="305"/>
      <c r="DT488" s="305"/>
      <c r="DU488" s="305"/>
      <c r="DV488" s="305"/>
      <c r="DW488" s="305"/>
      <c r="DX488" s="305"/>
      <c r="DY488" s="305"/>
      <c r="DZ488" s="305"/>
      <c r="EA488" s="305"/>
      <c r="EB488" s="305"/>
      <c r="EC488" s="305"/>
      <c r="ED488" s="305"/>
      <c r="EE488" s="305"/>
      <c r="EF488" s="305"/>
      <c r="EG488" s="305"/>
      <c r="EH488" s="305"/>
      <c r="EI488" s="305"/>
      <c r="EJ488" s="305"/>
      <c r="EK488" s="305"/>
      <c r="EL488" s="305"/>
      <c r="EM488" s="305"/>
      <c r="EN488" s="305"/>
      <c r="EO488" s="305"/>
      <c r="EP488" s="305"/>
      <c r="EQ488" s="305"/>
      <c r="ER488" s="305"/>
      <c r="ES488" s="305"/>
      <c r="ET488" s="305"/>
      <c r="EU488" s="305"/>
      <c r="EV488" s="305"/>
      <c r="EW488" s="305"/>
      <c r="EX488" s="305"/>
      <c r="EY488" s="305"/>
      <c r="EZ488" s="305"/>
      <c r="FA488" s="305"/>
      <c r="FB488" s="305"/>
      <c r="FC488" s="305"/>
      <c r="FD488" s="305"/>
      <c r="FE488" s="305"/>
      <c r="FF488" s="305"/>
      <c r="FG488" s="305"/>
      <c r="FH488" s="305"/>
      <c r="FI488" s="305"/>
      <c r="FJ488" s="305"/>
      <c r="FK488" s="305"/>
      <c r="FL488" s="305"/>
      <c r="FM488" s="305"/>
      <c r="FN488" s="305"/>
      <c r="FO488" s="305"/>
      <c r="FP488" s="305"/>
      <c r="FQ488" s="305"/>
      <c r="FR488" s="305"/>
      <c r="FS488" s="305"/>
      <c r="FT488" s="305"/>
      <c r="FU488" s="305"/>
      <c r="FV488" s="305"/>
      <c r="FW488" s="305"/>
      <c r="FX488" s="305"/>
      <c r="FY488" s="305"/>
      <c r="FZ488" s="305"/>
      <c r="GA488" s="305"/>
      <c r="GB488" s="305"/>
      <c r="GC488" s="305"/>
      <c r="GD488" s="305"/>
      <c r="GE488" s="305"/>
      <c r="GF488" s="305"/>
      <c r="GG488" s="305"/>
      <c r="GH488" s="305"/>
      <c r="GI488" s="305"/>
      <c r="GJ488" s="305"/>
      <c r="GK488" s="305"/>
      <c r="GL488" s="305"/>
      <c r="GM488" s="305"/>
      <c r="GN488" s="305"/>
      <c r="GO488" s="305"/>
      <c r="GP488" s="305"/>
      <c r="GQ488" s="305"/>
      <c r="GR488" s="305"/>
    </row>
    <row r="489" spans="3:200" s="318" customFormat="1" ht="12.75" customHeight="1" x14ac:dyDescent="0.2">
      <c r="C489" s="367"/>
      <c r="D489" s="403"/>
      <c r="E489" s="369"/>
      <c r="F489" s="369"/>
      <c r="G489" s="369"/>
      <c r="H489" s="369"/>
      <c r="I489" s="370"/>
      <c r="J489"/>
      <c r="K489" s="371"/>
      <c r="L489" s="371"/>
      <c r="M489" s="371"/>
      <c r="N489" s="371"/>
      <c r="O489" s="305"/>
      <c r="P489" s="305"/>
      <c r="Q489" s="305"/>
      <c r="R489" s="305"/>
      <c r="S489" s="305"/>
      <c r="T489" s="305"/>
      <c r="U489" s="305"/>
      <c r="V489" s="305"/>
      <c r="W489" s="305"/>
      <c r="X489" s="305"/>
      <c r="Y489" s="305"/>
      <c r="Z489" s="305"/>
      <c r="AA489" s="305"/>
      <c r="AB489" s="305"/>
      <c r="AC489" s="305"/>
      <c r="AD489" s="305"/>
      <c r="AE489" s="305"/>
      <c r="AF489" s="305"/>
      <c r="AG489" s="305"/>
      <c r="AH489" s="305"/>
      <c r="AI489" s="305"/>
      <c r="AJ489" s="305"/>
      <c r="AK489" s="305"/>
      <c r="AL489" s="305"/>
      <c r="AM489" s="305"/>
      <c r="AN489" s="305"/>
      <c r="AO489" s="305"/>
      <c r="AP489" s="305"/>
      <c r="AQ489" s="305"/>
      <c r="AR489" s="305"/>
      <c r="AS489" s="305"/>
      <c r="AT489" s="305"/>
      <c r="AU489" s="305"/>
      <c r="AV489" s="305"/>
      <c r="AW489" s="305"/>
      <c r="AX489" s="305"/>
      <c r="AY489" s="305"/>
      <c r="AZ489" s="305"/>
      <c r="BA489" s="305"/>
      <c r="BB489" s="305"/>
      <c r="BC489" s="305"/>
      <c r="BD489" s="305"/>
      <c r="BE489" s="305"/>
      <c r="BF489" s="305"/>
      <c r="BG489" s="305"/>
      <c r="BH489" s="305"/>
      <c r="BI489" s="305"/>
      <c r="BJ489" s="305"/>
      <c r="BK489" s="305"/>
      <c r="BL489" s="305"/>
      <c r="BM489" s="305"/>
      <c r="BN489" s="305"/>
      <c r="BO489" s="305"/>
      <c r="BP489" s="305"/>
      <c r="BQ489" s="305"/>
      <c r="BR489" s="305"/>
      <c r="BS489" s="305"/>
      <c r="BT489" s="305"/>
      <c r="BU489" s="305"/>
      <c r="BV489" s="305"/>
      <c r="BW489" s="305"/>
      <c r="BX489" s="305"/>
      <c r="BY489" s="305"/>
      <c r="BZ489" s="305"/>
      <c r="CA489" s="305"/>
      <c r="CB489" s="305"/>
      <c r="CC489" s="305"/>
      <c r="CD489" s="305"/>
      <c r="CE489" s="305"/>
      <c r="CF489" s="305"/>
      <c r="CG489" s="305"/>
      <c r="CH489" s="305"/>
      <c r="CI489" s="305"/>
      <c r="CJ489" s="305"/>
      <c r="CK489" s="305"/>
      <c r="CL489" s="305"/>
      <c r="CM489" s="305"/>
      <c r="CN489" s="305"/>
      <c r="CO489" s="305"/>
      <c r="CP489" s="305"/>
      <c r="CQ489" s="305"/>
      <c r="CR489" s="305"/>
      <c r="CS489" s="305"/>
      <c r="CT489" s="305"/>
      <c r="CU489" s="305"/>
      <c r="CV489" s="305"/>
      <c r="CW489" s="305"/>
      <c r="CX489" s="305"/>
      <c r="CY489" s="305"/>
      <c r="CZ489" s="305"/>
      <c r="DA489" s="305"/>
      <c r="DB489" s="305"/>
      <c r="DC489" s="305"/>
      <c r="DD489" s="305"/>
      <c r="DE489" s="305"/>
      <c r="DF489" s="305"/>
      <c r="DG489" s="305"/>
      <c r="DH489" s="305"/>
      <c r="DI489" s="305"/>
      <c r="DJ489" s="305"/>
      <c r="DK489" s="305"/>
      <c r="DL489" s="305"/>
      <c r="DM489" s="305"/>
      <c r="DN489" s="305"/>
      <c r="DO489" s="305"/>
      <c r="DP489" s="305"/>
      <c r="DQ489" s="305"/>
      <c r="DR489" s="305"/>
      <c r="DS489" s="305"/>
      <c r="DT489" s="305"/>
      <c r="DU489" s="305"/>
      <c r="DV489" s="305"/>
      <c r="DW489" s="305"/>
      <c r="DX489" s="305"/>
      <c r="DY489" s="305"/>
      <c r="DZ489" s="305"/>
      <c r="EA489" s="305"/>
      <c r="EB489" s="305"/>
      <c r="EC489" s="305"/>
      <c r="ED489" s="305"/>
      <c r="EE489" s="305"/>
      <c r="EF489" s="305"/>
      <c r="EG489" s="305"/>
      <c r="EH489" s="305"/>
      <c r="EI489" s="305"/>
      <c r="EJ489" s="305"/>
      <c r="EK489" s="305"/>
      <c r="EL489" s="305"/>
      <c r="EM489" s="305"/>
      <c r="EN489" s="305"/>
      <c r="EO489" s="305"/>
      <c r="EP489" s="305"/>
      <c r="EQ489" s="305"/>
      <c r="ER489" s="305"/>
      <c r="ES489" s="305"/>
      <c r="ET489" s="305"/>
      <c r="EU489" s="305"/>
      <c r="EV489" s="305"/>
      <c r="EW489" s="305"/>
      <c r="EX489" s="305"/>
      <c r="EY489" s="305"/>
      <c r="EZ489" s="305"/>
      <c r="FA489" s="305"/>
      <c r="FB489" s="305"/>
      <c r="FC489" s="305"/>
      <c r="FD489" s="305"/>
      <c r="FE489" s="305"/>
      <c r="FF489" s="305"/>
      <c r="FG489" s="305"/>
      <c r="FH489" s="305"/>
      <c r="FI489" s="305"/>
      <c r="FJ489" s="305"/>
      <c r="FK489" s="305"/>
      <c r="FL489" s="305"/>
      <c r="FM489" s="305"/>
      <c r="FN489" s="305"/>
      <c r="FO489" s="305"/>
      <c r="FP489" s="305"/>
      <c r="FQ489" s="305"/>
      <c r="FR489" s="305"/>
      <c r="FS489" s="305"/>
      <c r="FT489" s="305"/>
      <c r="FU489" s="305"/>
      <c r="FV489" s="305"/>
      <c r="FW489" s="305"/>
      <c r="FX489" s="305"/>
      <c r="FY489" s="305"/>
      <c r="FZ489" s="305"/>
      <c r="GA489" s="305"/>
      <c r="GB489" s="305"/>
      <c r="GC489" s="305"/>
      <c r="GD489" s="305"/>
      <c r="GE489" s="305"/>
      <c r="GF489" s="305"/>
      <c r="GG489" s="305"/>
      <c r="GH489" s="305"/>
      <c r="GI489" s="305"/>
      <c r="GJ489" s="305"/>
      <c r="GK489" s="305"/>
      <c r="GL489" s="305"/>
      <c r="GM489" s="305"/>
      <c r="GN489" s="305"/>
      <c r="GO489" s="305"/>
      <c r="GP489" s="305"/>
      <c r="GQ489" s="305"/>
      <c r="GR489" s="305"/>
    </row>
    <row r="490" spans="3:200" s="318" customFormat="1" ht="12.75" customHeight="1" x14ac:dyDescent="0.2">
      <c r="C490" s="367"/>
      <c r="D490" s="403"/>
      <c r="E490" s="369"/>
      <c r="F490" s="369"/>
      <c r="G490" s="369"/>
      <c r="H490" s="369"/>
      <c r="I490" s="370"/>
      <c r="J490"/>
      <c r="K490" s="371"/>
      <c r="L490" s="371"/>
      <c r="M490" s="371"/>
      <c r="N490" s="371"/>
      <c r="O490" s="305"/>
      <c r="P490" s="305"/>
      <c r="Q490" s="305"/>
      <c r="R490" s="305"/>
      <c r="S490" s="305"/>
      <c r="T490" s="305"/>
      <c r="U490" s="305"/>
      <c r="V490" s="305"/>
      <c r="W490" s="305"/>
      <c r="X490" s="305"/>
      <c r="Y490" s="305"/>
      <c r="Z490" s="305"/>
      <c r="AA490" s="305"/>
      <c r="AB490" s="305"/>
      <c r="AC490" s="305"/>
      <c r="AD490" s="305"/>
      <c r="AE490" s="305"/>
      <c r="AF490" s="305"/>
      <c r="AG490" s="305"/>
      <c r="AH490" s="305"/>
      <c r="AI490" s="305"/>
      <c r="AJ490" s="305"/>
      <c r="AK490" s="305"/>
      <c r="AL490" s="305"/>
      <c r="AM490" s="305"/>
      <c r="AN490" s="305"/>
      <c r="AO490" s="305"/>
      <c r="AP490" s="305"/>
      <c r="AQ490" s="305"/>
      <c r="AR490" s="305"/>
      <c r="AS490" s="305"/>
      <c r="AT490" s="305"/>
      <c r="AU490" s="305"/>
      <c r="AV490" s="305"/>
      <c r="AW490" s="305"/>
      <c r="AX490" s="305"/>
      <c r="AY490" s="305"/>
      <c r="AZ490" s="305"/>
      <c r="BA490" s="305"/>
      <c r="BB490" s="305"/>
      <c r="BC490" s="305"/>
      <c r="BD490" s="305"/>
      <c r="BE490" s="305"/>
      <c r="BF490" s="305"/>
      <c r="BG490" s="305"/>
      <c r="BH490" s="305"/>
      <c r="BI490" s="305"/>
      <c r="BJ490" s="305"/>
      <c r="BK490" s="305"/>
      <c r="BL490" s="305"/>
      <c r="BM490" s="305"/>
      <c r="BN490" s="305"/>
      <c r="BO490" s="305"/>
      <c r="BP490" s="305"/>
      <c r="BQ490" s="305"/>
      <c r="BR490" s="305"/>
      <c r="BS490" s="305"/>
      <c r="BT490" s="305"/>
      <c r="BU490" s="305"/>
      <c r="BV490" s="305"/>
      <c r="BW490" s="305"/>
      <c r="BX490" s="305"/>
      <c r="BY490" s="305"/>
      <c r="BZ490" s="305"/>
      <c r="CA490" s="305"/>
      <c r="CB490" s="305"/>
      <c r="CC490" s="305"/>
      <c r="CD490" s="305"/>
      <c r="CE490" s="305"/>
      <c r="CF490" s="305"/>
      <c r="CG490" s="305"/>
      <c r="CH490" s="305"/>
      <c r="CI490" s="305"/>
      <c r="CJ490" s="305"/>
      <c r="CK490" s="305"/>
      <c r="CL490" s="305"/>
      <c r="CM490" s="305"/>
      <c r="CN490" s="305"/>
      <c r="CO490" s="305"/>
      <c r="CP490" s="305"/>
      <c r="CQ490" s="305"/>
      <c r="CR490" s="305"/>
      <c r="CS490" s="305"/>
      <c r="CT490" s="305"/>
      <c r="CU490" s="305"/>
      <c r="CV490" s="305"/>
      <c r="CW490" s="305"/>
      <c r="CX490" s="305"/>
      <c r="CY490" s="305"/>
      <c r="CZ490" s="305"/>
      <c r="DA490" s="305"/>
      <c r="DB490" s="305"/>
      <c r="DC490" s="305"/>
      <c r="DD490" s="305"/>
      <c r="DE490" s="305"/>
      <c r="DF490" s="305"/>
      <c r="DG490" s="305"/>
      <c r="DH490" s="305"/>
      <c r="DI490" s="305"/>
      <c r="DJ490" s="305"/>
      <c r="DK490" s="305"/>
      <c r="DL490" s="305"/>
      <c r="DM490" s="305"/>
      <c r="DN490" s="305"/>
      <c r="DO490" s="305"/>
      <c r="DP490" s="305"/>
      <c r="DQ490" s="305"/>
      <c r="DR490" s="305"/>
      <c r="DS490" s="305"/>
      <c r="DT490" s="305"/>
      <c r="DU490" s="305"/>
      <c r="DV490" s="305"/>
      <c r="DW490" s="305"/>
      <c r="DX490" s="305"/>
      <c r="DY490" s="305"/>
      <c r="DZ490" s="305"/>
      <c r="EA490" s="305"/>
      <c r="EB490" s="305"/>
      <c r="EC490" s="305"/>
      <c r="ED490" s="305"/>
      <c r="EE490" s="305"/>
      <c r="EF490" s="305"/>
      <c r="EG490" s="305"/>
      <c r="EH490" s="305"/>
      <c r="EI490" s="305"/>
      <c r="EJ490" s="305"/>
      <c r="EK490" s="305"/>
      <c r="EL490" s="305"/>
      <c r="EM490" s="305"/>
      <c r="EN490" s="305"/>
      <c r="EO490" s="305"/>
      <c r="EP490" s="305"/>
      <c r="EQ490" s="305"/>
      <c r="ER490" s="305"/>
      <c r="ES490" s="305"/>
      <c r="ET490" s="305"/>
      <c r="EU490" s="305"/>
      <c r="EV490" s="305"/>
      <c r="EW490" s="305"/>
      <c r="EX490" s="305"/>
      <c r="EY490" s="305"/>
      <c r="EZ490" s="305"/>
      <c r="FA490" s="305"/>
      <c r="FB490" s="305"/>
      <c r="FC490" s="305"/>
      <c r="FD490" s="305"/>
      <c r="FE490" s="305"/>
      <c r="FF490" s="305"/>
      <c r="FG490" s="305"/>
      <c r="FH490" s="305"/>
      <c r="FI490" s="305"/>
      <c r="FJ490" s="305"/>
      <c r="FK490" s="305"/>
      <c r="FL490" s="305"/>
      <c r="FM490" s="305"/>
      <c r="FN490" s="305"/>
      <c r="FO490" s="305"/>
      <c r="FP490" s="305"/>
      <c r="FQ490" s="305"/>
      <c r="FR490" s="305"/>
      <c r="FS490" s="305"/>
      <c r="FT490" s="305"/>
      <c r="FU490" s="305"/>
      <c r="FV490" s="305"/>
      <c r="FW490" s="305"/>
      <c r="FX490" s="305"/>
      <c r="FY490" s="305"/>
      <c r="FZ490" s="305"/>
      <c r="GA490" s="305"/>
      <c r="GB490" s="305"/>
      <c r="GC490" s="305"/>
      <c r="GD490" s="305"/>
      <c r="GE490" s="305"/>
      <c r="GF490" s="305"/>
      <c r="GG490" s="305"/>
      <c r="GH490" s="305"/>
      <c r="GI490" s="305"/>
      <c r="GJ490" s="305"/>
      <c r="GK490" s="305"/>
      <c r="GL490" s="305"/>
      <c r="GM490" s="305"/>
      <c r="GN490" s="305"/>
      <c r="GO490" s="305"/>
      <c r="GP490" s="305"/>
      <c r="GQ490" s="305"/>
      <c r="GR490" s="305"/>
    </row>
    <row r="491" spans="3:200" s="318" customFormat="1" ht="12.75" customHeight="1" x14ac:dyDescent="0.2">
      <c r="C491" s="367"/>
      <c r="D491" s="403"/>
      <c r="E491" s="369"/>
      <c r="F491" s="369"/>
      <c r="G491" s="369"/>
      <c r="H491" s="369"/>
      <c r="I491" s="370"/>
      <c r="J491"/>
      <c r="K491" s="371"/>
      <c r="L491" s="371"/>
      <c r="M491" s="371"/>
      <c r="N491" s="371"/>
      <c r="O491" s="305"/>
      <c r="P491" s="305"/>
      <c r="Q491" s="305"/>
      <c r="R491" s="305"/>
      <c r="S491" s="305"/>
      <c r="T491" s="305"/>
      <c r="U491" s="305"/>
      <c r="V491" s="305"/>
      <c r="W491" s="305"/>
      <c r="X491" s="305"/>
      <c r="Y491" s="305"/>
      <c r="Z491" s="305"/>
      <c r="AA491" s="305"/>
      <c r="AB491" s="305"/>
      <c r="AC491" s="305"/>
      <c r="AD491" s="305"/>
      <c r="AE491" s="305"/>
      <c r="AF491" s="305"/>
      <c r="AG491" s="305"/>
      <c r="AH491" s="305"/>
      <c r="AI491" s="305"/>
      <c r="AJ491" s="305"/>
      <c r="AK491" s="305"/>
      <c r="AL491" s="305"/>
      <c r="AM491" s="305"/>
      <c r="AN491" s="305"/>
      <c r="AO491" s="305"/>
      <c r="AP491" s="305"/>
      <c r="AQ491" s="305"/>
      <c r="AR491" s="305"/>
      <c r="AS491" s="305"/>
      <c r="AT491" s="305"/>
      <c r="AU491" s="305"/>
      <c r="AV491" s="305"/>
      <c r="AW491" s="305"/>
      <c r="AX491" s="305"/>
      <c r="AY491" s="305"/>
      <c r="AZ491" s="305"/>
      <c r="BA491" s="305"/>
      <c r="BB491" s="305"/>
      <c r="BC491" s="305"/>
      <c r="BD491" s="305"/>
      <c r="BE491" s="305"/>
      <c r="BF491" s="305"/>
      <c r="BG491" s="305"/>
      <c r="BH491" s="305"/>
      <c r="BI491" s="305"/>
      <c r="BJ491" s="305"/>
      <c r="BK491" s="305"/>
      <c r="BL491" s="305"/>
      <c r="BM491" s="305"/>
      <c r="BN491" s="305"/>
      <c r="BO491" s="305"/>
      <c r="BP491" s="305"/>
      <c r="BQ491" s="305"/>
      <c r="BR491" s="305"/>
      <c r="BS491" s="305"/>
      <c r="BT491" s="305"/>
      <c r="BU491" s="305"/>
      <c r="BV491" s="305"/>
      <c r="BW491" s="305"/>
      <c r="BX491" s="305"/>
      <c r="BY491" s="305"/>
      <c r="BZ491" s="305"/>
      <c r="CA491" s="305"/>
      <c r="CB491" s="305"/>
      <c r="CC491" s="305"/>
      <c r="CD491" s="305"/>
      <c r="CE491" s="305"/>
      <c r="CF491" s="305"/>
      <c r="CG491" s="305"/>
      <c r="CH491" s="305"/>
      <c r="CI491" s="305"/>
      <c r="CJ491" s="305"/>
      <c r="CK491" s="305"/>
      <c r="CL491" s="305"/>
      <c r="CM491" s="305"/>
      <c r="CN491" s="305"/>
      <c r="CO491" s="305"/>
      <c r="CP491" s="305"/>
      <c r="CQ491" s="305"/>
      <c r="CR491" s="305"/>
      <c r="CS491" s="305"/>
      <c r="CT491" s="305"/>
      <c r="CU491" s="305"/>
      <c r="CV491" s="305"/>
      <c r="CW491" s="305"/>
      <c r="CX491" s="305"/>
      <c r="CY491" s="305"/>
      <c r="CZ491" s="305"/>
      <c r="DA491" s="305"/>
      <c r="DB491" s="305"/>
      <c r="DC491" s="305"/>
      <c r="DD491" s="305"/>
      <c r="DE491" s="305"/>
      <c r="DF491" s="305"/>
      <c r="DG491" s="305"/>
      <c r="DH491" s="305"/>
      <c r="DI491" s="305"/>
      <c r="DJ491" s="305"/>
      <c r="DK491" s="305"/>
      <c r="DL491" s="305"/>
      <c r="DM491" s="305"/>
      <c r="DN491" s="305"/>
      <c r="DO491" s="305"/>
      <c r="DP491" s="305"/>
      <c r="DQ491" s="305"/>
      <c r="DR491" s="305"/>
      <c r="DS491" s="305"/>
      <c r="DT491" s="305"/>
      <c r="DU491" s="305"/>
      <c r="DV491" s="305"/>
      <c r="DW491" s="305"/>
      <c r="DX491" s="305"/>
      <c r="DY491" s="305"/>
      <c r="DZ491" s="305"/>
      <c r="EA491" s="305"/>
      <c r="EB491" s="305"/>
      <c r="EC491" s="305"/>
      <c r="ED491" s="305"/>
      <c r="EE491" s="305"/>
      <c r="EF491" s="305"/>
      <c r="EG491" s="305"/>
      <c r="EH491" s="305"/>
      <c r="EI491" s="305"/>
      <c r="EJ491" s="305"/>
      <c r="EK491" s="305"/>
      <c r="EL491" s="305"/>
      <c r="EM491" s="305"/>
      <c r="EN491" s="305"/>
      <c r="EO491" s="305"/>
      <c r="EP491" s="305"/>
      <c r="EQ491" s="305"/>
      <c r="ER491" s="305"/>
      <c r="ES491" s="305"/>
      <c r="ET491" s="305"/>
      <c r="EU491" s="305"/>
      <c r="EV491" s="305"/>
      <c r="EW491" s="305"/>
      <c r="EX491" s="305"/>
      <c r="EY491" s="305"/>
      <c r="EZ491" s="305"/>
      <c r="FA491" s="305"/>
      <c r="FB491" s="305"/>
      <c r="FC491" s="305"/>
      <c r="FD491" s="305"/>
      <c r="FE491" s="305"/>
      <c r="FF491" s="305"/>
      <c r="FG491" s="305"/>
      <c r="FH491" s="305"/>
      <c r="FI491" s="305"/>
      <c r="FJ491" s="305"/>
      <c r="FK491" s="305"/>
      <c r="FL491" s="305"/>
      <c r="FM491" s="305"/>
      <c r="FN491" s="305"/>
      <c r="FO491" s="305"/>
      <c r="FP491" s="305"/>
      <c r="FQ491" s="305"/>
      <c r="FR491" s="305"/>
      <c r="FS491" s="305"/>
      <c r="FT491" s="305"/>
      <c r="FU491" s="305"/>
      <c r="FV491" s="305"/>
      <c r="FW491" s="305"/>
      <c r="FX491" s="305"/>
      <c r="FY491" s="305"/>
      <c r="FZ491" s="305"/>
      <c r="GA491" s="305"/>
      <c r="GB491" s="305"/>
      <c r="GC491" s="305"/>
      <c r="GD491" s="305"/>
      <c r="GE491" s="305"/>
      <c r="GF491" s="305"/>
      <c r="GG491" s="305"/>
      <c r="GH491" s="305"/>
      <c r="GI491" s="305"/>
      <c r="GJ491" s="305"/>
      <c r="GK491" s="305"/>
      <c r="GL491" s="305"/>
      <c r="GM491" s="305"/>
      <c r="GN491" s="305"/>
      <c r="GO491" s="305"/>
      <c r="GP491" s="305"/>
      <c r="GQ491" s="305"/>
      <c r="GR491" s="305"/>
    </row>
    <row r="492" spans="3:200" s="318" customFormat="1" ht="12.75" customHeight="1" x14ac:dyDescent="0.2">
      <c r="C492" s="367"/>
      <c r="D492" s="403"/>
      <c r="E492" s="369"/>
      <c r="F492" s="369"/>
      <c r="G492" s="369"/>
      <c r="H492" s="369"/>
      <c r="I492" s="370"/>
      <c r="J492"/>
      <c r="K492" s="371"/>
      <c r="L492" s="371"/>
      <c r="M492" s="371"/>
      <c r="N492" s="371"/>
      <c r="O492" s="305"/>
      <c r="P492" s="305"/>
      <c r="Q492" s="305"/>
      <c r="R492" s="305"/>
      <c r="S492" s="305"/>
      <c r="T492" s="305"/>
      <c r="U492" s="305"/>
      <c r="V492" s="305"/>
      <c r="W492" s="305"/>
      <c r="X492" s="305"/>
      <c r="Y492" s="305"/>
      <c r="Z492" s="305"/>
      <c r="AA492" s="305"/>
      <c r="AB492" s="305"/>
      <c r="AC492" s="305"/>
      <c r="AD492" s="305"/>
      <c r="AE492" s="305"/>
      <c r="AF492" s="305"/>
      <c r="AG492" s="305"/>
      <c r="AH492" s="305"/>
      <c r="AI492" s="305"/>
      <c r="AJ492" s="305"/>
      <c r="AK492" s="305"/>
      <c r="AL492" s="305"/>
      <c r="AM492" s="305"/>
      <c r="AN492" s="305"/>
      <c r="AO492" s="305"/>
      <c r="AP492" s="305"/>
      <c r="AQ492" s="305"/>
      <c r="AR492" s="305"/>
      <c r="AS492" s="305"/>
      <c r="AT492" s="305"/>
      <c r="AU492" s="305"/>
      <c r="AV492" s="305"/>
      <c r="AW492" s="305"/>
      <c r="AX492" s="305"/>
      <c r="AY492" s="305"/>
      <c r="AZ492" s="305"/>
      <c r="BA492" s="305"/>
      <c r="BB492" s="305"/>
      <c r="BC492" s="305"/>
      <c r="BD492" s="305"/>
      <c r="BE492" s="305"/>
      <c r="BF492" s="305"/>
      <c r="BG492" s="305"/>
      <c r="BH492" s="305"/>
      <c r="BI492" s="305"/>
      <c r="BJ492" s="305"/>
      <c r="BK492" s="305"/>
      <c r="BL492" s="305"/>
      <c r="BM492" s="305"/>
      <c r="BN492" s="305"/>
      <c r="BO492" s="305"/>
      <c r="BP492" s="305"/>
      <c r="BQ492" s="305"/>
      <c r="BR492" s="305"/>
      <c r="BS492" s="305"/>
      <c r="BT492" s="305"/>
      <c r="BU492" s="305"/>
      <c r="BV492" s="305"/>
      <c r="BW492" s="305"/>
      <c r="BX492" s="305"/>
      <c r="BY492" s="305"/>
      <c r="BZ492" s="305"/>
      <c r="CA492" s="305"/>
      <c r="CB492" s="305"/>
      <c r="CC492" s="305"/>
      <c r="CD492" s="305"/>
      <c r="CE492" s="305"/>
      <c r="CF492" s="305"/>
      <c r="CG492" s="305"/>
      <c r="CH492" s="305"/>
      <c r="CI492" s="305"/>
      <c r="CJ492" s="305"/>
      <c r="CK492" s="305"/>
      <c r="CL492" s="305"/>
      <c r="CM492" s="305"/>
      <c r="CN492" s="305"/>
      <c r="CO492" s="305"/>
      <c r="CP492" s="305"/>
      <c r="CQ492" s="305"/>
      <c r="CR492" s="305"/>
      <c r="CS492" s="305"/>
      <c r="CT492" s="305"/>
      <c r="CU492" s="305"/>
      <c r="CV492" s="305"/>
      <c r="CW492" s="305"/>
      <c r="CX492" s="305"/>
      <c r="CY492" s="305"/>
      <c r="CZ492" s="305"/>
      <c r="DA492" s="305"/>
      <c r="DB492" s="305"/>
      <c r="DC492" s="305"/>
      <c r="DD492" s="305"/>
      <c r="DE492" s="305"/>
      <c r="DF492" s="305"/>
      <c r="DG492" s="305"/>
      <c r="DH492" s="305"/>
      <c r="DI492" s="305"/>
      <c r="DJ492" s="305"/>
      <c r="DK492" s="305"/>
      <c r="DL492" s="305"/>
      <c r="DM492" s="305"/>
      <c r="DN492" s="305"/>
      <c r="DO492" s="305"/>
      <c r="DP492" s="305"/>
      <c r="DQ492" s="305"/>
      <c r="DR492" s="305"/>
      <c r="DS492" s="305"/>
      <c r="DT492" s="305"/>
      <c r="DU492" s="305"/>
      <c r="DV492" s="305"/>
      <c r="DW492" s="305"/>
      <c r="DX492" s="305"/>
      <c r="DY492" s="305"/>
      <c r="DZ492" s="305"/>
      <c r="EA492" s="305"/>
      <c r="EB492" s="305"/>
      <c r="EC492" s="305"/>
      <c r="ED492" s="305"/>
      <c r="EE492" s="305"/>
      <c r="EF492" s="305"/>
      <c r="EG492" s="305"/>
      <c r="EH492" s="305"/>
      <c r="EI492" s="305"/>
      <c r="EJ492" s="305"/>
      <c r="EK492" s="305"/>
      <c r="EL492" s="305"/>
      <c r="EM492" s="305"/>
      <c r="EN492" s="305"/>
      <c r="EO492" s="305"/>
      <c r="EP492" s="305"/>
      <c r="EQ492" s="305"/>
      <c r="ER492" s="305"/>
      <c r="ES492" s="305"/>
      <c r="ET492" s="305"/>
      <c r="EU492" s="305"/>
      <c r="EV492" s="305"/>
      <c r="EW492" s="305"/>
      <c r="EX492" s="305"/>
      <c r="EY492" s="305"/>
      <c r="EZ492" s="305"/>
      <c r="FA492" s="305"/>
      <c r="FB492" s="305"/>
      <c r="FC492" s="305"/>
      <c r="FD492" s="305"/>
      <c r="FE492" s="305"/>
      <c r="FF492" s="305"/>
      <c r="FG492" s="305"/>
      <c r="FH492" s="305"/>
      <c r="FI492" s="305"/>
      <c r="FJ492" s="305"/>
      <c r="FK492" s="305"/>
      <c r="FL492" s="305"/>
      <c r="FM492" s="305"/>
      <c r="FN492" s="305"/>
      <c r="FO492" s="305"/>
      <c r="FP492" s="305"/>
      <c r="FQ492" s="305"/>
      <c r="FR492" s="305"/>
      <c r="FS492" s="305"/>
      <c r="FT492" s="305"/>
      <c r="FU492" s="305"/>
      <c r="FV492" s="305"/>
      <c r="FW492" s="305"/>
      <c r="FX492" s="305"/>
      <c r="FY492" s="305"/>
      <c r="FZ492" s="305"/>
      <c r="GA492" s="305"/>
      <c r="GB492" s="305"/>
      <c r="GC492" s="305"/>
      <c r="GD492" s="305"/>
      <c r="GE492" s="305"/>
      <c r="GF492" s="305"/>
      <c r="GG492" s="305"/>
      <c r="GH492" s="305"/>
      <c r="GI492" s="305"/>
      <c r="GJ492" s="305"/>
      <c r="GK492" s="305"/>
      <c r="GL492" s="305"/>
      <c r="GM492" s="305"/>
      <c r="GN492" s="305"/>
      <c r="GO492" s="305"/>
      <c r="GP492" s="305"/>
      <c r="GQ492" s="305"/>
      <c r="GR492" s="305"/>
    </row>
    <row r="493" spans="3:200" s="318" customFormat="1" ht="12.75" customHeight="1" x14ac:dyDescent="0.2">
      <c r="C493" s="367"/>
      <c r="D493" s="403"/>
      <c r="E493" s="369"/>
      <c r="F493" s="369"/>
      <c r="G493" s="369"/>
      <c r="H493" s="369"/>
      <c r="I493" s="370"/>
      <c r="J493"/>
      <c r="K493" s="371"/>
      <c r="L493" s="371"/>
      <c r="M493" s="371"/>
      <c r="N493" s="371"/>
      <c r="O493" s="305"/>
      <c r="P493" s="305"/>
      <c r="Q493" s="305"/>
      <c r="R493" s="305"/>
      <c r="S493" s="305"/>
      <c r="T493" s="305"/>
      <c r="U493" s="305"/>
      <c r="V493" s="305"/>
      <c r="W493" s="305"/>
      <c r="X493" s="305"/>
      <c r="Y493" s="305"/>
      <c r="Z493" s="305"/>
      <c r="AA493" s="305"/>
      <c r="AB493" s="305"/>
      <c r="AC493" s="305"/>
      <c r="AD493" s="305"/>
      <c r="AE493" s="305"/>
      <c r="AF493" s="305"/>
      <c r="AG493" s="305"/>
      <c r="AH493" s="305"/>
      <c r="AI493" s="305"/>
      <c r="AJ493" s="305"/>
      <c r="AK493" s="305"/>
      <c r="AL493" s="305"/>
      <c r="AM493" s="305"/>
      <c r="AN493" s="305"/>
      <c r="AO493" s="305"/>
      <c r="AP493" s="305"/>
      <c r="AQ493" s="305"/>
      <c r="AR493" s="305"/>
      <c r="AS493" s="305"/>
      <c r="AT493" s="305"/>
      <c r="AU493" s="305"/>
      <c r="AV493" s="305"/>
      <c r="AW493" s="305"/>
      <c r="AX493" s="305"/>
      <c r="AY493" s="305"/>
      <c r="AZ493" s="305"/>
      <c r="BA493" s="305"/>
      <c r="BB493" s="305"/>
      <c r="BC493" s="305"/>
      <c r="BD493" s="305"/>
      <c r="BE493" s="305"/>
      <c r="BF493" s="305"/>
      <c r="BG493" s="305"/>
      <c r="BH493" s="305"/>
      <c r="BI493" s="305"/>
      <c r="BJ493" s="305"/>
      <c r="BK493" s="305"/>
      <c r="BL493" s="305"/>
      <c r="BM493" s="305"/>
      <c r="BN493" s="305"/>
      <c r="BO493" s="305"/>
      <c r="BP493" s="305"/>
      <c r="BQ493" s="305"/>
      <c r="BR493" s="305"/>
      <c r="BS493" s="305"/>
      <c r="BT493" s="305"/>
      <c r="BU493" s="305"/>
      <c r="BV493" s="305"/>
      <c r="BW493" s="305"/>
      <c r="BX493" s="305"/>
      <c r="BY493" s="305"/>
      <c r="BZ493" s="305"/>
      <c r="CA493" s="305"/>
      <c r="CB493" s="305"/>
      <c r="CC493" s="305"/>
      <c r="CD493" s="305"/>
      <c r="CE493" s="305"/>
      <c r="CF493" s="305"/>
      <c r="CG493" s="305"/>
      <c r="CH493" s="305"/>
      <c r="CI493" s="305"/>
      <c r="CJ493" s="305"/>
      <c r="CK493" s="305"/>
      <c r="CL493" s="305"/>
      <c r="CM493" s="305"/>
      <c r="CN493" s="305"/>
      <c r="CO493" s="305"/>
      <c r="CP493" s="305"/>
      <c r="CQ493" s="305"/>
      <c r="CR493" s="305"/>
      <c r="CS493" s="305"/>
      <c r="CT493" s="305"/>
      <c r="CU493" s="305"/>
      <c r="CV493" s="305"/>
      <c r="CW493" s="305"/>
      <c r="CX493" s="305"/>
      <c r="CY493" s="305"/>
      <c r="CZ493" s="305"/>
      <c r="DA493" s="305"/>
      <c r="DB493" s="305"/>
      <c r="DC493" s="305"/>
      <c r="DD493" s="305"/>
      <c r="DE493" s="305"/>
      <c r="DF493" s="305"/>
      <c r="DG493" s="305"/>
      <c r="DH493" s="305"/>
      <c r="DI493" s="305"/>
      <c r="DJ493" s="305"/>
      <c r="DK493" s="305"/>
      <c r="DL493" s="305"/>
      <c r="DM493" s="305"/>
      <c r="DN493" s="305"/>
      <c r="DO493" s="305"/>
      <c r="DP493" s="305"/>
      <c r="DQ493" s="305"/>
      <c r="DR493" s="305"/>
      <c r="DS493" s="305"/>
      <c r="DT493" s="305"/>
      <c r="DU493" s="305"/>
      <c r="DV493" s="305"/>
      <c r="DW493" s="305"/>
      <c r="DX493" s="305"/>
      <c r="DY493" s="305"/>
      <c r="DZ493" s="305"/>
      <c r="EA493" s="305"/>
      <c r="EB493" s="305"/>
      <c r="EC493" s="305"/>
      <c r="ED493" s="305"/>
      <c r="EE493" s="305"/>
      <c r="EF493" s="305"/>
      <c r="EG493" s="305"/>
      <c r="EH493" s="305"/>
      <c r="EI493" s="305"/>
      <c r="EJ493" s="305"/>
      <c r="EK493" s="305"/>
      <c r="EL493" s="305"/>
      <c r="EM493" s="305"/>
      <c r="EN493" s="305"/>
      <c r="EO493" s="305"/>
      <c r="EP493" s="305"/>
      <c r="EQ493" s="305"/>
      <c r="ER493" s="305"/>
      <c r="ES493" s="305"/>
      <c r="ET493" s="305"/>
      <c r="EU493" s="305"/>
      <c r="EV493" s="305"/>
      <c r="EW493" s="305"/>
      <c r="EX493" s="305"/>
      <c r="EY493" s="305"/>
      <c r="EZ493" s="305"/>
      <c r="FA493" s="305"/>
      <c r="FB493" s="305"/>
      <c r="FC493" s="305"/>
      <c r="FD493" s="305"/>
      <c r="FE493" s="305"/>
      <c r="FF493" s="305"/>
      <c r="FG493" s="305"/>
      <c r="FH493" s="305"/>
      <c r="FI493" s="305"/>
      <c r="FJ493" s="305"/>
      <c r="FK493" s="305"/>
      <c r="FL493" s="305"/>
      <c r="FM493" s="305"/>
      <c r="FN493" s="305"/>
      <c r="FO493" s="305"/>
      <c r="FP493" s="305"/>
      <c r="FQ493" s="305"/>
      <c r="FR493" s="305"/>
      <c r="FS493" s="305"/>
      <c r="FT493" s="305"/>
      <c r="FU493" s="305"/>
      <c r="FV493" s="305"/>
      <c r="FW493" s="305"/>
      <c r="FX493" s="305"/>
      <c r="FY493" s="305"/>
      <c r="FZ493" s="305"/>
      <c r="GA493" s="305"/>
      <c r="GB493" s="305"/>
      <c r="GC493" s="305"/>
      <c r="GD493" s="305"/>
      <c r="GE493" s="305"/>
      <c r="GF493" s="305"/>
      <c r="GG493" s="305"/>
      <c r="GH493" s="305"/>
      <c r="GI493" s="305"/>
      <c r="GJ493" s="305"/>
      <c r="GK493" s="305"/>
      <c r="GL493" s="305"/>
      <c r="GM493" s="305"/>
      <c r="GN493" s="305"/>
      <c r="GO493" s="305"/>
      <c r="GP493" s="305"/>
      <c r="GQ493" s="305"/>
      <c r="GR493" s="305"/>
    </row>
    <row r="494" spans="3:200" s="318" customFormat="1" ht="12.75" customHeight="1" x14ac:dyDescent="0.2">
      <c r="C494" s="367"/>
      <c r="D494" s="403"/>
      <c r="E494" s="369"/>
      <c r="F494" s="369"/>
      <c r="G494" s="369"/>
      <c r="H494" s="369"/>
      <c r="I494" s="370"/>
      <c r="J494"/>
      <c r="K494" s="371"/>
      <c r="L494" s="371"/>
      <c r="M494" s="371"/>
      <c r="N494" s="371"/>
      <c r="O494" s="305"/>
      <c r="P494" s="305"/>
      <c r="Q494" s="305"/>
      <c r="R494" s="305"/>
      <c r="S494" s="305"/>
      <c r="T494" s="305"/>
      <c r="U494" s="305"/>
      <c r="V494" s="305"/>
      <c r="W494" s="305"/>
      <c r="X494" s="305"/>
      <c r="Y494" s="305"/>
      <c r="Z494" s="305"/>
      <c r="AA494" s="305"/>
      <c r="AB494" s="305"/>
      <c r="AC494" s="305"/>
      <c r="AD494" s="305"/>
      <c r="AE494" s="305"/>
      <c r="AF494" s="305"/>
      <c r="AG494" s="305"/>
      <c r="AH494" s="305"/>
      <c r="AI494" s="305"/>
      <c r="AJ494" s="305"/>
      <c r="AK494" s="305"/>
      <c r="AL494" s="305"/>
      <c r="AM494" s="305"/>
      <c r="AN494" s="305"/>
      <c r="AO494" s="305"/>
      <c r="AP494" s="305"/>
      <c r="AQ494" s="305"/>
      <c r="AR494" s="305"/>
      <c r="AS494" s="305"/>
      <c r="AT494" s="305"/>
      <c r="AU494" s="305"/>
      <c r="AV494" s="305"/>
      <c r="AW494" s="305"/>
      <c r="AX494" s="305"/>
      <c r="AY494" s="305"/>
      <c r="AZ494" s="305"/>
      <c r="BA494" s="305"/>
      <c r="BB494" s="305"/>
      <c r="BC494" s="305"/>
      <c r="BD494" s="305"/>
      <c r="BE494" s="305"/>
      <c r="BF494" s="305"/>
      <c r="BG494" s="305"/>
      <c r="BH494" s="305"/>
      <c r="BI494" s="305"/>
      <c r="BJ494" s="305"/>
      <c r="BK494" s="305"/>
      <c r="BL494" s="305"/>
      <c r="BM494" s="305"/>
      <c r="BN494" s="305"/>
      <c r="BO494" s="305"/>
      <c r="BP494" s="305"/>
      <c r="BQ494" s="305"/>
      <c r="BR494" s="305"/>
      <c r="BS494" s="305"/>
      <c r="BT494" s="305"/>
      <c r="BU494" s="305"/>
      <c r="BV494" s="305"/>
      <c r="BW494" s="305"/>
      <c r="BX494" s="305"/>
      <c r="BY494" s="305"/>
      <c r="BZ494" s="305"/>
      <c r="CA494" s="305"/>
      <c r="CB494" s="305"/>
      <c r="CC494" s="305"/>
      <c r="CD494" s="305"/>
      <c r="CE494" s="305"/>
      <c r="CF494" s="305"/>
      <c r="CG494" s="305"/>
      <c r="CH494" s="305"/>
      <c r="CI494" s="305"/>
      <c r="CJ494" s="305"/>
      <c r="CK494" s="305"/>
      <c r="CL494" s="305"/>
      <c r="CM494" s="305"/>
      <c r="CN494" s="305"/>
      <c r="CO494" s="305"/>
      <c r="CP494" s="305"/>
      <c r="CQ494" s="305"/>
      <c r="CR494" s="305"/>
      <c r="CS494" s="305"/>
      <c r="CT494" s="305"/>
      <c r="CU494" s="305"/>
      <c r="CV494" s="305"/>
      <c r="CW494" s="305"/>
      <c r="CX494" s="305"/>
      <c r="CY494" s="305"/>
      <c r="CZ494" s="305"/>
      <c r="DA494" s="305"/>
      <c r="DB494" s="305"/>
      <c r="DC494" s="305"/>
      <c r="DD494" s="305"/>
      <c r="DE494" s="305"/>
      <c r="DF494" s="305"/>
      <c r="DG494" s="305"/>
      <c r="DH494" s="305"/>
      <c r="DI494" s="305"/>
      <c r="DJ494" s="305"/>
      <c r="DK494" s="305"/>
      <c r="DL494" s="305"/>
      <c r="DM494" s="305"/>
      <c r="DN494" s="305"/>
      <c r="DO494" s="305"/>
      <c r="DP494" s="305"/>
      <c r="DQ494" s="305"/>
      <c r="DR494" s="305"/>
      <c r="DS494" s="305"/>
      <c r="DT494" s="305"/>
      <c r="DU494" s="305"/>
      <c r="DV494" s="305"/>
      <c r="DW494" s="305"/>
      <c r="DX494" s="305"/>
      <c r="DY494" s="305"/>
      <c r="DZ494" s="305"/>
      <c r="EA494" s="305"/>
      <c r="EB494" s="305"/>
      <c r="EC494" s="305"/>
      <c r="ED494" s="305"/>
      <c r="EE494" s="305"/>
      <c r="EF494" s="305"/>
      <c r="EG494" s="305"/>
      <c r="EH494" s="305"/>
      <c r="EI494" s="305"/>
      <c r="EJ494" s="305"/>
      <c r="EK494" s="305"/>
      <c r="EL494" s="305"/>
      <c r="EM494" s="305"/>
      <c r="EN494" s="305"/>
      <c r="EO494" s="305"/>
      <c r="EP494" s="305"/>
      <c r="EQ494" s="305"/>
      <c r="ER494" s="305"/>
      <c r="ES494" s="305"/>
      <c r="ET494" s="305"/>
      <c r="EU494" s="305"/>
      <c r="EV494" s="305"/>
      <c r="EW494" s="305"/>
      <c r="EX494" s="305"/>
      <c r="EY494" s="305"/>
      <c r="EZ494" s="305"/>
      <c r="FA494" s="305"/>
      <c r="FB494" s="305"/>
      <c r="FC494" s="305"/>
      <c r="FD494" s="305"/>
      <c r="FE494" s="305"/>
      <c r="FF494" s="305"/>
      <c r="FG494" s="305"/>
      <c r="FH494" s="305"/>
      <c r="FI494" s="305"/>
      <c r="FJ494" s="305"/>
      <c r="FK494" s="305"/>
      <c r="FL494" s="305"/>
      <c r="FM494" s="305"/>
      <c r="FN494" s="305"/>
      <c r="FO494" s="305"/>
      <c r="FP494" s="305"/>
      <c r="FQ494" s="305"/>
      <c r="FR494" s="305"/>
      <c r="FS494" s="305"/>
      <c r="FT494" s="305"/>
      <c r="FU494" s="305"/>
      <c r="FV494" s="305"/>
      <c r="FW494" s="305"/>
      <c r="FX494" s="305"/>
      <c r="FY494" s="305"/>
      <c r="FZ494" s="305"/>
      <c r="GA494" s="305"/>
      <c r="GB494" s="305"/>
      <c r="GC494" s="305"/>
      <c r="GD494" s="305"/>
      <c r="GE494" s="305"/>
      <c r="GF494" s="305"/>
      <c r="GG494" s="305"/>
      <c r="GH494" s="305"/>
      <c r="GI494" s="305"/>
      <c r="GJ494" s="305"/>
      <c r="GK494" s="305"/>
      <c r="GL494" s="305"/>
      <c r="GM494" s="305"/>
      <c r="GN494" s="305"/>
      <c r="GO494" s="305"/>
      <c r="GP494" s="305"/>
      <c r="GQ494" s="305"/>
      <c r="GR494" s="305"/>
    </row>
    <row r="495" spans="3:200" s="318" customFormat="1" ht="12.75" customHeight="1" x14ac:dyDescent="0.2">
      <c r="C495" s="367"/>
      <c r="D495" s="403"/>
      <c r="E495" s="369"/>
      <c r="F495" s="369"/>
      <c r="G495" s="369"/>
      <c r="H495" s="369"/>
      <c r="I495" s="370"/>
      <c r="J495"/>
      <c r="K495" s="371"/>
      <c r="L495" s="371"/>
      <c r="M495" s="371"/>
      <c r="N495" s="371"/>
      <c r="O495" s="305"/>
      <c r="P495" s="305"/>
      <c r="Q495" s="305"/>
      <c r="R495" s="305"/>
      <c r="S495" s="305"/>
      <c r="T495" s="305"/>
      <c r="U495" s="305"/>
      <c r="V495" s="305"/>
      <c r="W495" s="305"/>
      <c r="X495" s="305"/>
      <c r="Y495" s="305"/>
      <c r="Z495" s="305"/>
      <c r="AA495" s="305"/>
      <c r="AB495" s="305"/>
      <c r="AC495" s="305"/>
      <c r="AD495" s="305"/>
      <c r="AE495" s="305"/>
      <c r="AF495" s="305"/>
      <c r="AG495" s="305"/>
      <c r="AH495" s="305"/>
      <c r="AI495" s="305"/>
      <c r="AJ495" s="305"/>
      <c r="AK495" s="305"/>
      <c r="AL495" s="305"/>
      <c r="AM495" s="305"/>
      <c r="AN495" s="305"/>
      <c r="AO495" s="305"/>
      <c r="AP495" s="305"/>
      <c r="AQ495" s="305"/>
      <c r="AR495" s="305"/>
      <c r="AS495" s="305"/>
      <c r="AT495" s="305"/>
      <c r="AU495" s="305"/>
      <c r="AV495" s="305"/>
      <c r="AW495" s="305"/>
      <c r="AX495" s="305"/>
      <c r="AY495" s="305"/>
      <c r="AZ495" s="305"/>
      <c r="BA495" s="305"/>
      <c r="BB495" s="305"/>
      <c r="BC495" s="305"/>
      <c r="BD495" s="305"/>
      <c r="BE495" s="305"/>
      <c r="BF495" s="305"/>
      <c r="BG495" s="305"/>
      <c r="BH495" s="305"/>
      <c r="BI495" s="305"/>
      <c r="BJ495" s="305"/>
      <c r="BK495" s="305"/>
      <c r="BL495" s="305"/>
      <c r="BM495" s="305"/>
      <c r="BN495" s="305"/>
      <c r="BO495" s="305"/>
      <c r="BP495" s="305"/>
      <c r="BQ495" s="305"/>
      <c r="BR495" s="305"/>
      <c r="BS495" s="305"/>
      <c r="BT495" s="305"/>
      <c r="BU495" s="305"/>
      <c r="BV495" s="305"/>
      <c r="BW495" s="305"/>
      <c r="BX495" s="305"/>
      <c r="BY495" s="305"/>
      <c r="BZ495" s="305"/>
      <c r="CA495" s="305"/>
      <c r="CB495" s="305"/>
      <c r="CC495" s="305"/>
      <c r="CD495" s="305"/>
      <c r="CE495" s="305"/>
      <c r="CF495" s="305"/>
      <c r="CG495" s="305"/>
      <c r="CH495" s="305"/>
      <c r="CI495" s="305"/>
      <c r="CJ495" s="305"/>
      <c r="CK495" s="305"/>
      <c r="CL495" s="305"/>
      <c r="CM495" s="305"/>
      <c r="CN495" s="305"/>
      <c r="CO495" s="305"/>
      <c r="CP495" s="305"/>
      <c r="CQ495" s="305"/>
      <c r="CR495" s="305"/>
      <c r="CS495" s="305"/>
      <c r="CT495" s="305"/>
      <c r="CU495" s="305"/>
      <c r="CV495" s="305"/>
      <c r="CW495" s="305"/>
      <c r="CX495" s="305"/>
      <c r="CY495" s="305"/>
      <c r="CZ495" s="305"/>
      <c r="DA495" s="305"/>
      <c r="DB495" s="305"/>
      <c r="DC495" s="305"/>
      <c r="DD495" s="305"/>
      <c r="DE495" s="305"/>
      <c r="DF495" s="305"/>
      <c r="DG495" s="305"/>
      <c r="DH495" s="305"/>
      <c r="DI495" s="305"/>
      <c r="DJ495" s="305"/>
      <c r="DK495" s="305"/>
      <c r="DL495" s="305"/>
      <c r="DM495" s="305"/>
      <c r="DN495" s="305"/>
      <c r="DO495" s="305"/>
      <c r="DP495" s="305"/>
      <c r="DQ495" s="305"/>
      <c r="DR495" s="305"/>
      <c r="DS495" s="305"/>
      <c r="DT495" s="305"/>
      <c r="DU495" s="305"/>
      <c r="DV495" s="305"/>
      <c r="DW495" s="305"/>
      <c r="DX495" s="305"/>
      <c r="DY495" s="305"/>
      <c r="DZ495" s="305"/>
      <c r="EA495" s="305"/>
      <c r="EB495" s="305"/>
      <c r="EC495" s="305"/>
      <c r="ED495" s="305"/>
      <c r="EE495" s="305"/>
      <c r="EF495" s="305"/>
      <c r="EG495" s="305"/>
      <c r="EH495" s="305"/>
      <c r="EI495" s="305"/>
      <c r="EJ495" s="305"/>
      <c r="EK495" s="305"/>
      <c r="EL495" s="305"/>
      <c r="EM495" s="305"/>
      <c r="EN495" s="305"/>
      <c r="EO495" s="305"/>
      <c r="EP495" s="305"/>
      <c r="EQ495" s="305"/>
      <c r="ER495" s="305"/>
      <c r="ES495" s="305"/>
      <c r="ET495" s="305"/>
      <c r="EU495" s="305"/>
      <c r="EV495" s="305"/>
      <c r="EW495" s="305"/>
      <c r="EX495" s="305"/>
      <c r="EY495" s="305"/>
      <c r="EZ495" s="305"/>
      <c r="FA495" s="305"/>
      <c r="FB495" s="305"/>
      <c r="FC495" s="305"/>
      <c r="FD495" s="305"/>
      <c r="FE495" s="305"/>
      <c r="FF495" s="305"/>
      <c r="FG495" s="305"/>
      <c r="FH495" s="305"/>
      <c r="FI495" s="305"/>
      <c r="FJ495" s="305"/>
      <c r="FK495" s="305"/>
      <c r="FL495" s="305"/>
      <c r="FM495" s="305"/>
      <c r="FN495" s="305"/>
      <c r="FO495" s="305"/>
      <c r="FP495" s="305"/>
      <c r="FQ495" s="305"/>
      <c r="FR495" s="305"/>
      <c r="FS495" s="305"/>
      <c r="FT495" s="305"/>
      <c r="FU495" s="305"/>
      <c r="FV495" s="305"/>
      <c r="FW495" s="305"/>
      <c r="FX495" s="305"/>
      <c r="FY495" s="305"/>
      <c r="FZ495" s="305"/>
      <c r="GA495" s="305"/>
      <c r="GB495" s="305"/>
      <c r="GC495" s="305"/>
      <c r="GD495" s="305"/>
      <c r="GE495" s="305"/>
      <c r="GF495" s="305"/>
      <c r="GG495" s="305"/>
      <c r="GH495" s="305"/>
      <c r="GI495" s="305"/>
      <c r="GJ495" s="305"/>
      <c r="GK495" s="305"/>
      <c r="GL495" s="305"/>
      <c r="GM495" s="305"/>
      <c r="GN495" s="305"/>
      <c r="GO495" s="305"/>
      <c r="GP495" s="305"/>
      <c r="GQ495" s="305"/>
      <c r="GR495" s="305"/>
    </row>
    <row r="496" spans="3:200" s="318" customFormat="1" ht="12.75" customHeight="1" x14ac:dyDescent="0.2">
      <c r="C496" s="367"/>
      <c r="D496" s="403"/>
      <c r="E496" s="369"/>
      <c r="F496" s="369"/>
      <c r="G496" s="369"/>
      <c r="H496" s="369"/>
      <c r="I496" s="370"/>
      <c r="J496"/>
      <c r="K496" s="371"/>
      <c r="L496" s="371"/>
      <c r="M496" s="371"/>
      <c r="N496" s="371"/>
      <c r="O496" s="305"/>
      <c r="P496" s="305"/>
      <c r="Q496" s="305"/>
      <c r="R496" s="305"/>
      <c r="S496" s="305"/>
      <c r="T496" s="305"/>
      <c r="U496" s="305"/>
      <c r="V496" s="305"/>
      <c r="W496" s="305"/>
      <c r="X496" s="305"/>
      <c r="Y496" s="305"/>
      <c r="Z496" s="305"/>
      <c r="AA496" s="305"/>
      <c r="AB496" s="305"/>
      <c r="AC496" s="305"/>
      <c r="AD496" s="305"/>
      <c r="AE496" s="305"/>
      <c r="AF496" s="305"/>
      <c r="AG496" s="305"/>
      <c r="AH496" s="305"/>
      <c r="AI496" s="305"/>
      <c r="AJ496" s="305"/>
      <c r="AK496" s="305"/>
      <c r="AL496" s="305"/>
      <c r="AM496" s="305"/>
      <c r="AN496" s="305"/>
      <c r="AO496" s="305"/>
      <c r="AP496" s="305"/>
      <c r="AQ496" s="305"/>
      <c r="AR496" s="305"/>
      <c r="AS496" s="305"/>
      <c r="AT496" s="305"/>
      <c r="AU496" s="305"/>
      <c r="AV496" s="305"/>
      <c r="AW496" s="305"/>
      <c r="AX496" s="305"/>
      <c r="AY496" s="305"/>
      <c r="AZ496" s="305"/>
      <c r="BA496" s="305"/>
      <c r="BB496" s="305"/>
      <c r="BC496" s="305"/>
      <c r="BD496" s="305"/>
      <c r="BE496" s="305"/>
      <c r="BF496" s="305"/>
      <c r="BG496" s="305"/>
      <c r="BH496" s="305"/>
      <c r="BI496" s="305"/>
      <c r="BJ496" s="305"/>
      <c r="BK496" s="305"/>
      <c r="BL496" s="305"/>
      <c r="BM496" s="305"/>
      <c r="BN496" s="305"/>
      <c r="BO496" s="305"/>
      <c r="BP496" s="305"/>
      <c r="BQ496" s="305"/>
      <c r="BR496" s="305"/>
      <c r="BS496" s="305"/>
      <c r="BT496" s="305"/>
      <c r="BU496" s="305"/>
      <c r="BV496" s="305"/>
      <c r="BW496" s="305"/>
      <c r="BX496" s="305"/>
      <c r="BY496" s="305"/>
      <c r="BZ496" s="305"/>
      <c r="CA496" s="305"/>
      <c r="CB496" s="305"/>
      <c r="CC496" s="305"/>
      <c r="CD496" s="305"/>
      <c r="CE496" s="305"/>
      <c r="CF496" s="305"/>
      <c r="CG496" s="305"/>
      <c r="CH496" s="305"/>
      <c r="CI496" s="305"/>
      <c r="CJ496" s="305"/>
      <c r="CK496" s="305"/>
      <c r="CL496" s="305"/>
      <c r="CM496" s="305"/>
      <c r="CN496" s="305"/>
      <c r="CO496" s="305"/>
      <c r="CP496" s="305"/>
      <c r="CQ496" s="305"/>
      <c r="CR496" s="305"/>
      <c r="CS496" s="305"/>
      <c r="CT496" s="305"/>
      <c r="CU496" s="305"/>
      <c r="CV496" s="305"/>
      <c r="CW496" s="305"/>
      <c r="CX496" s="305"/>
      <c r="CY496" s="305"/>
      <c r="CZ496" s="305"/>
      <c r="DA496" s="305"/>
      <c r="DB496" s="305"/>
      <c r="DC496" s="305"/>
      <c r="DD496" s="305"/>
      <c r="DE496" s="305"/>
      <c r="DF496" s="305"/>
      <c r="DG496" s="305"/>
      <c r="DH496" s="305"/>
      <c r="DI496" s="305"/>
      <c r="DJ496" s="305"/>
      <c r="DK496" s="305"/>
      <c r="DL496" s="305"/>
      <c r="DM496" s="305"/>
      <c r="DN496" s="305"/>
      <c r="DO496" s="305"/>
      <c r="DP496" s="305"/>
      <c r="DQ496" s="305"/>
      <c r="DR496" s="305"/>
      <c r="DS496" s="305"/>
      <c r="DT496" s="305"/>
      <c r="DU496" s="305"/>
      <c r="DV496" s="305"/>
      <c r="DW496" s="305"/>
      <c r="DX496" s="305"/>
      <c r="DY496" s="305"/>
      <c r="DZ496" s="305"/>
      <c r="EA496" s="305"/>
      <c r="EB496" s="305"/>
      <c r="EC496" s="305"/>
      <c r="ED496" s="305"/>
      <c r="EE496" s="305"/>
      <c r="EF496" s="305"/>
      <c r="EG496" s="305"/>
      <c r="EH496" s="305"/>
      <c r="EI496" s="305"/>
      <c r="EJ496" s="305"/>
      <c r="EK496" s="305"/>
      <c r="EL496" s="305"/>
      <c r="EM496" s="305"/>
      <c r="EN496" s="305"/>
      <c r="EO496" s="305"/>
      <c r="EP496" s="305"/>
      <c r="EQ496" s="305"/>
      <c r="ER496" s="305"/>
      <c r="ES496" s="305"/>
      <c r="ET496" s="305"/>
      <c r="EU496" s="305"/>
      <c r="EV496" s="305"/>
      <c r="EW496" s="305"/>
      <c r="EX496" s="305"/>
      <c r="EY496" s="305"/>
      <c r="EZ496" s="305"/>
      <c r="FA496" s="305"/>
      <c r="FB496" s="305"/>
      <c r="FC496" s="305"/>
      <c r="FD496" s="305"/>
      <c r="FE496" s="305"/>
      <c r="FF496" s="305"/>
      <c r="FG496" s="305"/>
      <c r="FH496" s="305"/>
      <c r="FI496" s="305"/>
      <c r="FJ496" s="305"/>
      <c r="FK496" s="305"/>
      <c r="FL496" s="305"/>
      <c r="FM496" s="305"/>
      <c r="FN496" s="305"/>
      <c r="FO496" s="305"/>
      <c r="FP496" s="305"/>
      <c r="FQ496" s="305"/>
      <c r="FR496" s="305"/>
      <c r="FS496" s="305"/>
      <c r="FT496" s="305"/>
      <c r="FU496" s="305"/>
      <c r="FV496" s="305"/>
      <c r="FW496" s="305"/>
      <c r="FX496" s="305"/>
      <c r="FY496" s="305"/>
      <c r="FZ496" s="305"/>
      <c r="GA496" s="305"/>
      <c r="GB496" s="305"/>
      <c r="GC496" s="305"/>
      <c r="GD496" s="305"/>
      <c r="GE496" s="305"/>
      <c r="GF496" s="305"/>
      <c r="GG496" s="305"/>
      <c r="GH496" s="305"/>
      <c r="GI496" s="305"/>
      <c r="GJ496" s="305"/>
      <c r="GK496" s="305"/>
      <c r="GL496" s="305"/>
      <c r="GM496" s="305"/>
      <c r="GN496" s="305"/>
      <c r="GO496" s="305"/>
      <c r="GP496" s="305"/>
      <c r="GQ496" s="305"/>
      <c r="GR496" s="305"/>
    </row>
    <row r="497" spans="3:200" s="318" customFormat="1" ht="12.75" customHeight="1" x14ac:dyDescent="0.2">
      <c r="C497" s="367"/>
      <c r="D497" s="403"/>
      <c r="E497" s="369"/>
      <c r="F497" s="369"/>
      <c r="G497" s="369"/>
      <c r="H497" s="369"/>
      <c r="I497" s="370"/>
      <c r="J497"/>
      <c r="K497" s="371"/>
      <c r="L497" s="371"/>
      <c r="M497" s="371"/>
      <c r="N497" s="371"/>
      <c r="O497" s="305"/>
      <c r="P497" s="305"/>
      <c r="Q497" s="305"/>
      <c r="R497" s="305"/>
      <c r="S497" s="305"/>
      <c r="T497" s="305"/>
      <c r="U497" s="305"/>
      <c r="V497" s="305"/>
      <c r="W497" s="305"/>
      <c r="X497" s="305"/>
      <c r="Y497" s="305"/>
      <c r="Z497" s="305"/>
      <c r="AA497" s="305"/>
      <c r="AB497" s="305"/>
      <c r="AC497" s="305"/>
      <c r="AD497" s="305"/>
      <c r="AE497" s="305"/>
      <c r="AF497" s="305"/>
      <c r="AG497" s="305"/>
      <c r="AH497" s="305"/>
      <c r="AI497" s="305"/>
      <c r="AJ497" s="305"/>
      <c r="AK497" s="305"/>
      <c r="AL497" s="305"/>
      <c r="AM497" s="305"/>
      <c r="AN497" s="305"/>
      <c r="AO497" s="305"/>
      <c r="AP497" s="305"/>
      <c r="AQ497" s="305"/>
      <c r="AR497" s="305"/>
      <c r="AS497" s="305"/>
      <c r="AT497" s="305"/>
      <c r="AU497" s="305"/>
      <c r="AV497" s="305"/>
      <c r="AW497" s="305"/>
      <c r="AX497" s="305"/>
      <c r="AY497" s="305"/>
      <c r="AZ497" s="305"/>
      <c r="BA497" s="305"/>
      <c r="BB497" s="305"/>
      <c r="BC497" s="305"/>
      <c r="BD497" s="305"/>
      <c r="BE497" s="305"/>
      <c r="BF497" s="305"/>
      <c r="BG497" s="305"/>
      <c r="BH497" s="305"/>
      <c r="BI497" s="305"/>
      <c r="BJ497" s="305"/>
      <c r="BK497" s="305"/>
      <c r="BL497" s="305"/>
      <c r="BM497" s="305"/>
      <c r="BN497" s="305"/>
      <c r="BO497" s="305"/>
      <c r="BP497" s="305"/>
      <c r="BQ497" s="305"/>
      <c r="BR497" s="305"/>
      <c r="BS497" s="305"/>
      <c r="BT497" s="305"/>
      <c r="BU497" s="305"/>
      <c r="BV497" s="305"/>
      <c r="BW497" s="305"/>
      <c r="BX497" s="305"/>
      <c r="BY497" s="305"/>
      <c r="BZ497" s="305"/>
      <c r="CA497" s="305"/>
      <c r="CB497" s="305"/>
      <c r="CC497" s="305"/>
      <c r="CD497" s="305"/>
      <c r="CE497" s="305"/>
      <c r="CF497" s="305"/>
      <c r="CG497" s="305"/>
      <c r="CH497" s="305"/>
      <c r="CI497" s="305"/>
      <c r="CJ497" s="305"/>
      <c r="CK497" s="305"/>
      <c r="CL497" s="305"/>
      <c r="CM497" s="305"/>
      <c r="CN497" s="305"/>
      <c r="CO497" s="305"/>
      <c r="CP497" s="305"/>
      <c r="CQ497" s="305"/>
      <c r="CR497" s="305"/>
      <c r="CS497" s="305"/>
      <c r="CT497" s="305"/>
      <c r="CU497" s="305"/>
      <c r="CV497" s="305"/>
      <c r="CW497" s="305"/>
      <c r="CX497" s="305"/>
      <c r="CY497" s="305"/>
      <c r="CZ497" s="305"/>
      <c r="DA497" s="305"/>
      <c r="DB497" s="305"/>
      <c r="DC497" s="305"/>
      <c r="DD497" s="305"/>
      <c r="DE497" s="305"/>
      <c r="DF497" s="305"/>
      <c r="DG497" s="305"/>
      <c r="DH497" s="305"/>
      <c r="DI497" s="305"/>
      <c r="DJ497" s="305"/>
      <c r="DK497" s="305"/>
      <c r="DL497" s="305"/>
      <c r="DM497" s="305"/>
      <c r="DN497" s="305"/>
      <c r="DO497" s="305"/>
      <c r="DP497" s="305"/>
      <c r="DQ497" s="305"/>
      <c r="DR497" s="305"/>
      <c r="DS497" s="305"/>
      <c r="DT497" s="305"/>
      <c r="DU497" s="305"/>
      <c r="DV497" s="305"/>
      <c r="DW497" s="305"/>
      <c r="DX497" s="305"/>
      <c r="DY497" s="305"/>
      <c r="DZ497" s="305"/>
      <c r="EA497" s="305"/>
      <c r="EB497" s="305"/>
      <c r="EC497" s="305"/>
      <c r="ED497" s="305"/>
      <c r="EE497" s="305"/>
      <c r="EF497" s="305"/>
      <c r="EG497" s="305"/>
      <c r="EH497" s="305"/>
      <c r="EI497" s="305"/>
      <c r="EJ497" s="305"/>
      <c r="EK497" s="305"/>
      <c r="EL497" s="305"/>
      <c r="EM497" s="305"/>
      <c r="EN497" s="305"/>
      <c r="EO497" s="305"/>
      <c r="EP497" s="305"/>
      <c r="EQ497" s="305"/>
      <c r="ER497" s="305"/>
      <c r="ES497" s="305"/>
      <c r="ET497" s="305"/>
      <c r="EU497" s="305"/>
      <c r="EV497" s="305"/>
      <c r="EW497" s="305"/>
      <c r="EX497" s="305"/>
      <c r="EY497" s="305"/>
      <c r="EZ497" s="305"/>
      <c r="FA497" s="305"/>
      <c r="FB497" s="305"/>
      <c r="FC497" s="305"/>
      <c r="FD497" s="305"/>
      <c r="FE497" s="305"/>
      <c r="FF497" s="305"/>
      <c r="FG497" s="305"/>
      <c r="FH497" s="305"/>
      <c r="FI497" s="305"/>
      <c r="FJ497" s="305"/>
      <c r="FK497" s="305"/>
      <c r="FL497" s="305"/>
      <c r="FM497" s="305"/>
      <c r="FN497" s="305"/>
      <c r="FO497" s="305"/>
      <c r="FP497" s="305"/>
      <c r="FQ497" s="305"/>
      <c r="FR497" s="305"/>
      <c r="FS497" s="305"/>
      <c r="FT497" s="305"/>
      <c r="FU497" s="305"/>
      <c r="FV497" s="305"/>
      <c r="FW497" s="305"/>
      <c r="FX497" s="305"/>
      <c r="FY497" s="305"/>
      <c r="FZ497" s="305"/>
      <c r="GA497" s="305"/>
      <c r="GB497" s="305"/>
      <c r="GC497" s="305"/>
      <c r="GD497" s="305"/>
      <c r="GE497" s="305"/>
      <c r="GF497" s="305"/>
      <c r="GG497" s="305"/>
      <c r="GH497" s="305"/>
      <c r="GI497" s="305"/>
      <c r="GJ497" s="305"/>
      <c r="GK497" s="305"/>
      <c r="GL497" s="305"/>
      <c r="GM497" s="305"/>
      <c r="GN497" s="305"/>
      <c r="GO497" s="305"/>
      <c r="GP497" s="305"/>
      <c r="GQ497" s="305"/>
      <c r="GR497" s="305"/>
    </row>
    <row r="498" spans="3:200" s="318" customFormat="1" ht="12.75" customHeight="1" x14ac:dyDescent="0.2">
      <c r="C498" s="367"/>
      <c r="D498" s="403"/>
      <c r="E498" s="369"/>
      <c r="F498" s="369"/>
      <c r="G498" s="369"/>
      <c r="H498" s="369"/>
      <c r="I498" s="370"/>
      <c r="J498"/>
      <c r="K498" s="371"/>
      <c r="L498" s="371"/>
      <c r="M498" s="371"/>
      <c r="N498" s="371"/>
      <c r="O498" s="305"/>
      <c r="P498" s="305"/>
      <c r="Q498" s="305"/>
      <c r="R498" s="305"/>
      <c r="S498" s="305"/>
      <c r="T498" s="305"/>
      <c r="U498" s="305"/>
      <c r="V498" s="305"/>
      <c r="W498" s="305"/>
      <c r="X498" s="305"/>
      <c r="Y498" s="305"/>
      <c r="Z498" s="305"/>
      <c r="AA498" s="305"/>
      <c r="AB498" s="305"/>
      <c r="AC498" s="305"/>
      <c r="AD498" s="305"/>
      <c r="AE498" s="305"/>
      <c r="AF498" s="305"/>
      <c r="AG498" s="305"/>
      <c r="AH498" s="305"/>
      <c r="AI498" s="305"/>
      <c r="AJ498" s="305"/>
      <c r="AK498" s="305"/>
      <c r="AL498" s="305"/>
      <c r="AM498" s="305"/>
      <c r="AN498" s="305"/>
      <c r="AO498" s="305"/>
      <c r="AP498" s="305"/>
      <c r="AQ498" s="305"/>
      <c r="AR498" s="305"/>
      <c r="AS498" s="305"/>
      <c r="AT498" s="305"/>
      <c r="AU498" s="305"/>
      <c r="AV498" s="305"/>
      <c r="AW498" s="305"/>
      <c r="AX498" s="305"/>
      <c r="AY498" s="305"/>
      <c r="AZ498" s="305"/>
      <c r="BA498" s="305"/>
      <c r="BB498" s="305"/>
      <c r="BC498" s="305"/>
      <c r="BD498" s="305"/>
      <c r="BE498" s="305"/>
      <c r="BF498" s="305"/>
      <c r="BG498" s="305"/>
      <c r="BH498" s="305"/>
      <c r="BI498" s="305"/>
      <c r="BJ498" s="305"/>
      <c r="BK498" s="305"/>
      <c r="BL498" s="305"/>
      <c r="BM498" s="305"/>
      <c r="BN498" s="305"/>
      <c r="BO498" s="305"/>
      <c r="BP498" s="305"/>
      <c r="BQ498" s="305"/>
      <c r="BR498" s="305"/>
      <c r="BS498" s="305"/>
      <c r="BT498" s="305"/>
      <c r="BU498" s="305"/>
      <c r="BV498" s="305"/>
      <c r="BW498" s="305"/>
      <c r="BX498" s="305"/>
      <c r="BY498" s="305"/>
      <c r="BZ498" s="305"/>
      <c r="CA498" s="305"/>
      <c r="CB498" s="305"/>
      <c r="CC498" s="305"/>
      <c r="CD498" s="305"/>
      <c r="CE498" s="305"/>
      <c r="CF498" s="305"/>
      <c r="CG498" s="305"/>
      <c r="CH498" s="305"/>
      <c r="CI498" s="305"/>
      <c r="CJ498" s="305"/>
      <c r="CK498" s="305"/>
      <c r="CL498" s="305"/>
      <c r="CM498" s="305"/>
      <c r="CN498" s="305"/>
      <c r="CO498" s="305"/>
      <c r="CP498" s="305"/>
      <c r="CQ498" s="305"/>
      <c r="CR498" s="305"/>
      <c r="CS498" s="305"/>
      <c r="CT498" s="305"/>
      <c r="CU498" s="305"/>
      <c r="CV498" s="305"/>
      <c r="CW498" s="305"/>
      <c r="CX498" s="305"/>
      <c r="CY498" s="305"/>
      <c r="CZ498" s="305"/>
      <c r="DA498" s="305"/>
      <c r="DB498" s="305"/>
      <c r="DC498" s="305"/>
      <c r="DD498" s="305"/>
      <c r="DE498" s="305"/>
      <c r="DF498" s="305"/>
      <c r="DG498" s="305"/>
      <c r="DH498" s="305"/>
      <c r="DI498" s="305"/>
      <c r="DJ498" s="305"/>
      <c r="DK498" s="305"/>
      <c r="DL498" s="305"/>
      <c r="DM498" s="305"/>
      <c r="DN498" s="305"/>
      <c r="DO498" s="305"/>
      <c r="DP498" s="305"/>
      <c r="DQ498" s="305"/>
      <c r="DR498" s="305"/>
      <c r="DS498" s="305"/>
      <c r="DT498" s="305"/>
      <c r="DU498" s="305"/>
      <c r="DV498" s="305"/>
      <c r="DW498" s="305"/>
      <c r="DX498" s="305"/>
      <c r="DY498" s="305"/>
      <c r="DZ498" s="305"/>
      <c r="EA498" s="305"/>
      <c r="EB498" s="305"/>
      <c r="EC498" s="305"/>
      <c r="ED498" s="305"/>
      <c r="EE498" s="305"/>
      <c r="EF498" s="305"/>
      <c r="EG498" s="305"/>
      <c r="EH498" s="305"/>
      <c r="EI498" s="305"/>
      <c r="EJ498" s="305"/>
      <c r="EK498" s="305"/>
      <c r="EL498" s="305"/>
      <c r="EM498" s="305"/>
      <c r="EN498" s="305"/>
      <c r="EO498" s="305"/>
      <c r="EP498" s="305"/>
      <c r="EQ498" s="305"/>
      <c r="ER498" s="305"/>
      <c r="ES498" s="305"/>
      <c r="ET498" s="305"/>
      <c r="EU498" s="305"/>
      <c r="EV498" s="305"/>
      <c r="EW498" s="305"/>
      <c r="EX498" s="305"/>
      <c r="EY498" s="305"/>
      <c r="EZ498" s="305"/>
      <c r="FA498" s="305"/>
      <c r="FB498" s="305"/>
      <c r="FC498" s="305"/>
      <c r="FD498" s="305"/>
      <c r="FE498" s="305"/>
      <c r="FF498" s="305"/>
      <c r="FG498" s="305"/>
      <c r="FH498" s="305"/>
      <c r="FI498" s="305"/>
      <c r="FJ498" s="305"/>
      <c r="FK498" s="305"/>
      <c r="FL498" s="305"/>
      <c r="FM498" s="305"/>
      <c r="FN498" s="305"/>
      <c r="FO498" s="305"/>
      <c r="FP498" s="305"/>
      <c r="FQ498" s="305"/>
      <c r="FR498" s="305"/>
      <c r="FS498" s="305"/>
      <c r="FT498" s="305"/>
      <c r="FU498" s="305"/>
      <c r="FV498" s="305"/>
      <c r="FW498" s="305"/>
      <c r="FX498" s="305"/>
      <c r="FY498" s="305"/>
      <c r="FZ498" s="305"/>
      <c r="GA498" s="305"/>
      <c r="GB498" s="305"/>
      <c r="GC498" s="305"/>
      <c r="GD498" s="305"/>
      <c r="GE498" s="305"/>
      <c r="GF498" s="305"/>
      <c r="GG498" s="305"/>
      <c r="GH498" s="305"/>
      <c r="GI498" s="305"/>
      <c r="GJ498" s="305"/>
      <c r="GK498" s="305"/>
      <c r="GL498" s="305"/>
      <c r="GM498" s="305"/>
      <c r="GN498" s="305"/>
      <c r="GO498" s="305"/>
      <c r="GP498" s="305"/>
      <c r="GQ498" s="305"/>
      <c r="GR498" s="305"/>
    </row>
    <row r="499" spans="3:200" s="318" customFormat="1" ht="12.75" customHeight="1" x14ac:dyDescent="0.2">
      <c r="C499" s="367"/>
      <c r="D499" s="403"/>
      <c r="E499" s="369"/>
      <c r="F499" s="369"/>
      <c r="G499" s="369"/>
      <c r="H499" s="369"/>
      <c r="I499" s="370"/>
      <c r="J499"/>
      <c r="K499" s="371"/>
      <c r="L499" s="371"/>
      <c r="M499" s="371"/>
      <c r="N499" s="371"/>
      <c r="O499" s="305"/>
      <c r="P499" s="305"/>
      <c r="Q499" s="305"/>
      <c r="R499" s="305"/>
      <c r="S499" s="305"/>
      <c r="T499" s="305"/>
      <c r="U499" s="305"/>
      <c r="V499" s="305"/>
      <c r="W499" s="305"/>
      <c r="X499" s="305"/>
      <c r="Y499" s="305"/>
      <c r="Z499" s="305"/>
      <c r="AA499" s="305"/>
      <c r="AB499" s="305"/>
      <c r="AC499" s="305"/>
      <c r="AD499" s="305"/>
      <c r="AE499" s="305"/>
      <c r="AF499" s="305"/>
      <c r="AG499" s="305"/>
      <c r="AH499" s="305"/>
      <c r="AI499" s="305"/>
      <c r="AJ499" s="305"/>
      <c r="AK499" s="305"/>
      <c r="AL499" s="305"/>
      <c r="AM499" s="305"/>
      <c r="AN499" s="305"/>
      <c r="AO499" s="305"/>
      <c r="AP499" s="305"/>
      <c r="AQ499" s="305"/>
      <c r="AR499" s="305"/>
      <c r="AS499" s="305"/>
      <c r="AT499" s="305"/>
      <c r="AU499" s="305"/>
      <c r="AV499" s="305"/>
      <c r="AW499" s="305"/>
      <c r="AX499" s="305"/>
      <c r="AY499" s="305"/>
      <c r="AZ499" s="305"/>
      <c r="BA499" s="305"/>
      <c r="BB499" s="305"/>
      <c r="BC499" s="305"/>
      <c r="BD499" s="305"/>
      <c r="BE499" s="305"/>
      <c r="BF499" s="305"/>
      <c r="BG499" s="305"/>
      <c r="BH499" s="305"/>
      <c r="BI499" s="305"/>
      <c r="BJ499" s="305"/>
      <c r="BK499" s="305"/>
      <c r="BL499" s="305"/>
      <c r="BM499" s="305"/>
      <c r="BN499" s="305"/>
      <c r="BO499" s="305"/>
      <c r="BP499" s="305"/>
      <c r="BQ499" s="305"/>
      <c r="BR499" s="305"/>
      <c r="BS499" s="305"/>
      <c r="BT499" s="305"/>
      <c r="BU499" s="305"/>
      <c r="BV499" s="305"/>
      <c r="BW499" s="305"/>
      <c r="BX499" s="305"/>
      <c r="BY499" s="305"/>
      <c r="BZ499" s="305"/>
      <c r="CA499" s="305"/>
      <c r="CB499" s="305"/>
      <c r="CC499" s="305"/>
      <c r="CD499" s="305"/>
      <c r="CE499" s="305"/>
      <c r="CF499" s="305"/>
      <c r="CG499" s="305"/>
      <c r="CH499" s="305"/>
      <c r="CI499" s="305"/>
      <c r="CJ499" s="305"/>
      <c r="CK499" s="305"/>
      <c r="CL499" s="305"/>
      <c r="CM499" s="305"/>
      <c r="CN499" s="305"/>
      <c r="CO499" s="305"/>
      <c r="CP499" s="305"/>
      <c r="CQ499" s="305"/>
      <c r="CR499" s="305"/>
      <c r="CS499" s="305"/>
      <c r="CT499" s="305"/>
      <c r="CU499" s="305"/>
      <c r="CV499" s="305"/>
      <c r="CW499" s="305"/>
      <c r="CX499" s="305"/>
      <c r="CY499" s="305"/>
      <c r="CZ499" s="305"/>
      <c r="DA499" s="305"/>
      <c r="DB499" s="305"/>
      <c r="DC499" s="305"/>
      <c r="DD499" s="305"/>
      <c r="DE499" s="305"/>
      <c r="DF499" s="305"/>
      <c r="DG499" s="305"/>
      <c r="DH499" s="305"/>
      <c r="DI499" s="305"/>
      <c r="DJ499" s="305"/>
      <c r="DK499" s="305"/>
      <c r="DL499" s="305"/>
      <c r="DM499" s="305"/>
      <c r="DN499" s="305"/>
      <c r="DO499" s="305"/>
      <c r="DP499" s="305"/>
      <c r="DQ499" s="305"/>
      <c r="DR499" s="305"/>
      <c r="DS499" s="305"/>
      <c r="DT499" s="305"/>
      <c r="DU499" s="305"/>
      <c r="DV499" s="305"/>
      <c r="DW499" s="305"/>
      <c r="DX499" s="305"/>
      <c r="DY499" s="305"/>
      <c r="DZ499" s="305"/>
      <c r="EA499" s="305"/>
      <c r="EB499" s="305"/>
      <c r="EC499" s="305"/>
      <c r="ED499" s="305"/>
      <c r="EE499" s="305"/>
      <c r="EF499" s="305"/>
      <c r="EG499" s="305"/>
      <c r="EH499" s="305"/>
      <c r="EI499" s="305"/>
      <c r="EJ499" s="305"/>
      <c r="EK499" s="305"/>
      <c r="EL499" s="305"/>
      <c r="EM499" s="305"/>
      <c r="EN499" s="305"/>
      <c r="EO499" s="305"/>
      <c r="EP499" s="305"/>
      <c r="EQ499" s="305"/>
      <c r="ER499" s="305"/>
      <c r="ES499" s="305"/>
      <c r="ET499" s="305"/>
      <c r="EU499" s="305"/>
      <c r="EV499" s="305"/>
      <c r="EW499" s="305"/>
      <c r="EX499" s="305"/>
      <c r="EY499" s="305"/>
      <c r="EZ499" s="305"/>
      <c r="FA499" s="305"/>
      <c r="FB499" s="305"/>
      <c r="FC499" s="305"/>
      <c r="FD499" s="305"/>
      <c r="FE499" s="305"/>
      <c r="FF499" s="305"/>
      <c r="FG499" s="305"/>
      <c r="FH499" s="305"/>
      <c r="FI499" s="305"/>
      <c r="FJ499" s="305"/>
      <c r="FK499" s="305"/>
      <c r="FL499" s="305"/>
      <c r="FM499" s="305"/>
      <c r="FN499" s="305"/>
      <c r="FO499" s="305"/>
      <c r="FP499" s="305"/>
      <c r="FQ499" s="305"/>
      <c r="FR499" s="305"/>
      <c r="FS499" s="305"/>
      <c r="FT499" s="305"/>
      <c r="FU499" s="305"/>
      <c r="FV499" s="305"/>
      <c r="FW499" s="305"/>
      <c r="FX499" s="305"/>
      <c r="FY499" s="305"/>
      <c r="FZ499" s="305"/>
      <c r="GA499" s="305"/>
      <c r="GB499" s="305"/>
      <c r="GC499" s="305"/>
      <c r="GD499" s="305"/>
      <c r="GE499" s="305"/>
      <c r="GF499" s="305"/>
      <c r="GG499" s="305"/>
      <c r="GH499" s="305"/>
      <c r="GI499" s="305"/>
      <c r="GJ499" s="305"/>
      <c r="GK499" s="305"/>
      <c r="GL499" s="305"/>
      <c r="GM499" s="305"/>
      <c r="GN499" s="305"/>
      <c r="GO499" s="305"/>
      <c r="GP499" s="305"/>
      <c r="GQ499" s="305"/>
      <c r="GR499" s="305"/>
    </row>
    <row r="500" spans="3:200" s="318" customFormat="1" ht="12.75" customHeight="1" x14ac:dyDescent="0.2">
      <c r="C500" s="367"/>
      <c r="D500" s="403"/>
      <c r="E500" s="369"/>
      <c r="F500" s="369"/>
      <c r="G500" s="369"/>
      <c r="H500" s="369"/>
      <c r="I500" s="370"/>
      <c r="J500"/>
      <c r="K500" s="371"/>
      <c r="L500" s="371"/>
      <c r="M500" s="371"/>
      <c r="N500" s="371"/>
      <c r="O500" s="305"/>
      <c r="P500" s="305"/>
      <c r="Q500" s="305"/>
      <c r="R500" s="305"/>
      <c r="S500" s="305"/>
      <c r="T500" s="305"/>
      <c r="U500" s="305"/>
      <c r="V500" s="305"/>
      <c r="W500" s="305"/>
      <c r="X500" s="305"/>
      <c r="Y500" s="305"/>
      <c r="Z500" s="305"/>
      <c r="AA500" s="305"/>
      <c r="AB500" s="305"/>
      <c r="AC500" s="305"/>
      <c r="AD500" s="305"/>
      <c r="AE500" s="305"/>
      <c r="AF500" s="305"/>
      <c r="AG500" s="305"/>
      <c r="AH500" s="305"/>
      <c r="AI500" s="305"/>
      <c r="AJ500" s="305"/>
      <c r="AK500" s="305"/>
      <c r="AL500" s="305"/>
      <c r="AM500" s="305"/>
      <c r="AN500" s="305"/>
      <c r="AO500" s="305"/>
      <c r="AP500" s="305"/>
      <c r="AQ500" s="305"/>
      <c r="AR500" s="305"/>
      <c r="AS500" s="305"/>
      <c r="AT500" s="305"/>
      <c r="AU500" s="305"/>
      <c r="AV500" s="305"/>
      <c r="AW500" s="305"/>
      <c r="AX500" s="305"/>
      <c r="AY500" s="305"/>
      <c r="AZ500" s="305"/>
      <c r="BA500" s="305"/>
      <c r="BB500" s="305"/>
      <c r="BC500" s="305"/>
      <c r="BD500" s="305"/>
      <c r="BE500" s="305"/>
      <c r="BF500" s="305"/>
      <c r="BG500" s="305"/>
      <c r="BH500" s="305"/>
      <c r="BI500" s="305"/>
      <c r="BJ500" s="305"/>
      <c r="BK500" s="305"/>
      <c r="BL500" s="305"/>
      <c r="BM500" s="305"/>
      <c r="BN500" s="305"/>
      <c r="BO500" s="305"/>
      <c r="BP500" s="305"/>
      <c r="BQ500" s="305"/>
      <c r="BR500" s="305"/>
      <c r="BS500" s="305"/>
      <c r="BT500" s="305"/>
      <c r="BU500" s="305"/>
      <c r="BV500" s="305"/>
      <c r="BW500" s="305"/>
      <c r="BX500" s="305"/>
      <c r="BY500" s="305"/>
      <c r="BZ500" s="305"/>
      <c r="CA500" s="305"/>
      <c r="CB500" s="305"/>
      <c r="CC500" s="305"/>
      <c r="CD500" s="305"/>
      <c r="CE500" s="305"/>
      <c r="CF500" s="305"/>
      <c r="CG500" s="305"/>
      <c r="CH500" s="305"/>
      <c r="CI500" s="305"/>
      <c r="CJ500" s="305"/>
      <c r="CK500" s="305"/>
      <c r="CL500" s="305"/>
      <c r="CM500" s="305"/>
      <c r="CN500" s="305"/>
      <c r="CO500" s="305"/>
      <c r="CP500" s="305"/>
      <c r="CQ500" s="305"/>
      <c r="CR500" s="305"/>
      <c r="CS500" s="305"/>
      <c r="CT500" s="305"/>
      <c r="CU500" s="305"/>
      <c r="CV500" s="305"/>
      <c r="CW500" s="305"/>
      <c r="CX500" s="305"/>
      <c r="CY500" s="305"/>
      <c r="CZ500" s="305"/>
      <c r="DA500" s="305"/>
      <c r="DB500" s="305"/>
      <c r="DC500" s="305"/>
      <c r="DD500" s="305"/>
      <c r="DE500" s="305"/>
      <c r="DF500" s="305"/>
      <c r="DG500" s="305"/>
      <c r="DH500" s="305"/>
      <c r="DI500" s="305"/>
      <c r="DJ500" s="305"/>
      <c r="DK500" s="305"/>
      <c r="DL500" s="305"/>
      <c r="DM500" s="305"/>
      <c r="DN500" s="305"/>
      <c r="DO500" s="305"/>
      <c r="DP500" s="305"/>
      <c r="DQ500" s="305"/>
      <c r="DR500" s="305"/>
      <c r="DS500" s="305"/>
      <c r="DT500" s="305"/>
      <c r="DU500" s="305"/>
      <c r="DV500" s="305"/>
      <c r="DW500" s="305"/>
      <c r="DX500" s="305"/>
      <c r="DY500" s="305"/>
      <c r="DZ500" s="305"/>
      <c r="EA500" s="305"/>
      <c r="EB500" s="305"/>
      <c r="EC500" s="305"/>
      <c r="ED500" s="305"/>
      <c r="EE500" s="305"/>
      <c r="EF500" s="305"/>
      <c r="EG500" s="305"/>
      <c r="EH500" s="305"/>
      <c r="EI500" s="305"/>
      <c r="EJ500" s="305"/>
      <c r="EK500" s="305"/>
      <c r="EL500" s="305"/>
      <c r="EM500" s="305"/>
      <c r="EN500" s="305"/>
      <c r="EO500" s="305"/>
      <c r="EP500" s="305"/>
      <c r="EQ500" s="305"/>
      <c r="ER500" s="305"/>
      <c r="ES500" s="305"/>
      <c r="ET500" s="305"/>
      <c r="EU500" s="305"/>
      <c r="EV500" s="305"/>
      <c r="EW500" s="305"/>
      <c r="EX500" s="305"/>
      <c r="EY500" s="305"/>
      <c r="EZ500" s="305"/>
      <c r="FA500" s="305"/>
      <c r="FB500" s="305"/>
      <c r="FC500" s="305"/>
      <c r="FD500" s="305"/>
      <c r="FE500" s="305"/>
      <c r="FF500" s="305"/>
      <c r="FG500" s="305"/>
      <c r="FH500" s="305"/>
      <c r="FI500" s="305"/>
      <c r="FJ500" s="305"/>
      <c r="FK500" s="305"/>
      <c r="FL500" s="305"/>
      <c r="FM500" s="305"/>
      <c r="FN500" s="305"/>
      <c r="FO500" s="305"/>
      <c r="FP500" s="305"/>
      <c r="FQ500" s="305"/>
      <c r="FR500" s="305"/>
      <c r="FS500" s="305"/>
      <c r="FT500" s="305"/>
      <c r="FU500" s="305"/>
      <c r="FV500" s="305"/>
      <c r="FW500" s="305"/>
      <c r="FX500" s="305"/>
      <c r="FY500" s="305"/>
      <c r="FZ500" s="305"/>
      <c r="GA500" s="305"/>
      <c r="GB500" s="305"/>
      <c r="GC500" s="305"/>
      <c r="GD500" s="305"/>
      <c r="GE500" s="305"/>
      <c r="GF500" s="305"/>
      <c r="GG500" s="305"/>
      <c r="GH500" s="305"/>
      <c r="GI500" s="305"/>
      <c r="GJ500" s="305"/>
      <c r="GK500" s="305"/>
      <c r="GL500" s="305"/>
      <c r="GM500" s="305"/>
      <c r="GN500" s="305"/>
      <c r="GO500" s="305"/>
      <c r="GP500" s="305"/>
      <c r="GQ500" s="305"/>
      <c r="GR500" s="305"/>
    </row>
    <row r="501" spans="3:200" s="318" customFormat="1" ht="12.75" customHeight="1" x14ac:dyDescent="0.2">
      <c r="C501" s="367"/>
      <c r="D501" s="403"/>
      <c r="E501" s="369"/>
      <c r="F501" s="369"/>
      <c r="G501" s="369"/>
      <c r="H501" s="369"/>
      <c r="I501" s="370"/>
      <c r="J501"/>
      <c r="K501" s="371"/>
      <c r="L501" s="371"/>
      <c r="M501" s="371"/>
      <c r="N501" s="371"/>
      <c r="O501" s="305"/>
      <c r="P501" s="305"/>
      <c r="Q501" s="305"/>
      <c r="R501" s="305"/>
      <c r="S501" s="305"/>
      <c r="T501" s="305"/>
      <c r="U501" s="305"/>
      <c r="V501" s="305"/>
      <c r="W501" s="305"/>
      <c r="X501" s="305"/>
      <c r="Y501" s="305"/>
      <c r="Z501" s="305"/>
      <c r="AA501" s="305"/>
      <c r="AB501" s="305"/>
      <c r="AC501" s="305"/>
      <c r="AD501" s="305"/>
      <c r="AE501" s="305"/>
      <c r="AF501" s="305"/>
      <c r="AG501" s="305"/>
      <c r="AH501" s="305"/>
      <c r="AI501" s="305"/>
      <c r="AJ501" s="305"/>
      <c r="AK501" s="305"/>
      <c r="AL501" s="305"/>
      <c r="AM501" s="305"/>
      <c r="AN501" s="305"/>
      <c r="AO501" s="305"/>
      <c r="AP501" s="305"/>
      <c r="AQ501" s="305"/>
      <c r="AR501" s="305"/>
      <c r="AS501" s="305"/>
      <c r="AT501" s="305"/>
      <c r="AU501" s="305"/>
      <c r="AV501" s="305"/>
      <c r="AW501" s="305"/>
      <c r="AX501" s="305"/>
      <c r="AY501" s="305"/>
      <c r="AZ501" s="305"/>
      <c r="BA501" s="305"/>
      <c r="BB501" s="305"/>
      <c r="BC501" s="305"/>
      <c r="BD501" s="305"/>
      <c r="BE501" s="305"/>
      <c r="BF501" s="305"/>
      <c r="BG501" s="305"/>
      <c r="BH501" s="305"/>
      <c r="BI501" s="305"/>
      <c r="BJ501" s="305"/>
      <c r="BK501" s="305"/>
      <c r="BL501" s="305"/>
      <c r="BM501" s="305"/>
      <c r="BN501" s="305"/>
      <c r="BO501" s="305"/>
      <c r="BP501" s="305"/>
      <c r="BQ501" s="305"/>
      <c r="BR501" s="305"/>
      <c r="BS501" s="305"/>
      <c r="BT501" s="305"/>
      <c r="BU501" s="305"/>
      <c r="BV501" s="305"/>
      <c r="BW501" s="305"/>
      <c r="BX501" s="305"/>
      <c r="BY501" s="305"/>
      <c r="BZ501" s="305"/>
      <c r="CA501" s="305"/>
      <c r="CB501" s="305"/>
      <c r="CC501" s="305"/>
      <c r="CD501" s="305"/>
      <c r="CE501" s="305"/>
      <c r="CF501" s="305"/>
      <c r="CG501" s="305"/>
      <c r="CH501" s="305"/>
      <c r="CI501" s="305"/>
      <c r="CJ501" s="305"/>
      <c r="CK501" s="305"/>
      <c r="CL501" s="305"/>
      <c r="CM501" s="305"/>
      <c r="CN501" s="305"/>
      <c r="CO501" s="305"/>
      <c r="CP501" s="305"/>
      <c r="CQ501" s="305"/>
      <c r="CR501" s="305"/>
      <c r="CS501" s="305"/>
      <c r="CT501" s="305"/>
      <c r="CU501" s="305"/>
      <c r="CV501" s="305"/>
      <c r="CW501" s="305"/>
      <c r="CX501" s="305"/>
      <c r="CY501" s="305"/>
      <c r="CZ501" s="305"/>
      <c r="DA501" s="305"/>
      <c r="DB501" s="305"/>
      <c r="DC501" s="305"/>
      <c r="DD501" s="305"/>
      <c r="DE501" s="305"/>
      <c r="DF501" s="305"/>
      <c r="DG501" s="305"/>
      <c r="DH501" s="305"/>
      <c r="DI501" s="305"/>
      <c r="DJ501" s="305"/>
      <c r="DK501" s="305"/>
      <c r="DL501" s="305"/>
      <c r="DM501" s="305"/>
      <c r="DN501" s="305"/>
      <c r="DO501" s="305"/>
      <c r="DP501" s="305"/>
      <c r="DQ501" s="305"/>
      <c r="DR501" s="305"/>
      <c r="DS501" s="305"/>
      <c r="DT501" s="305"/>
      <c r="DU501" s="305"/>
      <c r="DV501" s="305"/>
      <c r="DW501" s="305"/>
      <c r="DX501" s="305"/>
      <c r="DY501" s="305"/>
      <c r="DZ501" s="305"/>
      <c r="EA501" s="305"/>
      <c r="EB501" s="305"/>
      <c r="EC501" s="305"/>
      <c r="ED501" s="305"/>
      <c r="EE501" s="305"/>
      <c r="EF501" s="305"/>
      <c r="EG501" s="305"/>
      <c r="EH501" s="305"/>
      <c r="EI501" s="305"/>
      <c r="EJ501" s="305"/>
      <c r="EK501" s="305"/>
      <c r="EL501" s="305"/>
      <c r="EM501" s="305"/>
      <c r="EN501" s="305"/>
      <c r="EO501" s="305"/>
      <c r="EP501" s="305"/>
      <c r="EQ501" s="305"/>
      <c r="ER501" s="305"/>
      <c r="ES501" s="305"/>
      <c r="ET501" s="305"/>
      <c r="EU501" s="305"/>
      <c r="EV501" s="305"/>
      <c r="EW501" s="305"/>
      <c r="EX501" s="305"/>
      <c r="EY501" s="305"/>
      <c r="EZ501" s="305"/>
      <c r="FA501" s="305"/>
      <c r="FB501" s="305"/>
      <c r="FC501" s="305"/>
      <c r="FD501" s="305"/>
      <c r="FE501" s="305"/>
      <c r="FF501" s="305"/>
      <c r="FG501" s="305"/>
      <c r="FH501" s="305"/>
      <c r="FI501" s="305"/>
      <c r="FJ501" s="305"/>
      <c r="FK501" s="305"/>
      <c r="FL501" s="305"/>
      <c r="FM501" s="305"/>
      <c r="FN501" s="305"/>
      <c r="FO501" s="305"/>
      <c r="FP501" s="305"/>
      <c r="FQ501" s="305"/>
      <c r="FR501" s="305"/>
      <c r="FS501" s="305"/>
      <c r="FT501" s="305"/>
      <c r="FU501" s="305"/>
      <c r="FV501" s="305"/>
      <c r="FW501" s="305"/>
      <c r="FX501" s="305"/>
      <c r="FY501" s="305"/>
      <c r="FZ501" s="305"/>
      <c r="GA501" s="305"/>
      <c r="GB501" s="305"/>
      <c r="GC501" s="305"/>
      <c r="GD501" s="305"/>
      <c r="GE501" s="305"/>
      <c r="GF501" s="305"/>
      <c r="GG501" s="305"/>
      <c r="GH501" s="305"/>
      <c r="GI501" s="305"/>
      <c r="GJ501" s="305"/>
      <c r="GK501" s="305"/>
      <c r="GL501" s="305"/>
      <c r="GM501" s="305"/>
      <c r="GN501" s="305"/>
      <c r="GO501" s="305"/>
      <c r="GP501" s="305"/>
      <c r="GQ501" s="305"/>
      <c r="GR501" s="305"/>
    </row>
    <row r="502" spans="3:200" s="318" customFormat="1" ht="12.75" customHeight="1" x14ac:dyDescent="0.2">
      <c r="C502" s="367"/>
      <c r="D502" s="403"/>
      <c r="E502" s="369"/>
      <c r="F502" s="369"/>
      <c r="G502" s="369"/>
      <c r="H502" s="369"/>
      <c r="I502" s="370"/>
      <c r="J502"/>
      <c r="K502" s="371"/>
      <c r="L502" s="371"/>
      <c r="M502" s="371"/>
      <c r="N502" s="371"/>
      <c r="O502" s="305"/>
      <c r="P502" s="305"/>
      <c r="Q502" s="305"/>
      <c r="R502" s="305"/>
      <c r="S502" s="305"/>
      <c r="T502" s="305"/>
      <c r="U502" s="305"/>
      <c r="V502" s="305"/>
      <c r="W502" s="305"/>
      <c r="X502" s="305"/>
      <c r="Y502" s="305"/>
      <c r="Z502" s="305"/>
      <c r="AA502" s="305"/>
      <c r="AB502" s="305"/>
      <c r="AC502" s="305"/>
      <c r="AD502" s="305"/>
      <c r="AE502" s="305"/>
      <c r="AF502" s="305"/>
      <c r="AG502" s="305"/>
      <c r="AH502" s="305"/>
      <c r="AI502" s="305"/>
      <c r="AJ502" s="305"/>
      <c r="AK502" s="305"/>
      <c r="AL502" s="305"/>
      <c r="AM502" s="305"/>
      <c r="AN502" s="305"/>
      <c r="AO502" s="305"/>
      <c r="AP502" s="305"/>
      <c r="AQ502" s="305"/>
      <c r="AR502" s="305"/>
      <c r="AS502" s="305"/>
      <c r="AT502" s="305"/>
      <c r="AU502" s="305"/>
      <c r="AV502" s="305"/>
      <c r="AW502" s="305"/>
      <c r="AX502" s="305"/>
      <c r="AY502" s="305"/>
      <c r="AZ502" s="305"/>
      <c r="BA502" s="305"/>
      <c r="BB502" s="305"/>
      <c r="BC502" s="305"/>
      <c r="BD502" s="305"/>
      <c r="BE502" s="305"/>
      <c r="BF502" s="305"/>
      <c r="BG502" s="305"/>
      <c r="BH502" s="305"/>
      <c r="BI502" s="305"/>
      <c r="BJ502" s="305"/>
      <c r="BK502" s="305"/>
      <c r="BL502" s="305"/>
      <c r="BM502" s="305"/>
      <c r="BN502" s="305"/>
      <c r="BO502" s="305"/>
      <c r="BP502" s="305"/>
      <c r="BQ502" s="305"/>
      <c r="BR502" s="305"/>
      <c r="BS502" s="305"/>
      <c r="BT502" s="305"/>
      <c r="BU502" s="305"/>
      <c r="BV502" s="305"/>
      <c r="BW502" s="305"/>
      <c r="BX502" s="305"/>
      <c r="BY502" s="305"/>
      <c r="BZ502" s="305"/>
      <c r="CA502" s="305"/>
      <c r="CB502" s="305"/>
      <c r="CC502" s="305"/>
      <c r="CD502" s="305"/>
      <c r="CE502" s="305"/>
      <c r="CF502" s="305"/>
      <c r="CG502" s="305"/>
      <c r="CH502" s="305"/>
      <c r="CI502" s="305"/>
      <c r="CJ502" s="305"/>
      <c r="CK502" s="305"/>
      <c r="CL502" s="305"/>
      <c r="CM502" s="305"/>
      <c r="CN502" s="305"/>
      <c r="CO502" s="305"/>
      <c r="CP502" s="305"/>
      <c r="CQ502" s="305"/>
      <c r="CR502" s="305"/>
      <c r="CS502" s="305"/>
      <c r="CT502" s="305"/>
      <c r="CU502" s="305"/>
      <c r="CV502" s="305"/>
      <c r="CW502" s="305"/>
      <c r="CX502" s="305"/>
      <c r="CY502" s="305"/>
      <c r="CZ502" s="305"/>
      <c r="DA502" s="305"/>
      <c r="DB502" s="305"/>
      <c r="DC502" s="305"/>
      <c r="DD502" s="305"/>
      <c r="DE502" s="305"/>
      <c r="DF502" s="305"/>
      <c r="DG502" s="305"/>
      <c r="DH502" s="305"/>
      <c r="DI502" s="305"/>
      <c r="DJ502" s="305"/>
      <c r="DK502" s="305"/>
      <c r="DL502" s="305"/>
      <c r="DM502" s="305"/>
      <c r="DN502" s="305"/>
      <c r="DO502" s="305"/>
      <c r="DP502" s="305"/>
      <c r="DQ502" s="305"/>
      <c r="DR502" s="305"/>
      <c r="DS502" s="305"/>
      <c r="DT502" s="305"/>
      <c r="DU502" s="305"/>
      <c r="DV502" s="305"/>
      <c r="DW502" s="305"/>
      <c r="DX502" s="305"/>
      <c r="DY502" s="305"/>
      <c r="DZ502" s="305"/>
      <c r="EA502" s="305"/>
      <c r="EB502" s="305"/>
      <c r="EC502" s="305"/>
      <c r="ED502" s="305"/>
      <c r="EE502" s="305"/>
      <c r="EF502" s="305"/>
      <c r="EG502" s="305"/>
      <c r="EH502" s="305"/>
      <c r="EI502" s="305"/>
      <c r="EJ502" s="305"/>
      <c r="EK502" s="305"/>
      <c r="EL502" s="305"/>
      <c r="EM502" s="305"/>
      <c r="EN502" s="305"/>
      <c r="EO502" s="305"/>
      <c r="EP502" s="305"/>
      <c r="EQ502" s="305"/>
      <c r="ER502" s="305"/>
      <c r="ES502" s="305"/>
      <c r="ET502" s="305"/>
      <c r="EU502" s="305"/>
      <c r="EV502" s="305"/>
      <c r="EW502" s="305"/>
      <c r="EX502" s="305"/>
      <c r="EY502" s="305"/>
      <c r="EZ502" s="305"/>
      <c r="FA502" s="305"/>
      <c r="FB502" s="305"/>
      <c r="FC502" s="305"/>
      <c r="FD502" s="305"/>
      <c r="FE502" s="305"/>
      <c r="FF502" s="305"/>
      <c r="FG502" s="305"/>
      <c r="FH502" s="305"/>
      <c r="FI502" s="305"/>
      <c r="FJ502" s="305"/>
      <c r="FK502" s="305"/>
      <c r="FL502" s="305"/>
      <c r="FM502" s="305"/>
      <c r="FN502" s="305"/>
      <c r="FO502" s="305"/>
      <c r="FP502" s="305"/>
      <c r="FQ502" s="305"/>
      <c r="FR502" s="305"/>
      <c r="FS502" s="305"/>
      <c r="FT502" s="305"/>
      <c r="FU502" s="305"/>
      <c r="FV502" s="305"/>
      <c r="FW502" s="305"/>
      <c r="FX502" s="305"/>
      <c r="FY502" s="305"/>
      <c r="FZ502" s="305"/>
      <c r="GA502" s="305"/>
      <c r="GB502" s="305"/>
      <c r="GC502" s="305"/>
      <c r="GD502" s="305"/>
      <c r="GE502" s="305"/>
      <c r="GF502" s="305"/>
      <c r="GG502" s="305"/>
      <c r="GH502" s="305"/>
      <c r="GI502" s="305"/>
      <c r="GJ502" s="305"/>
      <c r="GK502" s="305"/>
      <c r="GL502" s="305"/>
      <c r="GM502" s="305"/>
      <c r="GN502" s="305"/>
      <c r="GO502" s="305"/>
      <c r="GP502" s="305"/>
      <c r="GQ502" s="305"/>
      <c r="GR502" s="305"/>
    </row>
    <row r="503" spans="3:200" s="318" customFormat="1" ht="12.75" customHeight="1" x14ac:dyDescent="0.2">
      <c r="C503" s="367"/>
      <c r="D503" s="403"/>
      <c r="E503" s="369"/>
      <c r="F503" s="369"/>
      <c r="G503" s="369"/>
      <c r="H503" s="369"/>
      <c r="I503" s="370"/>
      <c r="J503"/>
      <c r="K503" s="371"/>
      <c r="L503" s="371"/>
      <c r="M503" s="371"/>
      <c r="N503" s="371"/>
      <c r="O503" s="305"/>
      <c r="P503" s="305"/>
      <c r="Q503" s="305"/>
      <c r="R503" s="305"/>
      <c r="S503" s="305"/>
      <c r="T503" s="305"/>
      <c r="U503" s="305"/>
      <c r="V503" s="305"/>
      <c r="W503" s="305"/>
      <c r="X503" s="305"/>
      <c r="Y503" s="305"/>
      <c r="Z503" s="305"/>
      <c r="AA503" s="305"/>
      <c r="AB503" s="305"/>
      <c r="AC503" s="305"/>
      <c r="AD503" s="305"/>
      <c r="AE503" s="305"/>
      <c r="AF503" s="305"/>
      <c r="AG503" s="305"/>
      <c r="AH503" s="305"/>
      <c r="AI503" s="305"/>
      <c r="AJ503" s="305"/>
      <c r="AK503" s="305"/>
      <c r="AL503" s="305"/>
      <c r="AM503" s="305"/>
      <c r="AN503" s="305"/>
      <c r="AO503" s="305"/>
      <c r="AP503" s="305"/>
      <c r="AQ503" s="305"/>
      <c r="AR503" s="305"/>
      <c r="AS503" s="305"/>
      <c r="AT503" s="305"/>
      <c r="AU503" s="305"/>
      <c r="AV503" s="305"/>
      <c r="AW503" s="305"/>
      <c r="AX503" s="305"/>
      <c r="AY503" s="305"/>
      <c r="AZ503" s="305"/>
      <c r="BA503" s="305"/>
      <c r="BB503" s="305"/>
      <c r="BC503" s="305"/>
      <c r="BD503" s="305"/>
      <c r="BE503" s="305"/>
      <c r="BF503" s="305"/>
      <c r="BG503" s="305"/>
      <c r="BH503" s="305"/>
      <c r="BI503" s="305"/>
      <c r="BJ503" s="305"/>
      <c r="BK503" s="305"/>
      <c r="BL503" s="305"/>
      <c r="BM503" s="305"/>
      <c r="BN503" s="305"/>
      <c r="BO503" s="305"/>
      <c r="BP503" s="305"/>
      <c r="BQ503" s="305"/>
      <c r="BR503" s="305"/>
      <c r="BS503" s="305"/>
      <c r="BT503" s="305"/>
      <c r="BU503" s="305"/>
      <c r="BV503" s="305"/>
      <c r="BW503" s="305"/>
      <c r="BX503" s="305"/>
      <c r="BY503" s="305"/>
      <c r="BZ503" s="305"/>
      <c r="CA503" s="305"/>
      <c r="CB503" s="305"/>
      <c r="CC503" s="305"/>
      <c r="CD503" s="305"/>
      <c r="CE503" s="305"/>
      <c r="CF503" s="305"/>
      <c r="CG503" s="305"/>
      <c r="CH503" s="305"/>
      <c r="CI503" s="305"/>
      <c r="CJ503" s="305"/>
      <c r="CK503" s="305"/>
      <c r="CL503" s="305"/>
      <c r="CM503" s="305"/>
      <c r="CN503" s="305"/>
      <c r="CO503" s="305"/>
      <c r="CP503" s="305"/>
      <c r="CQ503" s="305"/>
      <c r="CR503" s="305"/>
      <c r="CS503" s="305"/>
      <c r="CT503" s="305"/>
      <c r="CU503" s="305"/>
      <c r="CV503" s="305"/>
      <c r="CW503" s="305"/>
      <c r="CX503" s="305"/>
      <c r="CY503" s="305"/>
      <c r="CZ503" s="305"/>
      <c r="DA503" s="305"/>
      <c r="DB503" s="305"/>
      <c r="DC503" s="305"/>
      <c r="DD503" s="305"/>
      <c r="DE503" s="305"/>
      <c r="DF503" s="305"/>
      <c r="DG503" s="305"/>
      <c r="DH503" s="305"/>
      <c r="DI503" s="305"/>
      <c r="DJ503" s="305"/>
      <c r="DK503" s="305"/>
      <c r="DL503" s="305"/>
      <c r="DM503" s="305"/>
      <c r="DN503" s="305"/>
      <c r="DO503" s="305"/>
      <c r="DP503" s="305"/>
      <c r="DQ503" s="305"/>
      <c r="DR503" s="305"/>
      <c r="DS503" s="305"/>
      <c r="DT503" s="305"/>
      <c r="DU503" s="305"/>
      <c r="DV503" s="305"/>
      <c r="DW503" s="305"/>
      <c r="DX503" s="305"/>
      <c r="DY503" s="305"/>
      <c r="DZ503" s="305"/>
      <c r="EA503" s="305"/>
      <c r="EB503" s="305"/>
      <c r="EC503" s="305"/>
      <c r="ED503" s="305"/>
      <c r="EE503" s="305"/>
      <c r="EF503" s="305"/>
      <c r="EG503" s="305"/>
      <c r="EH503" s="305"/>
      <c r="EI503" s="305"/>
      <c r="EJ503" s="305"/>
      <c r="EK503" s="305"/>
      <c r="EL503" s="305"/>
      <c r="EM503" s="305"/>
      <c r="EN503" s="305"/>
      <c r="EO503" s="305"/>
      <c r="EP503" s="305"/>
      <c r="EQ503" s="305"/>
      <c r="ER503" s="305"/>
      <c r="ES503" s="305"/>
      <c r="ET503" s="305"/>
      <c r="EU503" s="305"/>
      <c r="EV503" s="305"/>
      <c r="EW503" s="305"/>
      <c r="EX503" s="305"/>
      <c r="EY503" s="305"/>
      <c r="EZ503" s="305"/>
      <c r="FA503" s="305"/>
      <c r="FB503" s="305"/>
      <c r="FC503" s="305"/>
      <c r="FD503" s="305"/>
      <c r="FE503" s="305"/>
      <c r="FF503" s="305"/>
      <c r="FG503" s="305"/>
      <c r="FH503" s="305"/>
      <c r="FI503" s="305"/>
      <c r="FJ503" s="305"/>
      <c r="FK503" s="305"/>
      <c r="FL503" s="305"/>
      <c r="FM503" s="305"/>
      <c r="FN503" s="305"/>
      <c r="FO503" s="305"/>
      <c r="FP503" s="305"/>
      <c r="FQ503" s="305"/>
      <c r="FR503" s="305"/>
      <c r="FS503" s="305"/>
      <c r="FT503" s="305"/>
      <c r="FU503" s="305"/>
      <c r="FV503" s="305"/>
      <c r="FW503" s="305"/>
      <c r="FX503" s="305"/>
      <c r="FY503" s="305"/>
      <c r="FZ503" s="305"/>
      <c r="GA503" s="305"/>
      <c r="GB503" s="305"/>
      <c r="GC503" s="305"/>
      <c r="GD503" s="305"/>
      <c r="GE503" s="305"/>
      <c r="GF503" s="305"/>
      <c r="GG503" s="305"/>
      <c r="GH503" s="305"/>
      <c r="GI503" s="305"/>
      <c r="GJ503" s="305"/>
      <c r="GK503" s="305"/>
      <c r="GL503" s="305"/>
      <c r="GM503" s="305"/>
      <c r="GN503" s="305"/>
      <c r="GO503" s="305"/>
      <c r="GP503" s="305"/>
      <c r="GQ503" s="305"/>
      <c r="GR503" s="305"/>
    </row>
    <row r="504" spans="3:200" s="318" customFormat="1" ht="12.75" customHeight="1" x14ac:dyDescent="0.2">
      <c r="C504" s="367"/>
      <c r="D504" s="403"/>
      <c r="E504" s="369"/>
      <c r="F504" s="369"/>
      <c r="G504" s="369"/>
      <c r="H504" s="369"/>
      <c r="I504" s="370"/>
      <c r="J504"/>
      <c r="K504" s="371"/>
      <c r="L504" s="371"/>
      <c r="M504" s="371"/>
      <c r="N504" s="371"/>
      <c r="O504" s="305"/>
      <c r="P504" s="305"/>
      <c r="Q504" s="305"/>
      <c r="R504" s="305"/>
      <c r="S504" s="305"/>
      <c r="T504" s="305"/>
      <c r="U504" s="305"/>
      <c r="V504" s="305"/>
      <c r="W504" s="305"/>
      <c r="X504" s="305"/>
      <c r="Y504" s="305"/>
      <c r="Z504" s="305"/>
      <c r="AA504" s="305"/>
      <c r="AB504" s="305"/>
      <c r="AC504" s="305"/>
      <c r="AD504" s="305"/>
      <c r="AE504" s="305"/>
      <c r="AF504" s="305"/>
      <c r="AG504" s="305"/>
      <c r="AH504" s="305"/>
      <c r="AI504" s="305"/>
      <c r="AJ504" s="305"/>
      <c r="AK504" s="305"/>
      <c r="AL504" s="305"/>
      <c r="AM504" s="305"/>
      <c r="AN504" s="305"/>
      <c r="AO504" s="305"/>
      <c r="AP504" s="305"/>
      <c r="AQ504" s="305"/>
      <c r="AR504" s="305"/>
      <c r="AS504" s="305"/>
      <c r="AT504" s="305"/>
      <c r="AU504" s="305"/>
      <c r="AV504" s="305"/>
      <c r="AW504" s="305"/>
      <c r="AX504" s="305"/>
      <c r="AY504" s="305"/>
      <c r="AZ504" s="305"/>
      <c r="BA504" s="305"/>
      <c r="BB504" s="305"/>
      <c r="BC504" s="305"/>
      <c r="BD504" s="305"/>
      <c r="BE504" s="305"/>
      <c r="BF504" s="305"/>
      <c r="BG504" s="305"/>
      <c r="BH504" s="305"/>
      <c r="BI504" s="305"/>
      <c r="BJ504" s="305"/>
      <c r="BK504" s="305"/>
      <c r="BL504" s="305"/>
      <c r="BM504" s="305"/>
      <c r="BN504" s="305"/>
      <c r="BO504" s="305"/>
      <c r="BP504" s="305"/>
      <c r="BQ504" s="305"/>
      <c r="BR504" s="305"/>
      <c r="BS504" s="305"/>
      <c r="BT504" s="305"/>
      <c r="BU504" s="305"/>
      <c r="BV504" s="305"/>
      <c r="BW504" s="305"/>
      <c r="BX504" s="305"/>
      <c r="BY504" s="305"/>
      <c r="BZ504" s="305"/>
      <c r="CA504" s="305"/>
      <c r="CB504" s="305"/>
      <c r="CC504" s="305"/>
      <c r="CD504" s="305"/>
      <c r="CE504" s="305"/>
      <c r="CF504" s="305"/>
      <c r="CG504" s="305"/>
      <c r="CH504" s="305"/>
      <c r="CI504" s="305"/>
      <c r="CJ504" s="305"/>
      <c r="CK504" s="305"/>
      <c r="CL504" s="305"/>
      <c r="CM504" s="305"/>
      <c r="CN504" s="305"/>
      <c r="CO504" s="305"/>
      <c r="CP504" s="305"/>
      <c r="CQ504" s="305"/>
      <c r="CR504" s="305"/>
      <c r="CS504" s="305"/>
      <c r="CT504" s="305"/>
      <c r="CU504" s="305"/>
      <c r="CV504" s="305"/>
      <c r="CW504" s="305"/>
      <c r="CX504" s="305"/>
      <c r="CY504" s="305"/>
      <c r="CZ504" s="305"/>
      <c r="DA504" s="305"/>
      <c r="DB504" s="305"/>
      <c r="DC504" s="305"/>
      <c r="DD504" s="305"/>
      <c r="DE504" s="305"/>
      <c r="DF504" s="305"/>
      <c r="DG504" s="305"/>
      <c r="DH504" s="305"/>
      <c r="DI504" s="305"/>
      <c r="DJ504" s="305"/>
      <c r="DK504" s="305"/>
      <c r="DL504" s="305"/>
      <c r="DM504" s="305"/>
      <c r="DN504" s="305"/>
      <c r="DO504" s="305"/>
      <c r="DP504" s="305"/>
      <c r="DQ504" s="305"/>
      <c r="DR504" s="305"/>
      <c r="DS504" s="305"/>
      <c r="DT504" s="305"/>
      <c r="DU504" s="305"/>
      <c r="DV504" s="305"/>
      <c r="DW504" s="305"/>
      <c r="DX504" s="305"/>
      <c r="DY504" s="305"/>
      <c r="DZ504" s="305"/>
      <c r="EA504" s="305"/>
      <c r="EB504" s="305"/>
      <c r="EC504" s="305"/>
      <c r="ED504" s="305"/>
      <c r="EE504" s="305"/>
      <c r="EF504" s="305"/>
      <c r="EG504" s="305"/>
      <c r="EH504" s="305"/>
      <c r="EI504" s="305"/>
      <c r="EJ504" s="305"/>
      <c r="EK504" s="305"/>
      <c r="EL504" s="305"/>
      <c r="EM504" s="305"/>
      <c r="EN504" s="305"/>
      <c r="EO504" s="305"/>
      <c r="EP504" s="305"/>
      <c r="EQ504" s="305"/>
      <c r="ER504" s="305"/>
      <c r="ES504" s="305"/>
      <c r="ET504" s="305"/>
      <c r="EU504" s="305"/>
      <c r="EV504" s="305"/>
      <c r="EW504" s="305"/>
      <c r="EX504" s="305"/>
      <c r="EY504" s="305"/>
      <c r="EZ504" s="305"/>
      <c r="FA504" s="305"/>
      <c r="FB504" s="305"/>
      <c r="FC504" s="305"/>
      <c r="FD504" s="305"/>
      <c r="FE504" s="305"/>
      <c r="FF504" s="305"/>
      <c r="FG504" s="305"/>
      <c r="FH504" s="305"/>
      <c r="FI504" s="305"/>
      <c r="FJ504" s="305"/>
      <c r="FK504" s="305"/>
      <c r="FL504" s="305"/>
      <c r="FM504" s="305"/>
      <c r="FN504" s="305"/>
      <c r="FO504" s="305"/>
      <c r="FP504" s="305"/>
      <c r="FQ504" s="305"/>
      <c r="FR504" s="305"/>
      <c r="FS504" s="305"/>
      <c r="FT504" s="305"/>
      <c r="FU504" s="305"/>
      <c r="FV504" s="305"/>
      <c r="FW504" s="305"/>
      <c r="FX504" s="305"/>
      <c r="FY504" s="305"/>
      <c r="FZ504" s="305"/>
      <c r="GA504" s="305"/>
      <c r="GB504" s="305"/>
      <c r="GC504" s="305"/>
      <c r="GD504" s="305"/>
      <c r="GE504" s="305"/>
      <c r="GF504" s="305"/>
      <c r="GG504" s="305"/>
      <c r="GH504" s="305"/>
      <c r="GI504" s="305"/>
      <c r="GJ504" s="305"/>
      <c r="GK504" s="305"/>
      <c r="GL504" s="305"/>
      <c r="GM504" s="305"/>
      <c r="GN504" s="305"/>
      <c r="GO504" s="305"/>
      <c r="GP504" s="305"/>
      <c r="GQ504" s="305"/>
      <c r="GR504" s="305"/>
    </row>
    <row r="505" spans="3:200" s="318" customFormat="1" ht="12.75" customHeight="1" x14ac:dyDescent="0.2">
      <c r="C505" s="367"/>
      <c r="D505" s="403"/>
      <c r="E505" s="369"/>
      <c r="F505" s="369"/>
      <c r="G505" s="369"/>
      <c r="H505" s="369"/>
      <c r="I505" s="370"/>
      <c r="J505"/>
      <c r="K505" s="371"/>
      <c r="L505" s="371"/>
      <c r="M505" s="371"/>
      <c r="N505" s="371"/>
      <c r="O505" s="305"/>
      <c r="P505" s="305"/>
      <c r="Q505" s="305"/>
      <c r="R505" s="305"/>
      <c r="S505" s="305"/>
      <c r="T505" s="305"/>
      <c r="U505" s="305"/>
      <c r="V505" s="305"/>
      <c r="W505" s="305"/>
      <c r="X505" s="305"/>
      <c r="Y505" s="305"/>
      <c r="Z505" s="305"/>
      <c r="AA505" s="305"/>
      <c r="AB505" s="305"/>
      <c r="AC505" s="305"/>
      <c r="AD505" s="305"/>
      <c r="AE505" s="305"/>
      <c r="AF505" s="305"/>
      <c r="AG505" s="305"/>
      <c r="AH505" s="305"/>
      <c r="AI505" s="305"/>
      <c r="AJ505" s="305"/>
      <c r="AK505" s="305"/>
      <c r="AL505" s="305"/>
      <c r="AM505" s="305"/>
      <c r="AN505" s="305"/>
      <c r="AO505" s="305"/>
      <c r="AP505" s="305"/>
      <c r="AQ505" s="305"/>
      <c r="AR505" s="305"/>
      <c r="AS505" s="305"/>
      <c r="AT505" s="305"/>
      <c r="AU505" s="305"/>
      <c r="AV505" s="305"/>
      <c r="AW505" s="305"/>
      <c r="AX505" s="305"/>
      <c r="AY505" s="305"/>
      <c r="AZ505" s="305"/>
      <c r="BA505" s="305"/>
      <c r="BB505" s="305"/>
      <c r="BC505" s="305"/>
      <c r="BD505" s="305"/>
      <c r="BE505" s="305"/>
      <c r="BF505" s="305"/>
      <c r="BG505" s="305"/>
      <c r="BH505" s="305"/>
      <c r="BI505" s="305"/>
      <c r="BJ505" s="305"/>
      <c r="BK505" s="305"/>
      <c r="BL505" s="305"/>
      <c r="BM505" s="305"/>
      <c r="BN505" s="305"/>
      <c r="BO505" s="305"/>
      <c r="BP505" s="305"/>
      <c r="BQ505" s="305"/>
      <c r="BR505" s="305"/>
      <c r="BS505" s="305"/>
      <c r="BT505" s="305"/>
      <c r="BU505" s="305"/>
      <c r="BV505" s="305"/>
      <c r="BW505" s="305"/>
      <c r="BX505" s="305"/>
      <c r="BY505" s="305"/>
      <c r="BZ505" s="305"/>
      <c r="CA505" s="305"/>
      <c r="CB505" s="305"/>
      <c r="CC505" s="305"/>
      <c r="CD505" s="305"/>
      <c r="CE505" s="305"/>
      <c r="CF505" s="305"/>
      <c r="CG505" s="305"/>
      <c r="CH505" s="305"/>
      <c r="CI505" s="305"/>
      <c r="CJ505" s="305"/>
      <c r="CK505" s="305"/>
      <c r="CL505" s="305"/>
      <c r="CM505" s="305"/>
      <c r="CN505" s="305"/>
      <c r="CO505" s="305"/>
      <c r="CP505" s="305"/>
      <c r="CQ505" s="305"/>
      <c r="CR505" s="305"/>
      <c r="CS505" s="305"/>
      <c r="CT505" s="305"/>
      <c r="CU505" s="305"/>
      <c r="CV505" s="305"/>
      <c r="CW505" s="305"/>
      <c r="CX505" s="305"/>
      <c r="CY505" s="305"/>
      <c r="CZ505" s="305"/>
      <c r="DA505" s="305"/>
      <c r="DB505" s="305"/>
      <c r="DC505" s="305"/>
      <c r="DD505" s="305"/>
      <c r="DE505" s="305"/>
      <c r="DF505" s="305"/>
      <c r="DG505" s="305"/>
      <c r="DH505" s="305"/>
      <c r="DI505" s="305"/>
      <c r="DJ505" s="305"/>
      <c r="DK505" s="305"/>
      <c r="DL505" s="305"/>
      <c r="DM505" s="305"/>
      <c r="DN505" s="305"/>
      <c r="DO505" s="305"/>
      <c r="DP505" s="305"/>
      <c r="DQ505" s="305"/>
      <c r="DR505" s="305"/>
      <c r="DS505" s="305"/>
      <c r="DT505" s="305"/>
      <c r="DU505" s="305"/>
      <c r="DV505" s="305"/>
      <c r="DW505" s="305"/>
      <c r="DX505" s="305"/>
      <c r="DY505" s="305"/>
      <c r="DZ505" s="305"/>
      <c r="EA505" s="305"/>
      <c r="EB505" s="305"/>
      <c r="EC505" s="305"/>
      <c r="ED505" s="305"/>
      <c r="EE505" s="305"/>
      <c r="EF505" s="305"/>
      <c r="EG505" s="305"/>
      <c r="EH505" s="305"/>
      <c r="EI505" s="305"/>
      <c r="EJ505" s="305"/>
      <c r="EK505" s="305"/>
      <c r="EL505" s="305"/>
      <c r="EM505" s="305"/>
      <c r="EN505" s="305"/>
      <c r="EO505" s="305"/>
      <c r="EP505" s="305"/>
      <c r="EQ505" s="305"/>
      <c r="ER505" s="305"/>
      <c r="ES505" s="305"/>
      <c r="ET505" s="305"/>
      <c r="EU505" s="305"/>
      <c r="EV505" s="305"/>
      <c r="EW505" s="305"/>
      <c r="EX505" s="305"/>
      <c r="EY505" s="305"/>
      <c r="EZ505" s="305"/>
      <c r="FA505" s="305"/>
      <c r="FB505" s="305"/>
      <c r="FC505" s="305"/>
      <c r="FD505" s="305"/>
      <c r="FE505" s="305"/>
      <c r="FF505" s="305"/>
      <c r="FG505" s="305"/>
      <c r="FH505" s="305"/>
      <c r="FI505" s="305"/>
      <c r="FJ505" s="305"/>
      <c r="FK505" s="305"/>
      <c r="FL505" s="305"/>
      <c r="FM505" s="305"/>
      <c r="FN505" s="305"/>
      <c r="FO505" s="305"/>
      <c r="FP505" s="305"/>
      <c r="FQ505" s="305"/>
      <c r="FR505" s="305"/>
      <c r="FS505" s="305"/>
      <c r="FT505" s="305"/>
      <c r="FU505" s="305"/>
      <c r="FV505" s="305"/>
      <c r="FW505" s="305"/>
      <c r="FX505" s="305"/>
      <c r="FY505" s="305"/>
      <c r="FZ505" s="305"/>
      <c r="GA505" s="305"/>
      <c r="GB505" s="305"/>
      <c r="GC505" s="305"/>
      <c r="GD505" s="305"/>
      <c r="GE505" s="305"/>
      <c r="GF505" s="305"/>
      <c r="GG505" s="305"/>
      <c r="GH505" s="305"/>
      <c r="GI505" s="305"/>
      <c r="GJ505" s="305"/>
      <c r="GK505" s="305"/>
      <c r="GL505" s="305"/>
      <c r="GM505" s="305"/>
      <c r="GN505" s="305"/>
      <c r="GO505" s="305"/>
      <c r="GP505" s="305"/>
      <c r="GQ505" s="305"/>
      <c r="GR505" s="305"/>
    </row>
    <row r="506" spans="3:200" s="318" customFormat="1" ht="12.75" customHeight="1" x14ac:dyDescent="0.2">
      <c r="C506" s="367"/>
      <c r="D506" s="403"/>
      <c r="E506" s="369"/>
      <c r="F506" s="369"/>
      <c r="G506" s="369"/>
      <c r="H506" s="369"/>
      <c r="I506" s="370"/>
      <c r="J506"/>
      <c r="K506" s="371"/>
      <c r="L506" s="371"/>
      <c r="M506" s="371"/>
      <c r="N506" s="371"/>
      <c r="O506" s="305"/>
      <c r="P506" s="305"/>
      <c r="Q506" s="305"/>
      <c r="R506" s="305"/>
      <c r="S506" s="305"/>
      <c r="T506" s="305"/>
      <c r="U506" s="305"/>
      <c r="V506" s="305"/>
      <c r="W506" s="305"/>
      <c r="X506" s="305"/>
      <c r="Y506" s="305"/>
      <c r="Z506" s="305"/>
      <c r="AA506" s="305"/>
      <c r="AB506" s="305"/>
      <c r="AC506" s="305"/>
      <c r="AD506" s="305"/>
      <c r="AE506" s="305"/>
      <c r="AF506" s="305"/>
      <c r="AG506" s="305"/>
      <c r="AH506" s="305"/>
      <c r="AI506" s="305"/>
      <c r="AJ506" s="305"/>
      <c r="AK506" s="305"/>
      <c r="AL506" s="305"/>
      <c r="AM506" s="305"/>
      <c r="AN506" s="305"/>
      <c r="AO506" s="305"/>
      <c r="AP506" s="305"/>
      <c r="AQ506" s="305"/>
      <c r="AR506" s="305"/>
      <c r="AS506" s="305"/>
      <c r="AT506" s="305"/>
      <c r="AU506" s="305"/>
      <c r="AV506" s="305"/>
      <c r="AW506" s="305"/>
      <c r="AX506" s="305"/>
      <c r="AY506" s="305"/>
      <c r="AZ506" s="305"/>
      <c r="BA506" s="305"/>
      <c r="BB506" s="305"/>
      <c r="BC506" s="305"/>
      <c r="BD506" s="305"/>
      <c r="BE506" s="305"/>
      <c r="BF506" s="305"/>
      <c r="BG506" s="305"/>
      <c r="BH506" s="305"/>
      <c r="BI506" s="305"/>
      <c r="BJ506" s="305"/>
      <c r="BK506" s="305"/>
      <c r="BL506" s="305"/>
      <c r="BM506" s="305"/>
      <c r="BN506" s="305"/>
      <c r="BO506" s="305"/>
      <c r="BP506" s="305"/>
      <c r="BQ506" s="305"/>
      <c r="BR506" s="305"/>
      <c r="BS506" s="305"/>
      <c r="BT506" s="305"/>
      <c r="BU506" s="305"/>
      <c r="BV506" s="305"/>
      <c r="BW506" s="305"/>
      <c r="BX506" s="305"/>
      <c r="BY506" s="305"/>
      <c r="BZ506" s="305"/>
      <c r="CA506" s="305"/>
      <c r="CB506" s="305"/>
      <c r="CC506" s="305"/>
      <c r="CD506" s="305"/>
      <c r="CE506" s="305"/>
      <c r="CF506" s="305"/>
      <c r="CG506" s="305"/>
      <c r="CH506" s="305"/>
      <c r="CI506" s="305"/>
      <c r="CJ506" s="305"/>
      <c r="CK506" s="305"/>
      <c r="CL506" s="305"/>
      <c r="CM506" s="305"/>
      <c r="CN506" s="305"/>
      <c r="CO506" s="305"/>
      <c r="CP506" s="305"/>
      <c r="CQ506" s="305"/>
      <c r="CR506" s="305"/>
      <c r="CS506" s="305"/>
      <c r="CT506" s="305"/>
      <c r="CU506" s="305"/>
      <c r="CV506" s="305"/>
      <c r="CW506" s="305"/>
      <c r="CX506" s="305"/>
      <c r="CY506" s="305"/>
      <c r="CZ506" s="305"/>
      <c r="DA506" s="305"/>
      <c r="DB506" s="305"/>
      <c r="DC506" s="305"/>
      <c r="DD506" s="305"/>
      <c r="DE506" s="305"/>
      <c r="DF506" s="305"/>
      <c r="DG506" s="305"/>
      <c r="DH506" s="305"/>
      <c r="DI506" s="305"/>
      <c r="DJ506" s="305"/>
      <c r="DK506" s="305"/>
      <c r="DL506" s="305"/>
      <c r="DM506" s="305"/>
      <c r="DN506" s="305"/>
      <c r="DO506" s="305"/>
      <c r="DP506" s="305"/>
      <c r="DQ506" s="305"/>
      <c r="DR506" s="305"/>
      <c r="DS506" s="305"/>
      <c r="DT506" s="305"/>
      <c r="DU506" s="305"/>
      <c r="DV506" s="305"/>
      <c r="DW506" s="305"/>
      <c r="DX506" s="305"/>
      <c r="DY506" s="305"/>
      <c r="DZ506" s="305"/>
      <c r="EA506" s="305"/>
      <c r="EB506" s="305"/>
      <c r="EC506" s="305"/>
      <c r="ED506" s="305"/>
      <c r="EE506" s="305"/>
      <c r="EF506" s="305"/>
      <c r="EG506" s="305"/>
      <c r="EH506" s="305"/>
      <c r="EI506" s="305"/>
      <c r="EJ506" s="305"/>
      <c r="EK506" s="305"/>
      <c r="EL506" s="305"/>
      <c r="EM506" s="305"/>
      <c r="EN506" s="305"/>
      <c r="EO506" s="305"/>
      <c r="EP506" s="305"/>
      <c r="EQ506" s="305"/>
      <c r="ER506" s="305"/>
      <c r="ES506" s="305"/>
      <c r="ET506" s="305"/>
      <c r="EU506" s="305"/>
      <c r="EV506" s="305"/>
      <c r="EW506" s="305"/>
      <c r="EX506" s="305"/>
      <c r="EY506" s="305"/>
      <c r="EZ506" s="305"/>
      <c r="FA506" s="305"/>
      <c r="FB506" s="305"/>
      <c r="FC506" s="305"/>
      <c r="FD506" s="305"/>
      <c r="FE506" s="305"/>
      <c r="FF506" s="305"/>
      <c r="FG506" s="305"/>
      <c r="FH506" s="305"/>
      <c r="FI506" s="305"/>
      <c r="FJ506" s="305"/>
      <c r="FK506" s="305"/>
      <c r="FL506" s="305"/>
      <c r="FM506" s="305"/>
      <c r="FN506" s="305"/>
      <c r="FO506" s="305"/>
      <c r="FP506" s="305"/>
      <c r="FQ506" s="305"/>
      <c r="FR506" s="305"/>
      <c r="FS506" s="305"/>
      <c r="FT506" s="305"/>
      <c r="FU506" s="305"/>
      <c r="FV506" s="305"/>
      <c r="FW506" s="305"/>
      <c r="FX506" s="305"/>
      <c r="FY506" s="305"/>
      <c r="FZ506" s="305"/>
      <c r="GA506" s="305"/>
      <c r="GB506" s="305"/>
      <c r="GC506" s="305"/>
      <c r="GD506" s="305"/>
      <c r="GE506" s="305"/>
      <c r="GF506" s="305"/>
      <c r="GG506" s="305"/>
      <c r="GH506" s="305"/>
      <c r="GI506" s="305"/>
      <c r="GJ506" s="305"/>
      <c r="GK506" s="305"/>
      <c r="GL506" s="305"/>
      <c r="GM506" s="305"/>
      <c r="GN506" s="305"/>
      <c r="GO506" s="305"/>
      <c r="GP506" s="305"/>
      <c r="GQ506" s="305"/>
      <c r="GR506" s="305"/>
    </row>
    <row r="507" spans="3:200" s="318" customFormat="1" ht="12.75" customHeight="1" x14ac:dyDescent="0.2">
      <c r="C507" s="367"/>
      <c r="D507" s="403"/>
      <c r="E507" s="369"/>
      <c r="F507" s="369"/>
      <c r="G507" s="369"/>
      <c r="H507" s="369"/>
      <c r="I507" s="370"/>
      <c r="J507"/>
      <c r="K507" s="371"/>
      <c r="L507" s="371"/>
      <c r="M507" s="371"/>
      <c r="N507" s="371"/>
      <c r="O507" s="305"/>
      <c r="P507" s="305"/>
      <c r="Q507" s="305"/>
      <c r="R507" s="305"/>
      <c r="S507" s="305"/>
      <c r="T507" s="305"/>
      <c r="U507" s="305"/>
      <c r="V507" s="305"/>
      <c r="W507" s="305"/>
      <c r="X507" s="305"/>
      <c r="Y507" s="305"/>
      <c r="Z507" s="305"/>
      <c r="AA507" s="305"/>
      <c r="AB507" s="305"/>
      <c r="AC507" s="305"/>
      <c r="AD507" s="305"/>
      <c r="AE507" s="305"/>
      <c r="AF507" s="305"/>
      <c r="AG507" s="305"/>
      <c r="AH507" s="305"/>
      <c r="AI507" s="305"/>
      <c r="AJ507" s="305"/>
      <c r="AK507" s="305"/>
      <c r="AL507" s="305"/>
      <c r="AM507" s="305"/>
      <c r="AN507" s="305"/>
      <c r="AO507" s="305"/>
      <c r="AP507" s="305"/>
      <c r="AQ507" s="305"/>
      <c r="AR507" s="305"/>
      <c r="AS507" s="305"/>
      <c r="AT507" s="305"/>
      <c r="AU507" s="305"/>
      <c r="AV507" s="305"/>
      <c r="AW507" s="305"/>
      <c r="AX507" s="305"/>
      <c r="AY507" s="305"/>
      <c r="AZ507" s="305"/>
      <c r="BA507" s="305"/>
      <c r="BB507" s="305"/>
      <c r="BC507" s="305"/>
      <c r="BD507" s="305"/>
      <c r="BE507" s="305"/>
      <c r="BF507" s="305"/>
      <c r="BG507" s="305"/>
      <c r="BH507" s="305"/>
      <c r="BI507" s="305"/>
      <c r="BJ507" s="305"/>
      <c r="BK507" s="305"/>
      <c r="BL507" s="305"/>
      <c r="BM507" s="305"/>
      <c r="BN507" s="305"/>
      <c r="BO507" s="305"/>
      <c r="BP507" s="305"/>
      <c r="BQ507" s="305"/>
      <c r="BR507" s="305"/>
      <c r="BS507" s="305"/>
      <c r="BT507" s="305"/>
      <c r="BU507" s="305"/>
      <c r="BV507" s="305"/>
      <c r="BW507" s="305"/>
      <c r="BX507" s="305"/>
      <c r="BY507" s="305"/>
      <c r="BZ507" s="305"/>
      <c r="CA507" s="305"/>
      <c r="CB507" s="305"/>
      <c r="CC507" s="305"/>
      <c r="CD507" s="305"/>
      <c r="CE507" s="305"/>
      <c r="CF507" s="305"/>
      <c r="CG507" s="305"/>
      <c r="CH507" s="305"/>
      <c r="CI507" s="305"/>
      <c r="CJ507" s="305"/>
      <c r="CK507" s="305"/>
      <c r="CL507" s="305"/>
      <c r="CM507" s="305"/>
      <c r="CN507" s="305"/>
      <c r="CO507" s="305"/>
      <c r="CP507" s="305"/>
      <c r="CQ507" s="305"/>
      <c r="CR507" s="305"/>
      <c r="CS507" s="305"/>
      <c r="CT507" s="305"/>
      <c r="CU507" s="305"/>
      <c r="CV507" s="305"/>
      <c r="CW507" s="305"/>
      <c r="CX507" s="305"/>
      <c r="CY507" s="305"/>
      <c r="CZ507" s="305"/>
      <c r="DA507" s="305"/>
      <c r="DB507" s="305"/>
      <c r="DC507" s="305"/>
      <c r="DD507" s="305"/>
      <c r="DE507" s="305"/>
      <c r="DF507" s="305"/>
      <c r="DG507" s="305"/>
      <c r="DH507" s="305"/>
      <c r="DI507" s="305"/>
      <c r="DJ507" s="305"/>
      <c r="DK507" s="305"/>
      <c r="DL507" s="305"/>
      <c r="DM507" s="305"/>
      <c r="DN507" s="305"/>
      <c r="DO507" s="305"/>
      <c r="DP507" s="305"/>
      <c r="DQ507" s="305"/>
      <c r="DR507" s="305"/>
      <c r="DS507" s="305"/>
      <c r="DT507" s="305"/>
      <c r="DU507" s="305"/>
      <c r="DV507" s="305"/>
      <c r="DW507" s="305"/>
      <c r="DX507" s="305"/>
      <c r="DY507" s="305"/>
      <c r="DZ507" s="305"/>
      <c r="EA507" s="305"/>
      <c r="EB507" s="305"/>
      <c r="EC507" s="305"/>
      <c r="ED507" s="305"/>
      <c r="EE507" s="305"/>
      <c r="EF507" s="305"/>
      <c r="EG507" s="305"/>
      <c r="EH507" s="305"/>
      <c r="EI507" s="305"/>
      <c r="EJ507" s="305"/>
      <c r="EK507" s="305"/>
      <c r="EL507" s="305"/>
      <c r="EM507" s="305"/>
      <c r="EN507" s="305"/>
      <c r="EO507" s="305"/>
      <c r="EP507" s="305"/>
      <c r="EQ507" s="305"/>
      <c r="ER507" s="305"/>
      <c r="ES507" s="305"/>
      <c r="ET507" s="305"/>
      <c r="EU507" s="305"/>
      <c r="EV507" s="305"/>
      <c r="EW507" s="305"/>
      <c r="EX507" s="305"/>
      <c r="EY507" s="305"/>
      <c r="EZ507" s="305"/>
      <c r="FA507" s="305"/>
      <c r="FB507" s="305"/>
      <c r="FC507" s="305"/>
      <c r="FD507" s="305"/>
      <c r="FE507" s="305"/>
      <c r="FF507" s="305"/>
      <c r="FG507" s="305"/>
      <c r="FH507" s="305"/>
      <c r="FI507" s="305"/>
      <c r="FJ507" s="305"/>
      <c r="FK507" s="305"/>
      <c r="FL507" s="305"/>
      <c r="FM507" s="305"/>
      <c r="FN507" s="305"/>
      <c r="FO507" s="305"/>
      <c r="FP507" s="305"/>
      <c r="FQ507" s="305"/>
      <c r="FR507" s="305"/>
      <c r="FS507" s="305"/>
      <c r="FT507" s="305"/>
      <c r="FU507" s="305"/>
      <c r="FV507" s="305"/>
      <c r="FW507" s="305"/>
      <c r="FX507" s="305"/>
      <c r="FY507" s="305"/>
      <c r="FZ507" s="305"/>
      <c r="GA507" s="305"/>
      <c r="GB507" s="305"/>
      <c r="GC507" s="305"/>
      <c r="GD507" s="305"/>
      <c r="GE507" s="305"/>
      <c r="GF507" s="305"/>
      <c r="GG507" s="305"/>
      <c r="GH507" s="305"/>
      <c r="GI507" s="305"/>
      <c r="GJ507" s="305"/>
      <c r="GK507" s="305"/>
      <c r="GL507" s="305"/>
      <c r="GM507" s="305"/>
      <c r="GN507" s="305"/>
      <c r="GO507" s="305"/>
      <c r="GP507" s="305"/>
      <c r="GQ507" s="305"/>
      <c r="GR507" s="305"/>
    </row>
    <row r="508" spans="3:200" s="318" customFormat="1" ht="12.75" customHeight="1" x14ac:dyDescent="0.2">
      <c r="C508" s="367"/>
      <c r="D508" s="403"/>
      <c r="E508" s="369"/>
      <c r="F508" s="369"/>
      <c r="G508" s="369"/>
      <c r="H508" s="369"/>
      <c r="I508" s="370"/>
      <c r="J508"/>
      <c r="K508" s="371"/>
      <c r="L508" s="371"/>
      <c r="M508" s="371"/>
      <c r="N508" s="371"/>
      <c r="O508" s="305"/>
      <c r="P508" s="305"/>
      <c r="Q508" s="305"/>
      <c r="R508" s="305"/>
      <c r="S508" s="305"/>
      <c r="T508" s="305"/>
      <c r="U508" s="305"/>
      <c r="V508" s="305"/>
      <c r="W508" s="305"/>
      <c r="X508" s="305"/>
      <c r="Y508" s="305"/>
      <c r="Z508" s="305"/>
      <c r="AA508" s="305"/>
      <c r="AB508" s="305"/>
      <c r="AC508" s="305"/>
      <c r="AD508" s="305"/>
      <c r="AE508" s="305"/>
      <c r="AF508" s="305"/>
      <c r="AG508" s="305"/>
      <c r="AH508" s="305"/>
      <c r="AI508" s="305"/>
      <c r="AJ508" s="305"/>
      <c r="AK508" s="305"/>
      <c r="AL508" s="305"/>
      <c r="AM508" s="305"/>
      <c r="AN508" s="305"/>
      <c r="AO508" s="305"/>
      <c r="AP508" s="305"/>
      <c r="AQ508" s="305"/>
      <c r="AR508" s="305"/>
      <c r="AS508" s="305"/>
      <c r="AT508" s="305"/>
      <c r="AU508" s="305"/>
      <c r="AV508" s="305"/>
      <c r="AW508" s="305"/>
      <c r="AX508" s="305"/>
      <c r="AY508" s="305"/>
      <c r="AZ508" s="305"/>
      <c r="BA508" s="305"/>
      <c r="BB508" s="305"/>
      <c r="BC508" s="305"/>
      <c r="BD508" s="305"/>
      <c r="BE508" s="305"/>
      <c r="BF508" s="305"/>
      <c r="BG508" s="305"/>
      <c r="BH508" s="305"/>
      <c r="BI508" s="305"/>
      <c r="BJ508" s="305"/>
      <c r="BK508" s="305"/>
      <c r="BL508" s="305"/>
      <c r="BM508" s="305"/>
      <c r="BN508" s="305"/>
      <c r="BO508" s="305"/>
      <c r="BP508" s="305"/>
      <c r="BQ508" s="305"/>
      <c r="BR508" s="305"/>
      <c r="BS508" s="305"/>
      <c r="BT508" s="305"/>
      <c r="BU508" s="305"/>
      <c r="BV508" s="305"/>
      <c r="BW508" s="305"/>
      <c r="BX508" s="305"/>
      <c r="BY508" s="305"/>
      <c r="BZ508" s="305"/>
      <c r="CA508" s="305"/>
      <c r="CB508" s="305"/>
      <c r="CC508" s="305"/>
      <c r="CD508" s="305"/>
      <c r="CE508" s="305"/>
      <c r="CF508" s="305"/>
      <c r="CG508" s="305"/>
      <c r="CH508" s="305"/>
      <c r="CI508" s="305"/>
      <c r="CJ508" s="305"/>
      <c r="CK508" s="305"/>
      <c r="CL508" s="305"/>
      <c r="CM508" s="305"/>
      <c r="CN508" s="305"/>
      <c r="CO508" s="305"/>
      <c r="CP508" s="305"/>
      <c r="CQ508" s="305"/>
      <c r="CR508" s="305"/>
      <c r="CS508" s="305"/>
      <c r="CT508" s="305"/>
      <c r="CU508" s="305"/>
      <c r="CV508" s="305"/>
      <c r="CW508" s="305"/>
      <c r="CX508" s="305"/>
      <c r="CY508" s="305"/>
      <c r="CZ508" s="305"/>
      <c r="DA508" s="305"/>
      <c r="DB508" s="305"/>
      <c r="DC508" s="305"/>
      <c r="DD508" s="305"/>
      <c r="DE508" s="305"/>
      <c r="DF508" s="305"/>
      <c r="DG508" s="305"/>
      <c r="DH508" s="305"/>
      <c r="DI508" s="305"/>
      <c r="DJ508" s="305"/>
      <c r="DK508" s="305"/>
      <c r="DL508" s="305"/>
      <c r="DM508" s="305"/>
      <c r="DN508" s="305"/>
      <c r="DO508" s="305"/>
      <c r="DP508" s="305"/>
      <c r="DQ508" s="305"/>
      <c r="DR508" s="305"/>
      <c r="DS508" s="305"/>
      <c r="DT508" s="305"/>
      <c r="DU508" s="305"/>
      <c r="DV508" s="305"/>
      <c r="DW508" s="305"/>
      <c r="DX508" s="305"/>
      <c r="DY508" s="305"/>
      <c r="DZ508" s="305"/>
      <c r="EA508" s="305"/>
      <c r="EB508" s="305"/>
      <c r="EC508" s="305"/>
      <c r="ED508" s="305"/>
      <c r="EE508" s="305"/>
      <c r="EF508" s="305"/>
      <c r="EG508" s="305"/>
      <c r="EH508" s="305"/>
      <c r="EI508" s="305"/>
      <c r="EJ508" s="305"/>
      <c r="EK508" s="305"/>
      <c r="EL508" s="305"/>
      <c r="EM508" s="305"/>
      <c r="EN508" s="305"/>
      <c r="EO508" s="305"/>
      <c r="EP508" s="305"/>
      <c r="EQ508" s="305"/>
      <c r="ER508" s="305"/>
      <c r="ES508" s="305"/>
      <c r="ET508" s="305"/>
      <c r="EU508" s="305"/>
      <c r="EV508" s="305"/>
      <c r="EW508" s="305"/>
      <c r="EX508" s="305"/>
      <c r="EY508" s="305"/>
      <c r="EZ508" s="305"/>
      <c r="FA508" s="305"/>
      <c r="FB508" s="305"/>
      <c r="FC508" s="305"/>
      <c r="FD508" s="305"/>
      <c r="FE508" s="305"/>
      <c r="FF508" s="305"/>
      <c r="FG508" s="305"/>
      <c r="FH508" s="305"/>
      <c r="FI508" s="305"/>
      <c r="FJ508" s="305"/>
      <c r="FK508" s="305"/>
      <c r="FL508" s="305"/>
      <c r="FM508" s="305"/>
      <c r="FN508" s="305"/>
      <c r="FO508" s="305"/>
      <c r="FP508" s="305"/>
      <c r="FQ508" s="305"/>
      <c r="FR508" s="305"/>
      <c r="FS508" s="305"/>
      <c r="FT508" s="305"/>
      <c r="FU508" s="305"/>
      <c r="FV508" s="305"/>
      <c r="FW508" s="305"/>
      <c r="FX508" s="305"/>
      <c r="FY508" s="305"/>
      <c r="FZ508" s="305"/>
      <c r="GA508" s="305"/>
      <c r="GB508" s="305"/>
      <c r="GC508" s="305"/>
      <c r="GD508" s="305"/>
      <c r="GE508" s="305"/>
      <c r="GF508" s="305"/>
      <c r="GG508" s="305"/>
      <c r="GH508" s="305"/>
      <c r="GI508" s="305"/>
      <c r="GJ508" s="305"/>
      <c r="GK508" s="305"/>
      <c r="GL508" s="305"/>
      <c r="GM508" s="305"/>
      <c r="GN508" s="305"/>
      <c r="GO508" s="305"/>
      <c r="GP508" s="305"/>
      <c r="GQ508" s="305"/>
      <c r="GR508" s="305"/>
    </row>
    <row r="509" spans="3:200" s="318" customFormat="1" ht="12.75" customHeight="1" x14ac:dyDescent="0.2">
      <c r="C509" s="367"/>
      <c r="D509" s="403"/>
      <c r="E509" s="369"/>
      <c r="F509" s="369"/>
      <c r="G509" s="369"/>
      <c r="H509" s="369"/>
      <c r="I509" s="370"/>
      <c r="J509"/>
      <c r="K509" s="371"/>
      <c r="L509" s="371"/>
      <c r="M509" s="371"/>
      <c r="N509" s="371"/>
      <c r="O509" s="305"/>
      <c r="P509" s="305"/>
      <c r="Q509" s="305"/>
      <c r="R509" s="305"/>
      <c r="S509" s="305"/>
      <c r="T509" s="305"/>
      <c r="U509" s="305"/>
      <c r="V509" s="305"/>
      <c r="W509" s="305"/>
      <c r="X509" s="305"/>
      <c r="Y509" s="305"/>
      <c r="Z509" s="305"/>
      <c r="AA509" s="305"/>
      <c r="AB509" s="305"/>
      <c r="AC509" s="305"/>
      <c r="AD509" s="305"/>
      <c r="AE509" s="305"/>
      <c r="AF509" s="305"/>
      <c r="AG509" s="305"/>
      <c r="AH509" s="305"/>
      <c r="AI509" s="305"/>
      <c r="AJ509" s="305"/>
      <c r="AK509" s="305"/>
      <c r="AL509" s="305"/>
      <c r="AM509" s="305"/>
      <c r="AN509" s="305"/>
      <c r="AO509" s="305"/>
      <c r="AP509" s="305"/>
      <c r="AQ509" s="305"/>
      <c r="AR509" s="305"/>
      <c r="AS509" s="305"/>
      <c r="AT509" s="305"/>
      <c r="AU509" s="305"/>
      <c r="AV509" s="305"/>
      <c r="AW509" s="305"/>
      <c r="AX509" s="305"/>
      <c r="AY509" s="305"/>
      <c r="AZ509" s="305"/>
      <c r="BA509" s="305"/>
      <c r="BB509" s="305"/>
      <c r="BC509" s="305"/>
      <c r="BD509" s="305"/>
      <c r="BE509" s="305"/>
      <c r="BF509" s="305"/>
      <c r="BG509" s="305"/>
      <c r="BH509" s="305"/>
      <c r="BI509" s="305"/>
      <c r="BJ509" s="305"/>
      <c r="BK509" s="305"/>
      <c r="BL509" s="305"/>
      <c r="BM509" s="305"/>
      <c r="BN509" s="305"/>
      <c r="BO509" s="305"/>
      <c r="BP509" s="305"/>
      <c r="BQ509" s="305"/>
      <c r="BR509" s="305"/>
      <c r="BS509" s="305"/>
      <c r="BT509" s="305"/>
      <c r="BU509" s="305"/>
      <c r="BV509" s="305"/>
      <c r="BW509" s="305"/>
      <c r="BX509" s="305"/>
      <c r="BY509" s="305"/>
      <c r="BZ509" s="305"/>
      <c r="CA509" s="305"/>
      <c r="CB509" s="305"/>
      <c r="CC509" s="305"/>
      <c r="CD509" s="305"/>
      <c r="CE509" s="305"/>
      <c r="CF509" s="305"/>
      <c r="CG509" s="305"/>
      <c r="CH509" s="305"/>
      <c r="CI509" s="305"/>
      <c r="CJ509" s="305"/>
      <c r="CK509" s="305"/>
      <c r="CL509" s="305"/>
      <c r="CM509" s="305"/>
      <c r="CN509" s="305"/>
      <c r="CO509" s="305"/>
      <c r="CP509" s="305"/>
      <c r="CQ509" s="305"/>
      <c r="CR509" s="305"/>
      <c r="CS509" s="305"/>
      <c r="CT509" s="305"/>
      <c r="CU509" s="305"/>
      <c r="CV509" s="305"/>
      <c r="CW509" s="305"/>
      <c r="CX509" s="305"/>
      <c r="CY509" s="305"/>
      <c r="CZ509" s="305"/>
      <c r="DA509" s="305"/>
      <c r="DB509" s="305"/>
      <c r="DC509" s="305"/>
      <c r="DD509" s="305"/>
      <c r="DE509" s="305"/>
      <c r="DF509" s="305"/>
      <c r="DG509" s="305"/>
      <c r="DH509" s="305"/>
      <c r="DI509" s="305"/>
      <c r="DJ509" s="305"/>
      <c r="DK509" s="305"/>
      <c r="DL509" s="305"/>
      <c r="DM509" s="305"/>
      <c r="DN509" s="305"/>
      <c r="DO509" s="305"/>
      <c r="DP509" s="305"/>
      <c r="DQ509" s="305"/>
      <c r="DR509" s="305"/>
      <c r="DS509" s="305"/>
      <c r="DT509" s="305"/>
      <c r="DU509" s="305"/>
      <c r="DV509" s="305"/>
      <c r="DW509" s="305"/>
      <c r="DX509" s="305"/>
      <c r="DY509" s="305"/>
      <c r="DZ509" s="305"/>
      <c r="EA509" s="305"/>
      <c r="EB509" s="305"/>
      <c r="EC509" s="305"/>
      <c r="ED509" s="305"/>
      <c r="EE509" s="305"/>
      <c r="EF509" s="305"/>
      <c r="EG509" s="305"/>
      <c r="EH509" s="305"/>
      <c r="EI509" s="305"/>
      <c r="EJ509" s="305"/>
      <c r="EK509" s="305"/>
      <c r="EL509" s="305"/>
      <c r="EM509" s="305"/>
      <c r="EN509" s="305"/>
      <c r="EO509" s="305"/>
      <c r="EP509" s="305"/>
      <c r="EQ509" s="305"/>
      <c r="ER509" s="305"/>
      <c r="ES509" s="305"/>
      <c r="ET509" s="305"/>
      <c r="EU509" s="305"/>
      <c r="EV509" s="305"/>
      <c r="EW509" s="305"/>
      <c r="EX509" s="305"/>
      <c r="EY509" s="305"/>
      <c r="EZ509" s="305"/>
      <c r="FA509" s="305"/>
      <c r="FB509" s="305"/>
      <c r="FC509" s="305"/>
      <c r="FD509" s="305"/>
      <c r="FE509" s="305"/>
      <c r="FF509" s="305"/>
      <c r="FG509" s="305"/>
      <c r="FH509" s="305"/>
      <c r="FI509" s="305"/>
      <c r="FJ509" s="305"/>
      <c r="FK509" s="305"/>
      <c r="FL509" s="305"/>
      <c r="FM509" s="305"/>
      <c r="FN509" s="305"/>
      <c r="FO509" s="305"/>
      <c r="FP509" s="305"/>
      <c r="FQ509" s="305"/>
      <c r="FR509" s="305"/>
      <c r="FS509" s="305"/>
      <c r="FT509" s="305"/>
      <c r="FU509" s="305"/>
      <c r="FV509" s="305"/>
      <c r="FW509" s="305"/>
      <c r="FX509" s="305"/>
      <c r="FY509" s="305"/>
      <c r="FZ509" s="305"/>
      <c r="GA509" s="305"/>
      <c r="GB509" s="305"/>
      <c r="GC509" s="305"/>
      <c r="GD509" s="305"/>
      <c r="GE509" s="305"/>
      <c r="GF509" s="305"/>
      <c r="GG509" s="305"/>
      <c r="GH509" s="305"/>
      <c r="GI509" s="305"/>
      <c r="GJ509" s="305"/>
      <c r="GK509" s="305"/>
      <c r="GL509" s="305"/>
      <c r="GM509" s="305"/>
      <c r="GN509" s="305"/>
      <c r="GO509" s="305"/>
      <c r="GP509" s="305"/>
      <c r="GQ509" s="305"/>
      <c r="GR509" s="305"/>
    </row>
    <row r="510" spans="3:200" s="318" customFormat="1" ht="12.75" customHeight="1" x14ac:dyDescent="0.2">
      <c r="C510" s="367"/>
      <c r="D510" s="403"/>
      <c r="E510" s="369"/>
      <c r="F510" s="369"/>
      <c r="G510" s="369"/>
      <c r="H510" s="369"/>
      <c r="I510" s="370"/>
      <c r="J510"/>
      <c r="K510" s="371"/>
      <c r="L510" s="371"/>
      <c r="M510" s="371"/>
      <c r="N510" s="371"/>
      <c r="O510" s="305"/>
      <c r="P510" s="305"/>
      <c r="Q510" s="305"/>
      <c r="R510" s="305"/>
      <c r="S510" s="305"/>
      <c r="T510" s="305"/>
      <c r="U510" s="305"/>
      <c r="V510" s="305"/>
      <c r="W510" s="305"/>
      <c r="X510" s="305"/>
      <c r="Y510" s="305"/>
      <c r="Z510" s="305"/>
      <c r="AA510" s="305"/>
      <c r="AB510" s="305"/>
      <c r="AC510" s="305"/>
      <c r="AD510" s="305"/>
      <c r="AE510" s="305"/>
      <c r="AF510" s="305"/>
      <c r="AG510" s="305"/>
      <c r="AH510" s="305"/>
      <c r="AI510" s="305"/>
      <c r="AJ510" s="305"/>
      <c r="AK510" s="305"/>
      <c r="AL510" s="305"/>
      <c r="AM510" s="305"/>
      <c r="AN510" s="305"/>
      <c r="AO510" s="305"/>
      <c r="AP510" s="305"/>
      <c r="AQ510" s="305"/>
      <c r="AR510" s="305"/>
      <c r="AS510" s="305"/>
      <c r="AT510" s="305"/>
      <c r="AU510" s="305"/>
      <c r="AV510" s="305"/>
      <c r="AW510" s="305"/>
      <c r="AX510" s="305"/>
      <c r="AY510" s="305"/>
      <c r="AZ510" s="305"/>
      <c r="BA510" s="305"/>
      <c r="BB510" s="305"/>
      <c r="BC510" s="305"/>
      <c r="BD510" s="305"/>
      <c r="BE510" s="305"/>
      <c r="BF510" s="305"/>
      <c r="BG510" s="305"/>
      <c r="BH510" s="305"/>
      <c r="BI510" s="305"/>
      <c r="BJ510" s="305"/>
      <c r="BK510" s="305"/>
      <c r="BL510" s="305"/>
      <c r="BM510" s="305"/>
      <c r="BN510" s="305"/>
      <c r="BO510" s="305"/>
      <c r="BP510" s="305"/>
      <c r="BQ510" s="305"/>
      <c r="BR510" s="305"/>
      <c r="BS510" s="305"/>
      <c r="BT510" s="305"/>
      <c r="BU510" s="305"/>
      <c r="BV510" s="305"/>
      <c r="BW510" s="305"/>
      <c r="BX510" s="305"/>
      <c r="BY510" s="305"/>
      <c r="BZ510" s="305"/>
      <c r="CA510" s="305"/>
      <c r="CB510" s="305"/>
      <c r="CC510" s="305"/>
      <c r="CD510" s="305"/>
      <c r="CE510" s="305"/>
      <c r="CF510" s="305"/>
      <c r="CG510" s="305"/>
      <c r="CH510" s="305"/>
      <c r="CI510" s="305"/>
      <c r="CJ510" s="305"/>
      <c r="CK510" s="305"/>
      <c r="CL510" s="305"/>
      <c r="CM510" s="305"/>
      <c r="CN510" s="305"/>
      <c r="CO510" s="305"/>
      <c r="CP510" s="305"/>
      <c r="CQ510" s="305"/>
      <c r="CR510" s="305"/>
      <c r="CS510" s="305"/>
      <c r="CT510" s="305"/>
      <c r="CU510" s="305"/>
      <c r="CV510" s="305"/>
      <c r="CW510" s="305"/>
      <c r="CX510" s="305"/>
      <c r="CY510" s="305"/>
      <c r="CZ510" s="305"/>
      <c r="DA510" s="305"/>
      <c r="DB510" s="305"/>
      <c r="DC510" s="305"/>
      <c r="DD510" s="305"/>
      <c r="DE510" s="305"/>
      <c r="DF510" s="305"/>
      <c r="DG510" s="305"/>
      <c r="DH510" s="305"/>
      <c r="DI510" s="305"/>
      <c r="DJ510" s="305"/>
      <c r="DK510" s="305"/>
      <c r="DL510" s="305"/>
      <c r="DM510" s="305"/>
      <c r="DN510" s="305"/>
      <c r="DO510" s="305"/>
      <c r="DP510" s="305"/>
      <c r="DQ510" s="305"/>
      <c r="DR510" s="305"/>
      <c r="DS510" s="305"/>
      <c r="DT510" s="305"/>
      <c r="DU510" s="305"/>
      <c r="DV510" s="305"/>
      <c r="DW510" s="305"/>
      <c r="DX510" s="305"/>
      <c r="DY510" s="305"/>
      <c r="DZ510" s="305"/>
      <c r="EA510" s="305"/>
      <c r="EB510" s="305"/>
      <c r="EC510" s="305"/>
      <c r="ED510" s="305"/>
      <c r="EE510" s="305"/>
      <c r="EF510" s="305"/>
      <c r="EG510" s="305"/>
      <c r="EH510" s="305"/>
      <c r="EI510" s="305"/>
      <c r="EJ510" s="305"/>
      <c r="EK510" s="305"/>
      <c r="EL510" s="305"/>
      <c r="EM510" s="305"/>
      <c r="EN510" s="305"/>
      <c r="EO510" s="305"/>
      <c r="EP510" s="305"/>
      <c r="EQ510" s="305"/>
      <c r="ER510" s="305"/>
      <c r="ES510" s="305"/>
      <c r="ET510" s="305"/>
      <c r="EU510" s="305"/>
      <c r="EV510" s="305"/>
      <c r="EW510" s="305"/>
      <c r="EX510" s="305"/>
      <c r="EY510" s="305"/>
      <c r="EZ510" s="305"/>
      <c r="FA510" s="305"/>
      <c r="FB510" s="305"/>
      <c r="FC510" s="305"/>
      <c r="FD510" s="305"/>
      <c r="FE510" s="305"/>
      <c r="FF510" s="305"/>
      <c r="FG510" s="305"/>
      <c r="FH510" s="305"/>
      <c r="FI510" s="305"/>
      <c r="FJ510" s="305"/>
      <c r="FK510" s="305"/>
      <c r="FL510" s="305"/>
      <c r="FM510" s="305"/>
      <c r="FN510" s="305"/>
      <c r="FO510" s="305"/>
      <c r="FP510" s="305"/>
      <c r="FQ510" s="305"/>
      <c r="FR510" s="305"/>
      <c r="FS510" s="305"/>
      <c r="FT510" s="305"/>
      <c r="FU510" s="305"/>
      <c r="FV510" s="305"/>
      <c r="FW510" s="305"/>
      <c r="FX510" s="305"/>
      <c r="FY510" s="305"/>
      <c r="FZ510" s="305"/>
      <c r="GA510" s="305"/>
      <c r="GB510" s="305"/>
      <c r="GC510" s="305"/>
      <c r="GD510" s="305"/>
      <c r="GE510" s="305"/>
      <c r="GF510" s="305"/>
      <c r="GG510" s="305"/>
      <c r="GH510" s="305"/>
      <c r="GI510" s="305"/>
      <c r="GJ510" s="305"/>
      <c r="GK510" s="305"/>
      <c r="GL510" s="305"/>
      <c r="GM510" s="305"/>
      <c r="GN510" s="305"/>
      <c r="GO510" s="305"/>
      <c r="GP510" s="305"/>
      <c r="GQ510" s="305"/>
      <c r="GR510" s="305"/>
    </row>
    <row r="511" spans="3:200" s="318" customFormat="1" ht="12.75" customHeight="1" x14ac:dyDescent="0.2">
      <c r="C511" s="367"/>
      <c r="D511" s="403"/>
      <c r="E511" s="369"/>
      <c r="F511" s="369"/>
      <c r="G511" s="369"/>
      <c r="H511" s="369"/>
      <c r="I511" s="370"/>
      <c r="J511"/>
      <c r="K511" s="371"/>
      <c r="L511" s="371"/>
      <c r="M511" s="371"/>
      <c r="N511" s="371"/>
      <c r="O511" s="305"/>
      <c r="P511" s="305"/>
      <c r="Q511" s="305"/>
      <c r="R511" s="305"/>
      <c r="S511" s="305"/>
      <c r="T511" s="305"/>
      <c r="U511" s="305"/>
      <c r="V511" s="305"/>
      <c r="W511" s="305"/>
      <c r="X511" s="305"/>
      <c r="Y511" s="305"/>
      <c r="Z511" s="305"/>
      <c r="AA511" s="305"/>
      <c r="AB511" s="305"/>
      <c r="AC511" s="305"/>
      <c r="AD511" s="305"/>
      <c r="AE511" s="305"/>
      <c r="AF511" s="305"/>
      <c r="AG511" s="305"/>
      <c r="AH511" s="305"/>
      <c r="AI511" s="305"/>
      <c r="AJ511" s="305"/>
      <c r="AK511" s="305"/>
      <c r="AL511" s="305"/>
      <c r="AM511" s="305"/>
      <c r="AN511" s="305"/>
      <c r="AO511" s="305"/>
      <c r="AP511" s="305"/>
      <c r="AQ511" s="305"/>
      <c r="AR511" s="305"/>
      <c r="AS511" s="305"/>
      <c r="AT511" s="305"/>
      <c r="AU511" s="305"/>
      <c r="AV511" s="305"/>
      <c r="AW511" s="305"/>
      <c r="AX511" s="305"/>
      <c r="AY511" s="305"/>
      <c r="AZ511" s="305"/>
      <c r="BA511" s="305"/>
      <c r="BB511" s="305"/>
      <c r="BC511" s="305"/>
      <c r="BD511" s="305"/>
      <c r="BE511" s="305"/>
      <c r="BF511" s="305"/>
      <c r="BG511" s="305"/>
      <c r="BH511" s="305"/>
      <c r="BI511" s="305"/>
      <c r="BJ511" s="305"/>
      <c r="BK511" s="305"/>
      <c r="BL511" s="305"/>
      <c r="BM511" s="305"/>
      <c r="BN511" s="305"/>
      <c r="BO511" s="305"/>
      <c r="BP511" s="305"/>
      <c r="BQ511" s="305"/>
      <c r="BR511" s="305"/>
      <c r="BS511" s="305"/>
      <c r="BT511" s="305"/>
      <c r="BU511" s="305"/>
      <c r="BV511" s="305"/>
      <c r="BW511" s="305"/>
      <c r="BX511" s="305"/>
      <c r="BY511" s="305"/>
      <c r="BZ511" s="305"/>
      <c r="CA511" s="305"/>
      <c r="CB511" s="305"/>
      <c r="CC511" s="305"/>
      <c r="CD511" s="305"/>
      <c r="CE511" s="305"/>
      <c r="CF511" s="305"/>
      <c r="CG511" s="305"/>
      <c r="CH511" s="305"/>
      <c r="CI511" s="305"/>
      <c r="CJ511" s="305"/>
      <c r="CK511" s="305"/>
      <c r="CL511" s="305"/>
      <c r="CM511" s="305"/>
      <c r="CN511" s="305"/>
      <c r="CO511" s="305"/>
      <c r="CP511" s="305"/>
      <c r="CQ511" s="305"/>
      <c r="CR511" s="305"/>
      <c r="CS511" s="305"/>
      <c r="CT511" s="305"/>
      <c r="CU511" s="305"/>
      <c r="CV511" s="305"/>
      <c r="CW511" s="305"/>
      <c r="CX511" s="305"/>
      <c r="CY511" s="305"/>
      <c r="CZ511" s="305"/>
      <c r="DA511" s="305"/>
      <c r="DB511" s="305"/>
      <c r="DC511" s="305"/>
      <c r="DD511" s="305"/>
      <c r="DE511" s="305"/>
      <c r="DF511" s="305"/>
      <c r="DG511" s="305"/>
      <c r="DH511" s="305"/>
      <c r="DI511" s="305"/>
      <c r="DJ511" s="305"/>
      <c r="DK511" s="305"/>
      <c r="DL511" s="305"/>
      <c r="DM511" s="305"/>
      <c r="DN511" s="305"/>
      <c r="DO511" s="305"/>
      <c r="DP511" s="305"/>
      <c r="DQ511" s="305"/>
      <c r="DR511" s="305"/>
      <c r="DS511" s="305"/>
      <c r="DT511" s="305"/>
      <c r="DU511" s="305"/>
      <c r="DV511" s="305"/>
      <c r="DW511" s="305"/>
      <c r="DX511" s="305"/>
      <c r="DY511" s="305"/>
      <c r="DZ511" s="305"/>
      <c r="EA511" s="305"/>
      <c r="EB511" s="305"/>
      <c r="EC511" s="305"/>
      <c r="ED511" s="305"/>
      <c r="EE511" s="305"/>
      <c r="EF511" s="305"/>
      <c r="EG511" s="305"/>
      <c r="EH511" s="305"/>
      <c r="EI511" s="305"/>
      <c r="EJ511" s="305"/>
      <c r="EK511" s="305"/>
      <c r="EL511" s="305"/>
      <c r="EM511" s="305"/>
      <c r="EN511" s="305"/>
      <c r="EO511" s="305"/>
      <c r="EP511" s="305"/>
      <c r="EQ511" s="305"/>
      <c r="ER511" s="305"/>
      <c r="ES511" s="305"/>
      <c r="ET511" s="305"/>
      <c r="EU511" s="305"/>
      <c r="EV511" s="305"/>
      <c r="EW511" s="305"/>
      <c r="EX511" s="305"/>
      <c r="EY511" s="305"/>
      <c r="EZ511" s="305"/>
      <c r="FA511" s="305"/>
      <c r="FB511" s="305"/>
      <c r="FC511" s="305"/>
      <c r="FD511" s="305"/>
      <c r="FE511" s="305"/>
      <c r="FF511" s="305"/>
      <c r="FG511" s="305"/>
      <c r="FH511" s="305"/>
      <c r="FI511" s="305"/>
      <c r="FJ511" s="305"/>
      <c r="FK511" s="305"/>
      <c r="FL511" s="305"/>
      <c r="FM511" s="305"/>
      <c r="FN511" s="305"/>
      <c r="FO511" s="305"/>
      <c r="FP511" s="305"/>
      <c r="FQ511" s="305"/>
      <c r="FR511" s="305"/>
      <c r="FS511" s="305"/>
      <c r="FT511" s="305"/>
      <c r="FU511" s="305"/>
      <c r="FV511" s="305"/>
      <c r="FW511" s="305"/>
      <c r="FX511" s="305"/>
      <c r="FY511" s="305"/>
      <c r="FZ511" s="305"/>
      <c r="GA511" s="305"/>
      <c r="GB511" s="305"/>
      <c r="GC511" s="305"/>
      <c r="GD511" s="305"/>
      <c r="GE511" s="305"/>
      <c r="GF511" s="305"/>
      <c r="GG511" s="305"/>
      <c r="GH511" s="305"/>
      <c r="GI511" s="305"/>
      <c r="GJ511" s="305"/>
      <c r="GK511" s="305"/>
      <c r="GL511" s="305"/>
      <c r="GM511" s="305"/>
      <c r="GN511" s="305"/>
      <c r="GO511" s="305"/>
      <c r="GP511" s="305"/>
      <c r="GQ511" s="305"/>
      <c r="GR511" s="305"/>
    </row>
    <row r="512" spans="3:200" s="318" customFormat="1" ht="12.75" customHeight="1" x14ac:dyDescent="0.2">
      <c r="C512" s="367"/>
      <c r="D512" s="403"/>
      <c r="E512" s="369"/>
      <c r="F512" s="369"/>
      <c r="G512" s="369"/>
      <c r="H512" s="369"/>
      <c r="I512" s="370"/>
      <c r="J512"/>
      <c r="K512" s="371"/>
      <c r="L512" s="371"/>
      <c r="M512" s="371"/>
      <c r="N512" s="371"/>
      <c r="O512" s="305"/>
      <c r="P512" s="305"/>
      <c r="Q512" s="305"/>
      <c r="R512" s="305"/>
      <c r="S512" s="305"/>
      <c r="T512" s="305"/>
      <c r="U512" s="305"/>
      <c r="V512" s="305"/>
      <c r="W512" s="305"/>
      <c r="X512" s="305"/>
      <c r="Y512" s="305"/>
      <c r="Z512" s="305"/>
      <c r="AA512" s="305"/>
      <c r="AB512" s="305"/>
      <c r="AC512" s="305"/>
      <c r="AD512" s="305"/>
      <c r="AE512" s="305"/>
      <c r="AF512" s="305"/>
      <c r="AG512" s="305"/>
      <c r="AH512" s="305"/>
      <c r="AI512" s="305"/>
      <c r="AJ512" s="305"/>
      <c r="AK512" s="305"/>
      <c r="AL512" s="305"/>
      <c r="AM512" s="305"/>
      <c r="AN512" s="305"/>
      <c r="AO512" s="305"/>
      <c r="AP512" s="305"/>
      <c r="AQ512" s="305"/>
      <c r="AR512" s="305"/>
      <c r="AS512" s="305"/>
      <c r="AT512" s="305"/>
      <c r="AU512" s="305"/>
      <c r="AV512" s="305"/>
      <c r="AW512" s="305"/>
      <c r="AX512" s="305"/>
      <c r="AY512" s="305"/>
      <c r="AZ512" s="305"/>
      <c r="BA512" s="305"/>
      <c r="BB512" s="305"/>
      <c r="BC512" s="305"/>
      <c r="BD512" s="305"/>
      <c r="BE512" s="305"/>
      <c r="BF512" s="305"/>
      <c r="BG512" s="305"/>
      <c r="BH512" s="305"/>
      <c r="BI512" s="305"/>
      <c r="BJ512" s="305"/>
      <c r="BK512" s="305"/>
      <c r="BL512" s="305"/>
      <c r="BM512" s="305"/>
      <c r="BN512" s="305"/>
      <c r="BO512" s="305"/>
      <c r="BP512" s="305"/>
      <c r="BQ512" s="305"/>
      <c r="BR512" s="305"/>
      <c r="BS512" s="305"/>
      <c r="BT512" s="305"/>
      <c r="BU512" s="305"/>
      <c r="BV512" s="305"/>
      <c r="BW512" s="305"/>
      <c r="BX512" s="305"/>
      <c r="BY512" s="305"/>
      <c r="BZ512" s="305"/>
      <c r="CA512" s="305"/>
      <c r="CB512" s="305"/>
      <c r="CC512" s="305"/>
      <c r="CD512" s="305"/>
      <c r="CE512" s="305"/>
      <c r="CF512" s="305"/>
      <c r="CG512" s="305"/>
      <c r="CH512" s="305"/>
      <c r="CI512" s="305"/>
      <c r="CJ512" s="305"/>
      <c r="CK512" s="305"/>
      <c r="CL512" s="305"/>
      <c r="CM512" s="305"/>
      <c r="CN512" s="305"/>
      <c r="CO512" s="305"/>
      <c r="CP512" s="305"/>
      <c r="CQ512" s="305"/>
      <c r="CR512" s="305"/>
      <c r="CS512" s="305"/>
      <c r="CT512" s="305"/>
      <c r="CU512" s="305"/>
      <c r="CV512" s="305"/>
      <c r="CW512" s="305"/>
      <c r="CX512" s="305"/>
      <c r="CY512" s="305"/>
      <c r="CZ512" s="305"/>
      <c r="DA512" s="305"/>
      <c r="DB512" s="305"/>
      <c r="DC512" s="305"/>
      <c r="DD512" s="305"/>
      <c r="DE512" s="305"/>
      <c r="DF512" s="305"/>
      <c r="DG512" s="305"/>
      <c r="DH512" s="305"/>
      <c r="DI512" s="305"/>
      <c r="DJ512" s="305"/>
      <c r="DK512" s="305"/>
      <c r="DL512" s="305"/>
      <c r="DM512" s="305"/>
      <c r="DN512" s="305"/>
      <c r="DO512" s="305"/>
      <c r="DP512" s="305"/>
      <c r="DQ512" s="305"/>
      <c r="DR512" s="305"/>
      <c r="DS512" s="305"/>
      <c r="DT512" s="305"/>
      <c r="DU512" s="305"/>
      <c r="DV512" s="305"/>
      <c r="DW512" s="305"/>
      <c r="DX512" s="305"/>
      <c r="DY512" s="305"/>
      <c r="DZ512" s="305"/>
      <c r="EA512" s="305"/>
      <c r="EB512" s="305"/>
      <c r="EC512" s="305"/>
      <c r="ED512" s="305"/>
      <c r="EE512" s="305"/>
      <c r="EF512" s="305"/>
      <c r="EG512" s="305"/>
      <c r="EH512" s="305"/>
      <c r="EI512" s="305"/>
      <c r="EJ512" s="305"/>
      <c r="EK512" s="305"/>
      <c r="EL512" s="305"/>
      <c r="EM512" s="305"/>
      <c r="EN512" s="305"/>
      <c r="EO512" s="305"/>
      <c r="EP512" s="305"/>
      <c r="EQ512" s="305"/>
      <c r="ER512" s="305"/>
      <c r="ES512" s="305"/>
      <c r="ET512" s="305"/>
      <c r="EU512" s="305"/>
      <c r="EV512" s="305"/>
      <c r="EW512" s="305"/>
      <c r="EX512" s="305"/>
      <c r="EY512" s="305"/>
      <c r="EZ512" s="305"/>
      <c r="FA512" s="305"/>
      <c r="FB512" s="305"/>
      <c r="FC512" s="305"/>
      <c r="FD512" s="305"/>
      <c r="FE512" s="305"/>
      <c r="FF512" s="305"/>
      <c r="FG512" s="305"/>
      <c r="FH512" s="305"/>
      <c r="FI512" s="305"/>
      <c r="FJ512" s="305"/>
      <c r="FK512" s="305"/>
      <c r="FL512" s="305"/>
      <c r="FM512" s="305"/>
      <c r="FN512" s="305"/>
      <c r="FO512" s="305"/>
      <c r="FP512" s="305"/>
      <c r="FQ512" s="305"/>
      <c r="FR512" s="305"/>
      <c r="FS512" s="305"/>
      <c r="FT512" s="305"/>
      <c r="FU512" s="305"/>
      <c r="FV512" s="305"/>
      <c r="FW512" s="305"/>
      <c r="FX512" s="305"/>
      <c r="FY512" s="305"/>
      <c r="FZ512" s="305"/>
      <c r="GA512" s="305"/>
      <c r="GB512" s="305"/>
      <c r="GC512" s="305"/>
      <c r="GD512" s="305"/>
      <c r="GE512" s="305"/>
      <c r="GF512" s="305"/>
      <c r="GG512" s="305"/>
      <c r="GH512" s="305"/>
      <c r="GI512" s="305"/>
      <c r="GJ512" s="305"/>
      <c r="GK512" s="305"/>
      <c r="GL512" s="305"/>
      <c r="GM512" s="305"/>
      <c r="GN512" s="305"/>
      <c r="GO512" s="305"/>
      <c r="GP512" s="305"/>
      <c r="GQ512" s="305"/>
      <c r="GR512" s="305"/>
    </row>
    <row r="513" spans="3:200" s="318" customFormat="1" ht="12.75" customHeight="1" x14ac:dyDescent="0.2">
      <c r="C513" s="367"/>
      <c r="D513" s="403"/>
      <c r="E513" s="369"/>
      <c r="F513" s="369"/>
      <c r="G513" s="369"/>
      <c r="H513" s="369"/>
      <c r="I513" s="370"/>
      <c r="J513"/>
      <c r="K513" s="371"/>
      <c r="L513" s="371"/>
      <c r="M513" s="371"/>
      <c r="N513" s="371"/>
      <c r="O513" s="305"/>
      <c r="P513" s="305"/>
      <c r="Q513" s="305"/>
      <c r="R513" s="305"/>
      <c r="S513" s="305"/>
      <c r="T513" s="305"/>
      <c r="U513" s="305"/>
      <c r="V513" s="305"/>
      <c r="W513" s="305"/>
      <c r="X513" s="305"/>
      <c r="Y513" s="305"/>
      <c r="Z513" s="305"/>
      <c r="AA513" s="305"/>
      <c r="AB513" s="305"/>
      <c r="AC513" s="305"/>
      <c r="AD513" s="305"/>
      <c r="AE513" s="305"/>
      <c r="AF513" s="305"/>
      <c r="AG513" s="305"/>
      <c r="AH513" s="305"/>
      <c r="AI513" s="305"/>
      <c r="AJ513" s="305"/>
      <c r="AK513" s="305"/>
      <c r="AL513" s="305"/>
      <c r="AM513" s="305"/>
      <c r="AN513" s="305"/>
      <c r="AO513" s="305"/>
      <c r="AP513" s="305"/>
      <c r="AQ513" s="305"/>
      <c r="AR513" s="305"/>
      <c r="AS513" s="305"/>
      <c r="AT513" s="305"/>
      <c r="AU513" s="305"/>
      <c r="AV513" s="305"/>
      <c r="AW513" s="305"/>
      <c r="AX513" s="305"/>
      <c r="AY513" s="305"/>
      <c r="AZ513" s="305"/>
      <c r="BA513" s="305"/>
      <c r="BB513" s="305"/>
      <c r="BC513" s="305"/>
      <c r="BD513" s="305"/>
      <c r="BE513" s="305"/>
      <c r="BF513" s="305"/>
      <c r="BG513" s="305"/>
      <c r="BH513" s="305"/>
      <c r="BI513" s="305"/>
      <c r="BJ513" s="305"/>
      <c r="BK513" s="305"/>
      <c r="BL513" s="305"/>
      <c r="BM513" s="305"/>
      <c r="BN513" s="305"/>
      <c r="BO513" s="305"/>
      <c r="BP513" s="305"/>
      <c r="BQ513" s="305"/>
      <c r="BR513" s="305"/>
      <c r="BS513" s="305"/>
      <c r="BT513" s="305"/>
      <c r="BU513" s="305"/>
      <c r="BV513" s="305"/>
      <c r="BW513" s="305"/>
      <c r="BX513" s="305"/>
      <c r="BY513" s="305"/>
      <c r="BZ513" s="305"/>
      <c r="CA513" s="305"/>
      <c r="CB513" s="305"/>
      <c r="CC513" s="305"/>
      <c r="CD513" s="305"/>
      <c r="CE513" s="305"/>
      <c r="CF513" s="305"/>
      <c r="CG513" s="305"/>
      <c r="CH513" s="305"/>
      <c r="CI513" s="305"/>
      <c r="CJ513" s="305"/>
      <c r="CK513" s="305"/>
      <c r="CL513" s="305"/>
      <c r="CM513" s="305"/>
      <c r="CN513" s="305"/>
      <c r="CO513" s="305"/>
      <c r="CP513" s="305"/>
      <c r="CQ513" s="305"/>
      <c r="CR513" s="305"/>
      <c r="CS513" s="305"/>
      <c r="CT513" s="305"/>
      <c r="CU513" s="305"/>
      <c r="CV513" s="305"/>
      <c r="CW513" s="305"/>
      <c r="CX513" s="305"/>
      <c r="CY513" s="305"/>
      <c r="CZ513" s="305"/>
      <c r="DA513" s="305"/>
      <c r="DB513" s="305"/>
      <c r="DC513" s="305"/>
      <c r="DD513" s="305"/>
      <c r="DE513" s="305"/>
      <c r="DF513" s="305"/>
      <c r="DG513" s="305"/>
      <c r="DH513" s="305"/>
      <c r="DI513" s="305"/>
      <c r="DJ513" s="305"/>
      <c r="DK513" s="305"/>
      <c r="DL513" s="305"/>
      <c r="DM513" s="305"/>
      <c r="DN513" s="305"/>
      <c r="DO513" s="305"/>
      <c r="DP513" s="305"/>
      <c r="DQ513" s="305"/>
      <c r="DR513" s="305"/>
      <c r="DS513" s="305"/>
      <c r="DT513" s="305"/>
      <c r="DU513" s="305"/>
      <c r="DV513" s="305"/>
      <c r="DW513" s="305"/>
      <c r="DX513" s="305"/>
      <c r="DY513" s="305"/>
      <c r="DZ513" s="305"/>
      <c r="EA513" s="305"/>
      <c r="EB513" s="305"/>
      <c r="EC513" s="305"/>
      <c r="ED513" s="305"/>
      <c r="EE513" s="305"/>
      <c r="EF513" s="305"/>
      <c r="EG513" s="305"/>
      <c r="EH513" s="305"/>
      <c r="EI513" s="305"/>
      <c r="EJ513" s="305"/>
      <c r="EK513" s="305"/>
      <c r="EL513" s="305"/>
      <c r="EM513" s="305"/>
      <c r="EN513" s="305"/>
      <c r="EO513" s="305"/>
      <c r="EP513" s="305"/>
      <c r="EQ513" s="305"/>
      <c r="ER513" s="305"/>
      <c r="ES513" s="305"/>
      <c r="ET513" s="305"/>
      <c r="EU513" s="305"/>
      <c r="EV513" s="305"/>
      <c r="EW513" s="305"/>
      <c r="EX513" s="305"/>
      <c r="EY513" s="305"/>
      <c r="EZ513" s="305"/>
      <c r="FA513" s="305"/>
      <c r="FB513" s="305"/>
      <c r="FC513" s="305"/>
      <c r="FD513" s="305"/>
      <c r="FE513" s="305"/>
      <c r="FF513" s="305"/>
      <c r="FG513" s="305"/>
      <c r="FH513" s="305"/>
      <c r="FI513" s="305"/>
      <c r="FJ513" s="305"/>
      <c r="FK513" s="305"/>
      <c r="FL513" s="305"/>
      <c r="FM513" s="305"/>
      <c r="FN513" s="305"/>
      <c r="FO513" s="305"/>
      <c r="FP513" s="305"/>
      <c r="FQ513" s="305"/>
      <c r="FR513" s="305"/>
      <c r="FS513" s="305"/>
      <c r="FT513" s="305"/>
      <c r="FU513" s="305"/>
      <c r="FV513" s="305"/>
      <c r="FW513" s="305"/>
      <c r="FX513" s="305"/>
      <c r="FY513" s="305"/>
      <c r="FZ513" s="305"/>
      <c r="GA513" s="305"/>
      <c r="GB513" s="305"/>
      <c r="GC513" s="305"/>
      <c r="GD513" s="305"/>
      <c r="GE513" s="305"/>
      <c r="GF513" s="305"/>
      <c r="GG513" s="305"/>
      <c r="GH513" s="305"/>
      <c r="GI513" s="305"/>
      <c r="GJ513" s="305"/>
      <c r="GK513" s="305"/>
      <c r="GL513" s="305"/>
      <c r="GM513" s="305"/>
      <c r="GN513" s="305"/>
      <c r="GO513" s="305"/>
      <c r="GP513" s="305"/>
      <c r="GQ513" s="305"/>
      <c r="GR513" s="305"/>
    </row>
    <row r="514" spans="3:200" s="318" customFormat="1" ht="12.75" customHeight="1" x14ac:dyDescent="0.2">
      <c r="C514" s="367"/>
      <c r="D514" s="403"/>
      <c r="E514" s="369"/>
      <c r="F514" s="369"/>
      <c r="G514" s="369"/>
      <c r="H514" s="369"/>
      <c r="I514" s="370"/>
      <c r="J514"/>
      <c r="K514" s="371"/>
      <c r="L514" s="371"/>
      <c r="M514" s="371"/>
      <c r="N514" s="371"/>
      <c r="O514" s="305"/>
      <c r="P514" s="305"/>
      <c r="Q514" s="305"/>
      <c r="R514" s="305"/>
      <c r="S514" s="305"/>
      <c r="T514" s="305"/>
      <c r="U514" s="305"/>
      <c r="V514" s="305"/>
      <c r="W514" s="305"/>
      <c r="X514" s="305"/>
      <c r="Y514" s="305"/>
      <c r="Z514" s="305"/>
      <c r="AA514" s="305"/>
      <c r="AB514" s="305"/>
      <c r="AC514" s="305"/>
      <c r="AD514" s="305"/>
      <c r="AE514" s="305"/>
      <c r="AF514" s="305"/>
      <c r="AG514" s="305"/>
      <c r="AH514" s="305"/>
      <c r="AI514" s="305"/>
      <c r="AJ514" s="305"/>
      <c r="AK514" s="305"/>
      <c r="AL514" s="305"/>
      <c r="AM514" s="305"/>
      <c r="AN514" s="305"/>
      <c r="AO514" s="305"/>
      <c r="AP514" s="305"/>
      <c r="AQ514" s="305"/>
      <c r="AR514" s="305"/>
      <c r="AS514" s="305"/>
      <c r="AT514" s="305"/>
      <c r="AU514" s="305"/>
      <c r="AV514" s="305"/>
      <c r="AW514" s="305"/>
      <c r="AX514" s="305"/>
      <c r="AY514" s="305"/>
      <c r="AZ514" s="305"/>
      <c r="BA514" s="305"/>
      <c r="BB514" s="305"/>
      <c r="BC514" s="305"/>
      <c r="BD514" s="305"/>
      <c r="BE514" s="305"/>
      <c r="BF514" s="305"/>
      <c r="BG514" s="305"/>
      <c r="BH514" s="305"/>
      <c r="BI514" s="305"/>
      <c r="BJ514" s="305"/>
      <c r="BK514" s="305"/>
      <c r="BL514" s="305"/>
      <c r="BM514" s="305"/>
      <c r="BN514" s="305"/>
      <c r="BO514" s="305"/>
      <c r="BP514" s="305"/>
      <c r="BQ514" s="305"/>
      <c r="BR514" s="305"/>
      <c r="BS514" s="305"/>
      <c r="BT514" s="305"/>
      <c r="BU514" s="305"/>
      <c r="BV514" s="305"/>
      <c r="BW514" s="305"/>
      <c r="BX514" s="305"/>
      <c r="BY514" s="305"/>
      <c r="BZ514" s="305"/>
      <c r="CA514" s="305"/>
      <c r="CB514" s="305"/>
      <c r="CC514" s="305"/>
      <c r="CD514" s="305"/>
      <c r="CE514" s="305"/>
      <c r="CF514" s="305"/>
      <c r="CG514" s="305"/>
      <c r="CH514" s="305"/>
      <c r="CI514" s="305"/>
      <c r="CJ514" s="305"/>
      <c r="CK514" s="305"/>
      <c r="CL514" s="305"/>
      <c r="CM514" s="305"/>
      <c r="CN514" s="305"/>
      <c r="CO514" s="305"/>
      <c r="CP514" s="305"/>
      <c r="CQ514" s="305"/>
      <c r="CR514" s="305"/>
      <c r="CS514" s="305"/>
      <c r="CT514" s="305"/>
      <c r="CU514" s="305"/>
      <c r="CV514" s="305"/>
      <c r="CW514" s="305"/>
      <c r="CX514" s="305"/>
      <c r="CY514" s="305"/>
      <c r="CZ514" s="305"/>
      <c r="DA514" s="305"/>
      <c r="DB514" s="305"/>
      <c r="DC514" s="305"/>
      <c r="DD514" s="305"/>
      <c r="DE514" s="305"/>
      <c r="DF514" s="305"/>
      <c r="DG514" s="305"/>
      <c r="DH514" s="305"/>
      <c r="DI514" s="305"/>
      <c r="DJ514" s="305"/>
      <c r="DK514" s="305"/>
      <c r="DL514" s="305"/>
      <c r="DM514" s="305"/>
      <c r="DN514" s="305"/>
      <c r="DO514" s="305"/>
      <c r="DP514" s="305"/>
      <c r="DQ514" s="305"/>
      <c r="DR514" s="305"/>
      <c r="DS514" s="305"/>
      <c r="DT514" s="305"/>
      <c r="DU514" s="305"/>
      <c r="DV514" s="305"/>
      <c r="DW514" s="305"/>
      <c r="DX514" s="305"/>
      <c r="DY514" s="305"/>
      <c r="DZ514" s="305"/>
      <c r="EA514" s="305"/>
      <c r="EB514" s="305"/>
      <c r="EC514" s="305"/>
      <c r="ED514" s="305"/>
      <c r="EE514" s="305"/>
      <c r="EF514" s="305"/>
      <c r="EG514" s="305"/>
      <c r="EH514" s="305"/>
      <c r="EI514" s="305"/>
      <c r="EJ514" s="305"/>
      <c r="EK514" s="305"/>
      <c r="EL514" s="305"/>
      <c r="EM514" s="305"/>
      <c r="EN514" s="305"/>
      <c r="EO514" s="305"/>
      <c r="EP514" s="305"/>
      <c r="EQ514" s="305"/>
      <c r="ER514" s="305"/>
      <c r="ES514" s="305"/>
      <c r="ET514" s="305"/>
      <c r="EU514" s="305"/>
      <c r="EV514" s="305"/>
      <c r="EW514" s="305"/>
      <c r="EX514" s="305"/>
      <c r="EY514" s="305"/>
      <c r="EZ514" s="305"/>
      <c r="FA514" s="305"/>
      <c r="FB514" s="305"/>
      <c r="FC514" s="305"/>
      <c r="FD514" s="305"/>
      <c r="FE514" s="305"/>
      <c r="FF514" s="305"/>
      <c r="FG514" s="305"/>
      <c r="FH514" s="305"/>
      <c r="FI514" s="305"/>
      <c r="FJ514" s="305"/>
      <c r="FK514" s="305"/>
      <c r="FL514" s="305"/>
      <c r="FM514" s="305"/>
      <c r="FN514" s="305"/>
      <c r="FO514" s="305"/>
      <c r="FP514" s="305"/>
      <c r="FQ514" s="305"/>
      <c r="FR514" s="305"/>
      <c r="FS514" s="305"/>
      <c r="FT514" s="305"/>
      <c r="FU514" s="305"/>
      <c r="FV514" s="305"/>
      <c r="FW514" s="305"/>
      <c r="FX514" s="305"/>
      <c r="FY514" s="305"/>
      <c r="FZ514" s="305"/>
      <c r="GA514" s="305"/>
      <c r="GB514" s="305"/>
      <c r="GC514" s="305"/>
      <c r="GD514" s="305"/>
      <c r="GE514" s="305"/>
      <c r="GF514" s="305"/>
      <c r="GG514" s="305"/>
      <c r="GH514" s="305"/>
      <c r="GI514" s="305"/>
      <c r="GJ514" s="305"/>
      <c r="GK514" s="305"/>
      <c r="GL514" s="305"/>
      <c r="GM514" s="305"/>
      <c r="GN514" s="305"/>
      <c r="GO514" s="305"/>
      <c r="GP514" s="305"/>
      <c r="GQ514" s="305"/>
      <c r="GR514" s="305"/>
    </row>
    <row r="515" spans="3:200" s="318" customFormat="1" ht="12.75" customHeight="1" x14ac:dyDescent="0.2">
      <c r="C515" s="367"/>
      <c r="D515" s="403"/>
      <c r="E515" s="369"/>
      <c r="F515" s="369"/>
      <c r="G515" s="369"/>
      <c r="H515" s="369"/>
      <c r="I515" s="370"/>
      <c r="J515"/>
      <c r="K515" s="371"/>
      <c r="L515" s="371"/>
      <c r="M515" s="371"/>
      <c r="N515" s="371"/>
      <c r="O515" s="305"/>
      <c r="P515" s="305"/>
      <c r="Q515" s="305"/>
      <c r="R515" s="305"/>
      <c r="S515" s="305"/>
      <c r="T515" s="305"/>
      <c r="U515" s="305"/>
      <c r="V515" s="305"/>
      <c r="W515" s="305"/>
      <c r="X515" s="305"/>
      <c r="Y515" s="305"/>
      <c r="Z515" s="305"/>
      <c r="AA515" s="305"/>
      <c r="AB515" s="305"/>
      <c r="AC515" s="305"/>
      <c r="AD515" s="305"/>
      <c r="AE515" s="305"/>
      <c r="AF515" s="305"/>
      <c r="AG515" s="305"/>
      <c r="AH515" s="305"/>
      <c r="AI515" s="305"/>
      <c r="AJ515" s="305"/>
      <c r="AK515" s="305"/>
      <c r="AL515" s="305"/>
      <c r="AM515" s="305"/>
      <c r="AN515" s="305"/>
      <c r="AO515" s="305"/>
      <c r="AP515" s="305"/>
      <c r="AQ515" s="305"/>
      <c r="AR515" s="305"/>
      <c r="AS515" s="305"/>
      <c r="AT515" s="305"/>
      <c r="AU515" s="305"/>
      <c r="AV515" s="305"/>
      <c r="AW515" s="305"/>
      <c r="AX515" s="305"/>
      <c r="AY515" s="305"/>
      <c r="AZ515" s="305"/>
      <c r="BA515" s="305"/>
      <c r="BB515" s="305"/>
      <c r="BC515" s="305"/>
      <c r="BD515" s="305"/>
      <c r="BE515" s="305"/>
      <c r="BF515" s="305"/>
      <c r="BG515" s="305"/>
      <c r="BH515" s="305"/>
      <c r="BI515" s="305"/>
      <c r="BJ515" s="305"/>
      <c r="BK515" s="305"/>
      <c r="BL515" s="305"/>
      <c r="BM515" s="305"/>
      <c r="BN515" s="305"/>
      <c r="BO515" s="305"/>
      <c r="BP515" s="305"/>
      <c r="BQ515" s="305"/>
      <c r="BR515" s="305"/>
      <c r="BS515" s="305"/>
      <c r="BT515" s="305"/>
      <c r="BU515" s="305"/>
      <c r="BV515" s="305"/>
      <c r="BW515" s="305"/>
      <c r="BX515" s="305"/>
      <c r="BY515" s="305"/>
      <c r="BZ515" s="305"/>
      <c r="CA515" s="305"/>
      <c r="CB515" s="305"/>
      <c r="CC515" s="305"/>
      <c r="CD515" s="305"/>
      <c r="CE515" s="305"/>
      <c r="CF515" s="305"/>
      <c r="CG515" s="305"/>
      <c r="CH515" s="305"/>
      <c r="CI515" s="305"/>
      <c r="CJ515" s="305"/>
      <c r="CK515" s="305"/>
      <c r="CL515" s="305"/>
      <c r="CM515" s="305"/>
      <c r="CN515" s="305"/>
      <c r="CO515" s="305"/>
      <c r="CP515" s="305"/>
      <c r="CQ515" s="305"/>
      <c r="CR515" s="305"/>
      <c r="CS515" s="305"/>
      <c r="CT515" s="305"/>
      <c r="CU515" s="305"/>
      <c r="CV515" s="305"/>
      <c r="CW515" s="305"/>
      <c r="CX515" s="305"/>
      <c r="CY515" s="305"/>
      <c r="CZ515" s="305"/>
      <c r="DA515" s="305"/>
      <c r="DB515" s="305"/>
      <c r="DC515" s="305"/>
      <c r="DD515" s="305"/>
      <c r="DE515" s="305"/>
      <c r="DF515" s="305"/>
      <c r="DG515" s="305"/>
      <c r="DH515" s="305"/>
      <c r="DI515" s="305"/>
      <c r="DJ515" s="305"/>
      <c r="DK515" s="305"/>
      <c r="DL515" s="305"/>
      <c r="DM515" s="305"/>
      <c r="DN515" s="305"/>
      <c r="DO515" s="305"/>
      <c r="DP515" s="305"/>
      <c r="DQ515" s="305"/>
      <c r="DR515" s="305"/>
      <c r="DS515" s="305"/>
      <c r="DT515" s="305"/>
      <c r="DU515" s="305"/>
      <c r="DV515" s="305"/>
      <c r="DW515" s="305"/>
      <c r="DX515" s="305"/>
      <c r="DY515" s="305"/>
      <c r="DZ515" s="305"/>
      <c r="EA515" s="305"/>
      <c r="EB515" s="305"/>
      <c r="EC515" s="305"/>
      <c r="ED515" s="305"/>
      <c r="EE515" s="305"/>
      <c r="EF515" s="305"/>
      <c r="EG515" s="305"/>
      <c r="EH515" s="305"/>
      <c r="EI515" s="305"/>
      <c r="EJ515" s="305"/>
      <c r="EK515" s="305"/>
      <c r="EL515" s="305"/>
      <c r="EM515" s="305"/>
      <c r="EN515" s="305"/>
      <c r="EO515" s="305"/>
      <c r="EP515" s="305"/>
      <c r="EQ515" s="305"/>
      <c r="ER515" s="305"/>
      <c r="ES515" s="305"/>
      <c r="ET515" s="305"/>
      <c r="EU515" s="305"/>
      <c r="EV515" s="305"/>
      <c r="EW515" s="305"/>
      <c r="EX515" s="305"/>
      <c r="EY515" s="305"/>
      <c r="EZ515" s="305"/>
      <c r="FA515" s="305"/>
      <c r="FB515" s="305"/>
      <c r="FC515" s="305"/>
      <c r="FD515" s="305"/>
      <c r="FE515" s="305"/>
      <c r="FF515" s="305"/>
      <c r="FG515" s="305"/>
      <c r="FH515" s="305"/>
      <c r="FI515" s="305"/>
      <c r="FJ515" s="305"/>
      <c r="FK515" s="305"/>
      <c r="FL515" s="305"/>
      <c r="FM515" s="305"/>
      <c r="FN515" s="305"/>
      <c r="FO515" s="305"/>
      <c r="FP515" s="305"/>
      <c r="FQ515" s="305"/>
      <c r="FR515" s="305"/>
      <c r="FS515" s="305"/>
      <c r="FT515" s="305"/>
      <c r="FU515" s="305"/>
      <c r="FV515" s="305"/>
      <c r="FW515" s="305"/>
      <c r="FX515" s="305"/>
      <c r="FY515" s="305"/>
      <c r="FZ515" s="305"/>
      <c r="GA515" s="305"/>
      <c r="GB515" s="305"/>
      <c r="GC515" s="305"/>
      <c r="GD515" s="305"/>
      <c r="GE515" s="305"/>
      <c r="GF515" s="305"/>
      <c r="GG515" s="305"/>
      <c r="GH515" s="305"/>
      <c r="GI515" s="305"/>
      <c r="GJ515" s="305"/>
      <c r="GK515" s="305"/>
      <c r="GL515" s="305"/>
      <c r="GM515" s="305"/>
      <c r="GN515" s="305"/>
      <c r="GO515" s="305"/>
      <c r="GP515" s="305"/>
      <c r="GQ515" s="305"/>
      <c r="GR515" s="305"/>
    </row>
    <row r="516" spans="3:200" s="318" customFormat="1" ht="12.75" customHeight="1" x14ac:dyDescent="0.2">
      <c r="C516" s="367"/>
      <c r="D516" s="403"/>
      <c r="E516" s="369"/>
      <c r="F516" s="369"/>
      <c r="G516" s="369"/>
      <c r="H516" s="369"/>
      <c r="I516" s="370"/>
      <c r="J516"/>
      <c r="K516" s="371"/>
      <c r="L516" s="371"/>
      <c r="M516" s="371"/>
      <c r="N516" s="371"/>
      <c r="O516" s="305"/>
      <c r="P516" s="305"/>
      <c r="Q516" s="305"/>
      <c r="R516" s="305"/>
      <c r="S516" s="305"/>
      <c r="T516" s="305"/>
      <c r="U516" s="305"/>
      <c r="V516" s="305"/>
      <c r="W516" s="305"/>
      <c r="X516" s="305"/>
      <c r="Y516" s="305"/>
      <c r="Z516" s="305"/>
      <c r="AA516" s="305"/>
      <c r="AB516" s="305"/>
      <c r="AC516" s="305"/>
      <c r="AD516" s="305"/>
      <c r="AE516" s="305"/>
      <c r="AF516" s="305"/>
      <c r="AG516" s="305"/>
      <c r="AH516" s="305"/>
      <c r="AI516" s="305"/>
      <c r="AJ516" s="305"/>
      <c r="AK516" s="305"/>
      <c r="AL516" s="305"/>
      <c r="AM516" s="305"/>
      <c r="AN516" s="305"/>
      <c r="AO516" s="305"/>
      <c r="AP516" s="305"/>
      <c r="AQ516" s="305"/>
      <c r="AR516" s="305"/>
      <c r="AS516" s="305"/>
      <c r="AT516" s="305"/>
      <c r="AU516" s="305"/>
      <c r="AV516" s="305"/>
      <c r="AW516" s="305"/>
      <c r="AX516" s="305"/>
      <c r="AY516" s="305"/>
      <c r="AZ516" s="305"/>
      <c r="BA516" s="305"/>
      <c r="BB516" s="305"/>
      <c r="BC516" s="305"/>
      <c r="BD516" s="305"/>
      <c r="BE516" s="305"/>
      <c r="BF516" s="305"/>
      <c r="BG516" s="305"/>
      <c r="BH516" s="305"/>
      <c r="BI516" s="305"/>
      <c r="BJ516" s="305"/>
      <c r="BK516" s="305"/>
      <c r="BL516" s="305"/>
      <c r="BM516" s="305"/>
      <c r="BN516" s="305"/>
      <c r="BO516" s="305"/>
      <c r="BP516" s="305"/>
      <c r="BQ516" s="305"/>
      <c r="BR516" s="305"/>
      <c r="BS516" s="305"/>
      <c r="BT516" s="305"/>
      <c r="BU516" s="305"/>
      <c r="BV516" s="305"/>
      <c r="BW516" s="305"/>
      <c r="BX516" s="305"/>
      <c r="BY516" s="305"/>
      <c r="BZ516" s="305"/>
      <c r="CA516" s="305"/>
      <c r="CB516" s="305"/>
      <c r="CC516" s="305"/>
      <c r="CD516" s="305"/>
      <c r="CE516" s="305"/>
      <c r="CF516" s="305"/>
      <c r="CG516" s="305"/>
      <c r="CH516" s="305"/>
      <c r="CI516" s="305"/>
      <c r="CJ516" s="305"/>
      <c r="CK516" s="305"/>
      <c r="CL516" s="305"/>
      <c r="CM516" s="305"/>
      <c r="CN516" s="305"/>
      <c r="CO516" s="305"/>
      <c r="CP516" s="305"/>
      <c r="CQ516" s="305"/>
      <c r="CR516" s="305"/>
      <c r="CS516" s="305"/>
      <c r="CT516" s="305"/>
      <c r="CU516" s="305"/>
      <c r="CV516" s="305"/>
      <c r="CW516" s="305"/>
      <c r="CX516" s="305"/>
      <c r="CY516" s="305"/>
      <c r="CZ516" s="305"/>
      <c r="DA516" s="305"/>
      <c r="DB516" s="305"/>
      <c r="DC516" s="305"/>
      <c r="DD516" s="305"/>
      <c r="DE516" s="305"/>
      <c r="DF516" s="305"/>
      <c r="DG516" s="305"/>
      <c r="DH516" s="305"/>
      <c r="DI516" s="305"/>
      <c r="DJ516" s="305"/>
      <c r="DK516" s="305"/>
      <c r="DL516" s="305"/>
      <c r="DM516" s="305"/>
      <c r="DN516" s="305"/>
      <c r="DO516" s="305"/>
      <c r="DP516" s="305"/>
      <c r="DQ516" s="305"/>
      <c r="DR516" s="305"/>
      <c r="DS516" s="305"/>
      <c r="DT516" s="305"/>
      <c r="DU516" s="305"/>
      <c r="DV516" s="305"/>
      <c r="DW516" s="305"/>
      <c r="DX516" s="305"/>
      <c r="DY516" s="305"/>
      <c r="DZ516" s="305"/>
      <c r="EA516" s="305"/>
      <c r="EB516" s="305"/>
      <c r="EC516" s="305"/>
      <c r="ED516" s="305"/>
      <c r="EE516" s="305"/>
      <c r="EF516" s="305"/>
      <c r="EG516" s="305"/>
      <c r="EH516" s="305"/>
      <c r="EI516" s="305"/>
      <c r="EJ516" s="305"/>
      <c r="EK516" s="305"/>
      <c r="EL516" s="305"/>
      <c r="EM516" s="305"/>
      <c r="EN516" s="305"/>
      <c r="EO516" s="305"/>
      <c r="EP516" s="305"/>
      <c r="EQ516" s="305"/>
      <c r="ER516" s="305"/>
      <c r="ES516" s="305"/>
      <c r="ET516" s="305"/>
      <c r="EU516" s="305"/>
      <c r="EV516" s="305"/>
      <c r="EW516" s="305"/>
      <c r="EX516" s="305"/>
      <c r="EY516" s="305"/>
      <c r="EZ516" s="305"/>
      <c r="FA516" s="305"/>
      <c r="FB516" s="305"/>
      <c r="FC516" s="305"/>
      <c r="FD516" s="305"/>
      <c r="FE516" s="305"/>
      <c r="FF516" s="305"/>
      <c r="FG516" s="305"/>
      <c r="FH516" s="305"/>
      <c r="FI516" s="305"/>
      <c r="FJ516" s="305"/>
      <c r="FK516" s="305"/>
      <c r="FL516" s="305"/>
      <c r="FM516" s="305"/>
      <c r="FN516" s="305"/>
      <c r="FO516" s="305"/>
      <c r="FP516" s="305"/>
      <c r="FQ516" s="305"/>
      <c r="FR516" s="305"/>
      <c r="FS516" s="305"/>
      <c r="FT516" s="305"/>
      <c r="FU516" s="305"/>
      <c r="FV516" s="305"/>
      <c r="FW516" s="305"/>
      <c r="FX516" s="305"/>
      <c r="FY516" s="305"/>
      <c r="FZ516" s="305"/>
      <c r="GA516" s="305"/>
      <c r="GB516" s="305"/>
      <c r="GC516" s="305"/>
      <c r="GD516" s="305"/>
      <c r="GE516" s="305"/>
      <c r="GF516" s="305"/>
      <c r="GG516" s="305"/>
      <c r="GH516" s="305"/>
      <c r="GI516" s="305"/>
      <c r="GJ516" s="305"/>
      <c r="GK516" s="305"/>
      <c r="GL516" s="305"/>
      <c r="GM516" s="305"/>
      <c r="GN516" s="305"/>
      <c r="GO516" s="305"/>
      <c r="GP516" s="305"/>
      <c r="GQ516" s="305"/>
      <c r="GR516" s="305"/>
    </row>
    <row r="517" spans="3:200" s="318" customFormat="1" ht="12.75" customHeight="1" x14ac:dyDescent="0.2">
      <c r="C517" s="367"/>
      <c r="D517" s="403"/>
      <c r="E517" s="369"/>
      <c r="F517" s="369"/>
      <c r="G517" s="369"/>
      <c r="H517" s="369"/>
      <c r="I517" s="370"/>
      <c r="J517"/>
      <c r="K517" s="371"/>
      <c r="L517" s="371"/>
      <c r="M517" s="371"/>
      <c r="N517" s="371"/>
      <c r="O517" s="305"/>
      <c r="P517" s="305"/>
      <c r="Q517" s="305"/>
      <c r="R517" s="305"/>
      <c r="S517" s="305"/>
      <c r="T517" s="305"/>
      <c r="U517" s="305"/>
      <c r="V517" s="305"/>
      <c r="W517" s="305"/>
      <c r="X517" s="305"/>
      <c r="Y517" s="305"/>
      <c r="Z517" s="305"/>
      <c r="AA517" s="305"/>
      <c r="AB517" s="305"/>
      <c r="AC517" s="305"/>
      <c r="AD517" s="305"/>
      <c r="AE517" s="305"/>
      <c r="AF517" s="305"/>
      <c r="AG517" s="305"/>
      <c r="AH517" s="305"/>
      <c r="AI517" s="305"/>
      <c r="AJ517" s="305"/>
      <c r="AK517" s="305"/>
      <c r="AL517" s="305"/>
      <c r="AM517" s="305"/>
      <c r="AN517" s="305"/>
      <c r="AO517" s="305"/>
      <c r="AP517" s="305"/>
      <c r="AQ517" s="305"/>
      <c r="AR517" s="305"/>
      <c r="AS517" s="305"/>
      <c r="AT517" s="305"/>
      <c r="AU517" s="305"/>
      <c r="AV517" s="305"/>
      <c r="AW517" s="305"/>
      <c r="AX517" s="305"/>
      <c r="AY517" s="305"/>
      <c r="AZ517" s="305"/>
      <c r="BA517" s="305"/>
      <c r="BB517" s="305"/>
      <c r="BC517" s="305"/>
      <c r="BD517" s="305"/>
      <c r="BE517" s="305"/>
      <c r="BF517" s="305"/>
      <c r="BG517" s="305"/>
      <c r="BH517" s="305"/>
      <c r="BI517" s="305"/>
      <c r="BJ517" s="305"/>
      <c r="BK517" s="305"/>
      <c r="BL517" s="305"/>
      <c r="BM517" s="305"/>
      <c r="BN517" s="305"/>
      <c r="BO517" s="305"/>
      <c r="BP517" s="305"/>
      <c r="BQ517" s="305"/>
      <c r="BR517" s="305"/>
      <c r="BS517" s="305"/>
      <c r="BT517" s="305"/>
      <c r="BU517" s="305"/>
      <c r="BV517" s="305"/>
      <c r="BW517" s="305"/>
      <c r="BX517" s="305"/>
      <c r="BY517" s="305"/>
      <c r="BZ517" s="305"/>
      <c r="CA517" s="305"/>
      <c r="CB517" s="305"/>
      <c r="CC517" s="305"/>
      <c r="CD517" s="305"/>
      <c r="CE517" s="305"/>
      <c r="CF517" s="305"/>
      <c r="CG517" s="305"/>
      <c r="CH517" s="305"/>
      <c r="CI517" s="305"/>
      <c r="CJ517" s="305"/>
      <c r="CK517" s="305"/>
      <c r="CL517" s="305"/>
      <c r="CM517" s="305"/>
      <c r="CN517" s="305"/>
      <c r="CO517" s="305"/>
      <c r="CP517" s="305"/>
      <c r="CQ517" s="305"/>
      <c r="CR517" s="305"/>
      <c r="CS517" s="305"/>
      <c r="CT517" s="305"/>
      <c r="CU517" s="305"/>
      <c r="CV517" s="305"/>
      <c r="CW517" s="305"/>
      <c r="CX517" s="305"/>
      <c r="CY517" s="305"/>
      <c r="CZ517" s="305"/>
      <c r="DA517" s="305"/>
      <c r="DB517" s="305"/>
      <c r="DC517" s="305"/>
      <c r="DD517" s="305"/>
      <c r="DE517" s="305"/>
      <c r="DF517" s="305"/>
      <c r="DG517" s="305"/>
      <c r="DH517" s="305"/>
      <c r="DI517" s="305"/>
      <c r="DJ517" s="305"/>
      <c r="DK517" s="305"/>
      <c r="DL517" s="305"/>
      <c r="DM517" s="305"/>
      <c r="DN517" s="305"/>
      <c r="DO517" s="305"/>
      <c r="DP517" s="305"/>
      <c r="DQ517" s="305"/>
      <c r="DR517" s="305"/>
      <c r="DS517" s="305"/>
      <c r="DT517" s="305"/>
      <c r="DU517" s="305"/>
      <c r="DV517" s="305"/>
      <c r="DW517" s="305"/>
      <c r="DX517" s="305"/>
      <c r="DY517" s="305"/>
      <c r="DZ517" s="305"/>
      <c r="EA517" s="305"/>
      <c r="EB517" s="305"/>
      <c r="EC517" s="305"/>
      <c r="ED517" s="305"/>
      <c r="EE517" s="305"/>
      <c r="EF517" s="305"/>
      <c r="EG517" s="305"/>
      <c r="EH517" s="305"/>
      <c r="EI517" s="305"/>
      <c r="EJ517" s="305"/>
      <c r="EK517" s="305"/>
      <c r="EL517" s="305"/>
      <c r="EM517" s="305"/>
      <c r="EN517" s="305"/>
      <c r="EO517" s="305"/>
      <c r="EP517" s="305"/>
      <c r="EQ517" s="305"/>
      <c r="ER517" s="305"/>
      <c r="ES517" s="305"/>
      <c r="ET517" s="305"/>
      <c r="EU517" s="305"/>
      <c r="EV517" s="305"/>
      <c r="EW517" s="305"/>
      <c r="EX517" s="305"/>
      <c r="EY517" s="305"/>
      <c r="EZ517" s="305"/>
      <c r="FA517" s="305"/>
      <c r="FB517" s="305"/>
      <c r="FC517" s="305"/>
      <c r="FD517" s="305"/>
      <c r="FE517" s="305"/>
      <c r="FF517" s="305"/>
      <c r="FG517" s="305"/>
      <c r="FH517" s="305"/>
      <c r="FI517" s="305"/>
      <c r="FJ517" s="305"/>
      <c r="FK517" s="305"/>
      <c r="FL517" s="305"/>
      <c r="FM517" s="305"/>
      <c r="FN517" s="305"/>
      <c r="FO517" s="305"/>
      <c r="FP517" s="305"/>
      <c r="FQ517" s="305"/>
      <c r="FR517" s="305"/>
      <c r="FS517" s="305"/>
      <c r="FT517" s="305"/>
      <c r="FU517" s="305"/>
      <c r="FV517" s="305"/>
      <c r="FW517" s="305"/>
      <c r="FX517" s="305"/>
      <c r="FY517" s="305"/>
      <c r="FZ517" s="305"/>
      <c r="GA517" s="305"/>
      <c r="GB517" s="305"/>
      <c r="GC517" s="305"/>
      <c r="GD517" s="305"/>
      <c r="GE517" s="305"/>
      <c r="GF517" s="305"/>
      <c r="GG517" s="305"/>
      <c r="GH517" s="305"/>
      <c r="GI517" s="305"/>
      <c r="GJ517" s="305"/>
      <c r="GK517" s="305"/>
      <c r="GL517" s="305"/>
      <c r="GM517" s="305"/>
      <c r="GN517" s="305"/>
      <c r="GO517" s="305"/>
      <c r="GP517" s="305"/>
      <c r="GQ517" s="305"/>
      <c r="GR517" s="305"/>
    </row>
    <row r="518" spans="3:200" s="318" customFormat="1" ht="12.75" customHeight="1" x14ac:dyDescent="0.2">
      <c r="C518" s="367"/>
      <c r="D518" s="403"/>
      <c r="E518" s="369"/>
      <c r="F518" s="369"/>
      <c r="G518" s="369"/>
      <c r="H518" s="369"/>
      <c r="I518" s="370"/>
      <c r="J518"/>
      <c r="K518" s="371"/>
      <c r="L518" s="371"/>
      <c r="M518" s="371"/>
      <c r="N518" s="371"/>
      <c r="O518" s="305"/>
      <c r="P518" s="305"/>
      <c r="Q518" s="305"/>
      <c r="R518" s="305"/>
      <c r="S518" s="305"/>
      <c r="T518" s="305"/>
      <c r="U518" s="305"/>
      <c r="V518" s="305"/>
      <c r="W518" s="305"/>
      <c r="X518" s="305"/>
      <c r="Y518" s="305"/>
      <c r="Z518" s="305"/>
      <c r="AA518" s="305"/>
      <c r="AB518" s="305"/>
      <c r="AC518" s="305"/>
      <c r="AD518" s="305"/>
      <c r="AE518" s="305"/>
      <c r="AF518" s="305"/>
      <c r="AG518" s="305"/>
      <c r="AH518" s="305"/>
      <c r="AI518" s="305"/>
      <c r="AJ518" s="305"/>
      <c r="AK518" s="305"/>
      <c r="AL518" s="305"/>
      <c r="AM518" s="305"/>
      <c r="AN518" s="305"/>
      <c r="AO518" s="305"/>
      <c r="AP518" s="305"/>
      <c r="AQ518" s="305"/>
      <c r="AR518" s="305"/>
      <c r="AS518" s="305"/>
      <c r="AT518" s="305"/>
      <c r="AU518" s="305"/>
      <c r="AV518" s="305"/>
      <c r="AW518" s="305"/>
      <c r="AX518" s="305"/>
      <c r="AY518" s="305"/>
      <c r="AZ518" s="305"/>
      <c r="BA518" s="305"/>
      <c r="BB518" s="305"/>
      <c r="BC518" s="305"/>
      <c r="BD518" s="305"/>
      <c r="BE518" s="305"/>
      <c r="BF518" s="305"/>
      <c r="BG518" s="305"/>
      <c r="BH518" s="305"/>
      <c r="BI518" s="305"/>
      <c r="BJ518" s="305"/>
      <c r="BK518" s="305"/>
      <c r="BL518" s="305"/>
      <c r="BM518" s="305"/>
      <c r="BN518" s="305"/>
      <c r="BO518" s="305"/>
      <c r="BP518" s="305"/>
      <c r="BQ518" s="305"/>
      <c r="BR518" s="305"/>
      <c r="BS518" s="305"/>
      <c r="BT518" s="305"/>
      <c r="BU518" s="305"/>
      <c r="BV518" s="305"/>
      <c r="BW518" s="305"/>
      <c r="BX518" s="305"/>
      <c r="BY518" s="305"/>
      <c r="BZ518" s="305"/>
      <c r="CA518" s="305"/>
      <c r="CB518" s="305"/>
      <c r="CC518" s="305"/>
      <c r="CD518" s="305"/>
      <c r="CE518" s="305"/>
      <c r="CF518" s="305"/>
      <c r="CG518" s="305"/>
      <c r="CH518" s="305"/>
      <c r="CI518" s="305"/>
      <c r="CJ518" s="305"/>
      <c r="CK518" s="305"/>
      <c r="CL518" s="305"/>
      <c r="CM518" s="305"/>
      <c r="CN518" s="305"/>
      <c r="CO518" s="305"/>
      <c r="CP518" s="305"/>
      <c r="CQ518" s="305"/>
      <c r="CR518" s="305"/>
      <c r="CS518" s="305"/>
      <c r="CT518" s="305"/>
      <c r="CU518" s="305"/>
      <c r="CV518" s="305"/>
      <c r="CW518" s="305"/>
      <c r="CX518" s="305"/>
      <c r="CY518" s="305"/>
      <c r="CZ518" s="305"/>
      <c r="DA518" s="305"/>
      <c r="DB518" s="305"/>
      <c r="DC518" s="305"/>
      <c r="DD518" s="305"/>
      <c r="DE518" s="305"/>
      <c r="DF518" s="305"/>
      <c r="DG518" s="305"/>
      <c r="DH518" s="305"/>
      <c r="DI518" s="305"/>
      <c r="DJ518" s="305"/>
      <c r="DK518" s="305"/>
      <c r="DL518" s="305"/>
      <c r="DM518" s="305"/>
      <c r="DN518" s="305"/>
      <c r="DO518" s="305"/>
      <c r="DP518" s="305"/>
      <c r="DQ518" s="305"/>
      <c r="DR518" s="305"/>
      <c r="DS518" s="305"/>
      <c r="DT518" s="305"/>
      <c r="DU518" s="305"/>
      <c r="DV518" s="305"/>
      <c r="DW518" s="305"/>
      <c r="DX518" s="305"/>
      <c r="DY518" s="305"/>
      <c r="DZ518" s="305"/>
      <c r="EA518" s="305"/>
      <c r="EB518" s="305"/>
      <c r="EC518" s="305"/>
      <c r="ED518" s="305"/>
      <c r="EE518" s="305"/>
      <c r="EF518" s="305"/>
      <c r="EG518" s="305"/>
      <c r="EH518" s="305"/>
      <c r="EI518" s="305"/>
      <c r="EJ518" s="305"/>
      <c r="EK518" s="305"/>
      <c r="EL518" s="305"/>
      <c r="EM518" s="305"/>
      <c r="EN518" s="305"/>
      <c r="EO518" s="305"/>
      <c r="EP518" s="305"/>
      <c r="EQ518" s="305"/>
      <c r="ER518" s="305"/>
      <c r="ES518" s="305"/>
      <c r="ET518" s="305"/>
      <c r="EU518" s="305"/>
      <c r="EV518" s="305"/>
      <c r="EW518" s="305"/>
      <c r="EX518" s="305"/>
      <c r="EY518" s="305"/>
      <c r="EZ518" s="305"/>
      <c r="FA518" s="305"/>
      <c r="FB518" s="305"/>
      <c r="FC518" s="305"/>
      <c r="FD518" s="305"/>
      <c r="FE518" s="305"/>
      <c r="FF518" s="305"/>
      <c r="FG518" s="305"/>
      <c r="FH518" s="305"/>
      <c r="FI518" s="305"/>
      <c r="FJ518" s="305"/>
      <c r="FK518" s="305"/>
      <c r="FL518" s="305"/>
      <c r="FM518" s="305"/>
      <c r="FN518" s="305"/>
      <c r="FO518" s="305"/>
      <c r="FP518" s="305"/>
      <c r="FQ518" s="305"/>
      <c r="FR518" s="305"/>
      <c r="FS518" s="305"/>
      <c r="FT518" s="305"/>
      <c r="FU518" s="305"/>
      <c r="FV518" s="305"/>
      <c r="FW518" s="305"/>
      <c r="FX518" s="305"/>
      <c r="FY518" s="305"/>
      <c r="FZ518" s="305"/>
      <c r="GA518" s="305"/>
      <c r="GB518" s="305"/>
      <c r="GC518" s="305"/>
      <c r="GD518" s="305"/>
      <c r="GE518" s="305"/>
      <c r="GF518" s="305"/>
      <c r="GG518" s="305"/>
      <c r="GH518" s="305"/>
      <c r="GI518" s="305"/>
      <c r="GJ518" s="305"/>
      <c r="GK518" s="305"/>
      <c r="GL518" s="305"/>
      <c r="GM518" s="305"/>
      <c r="GN518" s="305"/>
      <c r="GO518" s="305"/>
      <c r="GP518" s="305"/>
      <c r="GQ518" s="305"/>
      <c r="GR518" s="305"/>
    </row>
    <row r="519" spans="3:200" s="318" customFormat="1" ht="12.75" customHeight="1" x14ac:dyDescent="0.2">
      <c r="C519" s="367"/>
      <c r="D519" s="403"/>
      <c r="E519" s="369"/>
      <c r="F519" s="369"/>
      <c r="G519" s="369"/>
      <c r="H519" s="369"/>
      <c r="I519" s="370"/>
      <c r="J519"/>
      <c r="K519" s="371"/>
      <c r="L519" s="371"/>
      <c r="M519" s="371"/>
      <c r="N519" s="371"/>
      <c r="O519" s="305"/>
      <c r="P519" s="305"/>
      <c r="Q519" s="305"/>
      <c r="R519" s="305"/>
      <c r="S519" s="305"/>
      <c r="T519" s="305"/>
      <c r="U519" s="305"/>
      <c r="V519" s="305"/>
      <c r="W519" s="305"/>
      <c r="X519" s="305"/>
      <c r="Y519" s="305"/>
      <c r="Z519" s="305"/>
      <c r="AA519" s="305"/>
      <c r="AB519" s="305"/>
      <c r="AC519" s="305"/>
      <c r="AD519" s="305"/>
      <c r="AE519" s="305"/>
      <c r="AF519" s="305"/>
      <c r="AG519" s="305"/>
      <c r="AH519" s="305"/>
      <c r="AI519" s="305"/>
      <c r="AJ519" s="305"/>
      <c r="AK519" s="305"/>
      <c r="AL519" s="305"/>
      <c r="AM519" s="305"/>
      <c r="AN519" s="305"/>
      <c r="AO519" s="305"/>
      <c r="AP519" s="305"/>
      <c r="AQ519" s="305"/>
      <c r="AR519" s="305"/>
      <c r="AS519" s="305"/>
      <c r="AT519" s="305"/>
      <c r="AU519" s="305"/>
      <c r="AV519" s="305"/>
      <c r="AW519" s="305"/>
      <c r="AX519" s="305"/>
      <c r="AY519" s="305"/>
      <c r="AZ519" s="305"/>
      <c r="BA519" s="305"/>
      <c r="BB519" s="305"/>
      <c r="BC519" s="305"/>
      <c r="BD519" s="305"/>
      <c r="BE519" s="305"/>
      <c r="BF519" s="305"/>
      <c r="BG519" s="305"/>
      <c r="BH519" s="305"/>
      <c r="BI519" s="305"/>
      <c r="BJ519" s="305"/>
      <c r="BK519" s="305"/>
      <c r="BL519" s="305"/>
      <c r="BM519" s="305"/>
      <c r="BN519" s="305"/>
      <c r="BO519" s="305"/>
      <c r="BP519" s="305"/>
      <c r="BQ519" s="305"/>
      <c r="BR519" s="305"/>
      <c r="BS519" s="305"/>
      <c r="BT519" s="305"/>
      <c r="BU519" s="305"/>
      <c r="BV519" s="305"/>
      <c r="BW519" s="305"/>
      <c r="BX519" s="305"/>
      <c r="BY519" s="305"/>
      <c r="BZ519" s="305"/>
      <c r="CA519" s="305"/>
      <c r="CB519" s="305"/>
      <c r="CC519" s="305"/>
      <c r="CD519" s="305"/>
      <c r="CE519" s="305"/>
      <c r="CF519" s="305"/>
      <c r="CG519" s="305"/>
      <c r="CH519" s="305"/>
      <c r="CI519" s="305"/>
      <c r="CJ519" s="305"/>
      <c r="CK519" s="305"/>
      <c r="CL519" s="305"/>
      <c r="CM519" s="305"/>
      <c r="CN519" s="305"/>
      <c r="CO519" s="305"/>
      <c r="CP519" s="305"/>
      <c r="CQ519" s="305"/>
      <c r="CR519" s="305"/>
      <c r="CS519" s="305"/>
      <c r="CT519" s="305"/>
      <c r="CU519" s="305"/>
      <c r="CV519" s="305"/>
      <c r="CW519" s="305"/>
      <c r="CX519" s="305"/>
      <c r="CY519" s="305"/>
      <c r="CZ519" s="305"/>
      <c r="DA519" s="305"/>
      <c r="DB519" s="305"/>
      <c r="DC519" s="305"/>
      <c r="DD519" s="305"/>
      <c r="DE519" s="305"/>
      <c r="DF519" s="305"/>
      <c r="DG519" s="305"/>
      <c r="DH519" s="305"/>
      <c r="DI519" s="305"/>
      <c r="DJ519" s="305"/>
      <c r="DK519" s="305"/>
      <c r="DL519" s="305"/>
      <c r="DM519" s="305"/>
      <c r="DN519" s="305"/>
      <c r="DO519" s="305"/>
      <c r="DP519" s="305"/>
      <c r="DQ519" s="305"/>
      <c r="DR519" s="305"/>
      <c r="DS519" s="305"/>
      <c r="DT519" s="305"/>
      <c r="DU519" s="305"/>
      <c r="DV519" s="305"/>
      <c r="DW519" s="305"/>
      <c r="DX519" s="305"/>
      <c r="DY519" s="305"/>
      <c r="DZ519" s="305"/>
      <c r="EA519" s="305"/>
      <c r="EB519" s="305"/>
      <c r="EC519" s="305"/>
      <c r="ED519" s="305"/>
      <c r="EE519" s="305"/>
      <c r="EF519" s="305"/>
      <c r="EG519" s="305"/>
      <c r="EH519" s="305"/>
      <c r="EI519" s="305"/>
      <c r="EJ519" s="305"/>
      <c r="EK519" s="305"/>
      <c r="EL519" s="305"/>
      <c r="EM519" s="305"/>
      <c r="EN519" s="305"/>
      <c r="EO519" s="305"/>
      <c r="EP519" s="305"/>
      <c r="EQ519" s="305"/>
      <c r="ER519" s="305"/>
      <c r="ES519" s="305"/>
      <c r="ET519" s="305"/>
      <c r="EU519" s="305"/>
      <c r="EV519" s="305"/>
      <c r="EW519" s="305"/>
      <c r="EX519" s="305"/>
      <c r="EY519" s="305"/>
      <c r="EZ519" s="305"/>
      <c r="FA519" s="305"/>
      <c r="FB519" s="305"/>
      <c r="FC519" s="305"/>
      <c r="FD519" s="305"/>
      <c r="FE519" s="305"/>
      <c r="FF519" s="305"/>
      <c r="FG519" s="305"/>
      <c r="FH519" s="305"/>
      <c r="FI519" s="305"/>
      <c r="FJ519" s="305"/>
      <c r="FK519" s="305"/>
      <c r="FL519" s="305"/>
      <c r="FM519" s="305"/>
      <c r="FN519" s="305"/>
      <c r="FO519" s="305"/>
      <c r="FP519" s="305"/>
      <c r="FQ519" s="305"/>
      <c r="FR519" s="305"/>
      <c r="FS519" s="305"/>
      <c r="FT519" s="305"/>
      <c r="FU519" s="305"/>
      <c r="FV519" s="305"/>
      <c r="FW519" s="305"/>
      <c r="FX519" s="305"/>
      <c r="FY519" s="305"/>
      <c r="FZ519" s="305"/>
      <c r="GA519" s="305"/>
      <c r="GB519" s="305"/>
      <c r="GC519" s="305"/>
      <c r="GD519" s="305"/>
      <c r="GE519" s="305"/>
      <c r="GF519" s="305"/>
      <c r="GG519" s="305"/>
      <c r="GH519" s="305"/>
      <c r="GI519" s="305"/>
      <c r="GJ519" s="305"/>
      <c r="GK519" s="305"/>
      <c r="GL519" s="305"/>
      <c r="GM519" s="305"/>
      <c r="GN519" s="305"/>
      <c r="GO519" s="305"/>
      <c r="GP519" s="305"/>
      <c r="GQ519" s="305"/>
      <c r="GR519" s="305"/>
    </row>
    <row r="520" spans="3:200" s="318" customFormat="1" ht="12.75" customHeight="1" x14ac:dyDescent="0.2">
      <c r="C520" s="367"/>
      <c r="D520" s="403"/>
      <c r="E520" s="369"/>
      <c r="F520" s="369"/>
      <c r="G520" s="369"/>
      <c r="H520" s="369"/>
      <c r="I520" s="370"/>
      <c r="J520"/>
      <c r="K520" s="371"/>
      <c r="L520" s="371"/>
      <c r="M520" s="371"/>
      <c r="N520" s="371"/>
      <c r="O520" s="305"/>
      <c r="P520" s="305"/>
      <c r="Q520" s="305"/>
      <c r="R520" s="305"/>
      <c r="S520" s="305"/>
      <c r="T520" s="305"/>
      <c r="U520" s="305"/>
      <c r="V520" s="305"/>
      <c r="W520" s="305"/>
      <c r="X520" s="305"/>
      <c r="Y520" s="305"/>
      <c r="Z520" s="305"/>
      <c r="AA520" s="305"/>
      <c r="AB520" s="305"/>
      <c r="AC520" s="305"/>
      <c r="AD520" s="305"/>
      <c r="AE520" s="305"/>
      <c r="AF520" s="305"/>
      <c r="AG520" s="305"/>
      <c r="AH520" s="305"/>
      <c r="AI520" s="305"/>
      <c r="AJ520" s="305"/>
      <c r="AK520" s="305"/>
      <c r="AL520" s="305"/>
      <c r="AM520" s="305"/>
      <c r="AN520" s="305"/>
      <c r="AO520" s="305"/>
      <c r="AP520" s="305"/>
      <c r="AQ520" s="305"/>
      <c r="AR520" s="305"/>
      <c r="AS520" s="305"/>
      <c r="AT520" s="305"/>
      <c r="AU520" s="305"/>
      <c r="AV520" s="305"/>
      <c r="AW520" s="305"/>
      <c r="AX520" s="305"/>
      <c r="AY520" s="305"/>
      <c r="AZ520" s="305"/>
      <c r="BA520" s="305"/>
      <c r="BB520" s="305"/>
      <c r="BC520" s="305"/>
      <c r="BD520" s="305"/>
      <c r="BE520" s="305"/>
      <c r="BF520" s="305"/>
      <c r="BG520" s="305"/>
      <c r="BH520" s="305"/>
      <c r="BI520" s="305"/>
      <c r="BJ520" s="305"/>
      <c r="BK520" s="305"/>
      <c r="BL520" s="305"/>
      <c r="BM520" s="305"/>
      <c r="BN520" s="305"/>
      <c r="BO520" s="305"/>
      <c r="BP520" s="305"/>
      <c r="BQ520" s="305"/>
      <c r="BR520" s="305"/>
      <c r="BS520" s="305"/>
      <c r="BT520" s="305"/>
      <c r="BU520" s="305"/>
      <c r="BV520" s="305"/>
      <c r="BW520" s="305"/>
      <c r="BX520" s="305"/>
      <c r="BY520" s="305"/>
      <c r="BZ520" s="305"/>
      <c r="CA520" s="305"/>
      <c r="CB520" s="305"/>
      <c r="CC520" s="305"/>
      <c r="CD520" s="305"/>
      <c r="CE520" s="305"/>
      <c r="CF520" s="305"/>
      <c r="CG520" s="305"/>
      <c r="CH520" s="305"/>
      <c r="CI520" s="305"/>
      <c r="CJ520" s="305"/>
      <c r="CK520" s="305"/>
      <c r="CL520" s="305"/>
      <c r="CM520" s="305"/>
      <c r="CN520" s="305"/>
      <c r="CO520" s="305"/>
      <c r="CP520" s="305"/>
      <c r="CQ520" s="305"/>
      <c r="CR520" s="305"/>
      <c r="CS520" s="305"/>
      <c r="CT520" s="305"/>
      <c r="CU520" s="305"/>
      <c r="CV520" s="305"/>
      <c r="CW520" s="305"/>
      <c r="CX520" s="305"/>
      <c r="CY520" s="305"/>
      <c r="CZ520" s="305"/>
      <c r="DA520" s="305"/>
      <c r="DB520" s="305"/>
      <c r="DC520" s="305"/>
      <c r="DD520" s="305"/>
      <c r="DE520" s="305"/>
      <c r="DF520" s="305"/>
      <c r="DG520" s="305"/>
      <c r="DH520" s="305"/>
      <c r="DI520" s="305"/>
      <c r="DJ520" s="305"/>
      <c r="DK520" s="305"/>
      <c r="DL520" s="305"/>
      <c r="DM520" s="305"/>
      <c r="DN520" s="305"/>
      <c r="DO520" s="305"/>
      <c r="DP520" s="305"/>
      <c r="DQ520" s="305"/>
      <c r="DR520" s="305"/>
      <c r="DS520" s="305"/>
      <c r="DT520" s="305"/>
      <c r="DU520" s="305"/>
      <c r="DV520" s="305"/>
      <c r="DW520" s="305"/>
      <c r="DX520" s="305"/>
      <c r="DY520" s="305"/>
      <c r="DZ520" s="305"/>
      <c r="EA520" s="305"/>
      <c r="EB520" s="305"/>
      <c r="EC520" s="305"/>
      <c r="ED520" s="305"/>
      <c r="EE520" s="305"/>
      <c r="EF520" s="305"/>
      <c r="EG520" s="305"/>
      <c r="EH520" s="305"/>
      <c r="EI520" s="305"/>
      <c r="EJ520" s="305"/>
      <c r="EK520" s="305"/>
      <c r="EL520" s="305"/>
      <c r="EM520" s="305"/>
      <c r="EN520" s="305"/>
      <c r="EO520" s="305"/>
      <c r="EP520" s="305"/>
      <c r="EQ520" s="305"/>
      <c r="ER520" s="305"/>
      <c r="ES520" s="305"/>
      <c r="ET520" s="305"/>
      <c r="EU520" s="305"/>
      <c r="EV520" s="305"/>
      <c r="EW520" s="305"/>
      <c r="EX520" s="305"/>
      <c r="EY520" s="305"/>
      <c r="EZ520" s="305"/>
      <c r="FA520" s="305"/>
      <c r="FB520" s="305"/>
      <c r="FC520" s="305"/>
      <c r="FD520" s="305"/>
      <c r="FE520" s="305"/>
      <c r="FF520" s="305"/>
      <c r="FG520" s="305"/>
      <c r="FH520" s="305"/>
      <c r="FI520" s="305"/>
      <c r="FJ520" s="305"/>
      <c r="FK520" s="305"/>
      <c r="FL520" s="305"/>
      <c r="FM520" s="305"/>
      <c r="FN520" s="305"/>
      <c r="FO520" s="305"/>
      <c r="FP520" s="305"/>
      <c r="FQ520" s="305"/>
      <c r="FR520" s="305"/>
      <c r="FS520" s="305"/>
      <c r="FT520" s="305"/>
      <c r="FU520" s="305"/>
      <c r="FV520" s="305"/>
      <c r="FW520" s="305"/>
      <c r="FX520" s="305"/>
      <c r="FY520" s="305"/>
      <c r="FZ520" s="305"/>
      <c r="GA520" s="305"/>
      <c r="GB520" s="305"/>
      <c r="GC520" s="305"/>
      <c r="GD520" s="305"/>
      <c r="GE520" s="305"/>
      <c r="GF520" s="305"/>
      <c r="GG520" s="305"/>
      <c r="GH520" s="305"/>
      <c r="GI520" s="305"/>
      <c r="GJ520" s="305"/>
      <c r="GK520" s="305"/>
      <c r="GL520" s="305"/>
      <c r="GM520" s="305"/>
      <c r="GN520" s="305"/>
      <c r="GO520" s="305"/>
      <c r="GP520" s="305"/>
      <c r="GQ520" s="305"/>
      <c r="GR520" s="305"/>
    </row>
    <row r="521" spans="3:200" s="318" customFormat="1" ht="12.75" customHeight="1" x14ac:dyDescent="0.2">
      <c r="C521" s="367"/>
      <c r="D521" s="403"/>
      <c r="E521" s="369"/>
      <c r="F521" s="369"/>
      <c r="G521" s="369"/>
      <c r="H521" s="369"/>
      <c r="I521" s="370"/>
      <c r="J521"/>
      <c r="K521" s="371"/>
      <c r="L521" s="371"/>
      <c r="M521" s="371"/>
      <c r="N521" s="371"/>
      <c r="O521" s="305"/>
      <c r="P521" s="305"/>
      <c r="Q521" s="305"/>
      <c r="R521" s="305"/>
      <c r="S521" s="305"/>
      <c r="T521" s="305"/>
      <c r="U521" s="305"/>
      <c r="V521" s="305"/>
      <c r="W521" s="305"/>
      <c r="X521" s="305"/>
      <c r="Y521" s="305"/>
      <c r="Z521" s="305"/>
      <c r="AA521" s="305"/>
      <c r="AB521" s="305"/>
      <c r="AC521" s="305"/>
      <c r="AD521" s="305"/>
      <c r="AE521" s="305"/>
      <c r="AF521" s="305"/>
      <c r="AG521" s="305"/>
      <c r="AH521" s="305"/>
      <c r="AI521" s="305"/>
      <c r="AJ521" s="305"/>
      <c r="AK521" s="305"/>
      <c r="AL521" s="305"/>
      <c r="AM521" s="305"/>
      <c r="AN521" s="305"/>
      <c r="AO521" s="305"/>
      <c r="AP521" s="305"/>
      <c r="AQ521" s="305"/>
      <c r="AR521" s="305"/>
      <c r="AS521" s="305"/>
      <c r="AT521" s="305"/>
      <c r="AU521" s="305"/>
      <c r="AV521" s="305"/>
      <c r="AW521" s="305"/>
      <c r="AX521" s="305"/>
      <c r="AY521" s="305"/>
      <c r="AZ521" s="305"/>
      <c r="BA521" s="305"/>
      <c r="BB521" s="305"/>
      <c r="BC521" s="305"/>
      <c r="BD521" s="305"/>
      <c r="BE521" s="305"/>
      <c r="BF521" s="305"/>
      <c r="BG521" s="305"/>
      <c r="BH521" s="305"/>
      <c r="BI521" s="305"/>
      <c r="BJ521" s="305"/>
      <c r="BK521" s="305"/>
      <c r="BL521" s="305"/>
      <c r="BM521" s="305"/>
      <c r="BN521" s="305"/>
      <c r="BO521" s="305"/>
      <c r="BP521" s="305"/>
      <c r="BQ521" s="305"/>
      <c r="BR521" s="305"/>
      <c r="BS521" s="305"/>
      <c r="BT521" s="305"/>
      <c r="BU521" s="305"/>
      <c r="BV521" s="305"/>
      <c r="BW521" s="305"/>
      <c r="BX521" s="305"/>
      <c r="BY521" s="305"/>
      <c r="BZ521" s="305"/>
      <c r="CA521" s="305"/>
      <c r="CB521" s="305"/>
      <c r="CC521" s="305"/>
      <c r="CD521" s="305"/>
      <c r="CE521" s="305"/>
      <c r="CF521" s="305"/>
      <c r="CG521" s="305"/>
      <c r="CH521" s="305"/>
      <c r="CI521" s="305"/>
      <c r="CJ521" s="305"/>
      <c r="CK521" s="305"/>
      <c r="CL521" s="305"/>
      <c r="CM521" s="305"/>
      <c r="CN521" s="305"/>
      <c r="CO521" s="305"/>
      <c r="CP521" s="305"/>
      <c r="CQ521" s="305"/>
      <c r="CR521" s="305"/>
      <c r="CS521" s="305"/>
      <c r="CT521" s="305"/>
      <c r="CU521" s="305"/>
      <c r="CV521" s="305"/>
      <c r="CW521" s="305"/>
      <c r="CX521" s="305"/>
      <c r="CY521" s="305"/>
      <c r="CZ521" s="305"/>
      <c r="DA521" s="305"/>
      <c r="DB521" s="305"/>
      <c r="DC521" s="305"/>
      <c r="DD521" s="305"/>
      <c r="DE521" s="305"/>
      <c r="DF521" s="305"/>
      <c r="DG521" s="305"/>
      <c r="DH521" s="305"/>
      <c r="DI521" s="305"/>
      <c r="DJ521" s="305"/>
      <c r="DK521" s="305"/>
      <c r="DL521" s="305"/>
      <c r="DM521" s="305"/>
      <c r="DN521" s="305"/>
      <c r="DO521" s="305"/>
      <c r="DP521" s="305"/>
      <c r="DQ521" s="305"/>
      <c r="DR521" s="305"/>
      <c r="DS521" s="305"/>
      <c r="DT521" s="305"/>
      <c r="DU521" s="305"/>
      <c r="DV521" s="305"/>
      <c r="DW521" s="305"/>
      <c r="DX521" s="305"/>
      <c r="DY521" s="305"/>
      <c r="DZ521" s="305"/>
      <c r="EA521" s="305"/>
      <c r="EB521" s="305"/>
      <c r="EC521" s="305"/>
      <c r="ED521" s="305"/>
      <c r="EE521" s="305"/>
      <c r="EF521" s="305"/>
      <c r="EG521" s="305"/>
      <c r="EH521" s="305"/>
      <c r="EI521" s="305"/>
      <c r="EJ521" s="305"/>
      <c r="EK521" s="305"/>
      <c r="EL521" s="305"/>
      <c r="EM521" s="305"/>
      <c r="EN521" s="305"/>
      <c r="EO521" s="305"/>
      <c r="EP521" s="305"/>
      <c r="EQ521" s="305"/>
      <c r="ER521" s="305"/>
      <c r="ES521" s="305"/>
      <c r="ET521" s="305"/>
      <c r="EU521" s="305"/>
      <c r="EV521" s="305"/>
      <c r="EW521" s="305"/>
      <c r="EX521" s="305"/>
      <c r="EY521" s="305"/>
      <c r="EZ521" s="305"/>
      <c r="FA521" s="305"/>
      <c r="FB521" s="305"/>
      <c r="FC521" s="305"/>
      <c r="FD521" s="305"/>
      <c r="FE521" s="305"/>
      <c r="FF521" s="305"/>
      <c r="FG521" s="305"/>
      <c r="FH521" s="305"/>
      <c r="FI521" s="305"/>
      <c r="FJ521" s="305"/>
      <c r="FK521" s="305"/>
      <c r="FL521" s="305"/>
      <c r="FM521" s="305"/>
      <c r="FN521" s="305"/>
      <c r="FO521" s="305"/>
      <c r="FP521" s="305"/>
      <c r="FQ521" s="305"/>
      <c r="FR521" s="305"/>
      <c r="FS521" s="305"/>
      <c r="FT521" s="305"/>
      <c r="FU521" s="305"/>
      <c r="FV521" s="305"/>
      <c r="FW521" s="305"/>
      <c r="FX521" s="305"/>
      <c r="FY521" s="305"/>
      <c r="FZ521" s="305"/>
      <c r="GA521" s="305"/>
      <c r="GB521" s="305"/>
      <c r="GC521" s="305"/>
      <c r="GD521" s="305"/>
      <c r="GE521" s="305"/>
      <c r="GF521" s="305"/>
      <c r="GG521" s="305"/>
      <c r="GH521" s="305"/>
      <c r="GI521" s="305"/>
      <c r="GJ521" s="305"/>
      <c r="GK521" s="305"/>
      <c r="GL521" s="305"/>
      <c r="GM521" s="305"/>
      <c r="GN521" s="305"/>
      <c r="GO521" s="305"/>
      <c r="GP521" s="305"/>
      <c r="GQ521" s="305"/>
      <c r="GR521" s="305"/>
    </row>
    <row r="522" spans="3:200" s="318" customFormat="1" ht="12.75" customHeight="1" x14ac:dyDescent="0.2">
      <c r="C522" s="367"/>
      <c r="D522" s="403"/>
      <c r="E522" s="369"/>
      <c r="F522" s="369"/>
      <c r="G522" s="369"/>
      <c r="H522" s="369"/>
      <c r="I522" s="370"/>
      <c r="J522"/>
      <c r="K522" s="371"/>
      <c r="L522" s="371"/>
      <c r="M522" s="371"/>
      <c r="N522" s="371"/>
      <c r="O522" s="305"/>
      <c r="P522" s="305"/>
      <c r="Q522" s="305"/>
      <c r="R522" s="305"/>
      <c r="S522" s="305"/>
      <c r="T522" s="305"/>
      <c r="U522" s="305"/>
      <c r="V522" s="305"/>
      <c r="W522" s="305"/>
      <c r="X522" s="305"/>
      <c r="Y522" s="305"/>
      <c r="Z522" s="305"/>
      <c r="AA522" s="305"/>
      <c r="AB522" s="305"/>
      <c r="AC522" s="305"/>
      <c r="AD522" s="305"/>
      <c r="AE522" s="305"/>
      <c r="AF522" s="305"/>
      <c r="AG522" s="305"/>
      <c r="AH522" s="305"/>
      <c r="AI522" s="305"/>
      <c r="AJ522" s="305"/>
      <c r="AK522" s="305"/>
      <c r="AL522" s="305"/>
      <c r="AM522" s="305"/>
      <c r="AN522" s="305"/>
      <c r="AO522" s="305"/>
      <c r="AP522" s="305"/>
      <c r="AQ522" s="305"/>
      <c r="AR522" s="305"/>
      <c r="AS522" s="305"/>
      <c r="AT522" s="305"/>
      <c r="AU522" s="305"/>
      <c r="AV522" s="305"/>
      <c r="AW522" s="305"/>
      <c r="AX522" s="305"/>
      <c r="AY522" s="305"/>
      <c r="AZ522" s="305"/>
      <c r="BA522" s="305"/>
      <c r="BB522" s="305"/>
      <c r="BC522" s="305"/>
      <c r="BD522" s="305"/>
      <c r="BE522" s="305"/>
      <c r="BF522" s="305"/>
      <c r="BG522" s="305"/>
      <c r="BH522" s="305"/>
      <c r="BI522" s="305"/>
      <c r="BJ522" s="305"/>
      <c r="BK522" s="305"/>
      <c r="BL522" s="305"/>
      <c r="BM522" s="305"/>
      <c r="BN522" s="305"/>
      <c r="BO522" s="305"/>
      <c r="BP522" s="305"/>
      <c r="BQ522" s="305"/>
      <c r="BR522" s="305"/>
      <c r="BS522" s="305"/>
      <c r="BT522" s="305"/>
      <c r="BU522" s="305"/>
      <c r="BV522" s="305"/>
      <c r="BW522" s="305"/>
      <c r="BX522" s="305"/>
      <c r="BY522" s="305"/>
      <c r="BZ522" s="305"/>
      <c r="CA522" s="305"/>
      <c r="CB522" s="305"/>
      <c r="CC522" s="305"/>
      <c r="CD522" s="305"/>
      <c r="CE522" s="305"/>
      <c r="CF522" s="305"/>
      <c r="CG522" s="305"/>
      <c r="CH522" s="305"/>
      <c r="CI522" s="305"/>
      <c r="CJ522" s="305"/>
      <c r="CK522" s="305"/>
      <c r="CL522" s="305"/>
      <c r="CM522" s="305"/>
      <c r="CN522" s="305"/>
      <c r="CO522" s="305"/>
      <c r="CP522" s="305"/>
      <c r="CQ522" s="305"/>
      <c r="CR522" s="305"/>
      <c r="CS522" s="305"/>
      <c r="CT522" s="305"/>
      <c r="CU522" s="305"/>
      <c r="CV522" s="305"/>
      <c r="CW522" s="305"/>
      <c r="CX522" s="305"/>
      <c r="CY522" s="305"/>
      <c r="CZ522" s="305"/>
      <c r="DA522" s="305"/>
      <c r="DB522" s="305"/>
      <c r="DC522" s="305"/>
      <c r="DD522" s="305"/>
      <c r="DE522" s="305"/>
      <c r="DF522" s="305"/>
      <c r="DG522" s="305"/>
      <c r="DH522" s="305"/>
      <c r="DI522" s="305"/>
      <c r="DJ522" s="305"/>
      <c r="DK522" s="305"/>
      <c r="DL522" s="305"/>
      <c r="DM522" s="305"/>
      <c r="DN522" s="305"/>
      <c r="DO522" s="305"/>
      <c r="DP522" s="305"/>
      <c r="DQ522" s="305"/>
      <c r="DR522" s="305"/>
      <c r="DS522" s="305"/>
      <c r="DT522" s="305"/>
      <c r="DU522" s="305"/>
      <c r="DV522" s="305"/>
      <c r="DW522" s="305"/>
      <c r="DX522" s="305"/>
      <c r="DY522" s="305"/>
      <c r="DZ522" s="305"/>
      <c r="EA522" s="305"/>
      <c r="EB522" s="305"/>
      <c r="EC522" s="305"/>
      <c r="ED522" s="305"/>
      <c r="EE522" s="305"/>
      <c r="EF522" s="305"/>
      <c r="EG522" s="305"/>
      <c r="EH522" s="305"/>
      <c r="EI522" s="305"/>
      <c r="EJ522" s="305"/>
      <c r="EK522" s="305"/>
      <c r="EL522" s="305"/>
      <c r="EM522" s="305"/>
      <c r="EN522" s="305"/>
      <c r="EO522" s="305"/>
      <c r="EP522" s="305"/>
      <c r="EQ522" s="305"/>
      <c r="ER522" s="305"/>
      <c r="ES522" s="305"/>
      <c r="ET522" s="305"/>
      <c r="EU522" s="305"/>
      <c r="EV522" s="305"/>
      <c r="EW522" s="305"/>
      <c r="EX522" s="305"/>
      <c r="EY522" s="305"/>
      <c r="EZ522" s="305"/>
      <c r="FA522" s="305"/>
      <c r="FB522" s="305"/>
      <c r="FC522" s="305"/>
      <c r="FD522" s="305"/>
      <c r="FE522" s="305"/>
      <c r="FF522" s="305"/>
      <c r="FG522" s="305"/>
      <c r="FH522" s="305"/>
      <c r="FI522" s="305"/>
      <c r="FJ522" s="305"/>
      <c r="FK522" s="305"/>
      <c r="FL522" s="305"/>
      <c r="FM522" s="305"/>
      <c r="FN522" s="305"/>
      <c r="FO522" s="305"/>
      <c r="FP522" s="305"/>
      <c r="FQ522" s="305"/>
      <c r="FR522" s="305"/>
      <c r="FS522" s="305"/>
      <c r="FT522" s="305"/>
      <c r="FU522" s="305"/>
      <c r="FV522" s="305"/>
      <c r="FW522" s="305"/>
      <c r="FX522" s="305"/>
      <c r="FY522" s="305"/>
      <c r="FZ522" s="305"/>
      <c r="GA522" s="305"/>
      <c r="GB522" s="305"/>
      <c r="GC522" s="305"/>
      <c r="GD522" s="305"/>
      <c r="GE522" s="305"/>
      <c r="GF522" s="305"/>
      <c r="GG522" s="305"/>
      <c r="GH522" s="305"/>
      <c r="GI522" s="305"/>
      <c r="GJ522" s="305"/>
      <c r="GK522" s="305"/>
      <c r="GL522" s="305"/>
      <c r="GM522" s="305"/>
      <c r="GN522" s="305"/>
      <c r="GO522" s="305"/>
      <c r="GP522" s="305"/>
      <c r="GQ522" s="305"/>
      <c r="GR522" s="305"/>
    </row>
    <row r="523" spans="3:200" s="318" customFormat="1" ht="12.75" customHeight="1" x14ac:dyDescent="0.2">
      <c r="C523" s="367"/>
      <c r="D523" s="403"/>
      <c r="E523" s="369"/>
      <c r="F523" s="369"/>
      <c r="G523" s="369"/>
      <c r="H523" s="369"/>
      <c r="I523" s="370"/>
      <c r="J523"/>
      <c r="K523" s="371"/>
      <c r="L523" s="371"/>
      <c r="M523" s="371"/>
      <c r="N523" s="371"/>
      <c r="O523" s="305"/>
      <c r="P523" s="305"/>
      <c r="Q523" s="305"/>
      <c r="R523" s="305"/>
      <c r="S523" s="305"/>
      <c r="T523" s="305"/>
      <c r="U523" s="305"/>
      <c r="V523" s="305"/>
      <c r="W523" s="305"/>
      <c r="X523" s="305"/>
      <c r="Y523" s="305"/>
      <c r="Z523" s="305"/>
      <c r="AA523" s="305"/>
      <c r="AB523" s="305"/>
      <c r="AC523" s="305"/>
      <c r="AD523" s="305"/>
      <c r="AE523" s="305"/>
      <c r="AF523" s="305"/>
      <c r="AG523" s="305"/>
      <c r="AH523" s="305"/>
      <c r="AI523" s="305"/>
      <c r="AJ523" s="305"/>
      <c r="AK523" s="305"/>
      <c r="AL523" s="305"/>
      <c r="AM523" s="305"/>
      <c r="AN523" s="305"/>
      <c r="AO523" s="305"/>
      <c r="AP523" s="305"/>
      <c r="AQ523" s="305"/>
      <c r="AR523" s="305"/>
      <c r="AS523" s="305"/>
      <c r="AT523" s="305"/>
      <c r="AU523" s="305"/>
      <c r="AV523" s="305"/>
      <c r="AW523" s="305"/>
      <c r="AX523" s="305"/>
      <c r="AY523" s="305"/>
      <c r="AZ523" s="305"/>
      <c r="BA523" s="305"/>
      <c r="BB523" s="305"/>
      <c r="BC523" s="305"/>
      <c r="BD523" s="305"/>
      <c r="BE523" s="305"/>
      <c r="BF523" s="305"/>
      <c r="BG523" s="305"/>
      <c r="BH523" s="305"/>
      <c r="BI523" s="305"/>
      <c r="BJ523" s="305"/>
      <c r="BK523" s="305"/>
      <c r="BL523" s="305"/>
      <c r="BM523" s="305"/>
      <c r="BN523" s="305"/>
      <c r="BO523" s="305"/>
      <c r="BP523" s="305"/>
      <c r="BQ523" s="305"/>
      <c r="BR523" s="305"/>
      <c r="BS523" s="305"/>
      <c r="BT523" s="305"/>
      <c r="BU523" s="305"/>
      <c r="BV523" s="305"/>
      <c r="BW523" s="305"/>
      <c r="BX523" s="305"/>
      <c r="BY523" s="305"/>
      <c r="BZ523" s="305"/>
      <c r="CA523" s="305"/>
      <c r="CB523" s="305"/>
      <c r="CC523" s="305"/>
      <c r="CD523" s="305"/>
      <c r="CE523" s="305"/>
      <c r="CF523" s="305"/>
      <c r="CG523" s="305"/>
      <c r="CH523" s="305"/>
      <c r="CI523" s="305"/>
      <c r="CJ523" s="305"/>
      <c r="CK523" s="305"/>
      <c r="CL523" s="305"/>
      <c r="CM523" s="305"/>
      <c r="CN523" s="305"/>
      <c r="CO523" s="305"/>
      <c r="CP523" s="305"/>
      <c r="CQ523" s="305"/>
      <c r="CR523" s="305"/>
      <c r="CS523" s="305"/>
      <c r="CT523" s="305"/>
      <c r="CU523" s="305"/>
      <c r="CV523" s="305"/>
      <c r="CW523" s="305"/>
      <c r="CX523" s="305"/>
      <c r="CY523" s="305"/>
      <c r="CZ523" s="305"/>
      <c r="DA523" s="305"/>
      <c r="DB523" s="305"/>
      <c r="DC523" s="305"/>
      <c r="DD523" s="305"/>
      <c r="DE523" s="305"/>
      <c r="DF523" s="305"/>
      <c r="DG523" s="305"/>
      <c r="DH523" s="305"/>
      <c r="DI523" s="305"/>
      <c r="DJ523" s="305"/>
      <c r="DK523" s="305"/>
      <c r="DL523" s="305"/>
      <c r="DM523" s="305"/>
      <c r="DN523" s="305"/>
      <c r="DO523" s="305"/>
      <c r="DP523" s="305"/>
      <c r="DQ523" s="305"/>
      <c r="DR523" s="305"/>
      <c r="DS523" s="305"/>
      <c r="DT523" s="305"/>
      <c r="DU523" s="305"/>
      <c r="DV523" s="305"/>
      <c r="DW523" s="305"/>
      <c r="DX523" s="305"/>
      <c r="DY523" s="305"/>
      <c r="DZ523" s="305"/>
      <c r="EA523" s="305"/>
      <c r="EB523" s="305"/>
      <c r="EC523" s="305"/>
      <c r="ED523" s="305"/>
      <c r="EE523" s="305"/>
      <c r="EF523" s="305"/>
      <c r="EG523" s="305"/>
      <c r="EH523" s="305"/>
      <c r="EI523" s="305"/>
      <c r="EJ523" s="305"/>
      <c r="EK523" s="305"/>
      <c r="EL523" s="305"/>
      <c r="EM523" s="305"/>
      <c r="EN523" s="305"/>
      <c r="EO523" s="305"/>
      <c r="EP523" s="305"/>
      <c r="EQ523" s="305"/>
      <c r="ER523" s="305"/>
      <c r="ES523" s="305"/>
      <c r="ET523" s="305"/>
      <c r="EU523" s="305"/>
      <c r="EV523" s="305"/>
      <c r="EW523" s="305"/>
      <c r="EX523" s="305"/>
      <c r="EY523" s="305"/>
      <c r="EZ523" s="305"/>
      <c r="FA523" s="305"/>
      <c r="FB523" s="305"/>
      <c r="FC523" s="305"/>
      <c r="FD523" s="305"/>
      <c r="FE523" s="305"/>
      <c r="FF523" s="305"/>
      <c r="FG523" s="305"/>
      <c r="FH523" s="305"/>
      <c r="FI523" s="305"/>
      <c r="FJ523" s="305"/>
      <c r="FK523" s="305"/>
      <c r="FL523" s="305"/>
      <c r="FM523" s="305"/>
      <c r="FN523" s="305"/>
      <c r="FO523" s="305"/>
      <c r="FP523" s="305"/>
      <c r="FQ523" s="305"/>
      <c r="FR523" s="305"/>
      <c r="FS523" s="305"/>
      <c r="FT523" s="305"/>
      <c r="FU523" s="305"/>
      <c r="FV523" s="305"/>
      <c r="FW523" s="305"/>
      <c r="FX523" s="305"/>
      <c r="FY523" s="305"/>
      <c r="FZ523" s="305"/>
      <c r="GA523" s="305"/>
      <c r="GB523" s="305"/>
      <c r="GC523" s="305"/>
      <c r="GD523" s="305"/>
      <c r="GE523" s="305"/>
      <c r="GF523" s="305"/>
      <c r="GG523" s="305"/>
      <c r="GH523" s="305"/>
      <c r="GI523" s="305"/>
      <c r="GJ523" s="305"/>
      <c r="GK523" s="305"/>
      <c r="GL523" s="305"/>
      <c r="GM523" s="305"/>
      <c r="GN523" s="305"/>
      <c r="GO523" s="305"/>
      <c r="GP523" s="305"/>
      <c r="GQ523" s="305"/>
      <c r="GR523" s="305"/>
    </row>
    <row r="524" spans="3:200" s="318" customFormat="1" ht="12.75" customHeight="1" x14ac:dyDescent="0.2">
      <c r="C524" s="367"/>
      <c r="D524" s="403"/>
      <c r="E524" s="369"/>
      <c r="F524" s="369"/>
      <c r="G524" s="369"/>
      <c r="H524" s="369"/>
      <c r="I524" s="370"/>
      <c r="J524"/>
      <c r="K524" s="371"/>
      <c r="L524" s="371"/>
      <c r="M524" s="371"/>
      <c r="N524" s="371"/>
      <c r="O524" s="305"/>
      <c r="P524" s="305"/>
      <c r="Q524" s="305"/>
      <c r="R524" s="305"/>
      <c r="S524" s="305"/>
      <c r="T524" s="305"/>
      <c r="U524" s="305"/>
      <c r="V524" s="305"/>
      <c r="W524" s="305"/>
      <c r="X524" s="305"/>
      <c r="Y524" s="305"/>
      <c r="Z524" s="305"/>
      <c r="AA524" s="305"/>
      <c r="AB524" s="305"/>
      <c r="AC524" s="305"/>
      <c r="AD524" s="305"/>
      <c r="AE524" s="305"/>
      <c r="AF524" s="305"/>
      <c r="AG524" s="305"/>
      <c r="AH524" s="305"/>
      <c r="AI524" s="305"/>
      <c r="AJ524" s="305"/>
      <c r="AK524" s="305"/>
      <c r="AL524" s="305"/>
      <c r="AM524" s="305"/>
      <c r="AN524" s="305"/>
      <c r="AO524" s="305"/>
      <c r="AP524" s="305"/>
      <c r="AQ524" s="305"/>
      <c r="AR524" s="305"/>
      <c r="AS524" s="305"/>
      <c r="AT524" s="305"/>
      <c r="AU524" s="305"/>
      <c r="AV524" s="305"/>
      <c r="AW524" s="305"/>
      <c r="AX524" s="305"/>
      <c r="AY524" s="305"/>
      <c r="AZ524" s="305"/>
      <c r="BA524" s="305"/>
      <c r="BB524" s="305"/>
      <c r="BC524" s="305"/>
      <c r="BD524" s="305"/>
      <c r="BE524" s="305"/>
      <c r="BF524" s="305"/>
      <c r="BG524" s="305"/>
      <c r="BH524" s="305"/>
      <c r="BI524" s="305"/>
      <c r="BJ524" s="305"/>
      <c r="BK524" s="305"/>
      <c r="BL524" s="305"/>
      <c r="BM524" s="305"/>
      <c r="BN524" s="305"/>
      <c r="BO524" s="305"/>
      <c r="BP524" s="305"/>
      <c r="BQ524" s="305"/>
      <c r="BR524" s="305"/>
      <c r="BS524" s="305"/>
      <c r="BT524" s="305"/>
      <c r="BU524" s="305"/>
      <c r="BV524" s="305"/>
      <c r="BW524" s="305"/>
      <c r="BX524" s="305"/>
      <c r="BY524" s="305"/>
      <c r="BZ524" s="305"/>
      <c r="CA524" s="305"/>
      <c r="CB524" s="305"/>
      <c r="CC524" s="305"/>
      <c r="CD524" s="305"/>
      <c r="CE524" s="305"/>
      <c r="CF524" s="305"/>
      <c r="CG524" s="305"/>
      <c r="CH524" s="305"/>
      <c r="CI524" s="305"/>
      <c r="CJ524" s="305"/>
      <c r="CK524" s="305"/>
      <c r="CL524" s="305"/>
      <c r="CM524" s="305"/>
      <c r="CN524" s="305"/>
      <c r="CO524" s="305"/>
      <c r="CP524" s="305"/>
      <c r="CQ524" s="305"/>
      <c r="CR524" s="305"/>
      <c r="CS524" s="305"/>
      <c r="CT524" s="305"/>
      <c r="CU524" s="305"/>
      <c r="CV524" s="305"/>
      <c r="CW524" s="305"/>
      <c r="CX524" s="305"/>
      <c r="CY524" s="305"/>
      <c r="CZ524" s="305"/>
      <c r="DA524" s="305"/>
      <c r="DB524" s="305"/>
      <c r="DC524" s="305"/>
      <c r="DD524" s="305"/>
      <c r="DE524" s="305"/>
      <c r="DF524" s="305"/>
      <c r="DG524" s="305"/>
      <c r="DH524" s="305"/>
      <c r="DI524" s="305"/>
      <c r="DJ524" s="305"/>
      <c r="DK524" s="305"/>
      <c r="DL524" s="305"/>
      <c r="DM524" s="305"/>
      <c r="DN524" s="305"/>
      <c r="DO524" s="305"/>
      <c r="DP524" s="305"/>
      <c r="DQ524" s="305"/>
      <c r="DR524" s="305"/>
      <c r="DS524" s="305"/>
      <c r="DT524" s="305"/>
      <c r="DU524" s="305"/>
      <c r="DV524" s="305"/>
      <c r="DW524" s="305"/>
      <c r="DX524" s="305"/>
      <c r="DY524" s="305"/>
      <c r="DZ524" s="305"/>
      <c r="EA524" s="305"/>
      <c r="EB524" s="305"/>
      <c r="EC524" s="305"/>
      <c r="ED524" s="305"/>
      <c r="EE524" s="305"/>
      <c r="EF524" s="305"/>
      <c r="EG524" s="305"/>
      <c r="EH524" s="305"/>
      <c r="EI524" s="305"/>
      <c r="EJ524" s="305"/>
      <c r="EK524" s="305"/>
      <c r="EL524" s="305"/>
      <c r="EM524" s="305"/>
      <c r="EN524" s="305"/>
      <c r="EO524" s="305"/>
      <c r="EP524" s="305"/>
      <c r="EQ524" s="305"/>
      <c r="ER524" s="305"/>
      <c r="ES524" s="305"/>
      <c r="ET524" s="305"/>
      <c r="EU524" s="305"/>
      <c r="EV524" s="305"/>
      <c r="EW524" s="305"/>
      <c r="EX524" s="305"/>
      <c r="EY524" s="305"/>
      <c r="EZ524" s="305"/>
      <c r="FA524" s="305"/>
      <c r="FB524" s="305"/>
      <c r="FC524" s="305"/>
      <c r="FD524" s="305"/>
      <c r="FE524" s="305"/>
      <c r="FF524" s="305"/>
      <c r="FG524" s="305"/>
      <c r="FH524" s="305"/>
      <c r="FI524" s="305"/>
      <c r="FJ524" s="305"/>
      <c r="FK524" s="305"/>
      <c r="FL524" s="305"/>
      <c r="FM524" s="305"/>
      <c r="FN524" s="305"/>
      <c r="FO524" s="305"/>
      <c r="FP524" s="305"/>
      <c r="FQ524" s="305"/>
      <c r="FR524" s="305"/>
      <c r="FS524" s="305"/>
      <c r="FT524" s="305"/>
      <c r="FU524" s="305"/>
      <c r="FV524" s="305"/>
      <c r="FW524" s="305"/>
      <c r="FX524" s="305"/>
      <c r="FY524" s="305"/>
      <c r="FZ524" s="305"/>
      <c r="GA524" s="305"/>
      <c r="GB524" s="305"/>
      <c r="GC524" s="305"/>
      <c r="GD524" s="305"/>
      <c r="GE524" s="305"/>
      <c r="GF524" s="305"/>
      <c r="GG524" s="305"/>
      <c r="GH524" s="305"/>
      <c r="GI524" s="305"/>
      <c r="GJ524" s="305"/>
      <c r="GK524" s="305"/>
      <c r="GL524" s="305"/>
      <c r="GM524" s="305"/>
      <c r="GN524" s="305"/>
      <c r="GO524" s="305"/>
      <c r="GP524" s="305"/>
      <c r="GQ524" s="305"/>
      <c r="GR524" s="305"/>
    </row>
    <row r="525" spans="3:200" s="318" customFormat="1" ht="12.75" customHeight="1" x14ac:dyDescent="0.2">
      <c r="C525" s="367"/>
      <c r="D525" s="403"/>
      <c r="E525" s="369"/>
      <c r="F525" s="369"/>
      <c r="G525" s="369"/>
      <c r="H525" s="369"/>
      <c r="I525" s="370"/>
      <c r="J525"/>
      <c r="K525" s="371"/>
      <c r="L525" s="371"/>
      <c r="M525" s="371"/>
      <c r="N525" s="371"/>
      <c r="O525" s="305"/>
      <c r="P525" s="305"/>
      <c r="Q525" s="305"/>
      <c r="R525" s="305"/>
      <c r="S525" s="305"/>
      <c r="T525" s="305"/>
      <c r="U525" s="305"/>
      <c r="V525" s="305"/>
      <c r="W525" s="305"/>
      <c r="X525" s="305"/>
      <c r="Y525" s="305"/>
      <c r="Z525" s="305"/>
      <c r="AA525" s="305"/>
      <c r="AB525" s="305"/>
      <c r="AC525" s="305"/>
      <c r="AD525" s="305"/>
      <c r="AE525" s="305"/>
      <c r="AF525" s="305"/>
      <c r="AG525" s="305"/>
      <c r="AH525" s="305"/>
      <c r="AI525" s="305"/>
      <c r="AJ525" s="305"/>
      <c r="AK525" s="305"/>
      <c r="AL525" s="305"/>
      <c r="AM525" s="305"/>
      <c r="AN525" s="305"/>
      <c r="AO525" s="305"/>
      <c r="AP525" s="305"/>
      <c r="AQ525" s="305"/>
      <c r="AR525" s="305"/>
      <c r="AS525" s="305"/>
      <c r="AT525" s="305"/>
      <c r="AU525" s="305"/>
      <c r="AV525" s="305"/>
      <c r="AW525" s="305"/>
      <c r="AX525" s="305"/>
      <c r="AY525" s="305"/>
      <c r="AZ525" s="305"/>
      <c r="BA525" s="305"/>
      <c r="BB525" s="305"/>
      <c r="BC525" s="305"/>
      <c r="BD525" s="305"/>
      <c r="BE525" s="305"/>
      <c r="BF525" s="305"/>
      <c r="BG525" s="305"/>
      <c r="BH525" s="305"/>
      <c r="BI525" s="305"/>
      <c r="BJ525" s="305"/>
      <c r="BK525" s="305"/>
      <c r="BL525" s="305"/>
      <c r="BM525" s="305"/>
      <c r="BN525" s="305"/>
      <c r="BO525" s="305"/>
      <c r="BP525" s="305"/>
      <c r="BQ525" s="305"/>
      <c r="BR525" s="305"/>
      <c r="BS525" s="305"/>
      <c r="BT525" s="305"/>
      <c r="BU525" s="305"/>
      <c r="BV525" s="305"/>
      <c r="BW525" s="305"/>
      <c r="BX525" s="305"/>
      <c r="BY525" s="305"/>
      <c r="BZ525" s="305"/>
      <c r="CA525" s="305"/>
      <c r="CB525" s="305"/>
      <c r="CC525" s="305"/>
      <c r="CD525" s="305"/>
      <c r="CE525" s="305"/>
      <c r="CF525" s="305"/>
      <c r="CG525" s="305"/>
      <c r="CH525" s="305"/>
      <c r="CI525" s="305"/>
      <c r="CJ525" s="305"/>
      <c r="CK525" s="305"/>
      <c r="CL525" s="305"/>
      <c r="CM525" s="305"/>
      <c r="CN525" s="305"/>
      <c r="CO525" s="305"/>
      <c r="CP525" s="305"/>
      <c r="CQ525" s="305"/>
      <c r="CR525" s="305"/>
      <c r="CS525" s="305"/>
      <c r="CT525" s="305"/>
      <c r="CU525" s="305"/>
      <c r="CV525" s="305"/>
      <c r="CW525" s="305"/>
      <c r="CX525" s="305"/>
      <c r="CY525" s="305"/>
      <c r="CZ525" s="305"/>
      <c r="DA525" s="305"/>
      <c r="DB525" s="305"/>
      <c r="DC525" s="305"/>
      <c r="DD525" s="305"/>
      <c r="DE525" s="305"/>
      <c r="DF525" s="305"/>
      <c r="DG525" s="305"/>
      <c r="DH525" s="305"/>
      <c r="DI525" s="305"/>
      <c r="DJ525" s="305"/>
      <c r="DK525" s="305"/>
      <c r="DL525" s="305"/>
      <c r="DM525" s="305"/>
      <c r="DN525" s="305"/>
      <c r="DO525" s="305"/>
      <c r="DP525" s="305"/>
      <c r="DQ525" s="305"/>
      <c r="DR525" s="305"/>
      <c r="DS525" s="305"/>
      <c r="DT525" s="305"/>
      <c r="DU525" s="305"/>
      <c r="DV525" s="305"/>
      <c r="DW525" s="305"/>
      <c r="DX525" s="305"/>
      <c r="DY525" s="305"/>
      <c r="DZ525" s="305"/>
      <c r="EA525" s="305"/>
      <c r="EB525" s="305"/>
      <c r="EC525" s="305"/>
      <c r="ED525" s="305"/>
      <c r="EE525" s="305"/>
      <c r="EF525" s="305"/>
      <c r="EG525" s="305"/>
      <c r="EH525" s="305"/>
      <c r="EI525" s="305"/>
      <c r="EJ525" s="305"/>
      <c r="EK525" s="305"/>
      <c r="EL525" s="305"/>
      <c r="EM525" s="305"/>
      <c r="EN525" s="305"/>
      <c r="EO525" s="305"/>
      <c r="EP525" s="305"/>
      <c r="EQ525" s="305"/>
      <c r="ER525" s="305"/>
      <c r="ES525" s="305"/>
      <c r="ET525" s="305"/>
      <c r="EU525" s="305"/>
      <c r="EV525" s="305"/>
      <c r="EW525" s="305"/>
      <c r="EX525" s="305"/>
      <c r="EY525" s="305"/>
      <c r="EZ525" s="305"/>
      <c r="FA525" s="305"/>
      <c r="FB525" s="305"/>
      <c r="FC525" s="305"/>
      <c r="FD525" s="305"/>
      <c r="FE525" s="305"/>
      <c r="FF525" s="305"/>
      <c r="FG525" s="305"/>
      <c r="FH525" s="305"/>
      <c r="FI525" s="305"/>
      <c r="FJ525" s="305"/>
      <c r="FK525" s="305"/>
      <c r="FL525" s="305"/>
      <c r="FM525" s="305"/>
      <c r="FN525" s="305"/>
      <c r="FO525" s="305"/>
      <c r="FP525" s="305"/>
      <c r="FQ525" s="305"/>
      <c r="FR525" s="305"/>
      <c r="FS525" s="305"/>
      <c r="FT525" s="305"/>
      <c r="FU525" s="305"/>
      <c r="FV525" s="305"/>
      <c r="FW525" s="305"/>
      <c r="FX525" s="305"/>
      <c r="FY525" s="305"/>
      <c r="FZ525" s="305"/>
      <c r="GA525" s="305"/>
      <c r="GB525" s="305"/>
      <c r="GC525" s="305"/>
      <c r="GD525" s="305"/>
      <c r="GE525" s="305"/>
      <c r="GF525" s="305"/>
      <c r="GG525" s="305"/>
      <c r="GH525" s="305"/>
      <c r="GI525" s="305"/>
      <c r="GJ525" s="305"/>
      <c r="GK525" s="305"/>
      <c r="GL525" s="305"/>
      <c r="GM525" s="305"/>
      <c r="GN525" s="305"/>
      <c r="GO525" s="305"/>
      <c r="GP525" s="305"/>
      <c r="GQ525" s="305"/>
      <c r="GR525" s="305"/>
    </row>
    <row r="526" spans="3:200" s="318" customFormat="1" ht="12.75" customHeight="1" x14ac:dyDescent="0.2">
      <c r="C526" s="367"/>
      <c r="D526" s="403"/>
      <c r="E526" s="369"/>
      <c r="F526" s="369"/>
      <c r="G526" s="369"/>
      <c r="H526" s="369"/>
      <c r="I526" s="370"/>
      <c r="J526"/>
      <c r="K526" s="371"/>
      <c r="L526" s="371"/>
      <c r="M526" s="371"/>
      <c r="N526" s="371"/>
      <c r="O526" s="305"/>
      <c r="P526" s="305"/>
      <c r="Q526" s="305"/>
      <c r="R526" s="305"/>
      <c r="S526" s="305"/>
      <c r="T526" s="305"/>
      <c r="U526" s="305"/>
      <c r="V526" s="305"/>
      <c r="W526" s="305"/>
      <c r="X526" s="305"/>
      <c r="Y526" s="305"/>
      <c r="Z526" s="305"/>
      <c r="AA526" s="305"/>
      <c r="AB526" s="305"/>
      <c r="AC526" s="305"/>
      <c r="AD526" s="305"/>
      <c r="AE526" s="305"/>
      <c r="AF526" s="305"/>
      <c r="AG526" s="305"/>
      <c r="AH526" s="305"/>
      <c r="AI526" s="305"/>
      <c r="AJ526" s="305"/>
      <c r="AK526" s="305"/>
      <c r="AL526" s="305"/>
      <c r="AM526" s="305"/>
      <c r="AN526" s="305"/>
      <c r="AO526" s="305"/>
      <c r="AP526" s="305"/>
      <c r="AQ526" s="305"/>
      <c r="AR526" s="305"/>
      <c r="AS526" s="305"/>
      <c r="AT526" s="305"/>
      <c r="AU526" s="305"/>
      <c r="AV526" s="305"/>
      <c r="AW526" s="305"/>
      <c r="AX526" s="305"/>
      <c r="AY526" s="305"/>
      <c r="AZ526" s="305"/>
      <c r="BA526" s="305"/>
      <c r="BB526" s="305"/>
      <c r="BC526" s="305"/>
      <c r="BD526" s="305"/>
      <c r="BE526" s="305"/>
      <c r="BF526" s="305"/>
      <c r="BG526" s="305"/>
      <c r="BH526" s="305"/>
      <c r="BI526" s="305"/>
      <c r="BJ526" s="305"/>
      <c r="BK526" s="305"/>
      <c r="BL526" s="305"/>
      <c r="BM526" s="305"/>
      <c r="BN526" s="305"/>
      <c r="BO526" s="305"/>
      <c r="BP526" s="305"/>
      <c r="BQ526" s="305"/>
      <c r="BR526" s="305"/>
      <c r="BS526" s="305"/>
      <c r="BT526" s="305"/>
      <c r="BU526" s="305"/>
      <c r="BV526" s="305"/>
      <c r="BW526" s="305"/>
      <c r="BX526" s="305"/>
      <c r="BY526" s="305"/>
      <c r="BZ526" s="305"/>
      <c r="CA526" s="305"/>
      <c r="CB526" s="305"/>
      <c r="CC526" s="305"/>
      <c r="CD526" s="305"/>
      <c r="CE526" s="305"/>
      <c r="CF526" s="305"/>
      <c r="CG526" s="305"/>
      <c r="CH526" s="305"/>
      <c r="CI526" s="305"/>
      <c r="CJ526" s="305"/>
      <c r="CK526" s="305"/>
      <c r="CL526" s="305"/>
      <c r="CM526" s="305"/>
      <c r="CN526" s="305"/>
      <c r="CO526" s="305"/>
      <c r="CP526" s="305"/>
      <c r="CQ526" s="305"/>
      <c r="CR526" s="305"/>
      <c r="CS526" s="305"/>
      <c r="CT526" s="305"/>
      <c r="CU526" s="305"/>
      <c r="CV526" s="305"/>
      <c r="CW526" s="305"/>
      <c r="CX526" s="305"/>
      <c r="CY526" s="305"/>
      <c r="CZ526" s="305"/>
      <c r="DA526" s="305"/>
      <c r="DB526" s="305"/>
      <c r="DC526" s="305"/>
      <c r="DD526" s="305"/>
      <c r="DE526" s="305"/>
      <c r="DF526" s="305"/>
      <c r="DG526" s="305"/>
      <c r="DH526" s="305"/>
      <c r="DI526" s="305"/>
      <c r="DJ526" s="305"/>
      <c r="DK526" s="305"/>
      <c r="DL526" s="305"/>
      <c r="DM526" s="305"/>
      <c r="DN526" s="305"/>
      <c r="DO526" s="305"/>
      <c r="DP526" s="305"/>
      <c r="DQ526" s="305"/>
      <c r="DR526" s="305"/>
      <c r="DS526" s="305"/>
      <c r="DT526" s="305"/>
      <c r="DU526" s="305"/>
      <c r="DV526" s="305"/>
      <c r="DW526" s="305"/>
      <c r="DX526" s="305"/>
      <c r="DY526" s="305"/>
      <c r="DZ526" s="305"/>
      <c r="EA526" s="305"/>
      <c r="EB526" s="305"/>
      <c r="EC526" s="305"/>
      <c r="ED526" s="305"/>
      <c r="EE526" s="305"/>
      <c r="EF526" s="305"/>
      <c r="EG526" s="305"/>
      <c r="EH526" s="305"/>
      <c r="EI526" s="305"/>
      <c r="EJ526" s="305"/>
      <c r="EK526" s="305"/>
      <c r="EL526" s="305"/>
      <c r="EM526" s="305"/>
      <c r="EN526" s="305"/>
      <c r="EO526" s="305"/>
      <c r="EP526" s="305"/>
      <c r="EQ526" s="305"/>
      <c r="ER526" s="305"/>
      <c r="ES526" s="305"/>
      <c r="ET526" s="305"/>
      <c r="EU526" s="305"/>
      <c r="EV526" s="305"/>
      <c r="EW526" s="305"/>
      <c r="EX526" s="305"/>
      <c r="EY526" s="305"/>
      <c r="EZ526" s="305"/>
      <c r="FA526" s="305"/>
      <c r="FB526" s="305"/>
      <c r="FC526" s="305"/>
      <c r="FD526" s="305"/>
      <c r="FE526" s="305"/>
      <c r="FF526" s="305"/>
      <c r="FG526" s="305"/>
      <c r="FH526" s="305"/>
      <c r="FI526" s="305"/>
      <c r="FJ526" s="305"/>
      <c r="FK526" s="305"/>
      <c r="FL526" s="305"/>
      <c r="FM526" s="305"/>
      <c r="FN526" s="305"/>
      <c r="FO526" s="305"/>
      <c r="FP526" s="305"/>
      <c r="FQ526" s="305"/>
      <c r="FR526" s="305"/>
      <c r="FS526" s="305"/>
      <c r="FT526" s="305"/>
      <c r="FU526" s="305"/>
      <c r="FV526" s="305"/>
      <c r="FW526" s="305"/>
      <c r="FX526" s="305"/>
      <c r="FY526" s="305"/>
      <c r="FZ526" s="305"/>
      <c r="GA526" s="305"/>
      <c r="GB526" s="305"/>
      <c r="GC526" s="305"/>
      <c r="GD526" s="305"/>
      <c r="GE526" s="305"/>
      <c r="GF526" s="305"/>
      <c r="GG526" s="305"/>
      <c r="GH526" s="305"/>
      <c r="GI526" s="305"/>
      <c r="GJ526" s="305"/>
      <c r="GK526" s="305"/>
      <c r="GL526" s="305"/>
      <c r="GM526" s="305"/>
      <c r="GN526" s="305"/>
      <c r="GO526" s="305"/>
      <c r="GP526" s="305"/>
      <c r="GQ526" s="305"/>
      <c r="GR526" s="305"/>
    </row>
    <row r="527" spans="3:200" s="318" customFormat="1" ht="12.75" customHeight="1" x14ac:dyDescent="0.2">
      <c r="C527" s="367"/>
      <c r="D527" s="403"/>
      <c r="E527" s="369"/>
      <c r="F527" s="369"/>
      <c r="G527" s="369"/>
      <c r="H527" s="369"/>
      <c r="I527" s="370"/>
      <c r="J527"/>
      <c r="K527" s="371"/>
      <c r="L527" s="371"/>
      <c r="M527" s="371"/>
      <c r="N527" s="371"/>
      <c r="O527" s="305"/>
      <c r="P527" s="305"/>
      <c r="Q527" s="305"/>
      <c r="R527" s="305"/>
      <c r="S527" s="305"/>
      <c r="T527" s="305"/>
      <c r="U527" s="305"/>
      <c r="V527" s="305"/>
      <c r="W527" s="305"/>
      <c r="X527" s="305"/>
      <c r="Y527" s="305"/>
      <c r="Z527" s="305"/>
      <c r="AA527" s="305"/>
      <c r="AB527" s="305"/>
      <c r="AC527" s="305"/>
      <c r="AD527" s="305"/>
      <c r="AE527" s="305"/>
      <c r="AF527" s="305"/>
      <c r="AG527" s="305"/>
      <c r="AH527" s="305"/>
      <c r="AI527" s="305"/>
      <c r="AJ527" s="305"/>
      <c r="AK527" s="305"/>
      <c r="AL527" s="305"/>
      <c r="AM527" s="305"/>
      <c r="AN527" s="305"/>
      <c r="AO527" s="305"/>
      <c r="AP527" s="305"/>
      <c r="AQ527" s="305"/>
      <c r="AR527" s="305"/>
      <c r="AS527" s="305"/>
      <c r="AT527" s="305"/>
      <c r="AU527" s="305"/>
      <c r="AV527" s="305"/>
      <c r="AW527" s="305"/>
      <c r="AX527" s="305"/>
      <c r="AY527" s="305"/>
      <c r="AZ527" s="305"/>
      <c r="BA527" s="305"/>
      <c r="BB527" s="305"/>
      <c r="BC527" s="305"/>
      <c r="BD527" s="305"/>
      <c r="BE527" s="305"/>
      <c r="BF527" s="305"/>
      <c r="BG527" s="305"/>
      <c r="BH527" s="305"/>
      <c r="BI527" s="305"/>
      <c r="BJ527" s="305"/>
      <c r="BK527" s="305"/>
      <c r="BL527" s="305"/>
      <c r="BM527" s="305"/>
      <c r="BN527" s="305"/>
      <c r="BO527" s="305"/>
      <c r="BP527" s="305"/>
      <c r="BQ527" s="305"/>
      <c r="BR527" s="305"/>
      <c r="BS527" s="305"/>
      <c r="BT527" s="305"/>
      <c r="BU527" s="305"/>
      <c r="BV527" s="305"/>
      <c r="BW527" s="305"/>
      <c r="BX527" s="305"/>
      <c r="BY527" s="305"/>
      <c r="BZ527" s="305"/>
      <c r="CA527" s="305"/>
      <c r="CB527" s="305"/>
      <c r="CC527" s="305"/>
      <c r="CD527" s="305"/>
      <c r="CE527" s="305"/>
      <c r="CF527" s="305"/>
      <c r="CG527" s="305"/>
      <c r="CH527" s="305"/>
      <c r="CI527" s="305"/>
      <c r="CJ527" s="305"/>
      <c r="CK527" s="305"/>
      <c r="CL527" s="305"/>
      <c r="CM527" s="305"/>
      <c r="CN527" s="305"/>
      <c r="CO527" s="305"/>
      <c r="CP527" s="305"/>
      <c r="CQ527" s="305"/>
      <c r="CR527" s="305"/>
      <c r="CS527" s="305"/>
      <c r="CT527" s="305"/>
      <c r="CU527" s="305"/>
      <c r="CV527" s="305"/>
      <c r="CW527" s="305"/>
      <c r="CX527" s="305"/>
      <c r="CY527" s="305"/>
      <c r="CZ527" s="305"/>
      <c r="DA527" s="305"/>
      <c r="DB527" s="305"/>
      <c r="DC527" s="305"/>
      <c r="DD527" s="305"/>
      <c r="DE527" s="305"/>
      <c r="DF527" s="305"/>
      <c r="DG527" s="305"/>
      <c r="DH527" s="305"/>
      <c r="DI527" s="305"/>
      <c r="DJ527" s="305"/>
      <c r="DK527" s="305"/>
      <c r="DL527" s="305"/>
      <c r="DM527" s="305"/>
      <c r="DN527" s="305"/>
      <c r="DO527" s="305"/>
      <c r="DP527" s="305"/>
      <c r="DQ527" s="305"/>
      <c r="DR527" s="305"/>
      <c r="DS527" s="305"/>
      <c r="DT527" s="305"/>
      <c r="DU527" s="305"/>
      <c r="DV527" s="305"/>
      <c r="DW527" s="305"/>
      <c r="DX527" s="305"/>
      <c r="DY527" s="305"/>
      <c r="DZ527" s="305"/>
      <c r="EA527" s="305"/>
      <c r="EB527" s="305"/>
      <c r="EC527" s="305"/>
      <c r="ED527" s="305"/>
      <c r="EE527" s="305"/>
      <c r="EF527" s="305"/>
      <c r="EG527" s="305"/>
      <c r="EH527" s="305"/>
      <c r="EI527" s="305"/>
      <c r="EJ527" s="305"/>
      <c r="EK527" s="305"/>
      <c r="EL527" s="305"/>
      <c r="EM527" s="305"/>
      <c r="EN527" s="305"/>
      <c r="EO527" s="305"/>
      <c r="EP527" s="305"/>
      <c r="EQ527" s="305"/>
      <c r="ER527" s="305"/>
      <c r="ES527" s="305"/>
      <c r="ET527" s="305"/>
      <c r="EU527" s="305"/>
      <c r="EV527" s="305"/>
      <c r="EW527" s="305"/>
      <c r="EX527" s="305"/>
      <c r="EY527" s="305"/>
      <c r="EZ527" s="305"/>
      <c r="FA527" s="305"/>
      <c r="FB527" s="305"/>
      <c r="FC527" s="305"/>
      <c r="FD527" s="305"/>
      <c r="FE527" s="305"/>
      <c r="FF527" s="305"/>
      <c r="FG527" s="305"/>
      <c r="FH527" s="305"/>
      <c r="FI527" s="305"/>
      <c r="FJ527" s="305"/>
      <c r="FK527" s="305"/>
      <c r="FL527" s="305"/>
      <c r="FM527" s="305"/>
      <c r="FN527" s="305"/>
      <c r="FO527" s="305"/>
      <c r="FP527" s="305"/>
      <c r="FQ527" s="305"/>
      <c r="FR527" s="305"/>
      <c r="FS527" s="305"/>
      <c r="FT527" s="305"/>
      <c r="FU527" s="305"/>
      <c r="FV527" s="305"/>
      <c r="FW527" s="305"/>
      <c r="FX527" s="305"/>
      <c r="FY527" s="305"/>
      <c r="FZ527" s="305"/>
      <c r="GA527" s="305"/>
      <c r="GB527" s="305"/>
      <c r="GC527" s="305"/>
      <c r="GD527" s="305"/>
      <c r="GE527" s="305"/>
      <c r="GF527" s="305"/>
      <c r="GG527" s="305"/>
      <c r="GH527" s="305"/>
      <c r="GI527" s="305"/>
      <c r="GJ527" s="305"/>
      <c r="GK527" s="305"/>
      <c r="GL527" s="305"/>
      <c r="GM527" s="305"/>
      <c r="GN527" s="305"/>
      <c r="GO527" s="305"/>
      <c r="GP527" s="305"/>
      <c r="GQ527" s="305"/>
      <c r="GR527" s="305"/>
    </row>
    <row r="528" spans="3:200" s="318" customFormat="1" ht="12.75" customHeight="1" x14ac:dyDescent="0.2">
      <c r="C528" s="367"/>
      <c r="D528" s="403"/>
      <c r="E528" s="369"/>
      <c r="F528" s="369"/>
      <c r="G528" s="369"/>
      <c r="H528" s="369"/>
      <c r="I528" s="370"/>
      <c r="J528"/>
      <c r="K528" s="371"/>
      <c r="L528" s="371"/>
      <c r="M528" s="371"/>
      <c r="N528" s="371"/>
      <c r="O528" s="305"/>
      <c r="P528" s="305"/>
      <c r="Q528" s="305"/>
      <c r="R528" s="305"/>
      <c r="S528" s="305"/>
      <c r="T528" s="305"/>
      <c r="U528" s="305"/>
      <c r="V528" s="305"/>
      <c r="W528" s="305"/>
      <c r="X528" s="305"/>
      <c r="Y528" s="305"/>
      <c r="Z528" s="305"/>
      <c r="AA528" s="305"/>
      <c r="AB528" s="305"/>
      <c r="AC528" s="305"/>
      <c r="AD528" s="305"/>
      <c r="AE528" s="305"/>
      <c r="AF528" s="305"/>
      <c r="AG528" s="305"/>
      <c r="AH528" s="305"/>
      <c r="AI528" s="305"/>
      <c r="AJ528" s="305"/>
      <c r="AK528" s="305"/>
      <c r="AL528" s="305"/>
      <c r="AM528" s="305"/>
      <c r="AN528" s="305"/>
      <c r="AO528" s="305"/>
      <c r="AP528" s="305"/>
      <c r="AQ528" s="305"/>
      <c r="AR528" s="305"/>
      <c r="AS528" s="305"/>
      <c r="AT528" s="305"/>
      <c r="AU528" s="305"/>
      <c r="AV528" s="305"/>
      <c r="AW528" s="305"/>
      <c r="AX528" s="305"/>
      <c r="AY528" s="305"/>
      <c r="AZ528" s="305"/>
      <c r="BA528" s="305"/>
      <c r="BB528" s="305"/>
      <c r="BC528" s="305"/>
      <c r="BD528" s="305"/>
      <c r="BE528" s="305"/>
      <c r="BF528" s="305"/>
      <c r="BG528" s="305"/>
      <c r="BH528" s="305"/>
      <c r="BI528" s="305"/>
      <c r="BJ528" s="305"/>
      <c r="BK528" s="305"/>
      <c r="BL528" s="305"/>
      <c r="BM528" s="305"/>
      <c r="BN528" s="305"/>
      <c r="BO528" s="305"/>
      <c r="BP528" s="305"/>
      <c r="BQ528" s="305"/>
      <c r="BR528" s="305"/>
      <c r="BS528" s="305"/>
      <c r="BT528" s="305"/>
      <c r="BU528" s="305"/>
      <c r="BV528" s="305"/>
      <c r="BW528" s="305"/>
      <c r="BX528" s="305"/>
      <c r="BY528" s="305"/>
      <c r="BZ528" s="305"/>
      <c r="CA528" s="305"/>
      <c r="CB528" s="305"/>
      <c r="CC528" s="305"/>
      <c r="CD528" s="305"/>
      <c r="CE528" s="305"/>
      <c r="CF528" s="305"/>
      <c r="CG528" s="305"/>
      <c r="CH528" s="305"/>
      <c r="CI528" s="305"/>
      <c r="CJ528" s="305"/>
      <c r="CK528" s="305"/>
      <c r="CL528" s="305"/>
      <c r="CM528" s="305"/>
      <c r="CN528" s="305"/>
      <c r="CO528" s="305"/>
      <c r="CP528" s="305"/>
      <c r="CQ528" s="305"/>
      <c r="CR528" s="305"/>
      <c r="CS528" s="305"/>
      <c r="CT528" s="305"/>
      <c r="CU528" s="305"/>
      <c r="CV528" s="305"/>
      <c r="CW528" s="305"/>
      <c r="CX528" s="305"/>
      <c r="CY528" s="305"/>
      <c r="CZ528" s="305"/>
      <c r="DA528" s="305"/>
      <c r="DB528" s="305"/>
      <c r="DC528" s="305"/>
      <c r="DD528" s="305"/>
      <c r="DE528" s="305"/>
      <c r="DF528" s="305"/>
      <c r="DG528" s="305"/>
      <c r="DH528" s="305"/>
      <c r="DI528" s="305"/>
      <c r="DJ528" s="305"/>
      <c r="DK528" s="305"/>
      <c r="DL528" s="305"/>
      <c r="DM528" s="305"/>
      <c r="DN528" s="305"/>
      <c r="DO528" s="305"/>
      <c r="DP528" s="305"/>
      <c r="DQ528" s="305"/>
      <c r="DR528" s="305"/>
      <c r="DS528" s="305"/>
      <c r="DT528" s="305"/>
      <c r="DU528" s="305"/>
      <c r="DV528" s="305"/>
      <c r="DW528" s="305"/>
      <c r="DX528" s="305"/>
      <c r="DY528" s="305"/>
      <c r="DZ528" s="305"/>
      <c r="EA528" s="305"/>
      <c r="EB528" s="305"/>
      <c r="EC528" s="305"/>
      <c r="ED528" s="305"/>
      <c r="EE528" s="305"/>
      <c r="EF528" s="305"/>
      <c r="EG528" s="305"/>
      <c r="EH528" s="305"/>
      <c r="EI528" s="305"/>
      <c r="EJ528" s="305"/>
      <c r="EK528" s="305"/>
      <c r="EL528" s="305"/>
      <c r="EM528" s="305"/>
      <c r="EN528" s="305"/>
      <c r="EO528" s="305"/>
      <c r="EP528" s="305"/>
      <c r="EQ528" s="305"/>
      <c r="ER528" s="305"/>
      <c r="ES528" s="305"/>
      <c r="ET528" s="305"/>
      <c r="EU528" s="305"/>
      <c r="EV528" s="305"/>
      <c r="EW528" s="305"/>
      <c r="EX528" s="305"/>
      <c r="EY528" s="305"/>
      <c r="EZ528" s="305"/>
      <c r="FA528" s="305"/>
      <c r="FB528" s="305"/>
      <c r="FC528" s="305"/>
      <c r="FD528" s="305"/>
      <c r="FE528" s="305"/>
      <c r="FF528" s="305"/>
      <c r="FG528" s="305"/>
      <c r="FH528" s="305"/>
      <c r="FI528" s="305"/>
      <c r="FJ528" s="305"/>
      <c r="FK528" s="305"/>
      <c r="FL528" s="305"/>
      <c r="FM528" s="305"/>
      <c r="FN528" s="305"/>
      <c r="FO528" s="305"/>
      <c r="FP528" s="305"/>
      <c r="FQ528" s="305"/>
      <c r="FR528" s="305"/>
      <c r="FS528" s="305"/>
      <c r="FT528" s="305"/>
      <c r="FU528" s="305"/>
      <c r="FV528" s="305"/>
      <c r="FW528" s="305"/>
      <c r="FX528" s="305"/>
      <c r="FY528" s="305"/>
      <c r="FZ528" s="305"/>
      <c r="GA528" s="305"/>
      <c r="GB528" s="305"/>
      <c r="GC528" s="305"/>
      <c r="GD528" s="305"/>
      <c r="GE528" s="305"/>
      <c r="GF528" s="305"/>
      <c r="GG528" s="305"/>
      <c r="GH528" s="305"/>
      <c r="GI528" s="305"/>
      <c r="GJ528" s="305"/>
      <c r="GK528" s="305"/>
      <c r="GL528" s="305"/>
      <c r="GM528" s="305"/>
      <c r="GN528" s="305"/>
      <c r="GO528" s="305"/>
      <c r="GP528" s="305"/>
      <c r="GQ528" s="305"/>
      <c r="GR528" s="305"/>
    </row>
    <row r="529" spans="3:200" s="318" customFormat="1" ht="12.75" customHeight="1" x14ac:dyDescent="0.2">
      <c r="C529" s="367"/>
      <c r="D529" s="403"/>
      <c r="E529" s="369"/>
      <c r="F529" s="369"/>
      <c r="G529" s="369"/>
      <c r="H529" s="369"/>
      <c r="I529" s="370"/>
      <c r="J529"/>
      <c r="K529" s="371"/>
      <c r="L529" s="371"/>
      <c r="M529" s="371"/>
      <c r="N529" s="371"/>
      <c r="O529" s="305"/>
      <c r="P529" s="305"/>
      <c r="Q529" s="305"/>
      <c r="R529" s="305"/>
      <c r="S529" s="305"/>
      <c r="T529" s="305"/>
      <c r="U529" s="305"/>
      <c r="V529" s="305"/>
      <c r="W529" s="305"/>
      <c r="X529" s="305"/>
      <c r="Y529" s="305"/>
      <c r="Z529" s="305"/>
      <c r="AA529" s="305"/>
      <c r="AB529" s="305"/>
      <c r="AC529" s="305"/>
      <c r="AD529" s="305"/>
      <c r="AE529" s="305"/>
      <c r="AF529" s="305"/>
      <c r="AG529" s="305"/>
      <c r="AH529" s="305"/>
      <c r="AI529" s="305"/>
      <c r="AJ529" s="305"/>
      <c r="AK529" s="305"/>
      <c r="AL529" s="305"/>
      <c r="AM529" s="305"/>
      <c r="AN529" s="305"/>
      <c r="AO529" s="305"/>
      <c r="AP529" s="305"/>
      <c r="AQ529" s="305"/>
      <c r="AR529" s="305"/>
      <c r="AS529" s="305"/>
      <c r="AT529" s="305"/>
      <c r="AU529" s="305"/>
      <c r="AV529" s="305"/>
      <c r="AW529" s="305"/>
      <c r="AX529" s="305"/>
      <c r="AY529" s="305"/>
      <c r="AZ529" s="305"/>
      <c r="BA529" s="305"/>
      <c r="BB529" s="305"/>
      <c r="BC529" s="305"/>
      <c r="BD529" s="305"/>
      <c r="BE529" s="305"/>
      <c r="BF529" s="305"/>
      <c r="BG529" s="305"/>
      <c r="BH529" s="305"/>
      <c r="BI529" s="305"/>
      <c r="BJ529" s="305"/>
      <c r="BK529" s="305"/>
      <c r="BL529" s="305"/>
      <c r="BM529" s="305"/>
      <c r="BN529" s="305"/>
      <c r="BO529" s="305"/>
      <c r="BP529" s="305"/>
      <c r="BQ529" s="305"/>
      <c r="BR529" s="305"/>
      <c r="BS529" s="305"/>
      <c r="BT529" s="305"/>
      <c r="BU529" s="305"/>
      <c r="BV529" s="305"/>
      <c r="BW529" s="305"/>
      <c r="BX529" s="305"/>
      <c r="BY529" s="305"/>
      <c r="BZ529" s="305"/>
      <c r="CA529" s="305"/>
      <c r="CB529" s="305"/>
      <c r="CC529" s="305"/>
      <c r="CD529" s="305"/>
      <c r="CE529" s="305"/>
      <c r="CF529" s="305"/>
      <c r="CG529" s="305"/>
      <c r="CH529" s="305"/>
      <c r="CI529" s="305"/>
      <c r="CJ529" s="305"/>
      <c r="CK529" s="305"/>
      <c r="CL529" s="305"/>
      <c r="CM529" s="305"/>
      <c r="CN529" s="305"/>
      <c r="CO529" s="305"/>
      <c r="CP529" s="305"/>
      <c r="CQ529" s="305"/>
      <c r="CR529" s="305"/>
      <c r="CS529" s="305"/>
      <c r="CT529" s="305"/>
      <c r="CU529" s="305"/>
      <c r="CV529" s="305"/>
      <c r="CW529" s="305"/>
      <c r="CX529" s="305"/>
      <c r="CY529" s="305"/>
      <c r="CZ529" s="305"/>
      <c r="DA529" s="305"/>
      <c r="DB529" s="305"/>
      <c r="DC529" s="305"/>
      <c r="DD529" s="305"/>
      <c r="DE529" s="305"/>
      <c r="DF529" s="305"/>
      <c r="DG529" s="305"/>
      <c r="DH529" s="305"/>
      <c r="DI529" s="305"/>
      <c r="DJ529" s="305"/>
      <c r="DK529" s="305"/>
      <c r="DL529" s="305"/>
      <c r="DM529" s="305"/>
      <c r="DN529" s="305"/>
      <c r="DO529" s="305"/>
      <c r="DP529" s="305"/>
      <c r="DQ529" s="305"/>
      <c r="DR529" s="305"/>
      <c r="DS529" s="305"/>
      <c r="DT529" s="305"/>
      <c r="DU529" s="305"/>
      <c r="DV529" s="305"/>
      <c r="DW529" s="305"/>
      <c r="DX529" s="305"/>
      <c r="DY529" s="305"/>
      <c r="DZ529" s="305"/>
      <c r="EA529" s="305"/>
      <c r="EB529" s="305"/>
      <c r="EC529" s="305"/>
      <c r="ED529" s="305"/>
      <c r="EE529" s="305"/>
      <c r="EF529" s="305"/>
      <c r="EG529" s="305"/>
      <c r="EH529" s="305"/>
      <c r="EI529" s="305"/>
      <c r="EJ529" s="305"/>
      <c r="EK529" s="305"/>
      <c r="EL529" s="305"/>
      <c r="EM529" s="305"/>
      <c r="EN529" s="305"/>
      <c r="EO529" s="305"/>
      <c r="EP529" s="305"/>
      <c r="EQ529" s="305"/>
      <c r="ER529" s="305"/>
      <c r="ES529" s="305"/>
      <c r="ET529" s="305"/>
      <c r="EU529" s="305"/>
      <c r="EV529" s="305"/>
      <c r="EW529" s="305"/>
      <c r="EX529" s="305"/>
      <c r="EY529" s="305"/>
      <c r="EZ529" s="305"/>
      <c r="FA529" s="305"/>
      <c r="FB529" s="305"/>
      <c r="FC529" s="305"/>
      <c r="FD529" s="305"/>
      <c r="FE529" s="305"/>
      <c r="FF529" s="305"/>
      <c r="FG529" s="305"/>
      <c r="FH529" s="305"/>
      <c r="FI529" s="305"/>
      <c r="FJ529" s="305"/>
      <c r="FK529" s="305"/>
      <c r="FL529" s="305"/>
      <c r="FM529" s="305"/>
      <c r="FN529" s="305"/>
      <c r="FO529" s="305"/>
      <c r="FP529" s="305"/>
      <c r="FQ529" s="305"/>
      <c r="FR529" s="305"/>
      <c r="FS529" s="305"/>
      <c r="FT529" s="305"/>
      <c r="FU529" s="305"/>
      <c r="FV529" s="305"/>
      <c r="FW529" s="305"/>
      <c r="FX529" s="305"/>
      <c r="FY529" s="305"/>
      <c r="FZ529" s="305"/>
      <c r="GA529" s="305"/>
      <c r="GB529" s="305"/>
      <c r="GC529" s="305"/>
      <c r="GD529" s="305"/>
      <c r="GE529" s="305"/>
      <c r="GF529" s="305"/>
      <c r="GG529" s="305"/>
      <c r="GH529" s="305"/>
      <c r="GI529" s="305"/>
      <c r="GJ529" s="305"/>
      <c r="GK529" s="305"/>
      <c r="GL529" s="305"/>
      <c r="GM529" s="305"/>
      <c r="GN529" s="305"/>
      <c r="GO529" s="305"/>
      <c r="GP529" s="305"/>
      <c r="GQ529" s="305"/>
      <c r="GR529" s="305"/>
    </row>
    <row r="530" spans="3:200" s="318" customFormat="1" ht="12.75" customHeight="1" x14ac:dyDescent="0.2">
      <c r="C530" s="367"/>
      <c r="D530" s="403"/>
      <c r="E530" s="369"/>
      <c r="F530" s="369"/>
      <c r="G530" s="369"/>
      <c r="H530" s="369"/>
      <c r="I530" s="370"/>
      <c r="J530"/>
      <c r="K530" s="371"/>
      <c r="L530" s="371"/>
      <c r="M530" s="371"/>
      <c r="N530" s="371"/>
      <c r="O530" s="305"/>
      <c r="P530" s="305"/>
      <c r="Q530" s="305"/>
      <c r="R530" s="305"/>
      <c r="S530" s="305"/>
      <c r="T530" s="305"/>
      <c r="U530" s="305"/>
      <c r="V530" s="305"/>
      <c r="W530" s="305"/>
      <c r="X530" s="305"/>
      <c r="Y530" s="305"/>
      <c r="Z530" s="305"/>
      <c r="AA530" s="305"/>
      <c r="AB530" s="305"/>
      <c r="AC530" s="305"/>
      <c r="AD530" s="305"/>
      <c r="AE530" s="305"/>
      <c r="AF530" s="305"/>
      <c r="AG530" s="305"/>
      <c r="AH530" s="305"/>
      <c r="AI530" s="305"/>
      <c r="AJ530" s="305"/>
      <c r="AK530" s="305"/>
      <c r="AL530" s="305"/>
      <c r="AM530" s="305"/>
      <c r="AN530" s="305"/>
      <c r="AO530" s="305"/>
      <c r="AP530" s="305"/>
      <c r="AQ530" s="305"/>
      <c r="AR530" s="305"/>
      <c r="AS530" s="305"/>
      <c r="AT530" s="305"/>
      <c r="AU530" s="305"/>
      <c r="AV530" s="305"/>
      <c r="AW530" s="305"/>
      <c r="AX530" s="305"/>
      <c r="AY530" s="305"/>
      <c r="AZ530" s="305"/>
      <c r="BA530" s="305"/>
      <c r="BB530" s="305"/>
      <c r="BC530" s="305"/>
      <c r="BD530" s="305"/>
      <c r="BE530" s="305"/>
      <c r="BF530" s="305"/>
      <c r="BG530" s="305"/>
      <c r="BH530" s="305"/>
      <c r="BI530" s="305"/>
      <c r="BJ530" s="305"/>
      <c r="BK530" s="305"/>
      <c r="BL530" s="305"/>
      <c r="BM530" s="305"/>
      <c r="BN530" s="305"/>
      <c r="BO530" s="305"/>
      <c r="BP530" s="305"/>
      <c r="BQ530" s="305"/>
      <c r="BR530" s="305"/>
      <c r="BS530" s="305"/>
      <c r="BT530" s="305"/>
      <c r="BU530" s="305"/>
      <c r="BV530" s="305"/>
      <c r="BW530" s="305"/>
      <c r="BX530" s="305"/>
      <c r="BY530" s="305"/>
      <c r="BZ530" s="305"/>
      <c r="CA530" s="305"/>
      <c r="CB530" s="305"/>
      <c r="CC530" s="305"/>
      <c r="CD530" s="305"/>
      <c r="CE530" s="305"/>
      <c r="CF530" s="305"/>
      <c r="CG530" s="305"/>
      <c r="CH530" s="305"/>
      <c r="CI530" s="305"/>
      <c r="CJ530" s="305"/>
      <c r="CK530" s="305"/>
      <c r="CL530" s="305"/>
      <c r="CM530" s="305"/>
      <c r="CN530" s="305"/>
      <c r="CO530" s="305"/>
      <c r="CP530" s="305"/>
      <c r="CQ530" s="305"/>
      <c r="CR530" s="305"/>
      <c r="CS530" s="305"/>
      <c r="CT530" s="305"/>
      <c r="CU530" s="305"/>
      <c r="CV530" s="305"/>
      <c r="CW530" s="305"/>
      <c r="CX530" s="305"/>
      <c r="CY530" s="305"/>
      <c r="CZ530" s="305"/>
      <c r="DA530" s="305"/>
      <c r="DB530" s="305"/>
      <c r="DC530" s="305"/>
      <c r="DD530" s="305"/>
      <c r="DE530" s="305"/>
      <c r="DF530" s="305"/>
      <c r="DG530" s="305"/>
      <c r="DH530" s="305"/>
      <c r="DI530" s="305"/>
      <c r="DJ530" s="305"/>
      <c r="DK530" s="305"/>
      <c r="DL530" s="305"/>
      <c r="DM530" s="305"/>
      <c r="DN530" s="305"/>
      <c r="DO530" s="305"/>
      <c r="DP530" s="305"/>
      <c r="DQ530" s="305"/>
      <c r="DR530" s="305"/>
      <c r="DS530" s="305"/>
      <c r="DT530" s="305"/>
      <c r="DU530" s="305"/>
      <c r="DV530" s="305"/>
      <c r="DW530" s="305"/>
      <c r="DX530" s="305"/>
      <c r="DY530" s="305"/>
      <c r="DZ530" s="305"/>
      <c r="EA530" s="305"/>
      <c r="EB530" s="305"/>
      <c r="EC530" s="305"/>
      <c r="ED530" s="305"/>
      <c r="EE530" s="305"/>
      <c r="EF530" s="305"/>
      <c r="EG530" s="305"/>
      <c r="EH530" s="305"/>
      <c r="EI530" s="305"/>
      <c r="EJ530" s="305"/>
      <c r="EK530" s="305"/>
      <c r="EL530" s="305"/>
      <c r="EM530" s="305"/>
      <c r="EN530" s="305"/>
      <c r="EO530" s="305"/>
      <c r="EP530" s="305"/>
      <c r="EQ530" s="305"/>
      <c r="ER530" s="305"/>
      <c r="ES530" s="305"/>
      <c r="ET530" s="305"/>
      <c r="EU530" s="305"/>
      <c r="EV530" s="305"/>
      <c r="EW530" s="305"/>
      <c r="EX530" s="305"/>
      <c r="EY530" s="305"/>
      <c r="EZ530" s="305"/>
      <c r="FA530" s="305"/>
      <c r="FB530" s="305"/>
      <c r="FC530" s="305"/>
      <c r="FD530" s="305"/>
      <c r="FE530" s="305"/>
      <c r="FF530" s="305"/>
      <c r="FG530" s="305"/>
      <c r="FH530" s="305"/>
      <c r="FI530" s="305"/>
      <c r="FJ530" s="305"/>
      <c r="FK530" s="305"/>
      <c r="FL530" s="305"/>
      <c r="FM530" s="305"/>
      <c r="FN530" s="305"/>
      <c r="FO530" s="305"/>
      <c r="FP530" s="305"/>
      <c r="FQ530" s="305"/>
      <c r="FR530" s="305"/>
      <c r="FS530" s="305"/>
      <c r="FT530" s="305"/>
      <c r="FU530" s="305"/>
      <c r="FV530" s="305"/>
      <c r="FW530" s="305"/>
      <c r="FX530" s="305"/>
      <c r="FY530" s="305"/>
      <c r="FZ530" s="305"/>
      <c r="GA530" s="305"/>
      <c r="GB530" s="305"/>
      <c r="GC530" s="305"/>
      <c r="GD530" s="305"/>
      <c r="GE530" s="305"/>
      <c r="GF530" s="305"/>
      <c r="GG530" s="305"/>
      <c r="GH530" s="305"/>
      <c r="GI530" s="305"/>
      <c r="GJ530" s="305"/>
      <c r="GK530" s="305"/>
      <c r="GL530" s="305"/>
      <c r="GM530" s="305"/>
      <c r="GN530" s="305"/>
      <c r="GO530" s="305"/>
      <c r="GP530" s="305"/>
      <c r="GQ530" s="305"/>
      <c r="GR530" s="305"/>
    </row>
    <row r="531" spans="3:200" s="318" customFormat="1" ht="12.75" customHeight="1" x14ac:dyDescent="0.2">
      <c r="C531" s="367"/>
      <c r="D531" s="403"/>
      <c r="E531" s="369"/>
      <c r="F531" s="369"/>
      <c r="G531" s="369"/>
      <c r="H531" s="369"/>
      <c r="I531" s="370"/>
      <c r="J531"/>
      <c r="K531" s="371"/>
      <c r="L531" s="371"/>
      <c r="M531" s="371"/>
      <c r="N531" s="371"/>
      <c r="O531" s="305"/>
      <c r="P531" s="305"/>
      <c r="Q531" s="305"/>
      <c r="R531" s="305"/>
      <c r="S531" s="305"/>
      <c r="T531" s="305"/>
      <c r="U531" s="305"/>
      <c r="V531" s="305"/>
      <c r="W531" s="305"/>
      <c r="X531" s="305"/>
      <c r="Y531" s="305"/>
      <c r="Z531" s="305"/>
      <c r="AA531" s="305"/>
      <c r="AB531" s="305"/>
      <c r="AC531" s="305"/>
      <c r="AD531" s="305"/>
      <c r="AE531" s="305"/>
      <c r="AF531" s="305"/>
      <c r="AG531" s="305"/>
      <c r="AH531" s="305"/>
      <c r="AI531" s="305"/>
      <c r="AJ531" s="305"/>
      <c r="AK531" s="305"/>
      <c r="AL531" s="305"/>
      <c r="AM531" s="305"/>
      <c r="AN531" s="305"/>
      <c r="AO531" s="305"/>
      <c r="AP531" s="305"/>
      <c r="AQ531" s="305"/>
      <c r="AR531" s="305"/>
      <c r="AS531" s="305"/>
      <c r="AT531" s="305"/>
      <c r="AU531" s="305"/>
      <c r="AV531" s="305"/>
      <c r="AW531" s="305"/>
      <c r="AX531" s="305"/>
      <c r="AY531" s="305"/>
      <c r="AZ531" s="305"/>
      <c r="BA531" s="305"/>
      <c r="BB531" s="305"/>
      <c r="BC531" s="305"/>
      <c r="BD531" s="305"/>
      <c r="BE531" s="305"/>
      <c r="BF531" s="305"/>
      <c r="BG531" s="305"/>
      <c r="BH531" s="305"/>
      <c r="BI531" s="305"/>
      <c r="BJ531" s="305"/>
      <c r="BK531" s="305"/>
      <c r="BL531" s="305"/>
      <c r="BM531" s="305"/>
      <c r="BN531" s="305"/>
      <c r="BO531" s="305"/>
      <c r="BP531" s="305"/>
      <c r="BQ531" s="305"/>
      <c r="BR531" s="305"/>
      <c r="BS531" s="305"/>
      <c r="BT531" s="305"/>
      <c r="BU531" s="305"/>
      <c r="BV531" s="305"/>
      <c r="BW531" s="305"/>
      <c r="BX531" s="305"/>
      <c r="BY531" s="305"/>
      <c r="BZ531" s="305"/>
      <c r="CA531" s="305"/>
      <c r="CB531" s="305"/>
      <c r="CC531" s="305"/>
      <c r="CD531" s="305"/>
      <c r="CE531" s="305"/>
      <c r="CF531" s="305"/>
      <c r="CG531" s="305"/>
      <c r="CH531" s="305"/>
      <c r="CI531" s="305"/>
      <c r="CJ531" s="305"/>
      <c r="CK531" s="305"/>
      <c r="CL531" s="305"/>
      <c r="CM531" s="305"/>
      <c r="CN531" s="305"/>
      <c r="CO531" s="305"/>
      <c r="CP531" s="305"/>
      <c r="CQ531" s="305"/>
      <c r="CR531" s="305"/>
      <c r="CS531" s="305"/>
      <c r="CT531" s="305"/>
      <c r="CU531" s="305"/>
      <c r="CV531" s="305"/>
      <c r="CW531" s="305"/>
      <c r="CX531" s="305"/>
      <c r="CY531" s="305"/>
      <c r="CZ531" s="305"/>
      <c r="DA531" s="305"/>
      <c r="DB531" s="305"/>
      <c r="DC531" s="305"/>
      <c r="DD531" s="305"/>
      <c r="DE531" s="305"/>
      <c r="DF531" s="305"/>
      <c r="DG531" s="305"/>
      <c r="DH531" s="305"/>
      <c r="DI531" s="305"/>
      <c r="DJ531" s="305"/>
      <c r="DK531" s="305"/>
      <c r="DL531" s="305"/>
      <c r="DM531" s="305"/>
      <c r="DN531" s="305"/>
      <c r="DO531" s="305"/>
      <c r="DP531" s="305"/>
      <c r="DQ531" s="305"/>
      <c r="DR531" s="305"/>
      <c r="DS531" s="305"/>
      <c r="DT531" s="305"/>
      <c r="DU531" s="305"/>
      <c r="DV531" s="305"/>
      <c r="DW531" s="305"/>
      <c r="DX531" s="305"/>
      <c r="DY531" s="305"/>
      <c r="DZ531" s="305"/>
      <c r="EA531" s="305"/>
      <c r="EB531" s="305"/>
      <c r="EC531" s="305"/>
      <c r="ED531" s="305"/>
      <c r="EE531" s="305"/>
      <c r="EF531" s="305"/>
      <c r="EG531" s="305"/>
      <c r="EH531" s="305"/>
      <c r="EI531" s="305"/>
      <c r="EJ531" s="305"/>
      <c r="EK531" s="305"/>
      <c r="EL531" s="305"/>
      <c r="EM531" s="305"/>
      <c r="EN531" s="305"/>
      <c r="EO531" s="305"/>
      <c r="EP531" s="305"/>
      <c r="EQ531" s="305"/>
      <c r="ER531" s="305"/>
      <c r="ES531" s="305"/>
      <c r="ET531" s="305"/>
      <c r="EU531" s="305"/>
      <c r="EV531" s="305"/>
      <c r="EW531" s="305"/>
      <c r="EX531" s="305"/>
      <c r="EY531" s="305"/>
      <c r="EZ531" s="305"/>
      <c r="FA531" s="305"/>
      <c r="FB531" s="305"/>
      <c r="FC531" s="305"/>
      <c r="FD531" s="305"/>
      <c r="FE531" s="305"/>
      <c r="FF531" s="305"/>
      <c r="FG531" s="305"/>
      <c r="FH531" s="305"/>
      <c r="FI531" s="305"/>
      <c r="FJ531" s="305"/>
      <c r="FK531" s="305"/>
      <c r="FL531" s="305"/>
      <c r="FM531" s="305"/>
      <c r="FN531" s="305"/>
      <c r="FO531" s="305"/>
      <c r="FP531" s="305"/>
      <c r="FQ531" s="305"/>
      <c r="FR531" s="305"/>
      <c r="FS531" s="305"/>
      <c r="FT531" s="305"/>
      <c r="FU531" s="305"/>
      <c r="FV531" s="305"/>
      <c r="FW531" s="305"/>
      <c r="FX531" s="305"/>
      <c r="FY531" s="305"/>
      <c r="FZ531" s="305"/>
      <c r="GA531" s="305"/>
      <c r="GB531" s="305"/>
      <c r="GC531" s="305"/>
      <c r="GD531" s="305"/>
      <c r="GE531" s="305"/>
      <c r="GF531" s="305"/>
      <c r="GG531" s="305"/>
      <c r="GH531" s="305"/>
      <c r="GI531" s="305"/>
      <c r="GJ531" s="305"/>
      <c r="GK531" s="305"/>
      <c r="GL531" s="305"/>
      <c r="GM531" s="305"/>
      <c r="GN531" s="305"/>
      <c r="GO531" s="305"/>
      <c r="GP531" s="305"/>
      <c r="GQ531" s="305"/>
      <c r="GR531" s="305"/>
    </row>
    <row r="532" spans="3:200" s="318" customFormat="1" ht="12.75" customHeight="1" x14ac:dyDescent="0.2">
      <c r="C532" s="367"/>
      <c r="D532" s="403"/>
      <c r="E532" s="369"/>
      <c r="F532" s="369"/>
      <c r="G532" s="369"/>
      <c r="H532" s="369"/>
      <c r="I532" s="370"/>
      <c r="J532"/>
      <c r="K532" s="371"/>
      <c r="L532" s="371"/>
      <c r="M532" s="371"/>
      <c r="N532" s="371"/>
      <c r="O532" s="305"/>
      <c r="P532" s="305"/>
      <c r="Q532" s="305"/>
      <c r="R532" s="305"/>
      <c r="S532" s="305"/>
      <c r="T532" s="305"/>
      <c r="U532" s="305"/>
      <c r="V532" s="305"/>
      <c r="W532" s="305"/>
      <c r="X532" s="305"/>
      <c r="Y532" s="305"/>
      <c r="Z532" s="305"/>
      <c r="AA532" s="305"/>
      <c r="AB532" s="305"/>
      <c r="AC532" s="305"/>
      <c r="AD532" s="305"/>
      <c r="AE532" s="305"/>
      <c r="AF532" s="305"/>
      <c r="AG532" s="305"/>
      <c r="AH532" s="305"/>
      <c r="AI532" s="305"/>
      <c r="AJ532" s="305"/>
      <c r="AK532" s="305"/>
      <c r="AL532" s="305"/>
      <c r="AM532" s="305"/>
      <c r="AN532" s="305"/>
      <c r="AO532" s="305"/>
      <c r="AP532" s="305"/>
      <c r="AQ532" s="305"/>
      <c r="AR532" s="305"/>
      <c r="AS532" s="305"/>
      <c r="AT532" s="305"/>
      <c r="AU532" s="305"/>
      <c r="AV532" s="305"/>
      <c r="AW532" s="305"/>
      <c r="AX532" s="305"/>
      <c r="AY532" s="305"/>
      <c r="AZ532" s="305"/>
      <c r="BA532" s="305"/>
      <c r="BB532" s="305"/>
      <c r="BC532" s="305"/>
      <c r="BD532" s="305"/>
      <c r="BE532" s="305"/>
      <c r="BF532" s="305"/>
      <c r="BG532" s="305"/>
      <c r="BH532" s="305"/>
      <c r="BI532" s="305"/>
      <c r="BJ532" s="305"/>
      <c r="BK532" s="305"/>
      <c r="BL532" s="305"/>
      <c r="BM532" s="305"/>
      <c r="BN532" s="305"/>
      <c r="BO532" s="305"/>
      <c r="BP532" s="305"/>
      <c r="BQ532" s="305"/>
      <c r="BR532" s="305"/>
      <c r="BS532" s="305"/>
      <c r="BT532" s="305"/>
      <c r="BU532" s="305"/>
      <c r="BV532" s="305"/>
      <c r="BW532" s="305"/>
      <c r="BX532" s="305"/>
      <c r="BY532" s="305"/>
      <c r="BZ532" s="305"/>
      <c r="CA532" s="305"/>
      <c r="CB532" s="305"/>
      <c r="CC532" s="305"/>
      <c r="CD532" s="305"/>
      <c r="CE532" s="305"/>
      <c r="CF532" s="305"/>
      <c r="CG532" s="305"/>
      <c r="CH532" s="305"/>
      <c r="CI532" s="305"/>
      <c r="CJ532" s="305"/>
      <c r="CK532" s="305"/>
      <c r="CL532" s="305"/>
      <c r="CM532" s="305"/>
      <c r="CN532" s="305"/>
      <c r="CO532" s="305"/>
      <c r="CP532" s="305"/>
      <c r="CQ532" s="305"/>
      <c r="CR532" s="305"/>
      <c r="CS532" s="305"/>
      <c r="CT532" s="305"/>
      <c r="CU532" s="305"/>
      <c r="CV532" s="305"/>
      <c r="CW532" s="305"/>
      <c r="CX532" s="305"/>
      <c r="CY532" s="305"/>
      <c r="CZ532" s="305"/>
      <c r="DA532" s="305"/>
      <c r="DB532" s="305"/>
      <c r="DC532" s="305"/>
      <c r="DD532" s="305"/>
      <c r="DE532" s="305"/>
      <c r="DF532" s="305"/>
      <c r="DG532" s="305"/>
      <c r="DH532" s="305"/>
      <c r="DI532" s="305"/>
      <c r="DJ532" s="305"/>
      <c r="DK532" s="305"/>
      <c r="DL532" s="305"/>
      <c r="DM532" s="305"/>
      <c r="DN532" s="305"/>
      <c r="DO532" s="305"/>
      <c r="DP532" s="305"/>
      <c r="DQ532" s="305"/>
      <c r="DR532" s="305"/>
      <c r="DS532" s="305"/>
      <c r="DT532" s="305"/>
      <c r="DU532" s="305"/>
      <c r="DV532" s="305"/>
      <c r="DW532" s="305"/>
      <c r="DX532" s="305"/>
      <c r="DY532" s="305"/>
      <c r="DZ532" s="305"/>
      <c r="EA532" s="305"/>
      <c r="EB532" s="305"/>
      <c r="EC532" s="305"/>
      <c r="ED532" s="305"/>
      <c r="EE532" s="305"/>
      <c r="EF532" s="305"/>
      <c r="EG532" s="305"/>
      <c r="EH532" s="305"/>
      <c r="EI532" s="305"/>
      <c r="EJ532" s="305"/>
      <c r="EK532" s="305"/>
      <c r="EL532" s="305"/>
      <c r="EM532" s="305"/>
      <c r="EN532" s="305"/>
      <c r="EO532" s="305"/>
      <c r="EP532" s="305"/>
      <c r="EQ532" s="305"/>
      <c r="ER532" s="305"/>
      <c r="ES532" s="305"/>
      <c r="ET532" s="305"/>
      <c r="EU532" s="305"/>
      <c r="EV532" s="305"/>
      <c r="EW532" s="305"/>
      <c r="EX532" s="305"/>
      <c r="EY532" s="305"/>
      <c r="EZ532" s="305"/>
      <c r="FA532" s="305"/>
      <c r="FB532" s="305"/>
      <c r="FC532" s="305"/>
      <c r="FD532" s="305"/>
      <c r="FE532" s="305"/>
      <c r="FF532" s="305"/>
      <c r="FG532" s="305"/>
      <c r="FH532" s="305"/>
      <c r="FI532" s="305"/>
      <c r="FJ532" s="305"/>
      <c r="FK532" s="305"/>
      <c r="FL532" s="305"/>
      <c r="FM532" s="305"/>
      <c r="FN532" s="305"/>
      <c r="FO532" s="305"/>
      <c r="FP532" s="305"/>
      <c r="FQ532" s="305"/>
      <c r="FR532" s="305"/>
      <c r="FS532" s="305"/>
      <c r="FT532" s="305"/>
      <c r="FU532" s="305"/>
      <c r="FV532" s="305"/>
      <c r="FW532" s="305"/>
      <c r="FX532" s="305"/>
      <c r="FY532" s="305"/>
      <c r="FZ532" s="305"/>
      <c r="GA532" s="305"/>
      <c r="GB532" s="305"/>
      <c r="GC532" s="305"/>
      <c r="GD532" s="305"/>
      <c r="GE532" s="305"/>
      <c r="GF532" s="305"/>
      <c r="GG532" s="305"/>
      <c r="GH532" s="305"/>
      <c r="GI532" s="305"/>
      <c r="GJ532" s="305"/>
      <c r="GK532" s="305"/>
      <c r="GL532" s="305"/>
      <c r="GM532" s="305"/>
      <c r="GN532" s="305"/>
      <c r="GO532" s="305"/>
      <c r="GP532" s="305"/>
      <c r="GQ532" s="305"/>
      <c r="GR532" s="305"/>
    </row>
    <row r="533" spans="3:200" s="318" customFormat="1" ht="12.75" customHeight="1" x14ac:dyDescent="0.2">
      <c r="C533" s="367"/>
      <c r="D533" s="403"/>
      <c r="E533" s="369"/>
      <c r="F533" s="369"/>
      <c r="G533" s="369"/>
      <c r="H533" s="369"/>
      <c r="I533" s="370"/>
      <c r="J533"/>
      <c r="K533" s="371"/>
      <c r="L533" s="371"/>
      <c r="M533" s="371"/>
      <c r="N533" s="371"/>
      <c r="O533" s="305"/>
      <c r="P533" s="305"/>
      <c r="Q533" s="305"/>
      <c r="R533" s="305"/>
      <c r="S533" s="305"/>
      <c r="T533" s="305"/>
      <c r="U533" s="305"/>
      <c r="V533" s="305"/>
      <c r="W533" s="305"/>
      <c r="X533" s="305"/>
      <c r="Y533" s="305"/>
      <c r="Z533" s="305"/>
      <c r="AA533" s="305"/>
      <c r="AB533" s="305"/>
      <c r="AC533" s="305"/>
      <c r="AD533" s="305"/>
      <c r="AE533" s="305"/>
      <c r="AF533" s="305"/>
      <c r="AG533" s="305"/>
      <c r="AH533" s="305"/>
      <c r="AI533" s="305"/>
      <c r="AJ533" s="305"/>
      <c r="AK533" s="305"/>
      <c r="AL533" s="305"/>
      <c r="AM533" s="305"/>
      <c r="AN533" s="305"/>
      <c r="AO533" s="305"/>
      <c r="AP533" s="305"/>
      <c r="AQ533" s="305"/>
      <c r="AR533" s="305"/>
      <c r="AS533" s="305"/>
      <c r="AT533" s="305"/>
      <c r="AU533" s="305"/>
      <c r="AV533" s="305"/>
      <c r="AW533" s="305"/>
      <c r="AX533" s="305"/>
      <c r="AY533" s="305"/>
      <c r="AZ533" s="305"/>
      <c r="BA533" s="305"/>
      <c r="BB533" s="305"/>
      <c r="BC533" s="305"/>
      <c r="BD533" s="305"/>
      <c r="BE533" s="305"/>
      <c r="BF533" s="305"/>
      <c r="BG533" s="305"/>
      <c r="BH533" s="305"/>
      <c r="BI533" s="305"/>
      <c r="BJ533" s="305"/>
      <c r="BK533" s="305"/>
      <c r="BL533" s="305"/>
      <c r="BM533" s="305"/>
      <c r="BN533" s="305"/>
      <c r="BO533" s="305"/>
      <c r="BP533" s="305"/>
      <c r="BQ533" s="305"/>
      <c r="BR533" s="305"/>
      <c r="BS533" s="305"/>
      <c r="BT533" s="305"/>
      <c r="BU533" s="305"/>
      <c r="BV533" s="305"/>
      <c r="BW533" s="305"/>
      <c r="BX533" s="305"/>
      <c r="BY533" s="305"/>
      <c r="BZ533" s="305"/>
      <c r="CA533" s="305"/>
      <c r="CB533" s="305"/>
      <c r="CC533" s="305"/>
      <c r="CD533" s="305"/>
      <c r="CE533" s="305"/>
      <c r="CF533" s="305"/>
      <c r="CG533" s="305"/>
      <c r="CH533" s="305"/>
      <c r="CI533" s="305"/>
      <c r="CJ533" s="305"/>
      <c r="CK533" s="305"/>
      <c r="CL533" s="305"/>
      <c r="CM533" s="305"/>
      <c r="CN533" s="305"/>
      <c r="CO533" s="305"/>
      <c r="CP533" s="305"/>
      <c r="CQ533" s="305"/>
      <c r="CR533" s="305"/>
      <c r="CS533" s="305"/>
      <c r="CT533" s="305"/>
      <c r="CU533" s="305"/>
      <c r="CV533" s="305"/>
      <c r="CW533" s="305"/>
      <c r="CX533" s="305"/>
      <c r="CY533" s="305"/>
      <c r="CZ533" s="305"/>
      <c r="DA533" s="305"/>
      <c r="DB533" s="305"/>
      <c r="DC533" s="305"/>
      <c r="DD533" s="305"/>
      <c r="DE533" s="305"/>
      <c r="DF533" s="305"/>
      <c r="DG533" s="305"/>
      <c r="DH533" s="305"/>
      <c r="DI533" s="305"/>
      <c r="DJ533" s="305"/>
      <c r="DK533" s="305"/>
      <c r="DL533" s="305"/>
      <c r="DM533" s="305"/>
      <c r="DN533" s="305"/>
      <c r="DO533" s="305"/>
      <c r="DP533" s="305"/>
      <c r="DQ533" s="305"/>
      <c r="DR533" s="305"/>
      <c r="DS533" s="305"/>
      <c r="DT533" s="305"/>
      <c r="DU533" s="305"/>
      <c r="DV533" s="305"/>
      <c r="DW533" s="305"/>
      <c r="DX533" s="305"/>
      <c r="DY533" s="305"/>
      <c r="DZ533" s="305"/>
      <c r="EA533" s="305"/>
      <c r="EB533" s="305"/>
      <c r="EC533" s="305"/>
      <c r="ED533" s="305"/>
      <c r="EE533" s="305"/>
      <c r="EF533" s="305"/>
      <c r="EG533" s="305"/>
      <c r="EH533" s="305"/>
      <c r="EI533" s="305"/>
      <c r="EJ533" s="305"/>
      <c r="EK533" s="305"/>
      <c r="EL533" s="305"/>
      <c r="EM533" s="305"/>
      <c r="EN533" s="305"/>
      <c r="EO533" s="305"/>
      <c r="EP533" s="305"/>
      <c r="EQ533" s="305"/>
      <c r="ER533" s="305"/>
      <c r="ES533" s="305"/>
      <c r="ET533" s="305"/>
      <c r="EU533" s="305"/>
      <c r="EV533" s="305"/>
      <c r="EW533" s="305"/>
      <c r="EX533" s="305"/>
      <c r="EY533" s="305"/>
      <c r="EZ533" s="305"/>
      <c r="FA533" s="305"/>
      <c r="FB533" s="305"/>
      <c r="FC533" s="305"/>
      <c r="FD533" s="305"/>
      <c r="FE533" s="305"/>
      <c r="FF533" s="305"/>
      <c r="FG533" s="305"/>
      <c r="FH533" s="305"/>
      <c r="FI533" s="305"/>
      <c r="FJ533" s="305"/>
      <c r="FK533" s="305"/>
      <c r="FL533" s="305"/>
      <c r="FM533" s="305"/>
      <c r="FN533" s="305"/>
      <c r="FO533" s="305"/>
      <c r="FP533" s="305"/>
      <c r="FQ533" s="305"/>
      <c r="FR533" s="305"/>
      <c r="FS533" s="305"/>
      <c r="FT533" s="305"/>
      <c r="FU533" s="305"/>
      <c r="FV533" s="305"/>
      <c r="FW533" s="305"/>
      <c r="FX533" s="305"/>
      <c r="FY533" s="305"/>
      <c r="FZ533" s="305"/>
      <c r="GA533" s="305"/>
      <c r="GB533" s="305"/>
      <c r="GC533" s="305"/>
      <c r="GD533" s="305"/>
      <c r="GE533" s="305"/>
      <c r="GF533" s="305"/>
      <c r="GG533" s="305"/>
      <c r="GH533" s="305"/>
      <c r="GI533" s="305"/>
      <c r="GJ533" s="305"/>
      <c r="GK533" s="305"/>
      <c r="GL533" s="305"/>
      <c r="GM533" s="305"/>
      <c r="GN533" s="305"/>
      <c r="GO533" s="305"/>
      <c r="GP533" s="305"/>
      <c r="GQ533" s="305"/>
      <c r="GR533" s="305"/>
    </row>
    <row r="534" spans="3:200" s="318" customFormat="1" ht="12.75" customHeight="1" x14ac:dyDescent="0.2">
      <c r="C534" s="367"/>
      <c r="D534" s="403"/>
      <c r="E534" s="369"/>
      <c r="F534" s="369"/>
      <c r="G534" s="369"/>
      <c r="H534" s="369"/>
      <c r="I534" s="370"/>
      <c r="J534"/>
      <c r="K534" s="371"/>
      <c r="L534" s="371"/>
      <c r="M534" s="371"/>
      <c r="N534" s="371"/>
      <c r="O534" s="305"/>
      <c r="P534" s="305"/>
      <c r="Q534" s="305"/>
      <c r="R534" s="305"/>
      <c r="S534" s="305"/>
      <c r="T534" s="305"/>
      <c r="U534" s="305"/>
      <c r="V534" s="305"/>
      <c r="W534" s="305"/>
      <c r="X534" s="305"/>
      <c r="Y534" s="305"/>
      <c r="Z534" s="305"/>
      <c r="AA534" s="305"/>
      <c r="AB534" s="305"/>
      <c r="AC534" s="305"/>
      <c r="AD534" s="305"/>
      <c r="AE534" s="305"/>
      <c r="AF534" s="305"/>
      <c r="AG534" s="305"/>
      <c r="AH534" s="305"/>
      <c r="AI534" s="305"/>
      <c r="AJ534" s="305"/>
      <c r="AK534" s="305"/>
      <c r="AL534" s="305"/>
      <c r="AM534" s="305"/>
      <c r="AN534" s="305"/>
      <c r="AO534" s="305"/>
      <c r="AP534" s="305"/>
      <c r="AQ534" s="305"/>
      <c r="AR534" s="305"/>
      <c r="AS534" s="305"/>
      <c r="AT534" s="305"/>
      <c r="AU534" s="305"/>
      <c r="AV534" s="305"/>
      <c r="AW534" s="305"/>
      <c r="AX534" s="305"/>
      <c r="AY534" s="305"/>
      <c r="AZ534" s="305"/>
      <c r="BA534" s="305"/>
      <c r="BB534" s="305"/>
      <c r="BC534" s="305"/>
      <c r="BD534" s="305"/>
      <c r="BE534" s="305"/>
      <c r="BF534" s="305"/>
      <c r="BG534" s="305"/>
      <c r="BH534" s="305"/>
      <c r="BI534" s="305"/>
      <c r="BJ534" s="305"/>
      <c r="BK534" s="305"/>
      <c r="BL534" s="305"/>
      <c r="BM534" s="305"/>
      <c r="BN534" s="305"/>
      <c r="BO534" s="305"/>
      <c r="BP534" s="305"/>
      <c r="BQ534" s="305"/>
      <c r="BR534" s="305"/>
      <c r="BS534" s="305"/>
      <c r="BT534" s="305"/>
      <c r="BU534" s="305"/>
      <c r="BV534" s="305"/>
      <c r="BW534" s="305"/>
      <c r="BX534" s="305"/>
      <c r="BY534" s="305"/>
      <c r="BZ534" s="305"/>
      <c r="CA534" s="305"/>
      <c r="CB534" s="305"/>
      <c r="CC534" s="305"/>
      <c r="CD534" s="305"/>
      <c r="CE534" s="305"/>
      <c r="CF534" s="305"/>
      <c r="CG534" s="305"/>
      <c r="CH534" s="305"/>
      <c r="CI534" s="305"/>
      <c r="CJ534" s="305"/>
      <c r="CK534" s="305"/>
      <c r="CL534" s="305"/>
      <c r="CM534" s="305"/>
      <c r="CN534" s="305"/>
      <c r="CO534" s="305"/>
      <c r="CP534" s="305"/>
      <c r="CQ534" s="305"/>
      <c r="CR534" s="305"/>
      <c r="CS534" s="305"/>
      <c r="CT534" s="305"/>
      <c r="CU534" s="305"/>
      <c r="CV534" s="305"/>
      <c r="CW534" s="305"/>
      <c r="CX534" s="305"/>
      <c r="CY534" s="305"/>
      <c r="CZ534" s="305"/>
      <c r="DA534" s="305"/>
      <c r="DB534" s="305"/>
      <c r="DC534" s="305"/>
      <c r="DD534" s="305"/>
      <c r="DE534" s="305"/>
      <c r="DF534" s="305"/>
      <c r="DG534" s="305"/>
      <c r="DH534" s="305"/>
      <c r="DI534" s="305"/>
      <c r="DJ534" s="305"/>
      <c r="DK534" s="305"/>
      <c r="DL534" s="305"/>
      <c r="DM534" s="305"/>
      <c r="DN534" s="305"/>
      <c r="DO534" s="305"/>
      <c r="DP534" s="305"/>
      <c r="DQ534" s="305"/>
      <c r="DR534" s="305"/>
      <c r="DS534" s="305"/>
      <c r="DT534" s="305"/>
      <c r="DU534" s="305"/>
      <c r="DV534" s="305"/>
      <c r="DW534" s="305"/>
      <c r="DX534" s="305"/>
      <c r="DY534" s="305"/>
      <c r="DZ534" s="305"/>
      <c r="EA534" s="305"/>
      <c r="EB534" s="305"/>
      <c r="EC534" s="305"/>
      <c r="ED534" s="305"/>
      <c r="EE534" s="305"/>
      <c r="EF534" s="305"/>
      <c r="EG534" s="305"/>
      <c r="EH534" s="305"/>
      <c r="EI534" s="305"/>
      <c r="EJ534" s="305"/>
      <c r="EK534" s="305"/>
      <c r="EL534" s="305"/>
      <c r="EM534" s="305"/>
      <c r="EN534" s="305"/>
      <c r="EO534" s="305"/>
      <c r="EP534" s="305"/>
      <c r="EQ534" s="305"/>
      <c r="ER534" s="305"/>
      <c r="ES534" s="305"/>
      <c r="ET534" s="305"/>
      <c r="EU534" s="305"/>
      <c r="EV534" s="305"/>
      <c r="EW534" s="305"/>
      <c r="EX534" s="305"/>
      <c r="EY534" s="305"/>
      <c r="EZ534" s="305"/>
      <c r="FA534" s="305"/>
      <c r="FB534" s="305"/>
      <c r="FC534" s="305"/>
      <c r="FD534" s="305"/>
      <c r="FE534" s="305"/>
      <c r="FF534" s="305"/>
      <c r="FG534" s="305"/>
      <c r="FH534" s="305"/>
      <c r="FI534" s="305"/>
      <c r="FJ534" s="305"/>
      <c r="FK534" s="305"/>
      <c r="FL534" s="305"/>
      <c r="FM534" s="305"/>
      <c r="FN534" s="305"/>
      <c r="FO534" s="305"/>
      <c r="FP534" s="305"/>
      <c r="FQ534" s="305"/>
      <c r="FR534" s="305"/>
      <c r="FS534" s="305"/>
      <c r="FT534" s="305"/>
      <c r="FU534" s="305"/>
      <c r="FV534" s="305"/>
      <c r="FW534" s="305"/>
      <c r="FX534" s="305"/>
      <c r="FY534" s="305"/>
      <c r="FZ534" s="305"/>
      <c r="GA534" s="305"/>
      <c r="GB534" s="305"/>
      <c r="GC534" s="305"/>
      <c r="GD534" s="305"/>
      <c r="GE534" s="305"/>
      <c r="GF534" s="305"/>
      <c r="GG534" s="305"/>
      <c r="GH534" s="305"/>
      <c r="GI534" s="305"/>
      <c r="GJ534" s="305"/>
      <c r="GK534" s="305"/>
      <c r="GL534" s="305"/>
      <c r="GM534" s="305"/>
      <c r="GN534" s="305"/>
      <c r="GO534" s="305"/>
      <c r="GP534" s="305"/>
      <c r="GQ534" s="305"/>
      <c r="GR534" s="305"/>
    </row>
    <row r="535" spans="3:200" s="318" customFormat="1" ht="12.75" customHeight="1" x14ac:dyDescent="0.2">
      <c r="C535" s="367"/>
      <c r="D535" s="403"/>
      <c r="E535" s="369"/>
      <c r="F535" s="369"/>
      <c r="G535" s="369"/>
      <c r="H535" s="369"/>
      <c r="I535" s="370"/>
      <c r="J535"/>
      <c r="K535" s="371"/>
      <c r="L535" s="371"/>
      <c r="M535" s="371"/>
      <c r="N535" s="371"/>
      <c r="O535" s="305"/>
      <c r="P535" s="305"/>
      <c r="Q535" s="305"/>
      <c r="R535" s="305"/>
      <c r="S535" s="305"/>
      <c r="T535" s="305"/>
      <c r="U535" s="305"/>
      <c r="V535" s="305"/>
      <c r="W535" s="305"/>
      <c r="X535" s="305"/>
      <c r="Y535" s="305"/>
      <c r="Z535" s="305"/>
      <c r="AA535" s="305"/>
      <c r="AB535" s="305"/>
      <c r="AC535" s="305"/>
      <c r="AD535" s="305"/>
      <c r="AE535" s="305"/>
      <c r="AF535" s="305"/>
      <c r="AG535" s="305"/>
      <c r="AH535" s="305"/>
      <c r="AI535" s="305"/>
      <c r="AJ535" s="305"/>
      <c r="AK535" s="305"/>
      <c r="AL535" s="305"/>
      <c r="AM535" s="305"/>
      <c r="AN535" s="305"/>
      <c r="AO535" s="305"/>
      <c r="AP535" s="305"/>
      <c r="AQ535" s="305"/>
      <c r="AR535" s="305"/>
      <c r="AS535" s="305"/>
      <c r="AT535" s="305"/>
      <c r="AU535" s="305"/>
      <c r="AV535" s="305"/>
      <c r="AW535" s="305"/>
      <c r="AX535" s="305"/>
      <c r="AY535" s="305"/>
      <c r="AZ535" s="305"/>
      <c r="BA535" s="305"/>
      <c r="BB535" s="305"/>
      <c r="BC535" s="305"/>
      <c r="BD535" s="305"/>
      <c r="BE535" s="305"/>
      <c r="BF535" s="305"/>
      <c r="BG535" s="305"/>
      <c r="BH535" s="305"/>
      <c r="BI535" s="305"/>
      <c r="BJ535" s="305"/>
      <c r="BK535" s="305"/>
      <c r="BL535" s="305"/>
      <c r="BM535" s="305"/>
      <c r="BN535" s="305"/>
      <c r="BO535" s="305"/>
      <c r="BP535" s="305"/>
      <c r="BQ535" s="305"/>
      <c r="BR535" s="305"/>
      <c r="BS535" s="305"/>
      <c r="BT535" s="305"/>
      <c r="BU535" s="305"/>
      <c r="BV535" s="305"/>
      <c r="BW535" s="305"/>
      <c r="BX535" s="305"/>
      <c r="BY535" s="305"/>
      <c r="BZ535" s="305"/>
      <c r="CA535" s="305"/>
      <c r="CB535" s="305"/>
      <c r="CC535" s="305"/>
      <c r="CD535" s="305"/>
      <c r="CE535" s="305"/>
      <c r="CF535" s="305"/>
      <c r="CG535" s="305"/>
      <c r="CH535" s="305"/>
      <c r="CI535" s="305"/>
      <c r="CJ535" s="305"/>
      <c r="CK535" s="305"/>
      <c r="CL535" s="305"/>
      <c r="CM535" s="305"/>
      <c r="CN535" s="305"/>
      <c r="CO535" s="305"/>
      <c r="CP535" s="305"/>
      <c r="CQ535" s="305"/>
      <c r="CR535" s="305"/>
      <c r="CS535" s="305"/>
      <c r="CT535" s="305"/>
      <c r="CU535" s="305"/>
      <c r="CV535" s="305"/>
      <c r="CW535" s="305"/>
      <c r="CX535" s="305"/>
      <c r="CY535" s="305"/>
      <c r="CZ535" s="305"/>
      <c r="DA535" s="305"/>
      <c r="DB535" s="305"/>
      <c r="DC535" s="305"/>
      <c r="DD535" s="305"/>
      <c r="DE535" s="305"/>
      <c r="DF535" s="305"/>
      <c r="DG535" s="305"/>
      <c r="DH535" s="305"/>
      <c r="DI535" s="305"/>
      <c r="DJ535" s="305"/>
      <c r="DK535" s="305"/>
      <c r="DL535" s="305"/>
      <c r="DM535" s="305"/>
      <c r="DN535" s="305"/>
      <c r="DO535" s="305"/>
      <c r="DP535" s="305"/>
      <c r="DQ535" s="305"/>
      <c r="DR535" s="305"/>
      <c r="DS535" s="305"/>
      <c r="DT535" s="305"/>
      <c r="DU535" s="305"/>
      <c r="DV535" s="305"/>
      <c r="DW535" s="305"/>
      <c r="DX535" s="305"/>
      <c r="DY535" s="305"/>
      <c r="DZ535" s="305"/>
      <c r="EA535" s="305"/>
      <c r="EB535" s="305"/>
      <c r="EC535" s="305"/>
      <c r="ED535" s="305"/>
      <c r="EE535" s="305"/>
      <c r="EF535" s="305"/>
      <c r="EG535" s="305"/>
      <c r="EH535" s="305"/>
      <c r="EI535" s="305"/>
      <c r="EJ535" s="305"/>
      <c r="EK535" s="305"/>
      <c r="EL535" s="305"/>
      <c r="EM535" s="305"/>
      <c r="EN535" s="305"/>
      <c r="EO535" s="305"/>
      <c r="EP535" s="305"/>
      <c r="EQ535" s="305"/>
      <c r="ER535" s="305"/>
      <c r="ES535" s="305"/>
      <c r="ET535" s="305"/>
      <c r="EU535" s="305"/>
      <c r="EV535" s="305"/>
      <c r="EW535" s="305"/>
      <c r="EX535" s="305"/>
      <c r="EY535" s="305"/>
      <c r="EZ535" s="305"/>
      <c r="FA535" s="305"/>
      <c r="FB535" s="305"/>
      <c r="FC535" s="305"/>
      <c r="FD535" s="305"/>
      <c r="FE535" s="305"/>
      <c r="FF535" s="305"/>
      <c r="FG535" s="305"/>
      <c r="FH535" s="305"/>
      <c r="FI535" s="305"/>
      <c r="FJ535" s="305"/>
      <c r="FK535" s="305"/>
      <c r="FL535" s="305"/>
      <c r="FM535" s="305"/>
      <c r="FN535" s="305"/>
      <c r="FO535" s="305"/>
      <c r="FP535" s="305"/>
      <c r="FQ535" s="305"/>
      <c r="FR535" s="305"/>
      <c r="FS535" s="305"/>
      <c r="FT535" s="305"/>
      <c r="FU535" s="305"/>
      <c r="FV535" s="305"/>
      <c r="FW535" s="305"/>
      <c r="FX535" s="305"/>
      <c r="FY535" s="305"/>
      <c r="FZ535" s="305"/>
      <c r="GA535" s="305"/>
      <c r="GB535" s="305"/>
      <c r="GC535" s="305"/>
      <c r="GD535" s="305"/>
      <c r="GE535" s="305"/>
      <c r="GF535" s="305"/>
      <c r="GG535" s="305"/>
      <c r="GH535" s="305"/>
      <c r="GI535" s="305"/>
      <c r="GJ535" s="305"/>
      <c r="GK535" s="305"/>
      <c r="GL535" s="305"/>
      <c r="GM535" s="305"/>
      <c r="GN535" s="305"/>
      <c r="GO535" s="305"/>
      <c r="GP535" s="305"/>
      <c r="GQ535" s="305"/>
      <c r="GR535" s="305"/>
    </row>
    <row r="536" spans="3:200" s="318" customFormat="1" ht="12.75" customHeight="1" x14ac:dyDescent="0.2">
      <c r="C536" s="367"/>
      <c r="D536" s="403"/>
      <c r="E536" s="369"/>
      <c r="F536" s="369"/>
      <c r="G536" s="369"/>
      <c r="H536" s="369"/>
      <c r="I536" s="370"/>
      <c r="J536"/>
      <c r="K536" s="371"/>
      <c r="L536" s="371"/>
      <c r="M536" s="371"/>
      <c r="N536" s="371"/>
      <c r="O536" s="305"/>
      <c r="P536" s="305"/>
      <c r="Q536" s="305"/>
      <c r="R536" s="305"/>
      <c r="S536" s="305"/>
      <c r="T536" s="305"/>
      <c r="U536" s="305"/>
      <c r="V536" s="305"/>
      <c r="W536" s="305"/>
      <c r="X536" s="305"/>
      <c r="Y536" s="305"/>
      <c r="Z536" s="305"/>
      <c r="AA536" s="305"/>
      <c r="AB536" s="305"/>
      <c r="AC536" s="305"/>
      <c r="AD536" s="305"/>
      <c r="AE536" s="305"/>
      <c r="AF536" s="305"/>
      <c r="AG536" s="305"/>
      <c r="AH536" s="305"/>
      <c r="AI536" s="305"/>
      <c r="AJ536" s="305"/>
      <c r="AK536" s="305"/>
      <c r="AL536" s="305"/>
      <c r="AM536" s="305"/>
      <c r="AN536" s="305"/>
      <c r="AO536" s="305"/>
      <c r="AP536" s="305"/>
      <c r="AQ536" s="305"/>
      <c r="AR536" s="305"/>
      <c r="AS536" s="305"/>
      <c r="AT536" s="305"/>
      <c r="AU536" s="305"/>
      <c r="AV536" s="305"/>
      <c r="AW536" s="305"/>
      <c r="AX536" s="305"/>
      <c r="AY536" s="305"/>
      <c r="AZ536" s="305"/>
      <c r="BA536" s="305"/>
      <c r="BB536" s="305"/>
      <c r="BC536" s="305"/>
      <c r="BD536" s="305"/>
      <c r="BE536" s="305"/>
      <c r="BF536" s="305"/>
      <c r="BG536" s="305"/>
      <c r="BH536" s="305"/>
      <c r="BI536" s="305"/>
      <c r="BJ536" s="305"/>
      <c r="BK536" s="305"/>
      <c r="BL536" s="305"/>
      <c r="BM536" s="305"/>
      <c r="BN536" s="305"/>
      <c r="BO536" s="305"/>
      <c r="BP536" s="305"/>
      <c r="BQ536" s="305"/>
      <c r="BR536" s="305"/>
      <c r="BS536" s="305"/>
      <c r="BT536" s="305"/>
      <c r="BU536" s="305"/>
      <c r="BV536" s="305"/>
      <c r="BW536" s="305"/>
      <c r="BX536" s="305"/>
      <c r="BY536" s="305"/>
      <c r="BZ536" s="305"/>
      <c r="CA536" s="305"/>
      <c r="CB536" s="305"/>
      <c r="CC536" s="305"/>
      <c r="CD536" s="305"/>
      <c r="CE536" s="305"/>
      <c r="CF536" s="305"/>
      <c r="CG536" s="305"/>
      <c r="CH536" s="305"/>
      <c r="CI536" s="305"/>
      <c r="CJ536" s="305"/>
      <c r="CK536" s="305"/>
      <c r="CL536" s="305"/>
      <c r="CM536" s="305"/>
      <c r="CN536" s="305"/>
      <c r="CO536" s="305"/>
      <c r="CP536" s="305"/>
      <c r="CQ536" s="305"/>
      <c r="CR536" s="305"/>
      <c r="CS536" s="305"/>
      <c r="CT536" s="305"/>
      <c r="CU536" s="305"/>
      <c r="CV536" s="305"/>
      <c r="CW536" s="305"/>
      <c r="CX536" s="305"/>
      <c r="CY536" s="305"/>
      <c r="CZ536" s="305"/>
      <c r="DA536" s="305"/>
      <c r="DB536" s="305"/>
      <c r="DC536" s="305"/>
      <c r="DD536" s="305"/>
      <c r="DE536" s="305"/>
      <c r="DF536" s="305"/>
      <c r="DG536" s="305"/>
      <c r="DH536" s="305"/>
      <c r="DI536" s="305"/>
      <c r="DJ536" s="305"/>
      <c r="DK536" s="305"/>
      <c r="DL536" s="305"/>
      <c r="DM536" s="305"/>
      <c r="DN536" s="305"/>
      <c r="DO536" s="305"/>
      <c r="DP536" s="305"/>
      <c r="DQ536" s="305"/>
      <c r="DR536" s="305"/>
      <c r="DS536" s="305"/>
      <c r="DT536" s="305"/>
      <c r="DU536" s="305"/>
      <c r="DV536" s="305"/>
      <c r="DW536" s="305"/>
      <c r="DX536" s="305"/>
      <c r="DY536" s="305"/>
      <c r="DZ536" s="305"/>
      <c r="EA536" s="305"/>
      <c r="EB536" s="305"/>
      <c r="EC536" s="305"/>
      <c r="ED536" s="305"/>
      <c r="EE536" s="305"/>
      <c r="EF536" s="305"/>
      <c r="EG536" s="305"/>
      <c r="EH536" s="305"/>
      <c r="EI536" s="305"/>
      <c r="EJ536" s="305"/>
      <c r="EK536" s="305"/>
      <c r="EL536" s="305"/>
      <c r="EM536" s="305"/>
      <c r="EN536" s="305"/>
      <c r="EO536" s="305"/>
      <c r="EP536" s="305"/>
      <c r="EQ536" s="305"/>
      <c r="ER536" s="305"/>
      <c r="ES536" s="305"/>
      <c r="ET536" s="305"/>
      <c r="EU536" s="305"/>
      <c r="EV536" s="305"/>
      <c r="EW536" s="305"/>
      <c r="EX536" s="305"/>
      <c r="EY536" s="305"/>
      <c r="EZ536" s="305"/>
      <c r="FA536" s="305"/>
      <c r="FB536" s="305"/>
      <c r="FC536" s="305"/>
      <c r="FD536" s="305"/>
      <c r="FE536" s="305"/>
      <c r="FF536" s="305"/>
      <c r="FG536" s="305"/>
      <c r="FH536" s="305"/>
      <c r="FI536" s="305"/>
      <c r="FJ536" s="305"/>
      <c r="FK536" s="305"/>
      <c r="FL536" s="305"/>
      <c r="FM536" s="305"/>
      <c r="FN536" s="305"/>
      <c r="FO536" s="305"/>
      <c r="FP536" s="305"/>
      <c r="FQ536" s="305"/>
      <c r="FR536" s="305"/>
      <c r="FS536" s="305"/>
      <c r="FT536" s="305"/>
      <c r="FU536" s="305"/>
      <c r="FV536" s="305"/>
      <c r="FW536" s="305"/>
      <c r="FX536" s="305"/>
      <c r="FY536" s="305"/>
      <c r="FZ536" s="305"/>
      <c r="GA536" s="305"/>
      <c r="GB536" s="305"/>
      <c r="GC536" s="305"/>
      <c r="GD536" s="305"/>
      <c r="GE536" s="305"/>
      <c r="GF536" s="305"/>
      <c r="GG536" s="305"/>
      <c r="GH536" s="305"/>
      <c r="GI536" s="305"/>
      <c r="GJ536" s="305"/>
      <c r="GK536" s="305"/>
      <c r="GL536" s="305"/>
      <c r="GM536" s="305"/>
      <c r="GN536" s="305"/>
      <c r="GO536" s="305"/>
      <c r="GP536" s="305"/>
      <c r="GQ536" s="305"/>
      <c r="GR536" s="305"/>
    </row>
    <row r="537" spans="3:200" s="318" customFormat="1" ht="12.75" customHeight="1" x14ac:dyDescent="0.2">
      <c r="C537" s="367"/>
      <c r="D537" s="403"/>
      <c r="E537" s="369"/>
      <c r="F537" s="369"/>
      <c r="G537" s="369"/>
      <c r="H537" s="369"/>
      <c r="I537" s="370"/>
      <c r="J537"/>
      <c r="K537" s="371"/>
      <c r="L537" s="371"/>
      <c r="M537" s="371"/>
      <c r="N537" s="371"/>
      <c r="O537" s="305"/>
      <c r="P537" s="305"/>
      <c r="Q537" s="305"/>
      <c r="R537" s="305"/>
      <c r="S537" s="305"/>
      <c r="T537" s="305"/>
      <c r="U537" s="305"/>
      <c r="V537" s="305"/>
      <c r="W537" s="305"/>
      <c r="X537" s="305"/>
      <c r="Y537" s="305"/>
      <c r="Z537" s="305"/>
      <c r="AA537" s="305"/>
      <c r="AB537" s="305"/>
      <c r="AC537" s="305"/>
      <c r="AD537" s="305"/>
      <c r="AE537" s="305"/>
      <c r="AF537" s="305"/>
      <c r="AG537" s="305"/>
      <c r="AH537" s="305"/>
      <c r="AI537" s="305"/>
      <c r="AJ537" s="305"/>
      <c r="AK537" s="305"/>
      <c r="AL537" s="305"/>
      <c r="AM537" s="305"/>
      <c r="AN537" s="305"/>
      <c r="AO537" s="305"/>
      <c r="AP537" s="305"/>
      <c r="AQ537" s="305"/>
      <c r="AR537" s="305"/>
      <c r="AS537" s="305"/>
      <c r="AT537" s="305"/>
      <c r="AU537" s="305"/>
      <c r="AV537" s="305"/>
      <c r="AW537" s="305"/>
      <c r="AX537" s="305"/>
      <c r="AY537" s="305"/>
      <c r="AZ537" s="305"/>
      <c r="BA537" s="305"/>
      <c r="BB537" s="305"/>
      <c r="BC537" s="305"/>
      <c r="BD537" s="305"/>
      <c r="BE537" s="305"/>
      <c r="BF537" s="305"/>
      <c r="BG537" s="305"/>
      <c r="BH537" s="305"/>
      <c r="BI537" s="305"/>
      <c r="BJ537" s="305"/>
      <c r="BK537" s="305"/>
      <c r="BL537" s="305"/>
      <c r="BM537" s="305"/>
      <c r="BN537" s="305"/>
      <c r="BO537" s="305"/>
      <c r="BP537" s="305"/>
      <c r="BQ537" s="305"/>
      <c r="BR537" s="305"/>
      <c r="BS537" s="305"/>
      <c r="BT537" s="305"/>
      <c r="BU537" s="305"/>
      <c r="BV537" s="305"/>
      <c r="BW537" s="305"/>
      <c r="BX537" s="305"/>
      <c r="BY537" s="305"/>
      <c r="BZ537" s="305"/>
      <c r="CA537" s="305"/>
      <c r="CB537" s="305"/>
      <c r="CC537" s="305"/>
      <c r="CD537" s="305"/>
      <c r="CE537" s="305"/>
      <c r="CF537" s="305"/>
      <c r="CG537" s="305"/>
      <c r="CH537" s="305"/>
      <c r="CI537" s="305"/>
      <c r="CJ537" s="305"/>
      <c r="CK537" s="305"/>
      <c r="CL537" s="305"/>
      <c r="CM537" s="305"/>
      <c r="CN537" s="305"/>
      <c r="CO537" s="305"/>
      <c r="CP537" s="305"/>
      <c r="CQ537" s="305"/>
      <c r="CR537" s="305"/>
      <c r="CS537" s="305"/>
      <c r="CT537" s="305"/>
      <c r="CU537" s="305"/>
      <c r="CV537" s="305"/>
      <c r="CW537" s="305"/>
      <c r="CX537" s="305"/>
      <c r="CY537" s="305"/>
      <c r="CZ537" s="305"/>
      <c r="DA537" s="305"/>
      <c r="DB537" s="305"/>
      <c r="DC537" s="305"/>
      <c r="DD537" s="305"/>
      <c r="DE537" s="305"/>
      <c r="DF537" s="305"/>
      <c r="DG537" s="305"/>
      <c r="DH537" s="305"/>
      <c r="DI537" s="305"/>
      <c r="DJ537" s="305"/>
      <c r="DK537" s="305"/>
      <c r="DL537" s="305"/>
      <c r="DM537" s="305"/>
      <c r="DN537" s="305"/>
      <c r="DO537" s="305"/>
      <c r="DP537" s="305"/>
      <c r="DQ537" s="305"/>
      <c r="DR537" s="305"/>
      <c r="DS537" s="305"/>
      <c r="DT537" s="305"/>
      <c r="DU537" s="305"/>
      <c r="DV537" s="305"/>
      <c r="DW537" s="305"/>
      <c r="DX537" s="305"/>
      <c r="DY537" s="305"/>
      <c r="DZ537" s="305"/>
      <c r="EA537" s="305"/>
      <c r="EB537" s="305"/>
      <c r="EC537" s="305"/>
      <c r="ED537" s="305"/>
      <c r="EE537" s="305"/>
      <c r="EF537" s="305"/>
      <c r="EG537" s="305"/>
      <c r="EH537" s="305"/>
      <c r="EI537" s="305"/>
      <c r="EJ537" s="305"/>
      <c r="EK537" s="305"/>
      <c r="EL537" s="305"/>
      <c r="EM537" s="305"/>
      <c r="EN537" s="305"/>
      <c r="EO537" s="305"/>
      <c r="EP537" s="305"/>
      <c r="EQ537" s="305"/>
      <c r="ER537" s="305"/>
      <c r="ES537" s="305"/>
      <c r="ET537" s="305"/>
      <c r="EU537" s="305"/>
      <c r="EV537" s="305"/>
      <c r="EW537" s="305"/>
      <c r="EX537" s="305"/>
      <c r="EY537" s="305"/>
      <c r="EZ537" s="305"/>
      <c r="FA537" s="305"/>
      <c r="FB537" s="305"/>
      <c r="FC537" s="305"/>
      <c r="FD537" s="305"/>
      <c r="FE537" s="305"/>
      <c r="FF537" s="305"/>
      <c r="FG537" s="305"/>
      <c r="FH537" s="305"/>
      <c r="FI537" s="305"/>
      <c r="FJ537" s="305"/>
      <c r="FK537" s="305"/>
      <c r="FL537" s="305"/>
      <c r="FM537" s="305"/>
      <c r="FN537" s="305"/>
      <c r="FO537" s="305"/>
      <c r="FP537" s="305"/>
      <c r="FQ537" s="305"/>
      <c r="FR537" s="305"/>
      <c r="FS537" s="305"/>
      <c r="FT537" s="305"/>
      <c r="FU537" s="305"/>
      <c r="FV537" s="305"/>
      <c r="FW537" s="305"/>
      <c r="FX537" s="305"/>
      <c r="FY537" s="305"/>
      <c r="FZ537" s="305"/>
      <c r="GA537" s="305"/>
      <c r="GB537" s="305"/>
      <c r="GC537" s="305"/>
      <c r="GD537" s="305"/>
      <c r="GE537" s="305"/>
      <c r="GF537" s="305"/>
      <c r="GG537" s="305"/>
      <c r="GH537" s="305"/>
      <c r="GI537" s="305"/>
      <c r="GJ537" s="305"/>
      <c r="GK537" s="305"/>
      <c r="GL537" s="305"/>
      <c r="GM537" s="305"/>
      <c r="GN537" s="305"/>
      <c r="GO537" s="305"/>
      <c r="GP537" s="305"/>
      <c r="GQ537" s="305"/>
      <c r="GR537" s="305"/>
    </row>
    <row r="538" spans="3:200" s="318" customFormat="1" ht="12.75" customHeight="1" x14ac:dyDescent="0.2">
      <c r="C538" s="367"/>
      <c r="D538" s="403"/>
      <c r="E538" s="369"/>
      <c r="F538" s="369"/>
      <c r="G538" s="369"/>
      <c r="H538" s="369"/>
      <c r="I538" s="370"/>
      <c r="J538"/>
      <c r="K538" s="371"/>
      <c r="L538" s="371"/>
      <c r="M538" s="371"/>
      <c r="N538" s="371"/>
      <c r="O538" s="305"/>
      <c r="P538" s="305"/>
      <c r="Q538" s="305"/>
      <c r="R538" s="305"/>
      <c r="S538" s="305"/>
      <c r="T538" s="305"/>
      <c r="U538" s="305"/>
      <c r="V538" s="305"/>
      <c r="W538" s="305"/>
      <c r="X538" s="305"/>
      <c r="Y538" s="305"/>
      <c r="Z538" s="305"/>
      <c r="AA538" s="305"/>
      <c r="AB538" s="305"/>
      <c r="AC538" s="305"/>
      <c r="AD538" s="305"/>
      <c r="AE538" s="305"/>
      <c r="AF538" s="305"/>
      <c r="AG538" s="305"/>
      <c r="AH538" s="305"/>
      <c r="AI538" s="305"/>
      <c r="AJ538" s="305"/>
      <c r="AK538" s="305"/>
      <c r="AL538" s="305"/>
      <c r="AM538" s="305"/>
      <c r="AN538" s="305"/>
      <c r="AO538" s="305"/>
      <c r="AP538" s="305"/>
      <c r="AQ538" s="305"/>
      <c r="AR538" s="305"/>
      <c r="AS538" s="305"/>
      <c r="AT538" s="305"/>
      <c r="AU538" s="305"/>
      <c r="AV538" s="305"/>
      <c r="AW538" s="305"/>
      <c r="AX538" s="305"/>
      <c r="AY538" s="305"/>
      <c r="AZ538" s="305"/>
      <c r="BA538" s="305"/>
      <c r="BB538" s="305"/>
      <c r="BC538" s="305"/>
      <c r="BD538" s="305"/>
      <c r="BE538" s="305"/>
      <c r="BF538" s="305"/>
      <c r="BG538" s="305"/>
      <c r="BH538" s="305"/>
      <c r="BI538" s="305"/>
      <c r="BJ538" s="305"/>
      <c r="BK538" s="305"/>
      <c r="BL538" s="305"/>
      <c r="BM538" s="305"/>
      <c r="BN538" s="305"/>
      <c r="BO538" s="305"/>
      <c r="BP538" s="305"/>
      <c r="BQ538" s="305"/>
      <c r="BR538" s="305"/>
      <c r="BS538" s="305"/>
      <c r="BT538" s="305"/>
      <c r="BU538" s="305"/>
      <c r="BV538" s="305"/>
      <c r="BW538" s="305"/>
      <c r="BX538" s="305"/>
      <c r="BY538" s="305"/>
      <c r="BZ538" s="305"/>
      <c r="CA538" s="305"/>
      <c r="CB538" s="305"/>
      <c r="CC538" s="305"/>
      <c r="CD538" s="305"/>
      <c r="CE538" s="305"/>
      <c r="CF538" s="305"/>
      <c r="CG538" s="305"/>
      <c r="CH538" s="305"/>
      <c r="CI538" s="305"/>
      <c r="CJ538" s="305"/>
      <c r="CK538" s="305"/>
      <c r="CL538" s="305"/>
      <c r="CM538" s="305"/>
      <c r="CN538" s="305"/>
      <c r="CO538" s="305"/>
      <c r="CP538" s="305"/>
      <c r="CQ538" s="305"/>
      <c r="CR538" s="305"/>
      <c r="CS538" s="305"/>
      <c r="CT538" s="305"/>
      <c r="CU538" s="305"/>
      <c r="CV538" s="305"/>
      <c r="CW538" s="305"/>
      <c r="CX538" s="305"/>
      <c r="CY538" s="305"/>
      <c r="CZ538" s="305"/>
      <c r="DA538" s="305"/>
      <c r="DB538" s="305"/>
      <c r="DC538" s="305"/>
      <c r="DD538" s="305"/>
      <c r="DE538" s="305"/>
      <c r="DF538" s="305"/>
      <c r="DG538" s="305"/>
      <c r="DH538" s="305"/>
      <c r="DI538" s="305"/>
      <c r="DJ538" s="305"/>
      <c r="DK538" s="305"/>
      <c r="DL538" s="305"/>
      <c r="DM538" s="305"/>
      <c r="DN538" s="305"/>
      <c r="DO538" s="305"/>
      <c r="DP538" s="305"/>
      <c r="DQ538" s="305"/>
      <c r="DR538" s="305"/>
      <c r="DS538" s="305"/>
      <c r="DT538" s="305"/>
      <c r="DU538" s="305"/>
      <c r="DV538" s="305"/>
      <c r="DW538" s="305"/>
      <c r="DX538" s="305"/>
      <c r="DY538" s="305"/>
      <c r="DZ538" s="305"/>
      <c r="EA538" s="305"/>
      <c r="EB538" s="305"/>
      <c r="EC538" s="305"/>
      <c r="ED538" s="305"/>
      <c r="EE538" s="305"/>
      <c r="EF538" s="305"/>
      <c r="EG538" s="305"/>
      <c r="EH538" s="305"/>
      <c r="EI538" s="305"/>
      <c r="EJ538" s="305"/>
      <c r="EK538" s="305"/>
      <c r="EL538" s="305"/>
      <c r="EM538" s="305"/>
      <c r="EN538" s="305"/>
      <c r="EO538" s="305"/>
      <c r="EP538" s="305"/>
      <c r="EQ538" s="305"/>
      <c r="ER538" s="305"/>
      <c r="ES538" s="305"/>
      <c r="ET538" s="305"/>
      <c r="EU538" s="305"/>
      <c r="EV538" s="305"/>
      <c r="EW538" s="305"/>
      <c r="EX538" s="305"/>
      <c r="EY538" s="305"/>
      <c r="EZ538" s="305"/>
      <c r="FA538" s="305"/>
      <c r="FB538" s="305"/>
      <c r="FC538" s="305"/>
      <c r="FD538" s="305"/>
      <c r="FE538" s="305"/>
      <c r="FF538" s="305"/>
      <c r="FG538" s="305"/>
      <c r="FH538" s="305"/>
      <c r="FI538" s="305"/>
      <c r="FJ538" s="305"/>
      <c r="FK538" s="305"/>
      <c r="FL538" s="305"/>
      <c r="FM538" s="305"/>
      <c r="FN538" s="305"/>
      <c r="FO538" s="305"/>
      <c r="FP538" s="305"/>
      <c r="FQ538" s="305"/>
      <c r="FR538" s="305"/>
      <c r="FS538" s="305"/>
      <c r="FT538" s="305"/>
      <c r="FU538" s="305"/>
      <c r="FV538" s="305"/>
      <c r="FW538" s="305"/>
      <c r="FX538" s="305"/>
      <c r="FY538" s="305"/>
      <c r="FZ538" s="305"/>
      <c r="GA538" s="305"/>
      <c r="GB538" s="305"/>
      <c r="GC538" s="305"/>
      <c r="GD538" s="305"/>
      <c r="GE538" s="305"/>
      <c r="GF538" s="305"/>
      <c r="GG538" s="305"/>
      <c r="GH538" s="305"/>
      <c r="GI538" s="305"/>
      <c r="GJ538" s="305"/>
      <c r="GK538" s="305"/>
      <c r="GL538" s="305"/>
      <c r="GM538" s="305"/>
      <c r="GN538" s="305"/>
      <c r="GO538" s="305"/>
      <c r="GP538" s="305"/>
      <c r="GQ538" s="305"/>
      <c r="GR538" s="305"/>
    </row>
    <row r="539" spans="3:200" s="318" customFormat="1" ht="12.75" customHeight="1" x14ac:dyDescent="0.2">
      <c r="C539" s="367"/>
      <c r="D539" s="403"/>
      <c r="E539" s="369"/>
      <c r="F539" s="369"/>
      <c r="G539" s="369"/>
      <c r="H539" s="369"/>
      <c r="I539" s="370"/>
      <c r="J539"/>
      <c r="K539" s="371"/>
      <c r="L539" s="371"/>
      <c r="M539" s="371"/>
      <c r="N539" s="371"/>
      <c r="O539" s="305"/>
      <c r="P539" s="305"/>
      <c r="Q539" s="305"/>
      <c r="R539" s="305"/>
      <c r="S539" s="305"/>
      <c r="T539" s="305"/>
      <c r="U539" s="305"/>
      <c r="V539" s="305"/>
      <c r="W539" s="305"/>
      <c r="X539" s="305"/>
      <c r="Y539" s="305"/>
      <c r="Z539" s="305"/>
      <c r="AA539" s="305"/>
      <c r="AB539" s="305"/>
      <c r="AC539" s="305"/>
      <c r="AD539" s="305"/>
      <c r="AE539" s="305"/>
      <c r="AF539" s="305"/>
      <c r="AG539" s="305"/>
      <c r="AH539" s="305"/>
      <c r="AI539" s="305"/>
      <c r="AJ539" s="305"/>
      <c r="AK539" s="305"/>
      <c r="AL539" s="305"/>
      <c r="AM539" s="305"/>
      <c r="AN539" s="305"/>
      <c r="AO539" s="305"/>
      <c r="AP539" s="305"/>
      <c r="AQ539" s="305"/>
      <c r="AR539" s="305"/>
      <c r="AS539" s="305"/>
      <c r="AT539" s="305"/>
      <c r="AU539" s="305"/>
      <c r="AV539" s="305"/>
      <c r="AW539" s="305"/>
      <c r="AX539" s="305"/>
      <c r="AY539" s="305"/>
      <c r="AZ539" s="305"/>
      <c r="BA539" s="305"/>
      <c r="BB539" s="305"/>
      <c r="BC539" s="305"/>
      <c r="BD539" s="305"/>
      <c r="BE539" s="305"/>
      <c r="BF539" s="305"/>
      <c r="BG539" s="305"/>
      <c r="BH539" s="305"/>
      <c r="BI539" s="305"/>
      <c r="BJ539" s="305"/>
      <c r="BK539" s="305"/>
      <c r="BL539" s="305"/>
      <c r="BM539" s="305"/>
      <c r="BN539" s="305"/>
      <c r="BO539" s="305"/>
      <c r="BP539" s="305"/>
      <c r="BQ539" s="305"/>
      <c r="BR539" s="305"/>
      <c r="BS539" s="305"/>
      <c r="BT539" s="305"/>
      <c r="BU539" s="305"/>
      <c r="BV539" s="305"/>
      <c r="BW539" s="305"/>
      <c r="BX539" s="305"/>
      <c r="BY539" s="305"/>
      <c r="BZ539" s="305"/>
      <c r="CA539" s="305"/>
      <c r="CB539" s="305"/>
      <c r="CC539" s="305"/>
      <c r="CD539" s="305"/>
      <c r="CE539" s="305"/>
      <c r="CF539" s="305"/>
      <c r="CG539" s="305"/>
      <c r="CH539" s="305"/>
      <c r="CI539" s="305"/>
      <c r="CJ539" s="305"/>
      <c r="CK539" s="305"/>
      <c r="CL539" s="305"/>
      <c r="CM539" s="305"/>
      <c r="CN539" s="305"/>
      <c r="CO539" s="305"/>
      <c r="CP539" s="305"/>
      <c r="CQ539" s="305"/>
      <c r="CR539" s="305"/>
      <c r="CS539" s="305"/>
      <c r="CT539" s="305"/>
      <c r="CU539" s="305"/>
      <c r="CV539" s="305"/>
      <c r="CW539" s="305"/>
      <c r="CX539" s="305"/>
      <c r="CY539" s="305"/>
      <c r="CZ539" s="305"/>
      <c r="DA539" s="305"/>
      <c r="DB539" s="305"/>
      <c r="DC539" s="305"/>
      <c r="DD539" s="305"/>
      <c r="DE539" s="305"/>
      <c r="DF539" s="305"/>
      <c r="DG539" s="305"/>
      <c r="DH539" s="305"/>
      <c r="DI539" s="305"/>
      <c r="DJ539" s="305"/>
      <c r="DK539" s="305"/>
      <c r="DL539" s="305"/>
      <c r="DM539" s="305"/>
      <c r="DN539" s="305"/>
      <c r="DO539" s="305"/>
      <c r="DP539" s="305"/>
      <c r="DQ539" s="305"/>
      <c r="DR539" s="305"/>
      <c r="DS539" s="305"/>
      <c r="DT539" s="305"/>
      <c r="DU539" s="305"/>
      <c r="DV539" s="305"/>
      <c r="DW539" s="305"/>
      <c r="DX539" s="305"/>
      <c r="DY539" s="305"/>
      <c r="DZ539" s="305"/>
      <c r="EA539" s="305"/>
      <c r="EB539" s="305"/>
      <c r="EC539" s="305"/>
      <c r="ED539" s="305"/>
      <c r="EE539" s="305"/>
      <c r="EF539" s="305"/>
      <c r="EG539" s="305"/>
      <c r="EH539" s="305"/>
      <c r="EI539" s="305"/>
      <c r="EJ539" s="305"/>
      <c r="EK539" s="305"/>
      <c r="EL539" s="305"/>
      <c r="EM539" s="305"/>
      <c r="EN539" s="305"/>
      <c r="EO539" s="305"/>
      <c r="EP539" s="305"/>
      <c r="EQ539" s="305"/>
      <c r="ER539" s="305"/>
      <c r="ES539" s="305"/>
      <c r="ET539" s="305"/>
      <c r="EU539" s="305"/>
      <c r="EV539" s="305"/>
      <c r="EW539" s="305"/>
      <c r="EX539" s="305"/>
      <c r="EY539" s="305"/>
      <c r="EZ539" s="305"/>
      <c r="FA539" s="305"/>
      <c r="FB539" s="305"/>
      <c r="FC539" s="305"/>
      <c r="FD539" s="305"/>
      <c r="FE539" s="305"/>
      <c r="FF539" s="305"/>
      <c r="FG539" s="305"/>
      <c r="FH539" s="305"/>
      <c r="FI539" s="305"/>
      <c r="FJ539" s="305"/>
      <c r="FK539" s="305"/>
      <c r="FL539" s="305"/>
      <c r="FM539" s="305"/>
      <c r="FN539" s="305"/>
      <c r="FO539" s="305"/>
      <c r="FP539" s="305"/>
      <c r="FQ539" s="305"/>
      <c r="FR539" s="305"/>
      <c r="FS539" s="305"/>
      <c r="FT539" s="305"/>
      <c r="FU539" s="305"/>
      <c r="FV539" s="305"/>
      <c r="FW539" s="305"/>
      <c r="FX539" s="305"/>
      <c r="FY539" s="305"/>
      <c r="FZ539" s="305"/>
      <c r="GA539" s="305"/>
      <c r="GB539" s="305"/>
      <c r="GC539" s="305"/>
      <c r="GD539" s="305"/>
      <c r="GE539" s="305"/>
      <c r="GF539" s="305"/>
      <c r="GG539" s="305"/>
      <c r="GH539" s="305"/>
      <c r="GI539" s="305"/>
      <c r="GJ539" s="305"/>
      <c r="GK539" s="305"/>
      <c r="GL539" s="305"/>
      <c r="GM539" s="305"/>
      <c r="GN539" s="305"/>
      <c r="GO539" s="305"/>
      <c r="GP539" s="305"/>
      <c r="GQ539" s="305"/>
      <c r="GR539" s="305"/>
    </row>
    <row r="540" spans="3:200" s="318" customFormat="1" ht="12.75" customHeight="1" x14ac:dyDescent="0.2">
      <c r="C540" s="367"/>
      <c r="D540" s="403"/>
      <c r="E540" s="369"/>
      <c r="F540" s="369"/>
      <c r="G540" s="369"/>
      <c r="H540" s="369"/>
      <c r="I540" s="370"/>
      <c r="J540"/>
      <c r="K540" s="371"/>
      <c r="L540" s="371"/>
      <c r="M540" s="371"/>
      <c r="N540" s="371"/>
      <c r="O540" s="305"/>
      <c r="P540" s="305"/>
      <c r="Q540" s="305"/>
      <c r="R540" s="305"/>
      <c r="S540" s="305"/>
      <c r="T540" s="305"/>
      <c r="U540" s="305"/>
      <c r="V540" s="305"/>
      <c r="W540" s="305"/>
      <c r="X540" s="305"/>
      <c r="Y540" s="305"/>
      <c r="Z540" s="305"/>
      <c r="AA540" s="305"/>
      <c r="AB540" s="305"/>
      <c r="AC540" s="305"/>
      <c r="AD540" s="305"/>
      <c r="AE540" s="305"/>
      <c r="AF540" s="305"/>
      <c r="AG540" s="305"/>
      <c r="AH540" s="305"/>
      <c r="AI540" s="305"/>
      <c r="AJ540" s="305"/>
      <c r="AK540" s="305"/>
      <c r="AL540" s="305"/>
      <c r="AM540" s="305"/>
      <c r="AN540" s="305"/>
      <c r="AO540" s="305"/>
      <c r="AP540" s="305"/>
      <c r="AQ540" s="305"/>
      <c r="AR540" s="305"/>
      <c r="AS540" s="305"/>
      <c r="AT540" s="305"/>
      <c r="AU540" s="305"/>
      <c r="AV540" s="305"/>
      <c r="AW540" s="305"/>
      <c r="AX540" s="305"/>
      <c r="AY540" s="305"/>
      <c r="AZ540" s="305"/>
      <c r="BA540" s="305"/>
      <c r="BB540" s="305"/>
      <c r="BC540" s="305"/>
      <c r="BD540" s="305"/>
      <c r="BE540" s="305"/>
      <c r="BF540" s="305"/>
      <c r="BG540" s="305"/>
      <c r="BH540" s="305"/>
      <c r="BI540" s="305"/>
      <c r="BJ540" s="305"/>
      <c r="BK540" s="305"/>
      <c r="BL540" s="305"/>
      <c r="BM540" s="305"/>
      <c r="BN540" s="305"/>
      <c r="BO540" s="305"/>
      <c r="BP540" s="305"/>
      <c r="BQ540" s="305"/>
      <c r="BR540" s="305"/>
      <c r="BS540" s="305"/>
      <c r="BT540" s="305"/>
      <c r="BU540" s="305"/>
      <c r="BV540" s="305"/>
      <c r="BW540" s="305"/>
      <c r="BX540" s="305"/>
      <c r="BY540" s="305"/>
      <c r="BZ540" s="305"/>
      <c r="CA540" s="305"/>
      <c r="CB540" s="305"/>
      <c r="CC540" s="305"/>
      <c r="CD540" s="305"/>
      <c r="CE540" s="305"/>
      <c r="CF540" s="305"/>
      <c r="CG540" s="305"/>
      <c r="CH540" s="305"/>
      <c r="CI540" s="305"/>
      <c r="CJ540" s="305"/>
      <c r="CK540" s="305"/>
      <c r="CL540" s="305"/>
      <c r="CM540" s="305"/>
      <c r="CN540" s="305"/>
      <c r="CO540" s="305"/>
      <c r="CP540" s="305"/>
      <c r="CQ540" s="305"/>
      <c r="CR540" s="305"/>
      <c r="CS540" s="305"/>
      <c r="CT540" s="305"/>
      <c r="CU540" s="305"/>
      <c r="CV540" s="305"/>
      <c r="CW540" s="305"/>
      <c r="CX540" s="305"/>
      <c r="CY540" s="305"/>
      <c r="CZ540" s="305"/>
      <c r="DA540" s="305"/>
      <c r="DB540" s="305"/>
      <c r="DC540" s="305"/>
      <c r="DD540" s="305"/>
      <c r="DE540" s="305"/>
      <c r="DF540" s="305"/>
      <c r="DG540" s="305"/>
      <c r="DH540" s="305"/>
      <c r="DI540" s="305"/>
      <c r="DJ540" s="305"/>
      <c r="DK540" s="305"/>
      <c r="DL540" s="305"/>
      <c r="DM540" s="305"/>
      <c r="DN540" s="305"/>
      <c r="DO540" s="305"/>
      <c r="DP540" s="305"/>
      <c r="DQ540" s="305"/>
      <c r="DR540" s="305"/>
      <c r="DS540" s="305"/>
      <c r="DT540" s="305"/>
      <c r="DU540" s="305"/>
      <c r="DV540" s="305"/>
      <c r="DW540" s="305"/>
      <c r="DX540" s="305"/>
      <c r="DY540" s="305"/>
      <c r="DZ540" s="305"/>
      <c r="EA540" s="305"/>
      <c r="EB540" s="305"/>
      <c r="EC540" s="305"/>
      <c r="ED540" s="305"/>
      <c r="EE540" s="305"/>
      <c r="EF540" s="305"/>
      <c r="EG540" s="305"/>
      <c r="EH540" s="305"/>
      <c r="EI540" s="305"/>
      <c r="EJ540" s="305"/>
      <c r="EK540" s="305"/>
      <c r="EL540" s="305"/>
      <c r="EM540" s="305"/>
      <c r="EN540" s="305"/>
      <c r="EO540" s="305"/>
      <c r="EP540" s="305"/>
      <c r="EQ540" s="305"/>
      <c r="ER540" s="305"/>
      <c r="ES540" s="305"/>
      <c r="ET540" s="305"/>
      <c r="EU540" s="305"/>
      <c r="EV540" s="305"/>
      <c r="EW540" s="305"/>
      <c r="EX540" s="305"/>
      <c r="EY540" s="305"/>
      <c r="EZ540" s="305"/>
      <c r="FA540" s="305"/>
      <c r="FB540" s="305"/>
      <c r="FC540" s="305"/>
      <c r="FD540" s="305"/>
      <c r="FE540" s="305"/>
      <c r="FF540" s="305"/>
      <c r="FG540" s="305"/>
      <c r="FH540" s="305"/>
      <c r="FI540" s="305"/>
      <c r="FJ540" s="305"/>
      <c r="FK540" s="305"/>
      <c r="FL540" s="305"/>
      <c r="FM540" s="305"/>
      <c r="FN540" s="305"/>
      <c r="FO540" s="305"/>
      <c r="FP540" s="305"/>
      <c r="FQ540" s="305"/>
      <c r="FR540" s="305"/>
      <c r="FS540" s="305"/>
      <c r="FT540" s="305"/>
      <c r="FU540" s="305"/>
      <c r="FV540" s="305"/>
      <c r="FW540" s="305"/>
      <c r="FX540" s="305"/>
      <c r="FY540" s="305"/>
      <c r="FZ540" s="305"/>
      <c r="GA540" s="305"/>
      <c r="GB540" s="305"/>
      <c r="GC540" s="305"/>
      <c r="GD540" s="305"/>
      <c r="GE540" s="305"/>
      <c r="GF540" s="305"/>
      <c r="GG540" s="305"/>
      <c r="GH540" s="305"/>
      <c r="GI540" s="305"/>
      <c r="GJ540" s="305"/>
      <c r="GK540" s="305"/>
      <c r="GL540" s="305"/>
      <c r="GM540" s="305"/>
      <c r="GN540" s="305"/>
      <c r="GO540" s="305"/>
      <c r="GP540" s="305"/>
      <c r="GQ540" s="305"/>
      <c r="GR540" s="305"/>
    </row>
    <row r="541" spans="3:200" s="318" customFormat="1" ht="12.75" customHeight="1" x14ac:dyDescent="0.2">
      <c r="C541" s="367"/>
      <c r="D541" s="403"/>
      <c r="E541" s="369"/>
      <c r="F541" s="369"/>
      <c r="G541" s="369"/>
      <c r="H541" s="369"/>
      <c r="I541" s="370"/>
      <c r="J541"/>
      <c r="K541" s="371"/>
      <c r="L541" s="371"/>
      <c r="M541" s="371"/>
      <c r="N541" s="371"/>
      <c r="O541" s="305"/>
      <c r="P541" s="305"/>
      <c r="Q541" s="305"/>
      <c r="R541" s="305"/>
      <c r="S541" s="305"/>
      <c r="T541" s="305"/>
      <c r="U541" s="305"/>
      <c r="V541" s="305"/>
      <c r="W541" s="305"/>
      <c r="X541" s="305"/>
      <c r="Y541" s="305"/>
      <c r="Z541" s="305"/>
      <c r="AA541" s="305"/>
      <c r="AB541" s="305"/>
      <c r="AC541" s="305"/>
      <c r="AD541" s="305"/>
      <c r="AE541" s="305"/>
      <c r="AF541" s="305"/>
      <c r="AG541" s="305"/>
      <c r="AH541" s="305"/>
      <c r="AI541" s="305"/>
      <c r="AJ541" s="305"/>
      <c r="AK541" s="305"/>
      <c r="AL541" s="305"/>
      <c r="AM541" s="305"/>
      <c r="AN541" s="305"/>
      <c r="AO541" s="305"/>
      <c r="AP541" s="305"/>
      <c r="AQ541" s="305"/>
      <c r="AR541" s="305"/>
      <c r="AS541" s="305"/>
      <c r="AT541" s="305"/>
      <c r="AU541" s="305"/>
      <c r="AV541" s="305"/>
      <c r="AW541" s="305"/>
      <c r="AX541" s="305"/>
      <c r="AY541" s="305"/>
      <c r="AZ541" s="305"/>
      <c r="BA541" s="305"/>
      <c r="BB541" s="305"/>
      <c r="BC541" s="305"/>
      <c r="BD541" s="305"/>
      <c r="BE541" s="305"/>
      <c r="BF541" s="305"/>
      <c r="BG541" s="305"/>
      <c r="BH541" s="305"/>
      <c r="BI541" s="305"/>
      <c r="BJ541" s="305"/>
      <c r="BK541" s="305"/>
      <c r="BL541" s="305"/>
      <c r="BM541" s="305"/>
      <c r="BN541" s="305"/>
      <c r="BO541" s="305"/>
      <c r="BP541" s="305"/>
      <c r="BQ541" s="305"/>
      <c r="BR541" s="305"/>
      <c r="BS541" s="305"/>
      <c r="BT541" s="305"/>
      <c r="BU541" s="305"/>
      <c r="BV541" s="305"/>
      <c r="BW541" s="305"/>
      <c r="BX541" s="305"/>
      <c r="BY541" s="305"/>
      <c r="BZ541" s="305"/>
      <c r="CA541" s="305"/>
      <c r="CB541" s="305"/>
      <c r="CC541" s="305"/>
      <c r="CD541" s="305"/>
      <c r="CE541" s="305"/>
      <c r="CF541" s="305"/>
      <c r="CG541" s="305"/>
      <c r="CH541" s="305"/>
      <c r="CI541" s="305"/>
      <c r="CJ541" s="305"/>
      <c r="CK541" s="305"/>
      <c r="CL541" s="305"/>
      <c r="CM541" s="305"/>
      <c r="CN541" s="305"/>
      <c r="CO541" s="305"/>
      <c r="CP541" s="305"/>
      <c r="CQ541" s="305"/>
      <c r="CR541" s="305"/>
      <c r="CS541" s="305"/>
      <c r="CT541" s="305"/>
      <c r="CU541" s="305"/>
      <c r="CV541" s="305"/>
      <c r="CW541" s="305"/>
      <c r="CX541" s="305"/>
      <c r="CY541" s="305"/>
      <c r="CZ541" s="305"/>
      <c r="DA541" s="305"/>
      <c r="DB541" s="305"/>
      <c r="DC541" s="305"/>
      <c r="DD541" s="305"/>
      <c r="DE541" s="305"/>
      <c r="DF541" s="305"/>
      <c r="DG541" s="305"/>
      <c r="DH541" s="305"/>
      <c r="DI541" s="305"/>
      <c r="DJ541" s="305"/>
      <c r="DK541" s="305"/>
      <c r="DL541" s="305"/>
      <c r="DM541" s="305"/>
      <c r="DN541" s="305"/>
      <c r="DO541" s="305"/>
      <c r="DP541" s="305"/>
      <c r="DQ541" s="305"/>
      <c r="DR541" s="305"/>
      <c r="DS541" s="305"/>
      <c r="DT541" s="305"/>
      <c r="DU541" s="305"/>
      <c r="DV541" s="305"/>
      <c r="DW541" s="305"/>
      <c r="DX541" s="305"/>
      <c r="DY541" s="305"/>
      <c r="DZ541" s="305"/>
      <c r="EA541" s="305"/>
      <c r="EB541" s="305"/>
      <c r="EC541" s="305"/>
      <c r="ED541" s="305"/>
      <c r="EE541" s="305"/>
      <c r="EF541" s="305"/>
      <c r="EG541" s="305"/>
      <c r="EH541" s="305"/>
      <c r="EI541" s="305"/>
      <c r="EJ541" s="305"/>
      <c r="EK541" s="305"/>
      <c r="EL541" s="305"/>
      <c r="EM541" s="305"/>
      <c r="EN541" s="305"/>
      <c r="EO541" s="305"/>
      <c r="EP541" s="305"/>
      <c r="EQ541" s="305"/>
      <c r="ER541" s="305"/>
      <c r="ES541" s="305"/>
      <c r="ET541" s="305"/>
      <c r="EU541" s="305"/>
      <c r="EV541" s="305"/>
      <c r="EW541" s="305"/>
      <c r="EX541" s="305"/>
      <c r="EY541" s="305"/>
      <c r="EZ541" s="305"/>
      <c r="FA541" s="305"/>
      <c r="FB541" s="305"/>
      <c r="FC541" s="305"/>
      <c r="FD541" s="305"/>
      <c r="FE541" s="305"/>
      <c r="FF541" s="305"/>
      <c r="FG541" s="305"/>
      <c r="FH541" s="305"/>
      <c r="FI541" s="305"/>
      <c r="FJ541" s="305"/>
      <c r="FK541" s="305"/>
      <c r="FL541" s="305"/>
      <c r="FM541" s="305"/>
      <c r="FN541" s="305"/>
      <c r="FO541" s="305"/>
      <c r="FP541" s="305"/>
      <c r="FQ541" s="305"/>
      <c r="FR541" s="305"/>
      <c r="FS541" s="305"/>
      <c r="FT541" s="305"/>
      <c r="FU541" s="305"/>
      <c r="FV541" s="305"/>
      <c r="FW541" s="305"/>
      <c r="FX541" s="305"/>
      <c r="FY541" s="305"/>
      <c r="FZ541" s="305"/>
      <c r="GA541" s="305"/>
      <c r="GB541" s="305"/>
      <c r="GC541" s="305"/>
      <c r="GD541" s="305"/>
      <c r="GE541" s="305"/>
      <c r="GF541" s="305"/>
      <c r="GG541" s="305"/>
      <c r="GH541" s="305"/>
      <c r="GI541" s="305"/>
      <c r="GJ541" s="305"/>
      <c r="GK541" s="305"/>
      <c r="GL541" s="305"/>
      <c r="GM541" s="305"/>
      <c r="GN541" s="305"/>
      <c r="GO541" s="305"/>
      <c r="GP541" s="305"/>
      <c r="GQ541" s="305"/>
      <c r="GR541" s="305"/>
    </row>
    <row r="542" spans="3:200" s="318" customFormat="1" ht="12.75" customHeight="1" x14ac:dyDescent="0.2">
      <c r="C542" s="367"/>
      <c r="D542" s="403"/>
      <c r="E542" s="369"/>
      <c r="F542" s="369"/>
      <c r="G542" s="369"/>
      <c r="H542" s="369"/>
      <c r="I542" s="370"/>
      <c r="J542"/>
      <c r="K542" s="371"/>
      <c r="L542" s="371"/>
      <c r="M542" s="371"/>
      <c r="N542" s="371"/>
      <c r="O542" s="305"/>
      <c r="P542" s="305"/>
      <c r="Q542" s="305"/>
      <c r="R542" s="305"/>
      <c r="S542" s="305"/>
      <c r="T542" s="305"/>
      <c r="U542" s="305"/>
      <c r="V542" s="305"/>
      <c r="W542" s="305"/>
      <c r="X542" s="305"/>
      <c r="Y542" s="305"/>
      <c r="Z542" s="305"/>
      <c r="AA542" s="305"/>
      <c r="AB542" s="305"/>
      <c r="AC542" s="305"/>
      <c r="AD542" s="305"/>
      <c r="AE542" s="305"/>
      <c r="AF542" s="305"/>
      <c r="AG542" s="305"/>
      <c r="AH542" s="305"/>
      <c r="AI542" s="305"/>
      <c r="AJ542" s="305"/>
      <c r="AK542" s="305"/>
      <c r="AL542" s="305"/>
      <c r="AM542" s="305"/>
      <c r="AN542" s="305"/>
      <c r="AO542" s="305"/>
      <c r="AP542" s="305"/>
      <c r="AQ542" s="305"/>
      <c r="AR542" s="305"/>
      <c r="AS542" s="305"/>
      <c r="AT542" s="305"/>
      <c r="AU542" s="305"/>
      <c r="AV542" s="305"/>
      <c r="AW542" s="305"/>
      <c r="AX542" s="305"/>
      <c r="AY542" s="305"/>
      <c r="AZ542" s="305"/>
      <c r="BA542" s="305"/>
      <c r="BB542" s="305"/>
      <c r="BC542" s="305"/>
      <c r="BD542" s="305"/>
      <c r="BE542" s="305"/>
      <c r="BF542" s="305"/>
      <c r="BG542" s="305"/>
      <c r="BH542" s="305"/>
      <c r="BI542" s="305"/>
      <c r="BJ542" s="305"/>
      <c r="BK542" s="305"/>
      <c r="BL542" s="305"/>
      <c r="BM542" s="305"/>
      <c r="BN542" s="305"/>
      <c r="BO542" s="305"/>
      <c r="BP542" s="305"/>
      <c r="BQ542" s="305"/>
      <c r="BR542" s="305"/>
      <c r="BS542" s="305"/>
      <c r="BT542" s="305"/>
      <c r="BU542" s="305"/>
      <c r="BV542" s="305"/>
      <c r="BW542" s="305"/>
      <c r="BX542" s="305"/>
      <c r="BY542" s="305"/>
      <c r="BZ542" s="305"/>
      <c r="CA542" s="305"/>
      <c r="CB542" s="305"/>
      <c r="CC542" s="305"/>
      <c r="CD542" s="305"/>
      <c r="CE542" s="305"/>
      <c r="CF542" s="305"/>
      <c r="CG542" s="305"/>
      <c r="CH542" s="305"/>
      <c r="CI542" s="305"/>
      <c r="CJ542" s="305"/>
      <c r="CK542" s="305"/>
      <c r="CL542" s="305"/>
      <c r="CM542" s="305"/>
      <c r="CN542" s="305"/>
      <c r="CO542" s="305"/>
      <c r="CP542" s="305"/>
      <c r="CQ542" s="305"/>
      <c r="CR542" s="305"/>
      <c r="CS542" s="305"/>
      <c r="CT542" s="305"/>
      <c r="CU542" s="305"/>
      <c r="CV542" s="305"/>
      <c r="CW542" s="305"/>
      <c r="CX542" s="305"/>
      <c r="CY542" s="305"/>
      <c r="CZ542" s="305"/>
      <c r="DA542" s="305"/>
      <c r="DB542" s="305"/>
      <c r="DC542" s="305"/>
      <c r="DD542" s="305"/>
      <c r="DE542" s="305"/>
      <c r="DF542" s="305"/>
      <c r="DG542" s="305"/>
      <c r="DH542" s="305"/>
      <c r="DI542" s="305"/>
      <c r="DJ542" s="305"/>
      <c r="DK542" s="305"/>
      <c r="DL542" s="305"/>
      <c r="DM542" s="305"/>
      <c r="DN542" s="305"/>
      <c r="DO542" s="305"/>
      <c r="DP542" s="305"/>
      <c r="DQ542" s="305"/>
      <c r="DR542" s="305"/>
      <c r="DS542" s="305"/>
      <c r="DT542" s="305"/>
      <c r="DU542" s="305"/>
      <c r="DV542" s="305"/>
      <c r="DW542" s="305"/>
      <c r="DX542" s="305"/>
      <c r="DY542" s="305"/>
      <c r="DZ542" s="305"/>
      <c r="EA542" s="305"/>
      <c r="EB542" s="305"/>
      <c r="EC542" s="305"/>
      <c r="ED542" s="305"/>
      <c r="EE542" s="305"/>
      <c r="EF542" s="305"/>
      <c r="EG542" s="305"/>
      <c r="EH542" s="305"/>
      <c r="EI542" s="305"/>
      <c r="EJ542" s="305"/>
      <c r="EK542" s="305"/>
      <c r="EL542" s="305"/>
      <c r="EM542" s="305"/>
      <c r="EN542" s="305"/>
      <c r="EO542" s="305"/>
      <c r="EP542" s="305"/>
      <c r="EQ542" s="305"/>
      <c r="ER542" s="305"/>
      <c r="ES542" s="305"/>
      <c r="ET542" s="305"/>
      <c r="EU542" s="305"/>
      <c r="EV542" s="305"/>
      <c r="EW542" s="305"/>
      <c r="EX542" s="305"/>
      <c r="EY542" s="305"/>
      <c r="EZ542" s="305"/>
      <c r="FA542" s="305"/>
      <c r="FB542" s="305"/>
      <c r="FC542" s="305"/>
      <c r="FD542" s="305"/>
      <c r="FE542" s="305"/>
      <c r="FF542" s="305"/>
      <c r="FG542" s="305"/>
      <c r="FH542" s="305"/>
      <c r="FI542" s="305"/>
      <c r="FJ542" s="305"/>
      <c r="FK542" s="305"/>
      <c r="FL542" s="305"/>
      <c r="FM542" s="305"/>
      <c r="FN542" s="305"/>
      <c r="FO542" s="305"/>
      <c r="FP542" s="305"/>
      <c r="FQ542" s="305"/>
      <c r="FR542" s="305"/>
      <c r="FS542" s="305"/>
      <c r="FT542" s="305"/>
      <c r="FU542" s="305"/>
      <c r="FV542" s="305"/>
      <c r="FW542" s="305"/>
      <c r="FX542" s="305"/>
      <c r="FY542" s="305"/>
      <c r="FZ542" s="305"/>
      <c r="GA542" s="305"/>
      <c r="GB542" s="305"/>
      <c r="GC542" s="305"/>
      <c r="GD542" s="305"/>
      <c r="GE542" s="305"/>
      <c r="GF542" s="305"/>
      <c r="GG542" s="305"/>
      <c r="GH542" s="305"/>
      <c r="GI542" s="305"/>
      <c r="GJ542" s="305"/>
      <c r="GK542" s="305"/>
      <c r="GL542" s="305"/>
      <c r="GM542" s="305"/>
      <c r="GN542" s="305"/>
      <c r="GO542" s="305"/>
      <c r="GP542" s="305"/>
      <c r="GQ542" s="305"/>
      <c r="GR542" s="305"/>
    </row>
    <row r="543" spans="3:200" s="318" customFormat="1" ht="12.75" customHeight="1" x14ac:dyDescent="0.2">
      <c r="C543" s="367"/>
      <c r="D543" s="403"/>
      <c r="E543" s="369"/>
      <c r="F543" s="369"/>
      <c r="G543" s="369"/>
      <c r="H543" s="369"/>
      <c r="I543" s="370"/>
      <c r="J543"/>
      <c r="K543" s="371"/>
      <c r="L543" s="371"/>
      <c r="M543" s="371"/>
      <c r="N543" s="371"/>
      <c r="O543" s="305"/>
      <c r="P543" s="305"/>
      <c r="Q543" s="305"/>
      <c r="R543" s="305"/>
      <c r="S543" s="305"/>
      <c r="T543" s="305"/>
      <c r="U543" s="305"/>
      <c r="V543" s="305"/>
      <c r="W543" s="305"/>
      <c r="X543" s="305"/>
      <c r="Y543" s="305"/>
      <c r="Z543" s="305"/>
      <c r="AA543" s="305"/>
      <c r="AB543" s="305"/>
      <c r="AC543" s="305"/>
      <c r="AD543" s="305"/>
      <c r="AE543" s="305"/>
      <c r="AF543" s="305"/>
      <c r="AG543" s="305"/>
      <c r="AH543" s="305"/>
      <c r="AI543" s="305"/>
      <c r="AJ543" s="305"/>
      <c r="AK543" s="305"/>
      <c r="AL543" s="305"/>
      <c r="AM543" s="305"/>
      <c r="AN543" s="305"/>
      <c r="AO543" s="305"/>
      <c r="AP543" s="305"/>
      <c r="AQ543" s="305"/>
      <c r="AR543" s="305"/>
      <c r="AS543" s="305"/>
      <c r="AT543" s="305"/>
      <c r="AU543" s="305"/>
      <c r="AV543" s="305"/>
      <c r="AW543" s="305"/>
      <c r="AX543" s="305"/>
      <c r="AY543" s="305"/>
      <c r="AZ543" s="305"/>
      <c r="BA543" s="305"/>
      <c r="BB543" s="305"/>
      <c r="BC543" s="305"/>
      <c r="BD543" s="305"/>
      <c r="BE543" s="305"/>
      <c r="BF543" s="305"/>
      <c r="BG543" s="305"/>
      <c r="BH543" s="305"/>
      <c r="BI543" s="305"/>
      <c r="BJ543" s="305"/>
      <c r="BK543" s="305"/>
      <c r="BL543" s="305"/>
      <c r="BM543" s="305"/>
      <c r="BN543" s="305"/>
      <c r="BO543" s="305"/>
      <c r="BP543" s="305"/>
      <c r="BQ543" s="305"/>
      <c r="BR543" s="305"/>
      <c r="BS543" s="305"/>
      <c r="BT543" s="305"/>
      <c r="BU543" s="305"/>
      <c r="BV543" s="305"/>
      <c r="BW543" s="305"/>
      <c r="BX543" s="305"/>
      <c r="BY543" s="305"/>
      <c r="BZ543" s="305"/>
      <c r="CA543" s="305"/>
      <c r="CB543" s="305"/>
      <c r="CC543" s="305"/>
      <c r="CD543" s="305"/>
      <c r="CE543" s="305"/>
      <c r="CF543" s="305"/>
      <c r="CG543" s="305"/>
      <c r="CH543" s="305"/>
      <c r="CI543" s="305"/>
      <c r="CJ543" s="305"/>
      <c r="CK543" s="305"/>
      <c r="CL543" s="305"/>
      <c r="CM543" s="305"/>
      <c r="CN543" s="305"/>
      <c r="CO543" s="305"/>
      <c r="CP543" s="305"/>
      <c r="CQ543" s="305"/>
      <c r="CR543" s="305"/>
      <c r="CS543" s="305"/>
      <c r="CT543" s="305"/>
      <c r="CU543" s="305"/>
      <c r="CV543" s="305"/>
      <c r="CW543" s="305"/>
      <c r="CX543" s="305"/>
      <c r="CY543" s="305"/>
      <c r="CZ543" s="305"/>
      <c r="DA543" s="305"/>
      <c r="DB543" s="305"/>
      <c r="DC543" s="305"/>
      <c r="DD543" s="305"/>
      <c r="DE543" s="305"/>
      <c r="DF543" s="305"/>
      <c r="DG543" s="305"/>
      <c r="DH543" s="305"/>
      <c r="DI543" s="305"/>
      <c r="DJ543" s="305"/>
      <c r="DK543" s="305"/>
      <c r="DL543" s="305"/>
      <c r="DM543" s="305"/>
      <c r="DN543" s="305"/>
      <c r="DO543" s="305"/>
      <c r="DP543" s="305"/>
      <c r="DQ543" s="305"/>
      <c r="DR543" s="305"/>
      <c r="DS543" s="305"/>
      <c r="DT543" s="305"/>
      <c r="DU543" s="305"/>
      <c r="DV543" s="305"/>
      <c r="DW543" s="305"/>
      <c r="DX543" s="305"/>
      <c r="DY543" s="305"/>
      <c r="DZ543" s="305"/>
      <c r="EA543" s="305"/>
      <c r="EB543" s="305"/>
      <c r="EC543" s="305"/>
      <c r="ED543" s="305"/>
      <c r="EE543" s="305"/>
      <c r="EF543" s="305"/>
      <c r="EG543" s="305"/>
      <c r="EH543" s="305"/>
      <c r="EI543" s="305"/>
      <c r="EJ543" s="305"/>
      <c r="EK543" s="305"/>
      <c r="EL543" s="305"/>
      <c r="EM543" s="305"/>
      <c r="EN543" s="305"/>
      <c r="EO543" s="305"/>
      <c r="EP543" s="305"/>
      <c r="EQ543" s="305"/>
      <c r="ER543" s="305"/>
      <c r="ES543" s="305"/>
      <c r="ET543" s="305"/>
      <c r="EU543" s="305"/>
      <c r="EV543" s="305"/>
      <c r="EW543" s="305"/>
      <c r="EX543" s="305"/>
      <c r="EY543" s="305"/>
      <c r="EZ543" s="305"/>
      <c r="FA543" s="305"/>
      <c r="FB543" s="305"/>
      <c r="FC543" s="305"/>
      <c r="FD543" s="305"/>
      <c r="FE543" s="305"/>
      <c r="FF543" s="305"/>
      <c r="FG543" s="305"/>
      <c r="FH543" s="305"/>
      <c r="FI543" s="305"/>
      <c r="FJ543" s="305"/>
      <c r="FK543" s="305"/>
      <c r="FL543" s="305"/>
      <c r="FM543" s="305"/>
      <c r="FN543" s="305"/>
      <c r="FO543" s="305"/>
      <c r="FP543" s="305"/>
      <c r="FQ543" s="305"/>
      <c r="FR543" s="305"/>
      <c r="FS543" s="305"/>
      <c r="FT543" s="305"/>
      <c r="FU543" s="305"/>
      <c r="FV543" s="305"/>
      <c r="FW543" s="305"/>
      <c r="FX543" s="305"/>
      <c r="FY543" s="305"/>
      <c r="FZ543" s="305"/>
      <c r="GA543" s="305"/>
      <c r="GB543" s="305"/>
      <c r="GC543" s="305"/>
      <c r="GD543" s="305"/>
      <c r="GE543" s="305"/>
      <c r="GF543" s="305"/>
      <c r="GG543" s="305"/>
      <c r="GH543" s="305"/>
      <c r="GI543" s="305"/>
      <c r="GJ543" s="305"/>
      <c r="GK543" s="305"/>
      <c r="GL543" s="305"/>
      <c r="GM543" s="305"/>
      <c r="GN543" s="305"/>
      <c r="GO543" s="305"/>
      <c r="GP543" s="305"/>
      <c r="GQ543" s="305"/>
      <c r="GR543" s="305"/>
    </row>
    <row r="544" spans="3:200" s="318" customFormat="1" ht="12.75" customHeight="1" x14ac:dyDescent="0.2">
      <c r="C544" s="367"/>
      <c r="D544" s="403"/>
      <c r="E544" s="369"/>
      <c r="F544" s="369"/>
      <c r="G544" s="369"/>
      <c r="H544" s="369"/>
      <c r="I544" s="370"/>
      <c r="J544"/>
      <c r="K544" s="371"/>
      <c r="L544" s="371"/>
      <c r="M544" s="371"/>
      <c r="N544" s="371"/>
      <c r="O544" s="305"/>
      <c r="P544" s="305"/>
      <c r="Q544" s="305"/>
      <c r="R544" s="305"/>
      <c r="S544" s="305"/>
      <c r="T544" s="305"/>
      <c r="U544" s="305"/>
      <c r="V544" s="305"/>
      <c r="W544" s="305"/>
      <c r="X544" s="305"/>
      <c r="Y544" s="305"/>
      <c r="Z544" s="305"/>
      <c r="AA544" s="305"/>
      <c r="AB544" s="305"/>
      <c r="AC544" s="305"/>
      <c r="AD544" s="305"/>
      <c r="AE544" s="305"/>
      <c r="AF544" s="305"/>
      <c r="AG544" s="305"/>
      <c r="AH544" s="305"/>
      <c r="AI544" s="305"/>
      <c r="AJ544" s="305"/>
      <c r="AK544" s="305"/>
      <c r="AL544" s="305"/>
      <c r="AM544" s="305"/>
      <c r="AN544" s="305"/>
      <c r="AO544" s="305"/>
      <c r="AP544" s="305"/>
      <c r="AQ544" s="305"/>
      <c r="AR544" s="305"/>
      <c r="AS544" s="305"/>
      <c r="AT544" s="305"/>
      <c r="AU544" s="305"/>
      <c r="AV544" s="305"/>
      <c r="AW544" s="305"/>
      <c r="AX544" s="305"/>
      <c r="AY544" s="305"/>
      <c r="AZ544" s="305"/>
      <c r="BA544" s="305"/>
      <c r="BB544" s="305"/>
      <c r="BC544" s="305"/>
      <c r="BD544" s="305"/>
      <c r="BE544" s="305"/>
      <c r="BF544" s="305"/>
      <c r="BG544" s="305"/>
      <c r="BH544" s="305"/>
      <c r="BI544" s="305"/>
      <c r="BJ544" s="305"/>
      <c r="BK544" s="305"/>
      <c r="BL544" s="305"/>
      <c r="BM544" s="305"/>
      <c r="BN544" s="305"/>
      <c r="BO544" s="305"/>
      <c r="BP544" s="305"/>
      <c r="BQ544" s="305"/>
      <c r="BR544" s="305"/>
      <c r="BS544" s="305"/>
      <c r="BT544" s="305"/>
      <c r="BU544" s="305"/>
      <c r="BV544" s="305"/>
      <c r="BW544" s="305"/>
      <c r="BX544" s="305"/>
      <c r="BY544" s="305"/>
      <c r="BZ544" s="305"/>
      <c r="CA544" s="305"/>
      <c r="CB544" s="305"/>
      <c r="CC544" s="305"/>
      <c r="CD544" s="305"/>
      <c r="CE544" s="305"/>
      <c r="CF544" s="305"/>
      <c r="CG544" s="305"/>
      <c r="CH544" s="305"/>
      <c r="CI544" s="305"/>
      <c r="CJ544" s="305"/>
      <c r="CK544" s="305"/>
      <c r="CL544" s="305"/>
      <c r="CM544" s="305"/>
      <c r="CN544" s="305"/>
      <c r="CO544" s="305"/>
      <c r="CP544" s="305"/>
      <c r="CQ544" s="305"/>
      <c r="CR544" s="305"/>
      <c r="CS544" s="305"/>
      <c r="CT544" s="305"/>
      <c r="CU544" s="305"/>
      <c r="CV544" s="305"/>
      <c r="CW544" s="305"/>
      <c r="CX544" s="305"/>
      <c r="CY544" s="305"/>
      <c r="CZ544" s="305"/>
      <c r="DA544" s="305"/>
      <c r="DB544" s="305"/>
      <c r="DC544" s="305"/>
      <c r="DD544" s="305"/>
      <c r="DE544" s="305"/>
      <c r="DF544" s="305"/>
      <c r="DG544" s="305"/>
      <c r="DH544" s="305"/>
      <c r="DI544" s="305"/>
      <c r="DJ544" s="305"/>
      <c r="DK544" s="305"/>
      <c r="DL544" s="305"/>
      <c r="DM544" s="305"/>
      <c r="DN544" s="305"/>
      <c r="DO544" s="305"/>
      <c r="DP544" s="305"/>
      <c r="DQ544" s="305"/>
      <c r="DR544" s="305"/>
      <c r="DS544" s="305"/>
      <c r="DT544" s="305"/>
      <c r="DU544" s="305"/>
      <c r="DV544" s="305"/>
      <c r="DW544" s="305"/>
      <c r="DX544" s="305"/>
      <c r="DY544" s="305"/>
      <c r="DZ544" s="305"/>
      <c r="EA544" s="305"/>
      <c r="EB544" s="305"/>
      <c r="EC544" s="305"/>
      <c r="ED544" s="305"/>
      <c r="EE544" s="305"/>
      <c r="EF544" s="305"/>
      <c r="EG544" s="305"/>
      <c r="EH544" s="305"/>
      <c r="EI544" s="305"/>
      <c r="EJ544" s="305"/>
      <c r="EK544" s="305"/>
      <c r="EL544" s="305"/>
      <c r="EM544" s="305"/>
      <c r="EN544" s="305"/>
      <c r="EO544" s="305"/>
      <c r="EP544" s="305"/>
      <c r="EQ544" s="305"/>
      <c r="ER544" s="305"/>
      <c r="ES544" s="305"/>
      <c r="ET544" s="305"/>
      <c r="EU544" s="305"/>
      <c r="EV544" s="305"/>
      <c r="EW544" s="305"/>
      <c r="EX544" s="305"/>
      <c r="EY544" s="305"/>
      <c r="EZ544" s="305"/>
      <c r="FA544" s="305"/>
      <c r="FB544" s="305"/>
      <c r="FC544" s="305"/>
      <c r="FD544" s="305"/>
      <c r="FE544" s="305"/>
      <c r="FF544" s="305"/>
      <c r="FG544" s="305"/>
      <c r="FH544" s="305"/>
      <c r="FI544" s="305"/>
      <c r="FJ544" s="305"/>
      <c r="FK544" s="305"/>
      <c r="FL544" s="305"/>
      <c r="FM544" s="305"/>
      <c r="FN544" s="305"/>
      <c r="FO544" s="305"/>
      <c r="FP544" s="305"/>
      <c r="FQ544" s="305"/>
      <c r="FR544" s="305"/>
      <c r="FS544" s="305"/>
      <c r="FT544" s="305"/>
      <c r="FU544" s="305"/>
      <c r="FV544" s="305"/>
      <c r="FW544" s="305"/>
      <c r="FX544" s="305"/>
      <c r="FY544" s="305"/>
      <c r="FZ544" s="305"/>
      <c r="GA544" s="305"/>
      <c r="GB544" s="305"/>
      <c r="GC544" s="305"/>
      <c r="GD544" s="305"/>
      <c r="GE544" s="305"/>
      <c r="GF544" s="305"/>
      <c r="GG544" s="305"/>
      <c r="GH544" s="305"/>
      <c r="GI544" s="305"/>
      <c r="GJ544" s="305"/>
      <c r="GK544" s="305"/>
      <c r="GL544" s="305"/>
      <c r="GM544" s="305"/>
      <c r="GN544" s="305"/>
      <c r="GO544" s="305"/>
      <c r="GP544" s="305"/>
      <c r="GQ544" s="305"/>
      <c r="GR544" s="305"/>
    </row>
    <row r="545" spans="3:200" s="318" customFormat="1" ht="12.75" customHeight="1" x14ac:dyDescent="0.2">
      <c r="C545" s="367"/>
      <c r="D545" s="403"/>
      <c r="E545" s="369"/>
      <c r="F545" s="369"/>
      <c r="G545" s="369"/>
      <c r="H545" s="369"/>
      <c r="I545" s="370"/>
      <c r="J545"/>
      <c r="K545" s="371"/>
      <c r="L545" s="371"/>
      <c r="M545" s="371"/>
      <c r="N545" s="371"/>
      <c r="O545" s="305"/>
      <c r="P545" s="305"/>
      <c r="Q545" s="305"/>
      <c r="R545" s="305"/>
      <c r="S545" s="305"/>
      <c r="T545" s="305"/>
      <c r="U545" s="305"/>
      <c r="V545" s="305"/>
      <c r="W545" s="305"/>
      <c r="X545" s="305"/>
      <c r="Y545" s="305"/>
      <c r="Z545" s="305"/>
      <c r="AA545" s="305"/>
      <c r="AB545" s="305"/>
      <c r="AC545" s="305"/>
      <c r="AD545" s="305"/>
      <c r="AE545" s="305"/>
      <c r="AF545" s="305"/>
      <c r="AG545" s="305"/>
      <c r="AH545" s="305"/>
      <c r="AI545" s="305"/>
      <c r="AJ545" s="305"/>
      <c r="AK545" s="305"/>
      <c r="AL545" s="305"/>
      <c r="AM545" s="305"/>
      <c r="AN545" s="305"/>
      <c r="AO545" s="305"/>
      <c r="AP545" s="305"/>
      <c r="AQ545" s="305"/>
      <c r="AR545" s="305"/>
      <c r="AS545" s="305"/>
      <c r="AT545" s="305"/>
      <c r="AU545" s="305"/>
      <c r="AV545" s="305"/>
      <c r="AW545" s="305"/>
      <c r="AX545" s="305"/>
      <c r="AY545" s="305"/>
      <c r="AZ545" s="305"/>
      <c r="BA545" s="305"/>
      <c r="BB545" s="305"/>
      <c r="BC545" s="305"/>
      <c r="BD545" s="305"/>
      <c r="BE545" s="305"/>
      <c r="BF545" s="305"/>
      <c r="BG545" s="305"/>
      <c r="BH545" s="305"/>
      <c r="BI545" s="305"/>
      <c r="BJ545" s="305"/>
      <c r="BK545" s="305"/>
      <c r="BL545" s="305"/>
      <c r="BM545" s="305"/>
      <c r="BN545" s="305"/>
      <c r="BO545" s="305"/>
      <c r="BP545" s="305"/>
      <c r="BQ545" s="305"/>
      <c r="BR545" s="305"/>
      <c r="BS545" s="305"/>
      <c r="BT545" s="305"/>
      <c r="BU545" s="305"/>
      <c r="BV545" s="305"/>
      <c r="BW545" s="305"/>
      <c r="BX545" s="305"/>
      <c r="BY545" s="305"/>
      <c r="BZ545" s="305"/>
      <c r="CA545" s="305"/>
      <c r="CB545" s="305"/>
      <c r="CC545" s="305"/>
      <c r="CD545" s="305"/>
      <c r="CE545" s="305"/>
      <c r="CF545" s="305"/>
      <c r="CG545" s="305"/>
      <c r="CH545" s="305"/>
      <c r="CI545" s="305"/>
      <c r="CJ545" s="305"/>
      <c r="CK545" s="305"/>
      <c r="CL545" s="305"/>
      <c r="CM545" s="305"/>
      <c r="CN545" s="305"/>
      <c r="CO545" s="305"/>
      <c r="CP545" s="305"/>
      <c r="CQ545" s="305"/>
      <c r="CR545" s="305"/>
      <c r="CS545" s="305"/>
      <c r="CT545" s="305"/>
      <c r="CU545" s="305"/>
      <c r="CV545" s="305"/>
      <c r="CW545" s="305"/>
      <c r="CX545" s="305"/>
      <c r="CY545" s="305"/>
      <c r="CZ545" s="305"/>
      <c r="DA545" s="305"/>
      <c r="DB545" s="305"/>
      <c r="DC545" s="305"/>
      <c r="DD545" s="305"/>
      <c r="DE545" s="305"/>
      <c r="DF545" s="305"/>
      <c r="DG545" s="305"/>
      <c r="DH545" s="305"/>
      <c r="DI545" s="305"/>
      <c r="DJ545" s="305"/>
      <c r="DK545" s="305"/>
      <c r="DL545" s="305"/>
      <c r="DM545" s="305"/>
      <c r="DN545" s="305"/>
      <c r="DO545" s="305"/>
      <c r="DP545" s="305"/>
      <c r="DQ545" s="305"/>
      <c r="DR545" s="305"/>
      <c r="DS545" s="305"/>
      <c r="DT545" s="305"/>
      <c r="DU545" s="305"/>
      <c r="DV545" s="305"/>
      <c r="DW545" s="305"/>
      <c r="DX545" s="305"/>
      <c r="DY545" s="305"/>
      <c r="DZ545" s="305"/>
      <c r="EA545" s="305"/>
      <c r="EB545" s="305"/>
      <c r="EC545" s="305"/>
      <c r="ED545" s="305"/>
      <c r="EE545" s="305"/>
      <c r="EF545" s="305"/>
      <c r="EG545" s="305"/>
      <c r="EH545" s="305"/>
      <c r="EI545" s="305"/>
      <c r="EJ545" s="305"/>
      <c r="EK545" s="305"/>
      <c r="EL545" s="305"/>
      <c r="EM545" s="305"/>
      <c r="EN545" s="305"/>
      <c r="EO545" s="305"/>
      <c r="EP545" s="305"/>
      <c r="EQ545" s="305"/>
      <c r="ER545" s="305"/>
      <c r="ES545" s="305"/>
      <c r="ET545" s="305"/>
      <c r="EU545" s="305"/>
      <c r="EV545" s="305"/>
      <c r="EW545" s="305"/>
      <c r="EX545" s="305"/>
      <c r="EY545" s="305"/>
      <c r="EZ545" s="305"/>
      <c r="FA545" s="305"/>
      <c r="FB545" s="305"/>
      <c r="FC545" s="305"/>
      <c r="FD545" s="305"/>
      <c r="FE545" s="305"/>
      <c r="FF545" s="305"/>
      <c r="FG545" s="305"/>
      <c r="FH545" s="305"/>
      <c r="FI545" s="305"/>
      <c r="FJ545" s="305"/>
      <c r="FK545" s="305"/>
      <c r="FL545" s="305"/>
      <c r="FM545" s="305"/>
      <c r="FN545" s="305"/>
      <c r="FO545" s="305"/>
      <c r="FP545" s="305"/>
      <c r="FQ545" s="305"/>
      <c r="FR545" s="305"/>
      <c r="FS545" s="305"/>
      <c r="FT545" s="305"/>
      <c r="FU545" s="305"/>
      <c r="FV545" s="305"/>
      <c r="FW545" s="305"/>
      <c r="FX545" s="305"/>
      <c r="FY545" s="305"/>
      <c r="FZ545" s="305"/>
      <c r="GA545" s="305"/>
      <c r="GB545" s="305"/>
      <c r="GC545" s="305"/>
      <c r="GD545" s="305"/>
      <c r="GE545" s="305"/>
      <c r="GF545" s="305"/>
      <c r="GG545" s="305"/>
      <c r="GH545" s="305"/>
      <c r="GI545" s="305"/>
      <c r="GJ545" s="305"/>
      <c r="GK545" s="305"/>
      <c r="GL545" s="305"/>
      <c r="GM545" s="305"/>
      <c r="GN545" s="305"/>
      <c r="GO545" s="305"/>
      <c r="GP545" s="305"/>
      <c r="GQ545" s="305"/>
      <c r="GR545" s="305"/>
    </row>
    <row r="546" spans="3:200" s="318" customFormat="1" ht="12.75" customHeight="1" x14ac:dyDescent="0.2">
      <c r="C546" s="367"/>
      <c r="D546" s="403"/>
      <c r="E546" s="369"/>
      <c r="F546" s="369"/>
      <c r="G546" s="369"/>
      <c r="H546" s="369"/>
      <c r="I546" s="370"/>
      <c r="J546"/>
      <c r="K546" s="371"/>
      <c r="L546" s="371"/>
      <c r="M546" s="371"/>
      <c r="N546" s="371"/>
      <c r="O546" s="305"/>
      <c r="P546" s="305"/>
      <c r="Q546" s="305"/>
      <c r="R546" s="305"/>
      <c r="S546" s="305"/>
      <c r="T546" s="305"/>
      <c r="U546" s="305"/>
      <c r="V546" s="305"/>
      <c r="W546" s="305"/>
      <c r="X546" s="305"/>
      <c r="Y546" s="305"/>
      <c r="Z546" s="305"/>
      <c r="AA546" s="305"/>
      <c r="AB546" s="305"/>
      <c r="AC546" s="305"/>
      <c r="AD546" s="305"/>
      <c r="AE546" s="305"/>
      <c r="AF546" s="305"/>
      <c r="AG546" s="305"/>
      <c r="AH546" s="305"/>
      <c r="AI546" s="305"/>
      <c r="AJ546" s="305"/>
      <c r="AK546" s="305"/>
      <c r="AL546" s="305"/>
      <c r="AM546" s="305"/>
      <c r="AN546" s="305"/>
      <c r="AO546" s="305"/>
      <c r="AP546" s="305"/>
      <c r="AQ546" s="305"/>
      <c r="AR546" s="305"/>
      <c r="AS546" s="305"/>
      <c r="AT546" s="305"/>
      <c r="AU546" s="305"/>
      <c r="AV546" s="305"/>
      <c r="AW546" s="305"/>
      <c r="AX546" s="305"/>
      <c r="AY546" s="305"/>
      <c r="AZ546" s="305"/>
      <c r="BA546" s="305"/>
      <c r="BB546" s="305"/>
      <c r="BC546" s="305"/>
      <c r="BD546" s="305"/>
      <c r="BE546" s="305"/>
      <c r="BF546" s="305"/>
      <c r="BG546" s="305"/>
      <c r="BH546" s="305"/>
      <c r="BI546" s="305"/>
      <c r="BJ546" s="305"/>
      <c r="BK546" s="305"/>
      <c r="BL546" s="305"/>
      <c r="BM546" s="305"/>
      <c r="BN546" s="305"/>
      <c r="BO546" s="305"/>
      <c r="BP546" s="305"/>
      <c r="BQ546" s="305"/>
      <c r="BR546" s="305"/>
      <c r="BS546" s="305"/>
      <c r="BT546" s="305"/>
      <c r="BU546" s="305"/>
      <c r="BV546" s="305"/>
      <c r="BW546" s="305"/>
      <c r="BX546" s="305"/>
      <c r="BY546" s="305"/>
      <c r="BZ546" s="305"/>
      <c r="CA546" s="305"/>
      <c r="CB546" s="305"/>
      <c r="CC546" s="305"/>
      <c r="CD546" s="305"/>
      <c r="CE546" s="305"/>
      <c r="CF546" s="305"/>
      <c r="CG546" s="305"/>
      <c r="CH546" s="305"/>
      <c r="CI546" s="305"/>
      <c r="CJ546" s="305"/>
      <c r="CK546" s="305"/>
      <c r="CL546" s="305"/>
      <c r="CM546" s="305"/>
      <c r="CN546" s="305"/>
      <c r="CO546" s="305"/>
      <c r="CP546" s="305"/>
      <c r="CQ546" s="305"/>
      <c r="CR546" s="305"/>
      <c r="CS546" s="305"/>
      <c r="CT546" s="305"/>
      <c r="CU546" s="305"/>
      <c r="CV546" s="305"/>
      <c r="CW546" s="305"/>
      <c r="CX546" s="305"/>
      <c r="CY546" s="305"/>
      <c r="CZ546" s="305"/>
      <c r="DA546" s="305"/>
      <c r="DB546" s="305"/>
      <c r="DC546" s="305"/>
      <c r="DD546" s="305"/>
      <c r="DE546" s="305"/>
      <c r="DF546" s="305"/>
      <c r="DG546" s="305"/>
      <c r="DH546" s="305"/>
      <c r="DI546" s="305"/>
      <c r="DJ546" s="305"/>
      <c r="DK546" s="305"/>
      <c r="DL546" s="305"/>
      <c r="DM546" s="305"/>
      <c r="DN546" s="305"/>
      <c r="DO546" s="305"/>
      <c r="DP546" s="305"/>
      <c r="DQ546" s="305"/>
      <c r="DR546" s="305"/>
      <c r="DS546" s="305"/>
      <c r="DT546" s="305"/>
      <c r="DU546" s="305"/>
      <c r="DV546" s="305"/>
      <c r="DW546" s="305"/>
      <c r="DX546" s="305"/>
      <c r="DY546" s="305"/>
      <c r="DZ546" s="305"/>
      <c r="EA546" s="305"/>
      <c r="EB546" s="305"/>
      <c r="EC546" s="305"/>
      <c r="ED546" s="305"/>
      <c r="EE546" s="305"/>
      <c r="EF546" s="305"/>
      <c r="EG546" s="305"/>
      <c r="EH546" s="305"/>
      <c r="EI546" s="305"/>
      <c r="EJ546" s="305"/>
      <c r="EK546" s="305"/>
      <c r="EL546" s="305"/>
      <c r="EM546" s="305"/>
      <c r="EN546" s="305"/>
      <c r="EO546" s="305"/>
      <c r="EP546" s="305"/>
      <c r="EQ546" s="305"/>
      <c r="ER546" s="305"/>
      <c r="ES546" s="305"/>
      <c r="ET546" s="305"/>
      <c r="EU546" s="305"/>
      <c r="EV546" s="305"/>
      <c r="EW546" s="305"/>
      <c r="EX546" s="305"/>
      <c r="EY546" s="305"/>
      <c r="EZ546" s="305"/>
      <c r="FA546" s="305"/>
      <c r="FB546" s="305"/>
      <c r="FC546" s="305"/>
      <c r="FD546" s="305"/>
      <c r="FE546" s="305"/>
      <c r="FF546" s="305"/>
      <c r="FG546" s="305"/>
      <c r="FH546" s="305"/>
      <c r="FI546" s="305"/>
      <c r="FJ546" s="305"/>
      <c r="FK546" s="305"/>
      <c r="FL546" s="305"/>
      <c r="FM546" s="305"/>
      <c r="FN546" s="305"/>
      <c r="FO546" s="305"/>
      <c r="FP546" s="305"/>
      <c r="FQ546" s="305"/>
      <c r="FR546" s="305"/>
      <c r="FS546" s="305"/>
      <c r="FT546" s="305"/>
      <c r="FU546" s="305"/>
      <c r="FV546" s="305"/>
      <c r="FW546" s="305"/>
      <c r="FX546" s="305"/>
      <c r="FY546" s="305"/>
      <c r="FZ546" s="305"/>
      <c r="GA546" s="305"/>
      <c r="GB546" s="305"/>
      <c r="GC546" s="305"/>
      <c r="GD546" s="305"/>
      <c r="GE546" s="305"/>
      <c r="GF546" s="305"/>
      <c r="GG546" s="305"/>
      <c r="GH546" s="305"/>
      <c r="GI546" s="305"/>
      <c r="GJ546" s="305"/>
      <c r="GK546" s="305"/>
      <c r="GL546" s="305"/>
      <c r="GM546" s="305"/>
      <c r="GN546" s="305"/>
      <c r="GO546" s="305"/>
      <c r="GP546" s="305"/>
      <c r="GQ546" s="305"/>
      <c r="GR546" s="305"/>
    </row>
    <row r="547" spans="3:200" s="318" customFormat="1" ht="12.75" customHeight="1" x14ac:dyDescent="0.2">
      <c r="C547" s="367"/>
      <c r="D547" s="403"/>
      <c r="E547" s="369"/>
      <c r="F547" s="369"/>
      <c r="G547" s="369"/>
      <c r="H547" s="369"/>
      <c r="I547" s="370"/>
      <c r="J547"/>
      <c r="K547" s="371"/>
      <c r="L547" s="371"/>
      <c r="M547" s="371"/>
      <c r="N547" s="371"/>
      <c r="O547" s="305"/>
      <c r="P547" s="305"/>
      <c r="Q547" s="305"/>
      <c r="R547" s="305"/>
      <c r="S547" s="305"/>
      <c r="T547" s="305"/>
      <c r="U547" s="305"/>
      <c r="V547" s="305"/>
      <c r="W547" s="305"/>
      <c r="X547" s="305"/>
      <c r="Y547" s="305"/>
      <c r="Z547" s="305"/>
      <c r="AA547" s="305"/>
      <c r="AB547" s="305"/>
      <c r="AC547" s="305"/>
      <c r="AD547" s="305"/>
      <c r="AE547" s="305"/>
      <c r="AF547" s="305"/>
      <c r="AG547" s="305"/>
      <c r="AH547" s="305"/>
      <c r="AI547" s="305"/>
      <c r="AJ547" s="305"/>
      <c r="AK547" s="305"/>
      <c r="AL547" s="305"/>
      <c r="AM547" s="305"/>
      <c r="AN547" s="305"/>
      <c r="AO547" s="305"/>
      <c r="AP547" s="305"/>
      <c r="AQ547" s="305"/>
      <c r="AR547" s="305"/>
      <c r="AS547" s="305"/>
      <c r="AT547" s="305"/>
      <c r="AU547" s="305"/>
      <c r="AV547" s="305"/>
      <c r="AW547" s="305"/>
      <c r="AX547" s="305"/>
      <c r="AY547" s="305"/>
      <c r="AZ547" s="305"/>
      <c r="BA547" s="305"/>
      <c r="BB547" s="305"/>
      <c r="BC547" s="305"/>
      <c r="BD547" s="305"/>
      <c r="BE547" s="305"/>
      <c r="BF547" s="305"/>
      <c r="BG547" s="305"/>
      <c r="BH547" s="305"/>
      <c r="BI547" s="305"/>
      <c r="BJ547" s="305"/>
      <c r="BK547" s="305"/>
      <c r="BL547" s="305"/>
      <c r="BM547" s="305"/>
      <c r="BN547" s="305"/>
      <c r="BO547" s="305"/>
      <c r="BP547" s="305"/>
      <c r="BQ547" s="305"/>
      <c r="BR547" s="305"/>
      <c r="BS547" s="305"/>
      <c r="BT547" s="305"/>
      <c r="BU547" s="305"/>
      <c r="BV547" s="305"/>
      <c r="BW547" s="305"/>
      <c r="BX547" s="305"/>
      <c r="BY547" s="305"/>
      <c r="BZ547" s="305"/>
      <c r="CA547" s="305"/>
      <c r="CB547" s="305"/>
      <c r="CC547" s="305"/>
      <c r="CD547" s="305"/>
      <c r="CE547" s="305"/>
      <c r="CF547" s="305"/>
      <c r="CG547" s="305"/>
      <c r="CH547" s="305"/>
      <c r="CI547" s="305"/>
      <c r="CJ547" s="305"/>
      <c r="CK547" s="305"/>
      <c r="CL547" s="305"/>
      <c r="CM547" s="305"/>
      <c r="CN547" s="305"/>
      <c r="CO547" s="305"/>
      <c r="CP547" s="305"/>
      <c r="CQ547" s="305"/>
      <c r="CR547" s="305"/>
      <c r="CS547" s="305"/>
      <c r="CT547" s="305"/>
      <c r="CU547" s="305"/>
      <c r="CV547" s="305"/>
      <c r="CW547" s="305"/>
      <c r="CX547" s="305"/>
      <c r="CY547" s="305"/>
      <c r="CZ547" s="305"/>
      <c r="DA547" s="305"/>
      <c r="DB547" s="305"/>
      <c r="DC547" s="305"/>
      <c r="DD547" s="305"/>
      <c r="DE547" s="305"/>
      <c r="DF547" s="305"/>
      <c r="DG547" s="305"/>
      <c r="DH547" s="305"/>
      <c r="DI547" s="305"/>
      <c r="DJ547" s="305"/>
      <c r="DK547" s="305"/>
      <c r="DL547" s="305"/>
      <c r="DM547" s="305"/>
      <c r="DN547" s="305"/>
      <c r="DO547" s="305"/>
      <c r="DP547" s="305"/>
      <c r="DQ547" s="305"/>
      <c r="DR547" s="305"/>
      <c r="DS547" s="305"/>
      <c r="DT547" s="305"/>
      <c r="DU547" s="305"/>
      <c r="DV547" s="305"/>
      <c r="DW547" s="305"/>
      <c r="DX547" s="305"/>
      <c r="DY547" s="305"/>
      <c r="DZ547" s="305"/>
      <c r="EA547" s="305"/>
      <c r="EB547" s="305"/>
      <c r="EC547" s="305"/>
      <c r="ED547" s="305"/>
      <c r="EE547" s="305"/>
      <c r="EF547" s="305"/>
      <c r="EG547" s="305"/>
      <c r="EH547" s="305"/>
      <c r="EI547" s="305"/>
      <c r="EJ547" s="305"/>
      <c r="EK547" s="305"/>
      <c r="EL547" s="305"/>
      <c r="EM547" s="305"/>
      <c r="EN547" s="305"/>
      <c r="EO547" s="305"/>
      <c r="EP547" s="305"/>
      <c r="EQ547" s="305"/>
      <c r="ER547" s="305"/>
      <c r="ES547" s="305"/>
      <c r="ET547" s="305"/>
      <c r="EU547" s="305"/>
      <c r="EV547" s="305"/>
      <c r="EW547" s="305"/>
      <c r="EX547" s="305"/>
      <c r="EY547" s="305"/>
      <c r="EZ547" s="305"/>
      <c r="FA547" s="305"/>
      <c r="FB547" s="305"/>
      <c r="FC547" s="305"/>
      <c r="FD547" s="305"/>
      <c r="FE547" s="305"/>
      <c r="FF547" s="305"/>
      <c r="FG547" s="305"/>
      <c r="FH547" s="305"/>
      <c r="FI547" s="305"/>
      <c r="FJ547" s="305"/>
      <c r="FK547" s="305"/>
      <c r="FL547" s="305"/>
      <c r="FM547" s="305"/>
      <c r="FN547" s="305"/>
      <c r="FO547" s="305"/>
      <c r="FP547" s="305"/>
      <c r="FQ547" s="305"/>
      <c r="FR547" s="305"/>
      <c r="FS547" s="305"/>
      <c r="FT547" s="305"/>
      <c r="FU547" s="305"/>
      <c r="FV547" s="305"/>
      <c r="FW547" s="305"/>
      <c r="FX547" s="305"/>
      <c r="FY547" s="305"/>
      <c r="FZ547" s="305"/>
      <c r="GA547" s="305"/>
      <c r="GB547" s="305"/>
      <c r="GC547" s="305"/>
      <c r="GD547" s="305"/>
      <c r="GE547" s="305"/>
      <c r="GF547" s="305"/>
      <c r="GG547" s="305"/>
      <c r="GH547" s="305"/>
      <c r="GI547" s="305"/>
      <c r="GJ547" s="305"/>
      <c r="GK547" s="305"/>
      <c r="GL547" s="305"/>
      <c r="GM547" s="305"/>
      <c r="GN547" s="305"/>
      <c r="GO547" s="305"/>
      <c r="GP547" s="305"/>
      <c r="GQ547" s="305"/>
      <c r="GR547" s="305"/>
    </row>
    <row r="548" spans="3:200" s="318" customFormat="1" ht="12.75" customHeight="1" x14ac:dyDescent="0.2">
      <c r="C548" s="367"/>
      <c r="D548" s="403"/>
      <c r="E548" s="369"/>
      <c r="F548" s="369"/>
      <c r="G548" s="369"/>
      <c r="H548" s="369"/>
      <c r="I548" s="370"/>
      <c r="J548"/>
      <c r="K548" s="371"/>
      <c r="L548" s="371"/>
      <c r="M548" s="371"/>
      <c r="N548" s="371"/>
      <c r="O548" s="305"/>
      <c r="P548" s="305"/>
      <c r="Q548" s="305"/>
      <c r="R548" s="305"/>
      <c r="S548" s="305"/>
      <c r="T548" s="305"/>
      <c r="U548" s="305"/>
      <c r="V548" s="305"/>
      <c r="W548" s="305"/>
      <c r="X548" s="305"/>
      <c r="Y548" s="305"/>
      <c r="Z548" s="305"/>
      <c r="AA548" s="305"/>
      <c r="AB548" s="305"/>
      <c r="AC548" s="305"/>
      <c r="AD548" s="305"/>
      <c r="AE548" s="305"/>
      <c r="AF548" s="305"/>
      <c r="AG548" s="305"/>
      <c r="AH548" s="305"/>
      <c r="AI548" s="305"/>
      <c r="AJ548" s="305"/>
      <c r="AK548" s="305"/>
      <c r="AL548" s="305"/>
      <c r="AM548" s="305"/>
      <c r="AN548" s="305"/>
      <c r="AO548" s="305"/>
      <c r="AP548" s="305"/>
      <c r="AQ548" s="305"/>
      <c r="AR548" s="305"/>
      <c r="AS548" s="305"/>
      <c r="AT548" s="305"/>
      <c r="AU548" s="305"/>
      <c r="AV548" s="305"/>
      <c r="AW548" s="305"/>
      <c r="AX548" s="305"/>
      <c r="AY548" s="305"/>
      <c r="AZ548" s="305"/>
      <c r="BA548" s="305"/>
      <c r="BB548" s="305"/>
      <c r="BC548" s="305"/>
      <c r="BD548" s="305"/>
      <c r="BE548" s="305"/>
      <c r="BF548" s="305"/>
      <c r="BG548" s="305"/>
      <c r="BH548" s="305"/>
      <c r="BI548" s="305"/>
      <c r="BJ548" s="305"/>
      <c r="BK548" s="305"/>
      <c r="BL548" s="305"/>
      <c r="BM548" s="305"/>
      <c r="BN548" s="305"/>
      <c r="BO548" s="305"/>
      <c r="BP548" s="305"/>
      <c r="BQ548" s="305"/>
      <c r="BR548" s="305"/>
      <c r="BS548" s="305"/>
      <c r="BT548" s="305"/>
      <c r="BU548" s="305"/>
      <c r="BV548" s="305"/>
      <c r="BW548" s="305"/>
      <c r="BX548" s="305"/>
      <c r="BY548" s="305"/>
      <c r="BZ548" s="305"/>
      <c r="CA548" s="305"/>
      <c r="CB548" s="305"/>
      <c r="CC548" s="305"/>
      <c r="CD548" s="305"/>
      <c r="CE548" s="305"/>
      <c r="CF548" s="305"/>
      <c r="CG548" s="305"/>
      <c r="CH548" s="305"/>
      <c r="CI548" s="305"/>
      <c r="CJ548" s="305"/>
      <c r="CK548" s="305"/>
      <c r="CL548" s="305"/>
      <c r="CM548" s="305"/>
      <c r="CN548" s="305"/>
      <c r="CO548" s="305"/>
      <c r="CP548" s="305"/>
      <c r="CQ548" s="305"/>
      <c r="CR548" s="305"/>
      <c r="CS548" s="305"/>
      <c r="CT548" s="305"/>
      <c r="CU548" s="305"/>
      <c r="CV548" s="305"/>
      <c r="CW548" s="305"/>
      <c r="CX548" s="305"/>
      <c r="CY548" s="305"/>
      <c r="CZ548" s="305"/>
      <c r="DA548" s="305"/>
      <c r="DB548" s="305"/>
      <c r="DC548" s="305"/>
      <c r="DD548" s="305"/>
      <c r="DE548" s="305"/>
      <c r="DF548" s="305"/>
      <c r="DG548" s="305"/>
      <c r="DH548" s="305"/>
      <c r="DI548" s="305"/>
      <c r="DJ548" s="305"/>
      <c r="DK548" s="305"/>
      <c r="DL548" s="305"/>
      <c r="DM548" s="305"/>
      <c r="DN548" s="305"/>
      <c r="DO548" s="305"/>
      <c r="DP548" s="305"/>
      <c r="DQ548" s="305"/>
      <c r="DR548" s="305"/>
      <c r="DS548" s="305"/>
      <c r="DT548" s="305"/>
      <c r="DU548" s="305"/>
      <c r="DV548" s="305"/>
      <c r="DW548" s="305"/>
      <c r="DX548" s="305"/>
      <c r="DY548" s="305"/>
      <c r="DZ548" s="305"/>
      <c r="EA548" s="305"/>
      <c r="EB548" s="305"/>
      <c r="EC548" s="305"/>
      <c r="ED548" s="305"/>
      <c r="EE548" s="305"/>
      <c r="EF548" s="305"/>
      <c r="EG548" s="305"/>
      <c r="EH548" s="305"/>
      <c r="EI548" s="305"/>
      <c r="EJ548" s="305"/>
      <c r="EK548" s="305"/>
      <c r="EL548" s="305"/>
      <c r="EM548" s="305"/>
      <c r="EN548" s="305"/>
      <c r="EO548" s="305"/>
      <c r="EP548" s="305"/>
      <c r="EQ548" s="305"/>
      <c r="ER548" s="305"/>
      <c r="ES548" s="305"/>
      <c r="ET548" s="305"/>
      <c r="EU548" s="305"/>
      <c r="EV548" s="305"/>
      <c r="EW548" s="305"/>
      <c r="EX548" s="305"/>
      <c r="EY548" s="305"/>
      <c r="EZ548" s="305"/>
      <c r="FA548" s="305"/>
      <c r="FB548" s="305"/>
      <c r="FC548" s="305"/>
      <c r="FD548" s="305"/>
      <c r="FE548" s="305"/>
      <c r="FF548" s="305"/>
      <c r="FG548" s="305"/>
      <c r="FH548" s="305"/>
      <c r="FI548" s="305"/>
      <c r="FJ548" s="305"/>
      <c r="FK548" s="305"/>
      <c r="FL548" s="305"/>
      <c r="FM548" s="305"/>
      <c r="FN548" s="305"/>
      <c r="FO548" s="305"/>
      <c r="FP548" s="305"/>
      <c r="FQ548" s="305"/>
      <c r="FR548" s="305"/>
      <c r="FS548" s="305"/>
      <c r="FT548" s="305"/>
      <c r="FU548" s="305"/>
      <c r="FV548" s="305"/>
      <c r="FW548" s="305"/>
      <c r="FX548" s="305"/>
      <c r="FY548" s="305"/>
      <c r="FZ548" s="305"/>
      <c r="GA548" s="305"/>
      <c r="GB548" s="305"/>
      <c r="GC548" s="305"/>
      <c r="GD548" s="305"/>
      <c r="GE548" s="305"/>
      <c r="GF548" s="305"/>
      <c r="GG548" s="305"/>
      <c r="GH548" s="305"/>
      <c r="GI548" s="305"/>
      <c r="GJ548" s="305"/>
      <c r="GK548" s="305"/>
      <c r="GL548" s="305"/>
      <c r="GM548" s="305"/>
      <c r="GN548" s="305"/>
      <c r="GO548" s="305"/>
      <c r="GP548" s="305"/>
      <c r="GQ548" s="305"/>
      <c r="GR548" s="305"/>
    </row>
    <row r="549" spans="3:200" s="318" customFormat="1" ht="12.75" customHeight="1" x14ac:dyDescent="0.2">
      <c r="C549" s="367"/>
      <c r="D549" s="403"/>
      <c r="E549" s="369"/>
      <c r="F549" s="369"/>
      <c r="G549" s="369"/>
      <c r="H549" s="369"/>
      <c r="I549" s="370"/>
      <c r="J549"/>
      <c r="K549" s="371"/>
      <c r="L549" s="371"/>
      <c r="M549" s="371"/>
      <c r="N549" s="371"/>
      <c r="O549" s="305"/>
      <c r="P549" s="305"/>
      <c r="Q549" s="305"/>
      <c r="R549" s="305"/>
      <c r="S549" s="305"/>
      <c r="T549" s="305"/>
      <c r="U549" s="305"/>
      <c r="V549" s="305"/>
      <c r="W549" s="305"/>
      <c r="X549" s="305"/>
      <c r="Y549" s="305"/>
      <c r="Z549" s="305"/>
      <c r="AA549" s="305"/>
      <c r="AB549" s="305"/>
      <c r="AC549" s="305"/>
      <c r="AD549" s="305"/>
      <c r="AE549" s="305"/>
      <c r="AF549" s="305"/>
      <c r="AG549" s="305"/>
      <c r="AH549" s="305"/>
      <c r="AI549" s="305"/>
      <c r="AJ549" s="305"/>
      <c r="AK549" s="305"/>
      <c r="AL549" s="305"/>
      <c r="AM549" s="305"/>
      <c r="AN549" s="305"/>
      <c r="AO549" s="305"/>
      <c r="AP549" s="305"/>
      <c r="AQ549" s="305"/>
      <c r="AR549" s="305"/>
      <c r="AS549" s="305"/>
      <c r="AT549" s="305"/>
      <c r="AU549" s="305"/>
      <c r="AV549" s="305"/>
      <c r="AW549" s="305"/>
      <c r="AX549" s="305"/>
      <c r="AY549" s="305"/>
      <c r="AZ549" s="305"/>
      <c r="BA549" s="305"/>
      <c r="BB549" s="305"/>
      <c r="BC549" s="305"/>
      <c r="BD549" s="305"/>
      <c r="BE549" s="305"/>
      <c r="BF549" s="305"/>
      <c r="BG549" s="305"/>
      <c r="BH549" s="305"/>
      <c r="BI549" s="305"/>
      <c r="BJ549" s="305"/>
      <c r="BK549" s="305"/>
      <c r="BL549" s="305"/>
      <c r="BM549" s="305"/>
      <c r="BN549" s="305"/>
      <c r="BO549" s="305"/>
      <c r="BP549" s="305"/>
      <c r="BQ549" s="305"/>
      <c r="BR549" s="305"/>
      <c r="BS549" s="305"/>
      <c r="BT549" s="305"/>
      <c r="BU549" s="305"/>
      <c r="BV549" s="305"/>
      <c r="BW549" s="305"/>
      <c r="BX549" s="305"/>
      <c r="BY549" s="305"/>
      <c r="BZ549" s="305"/>
      <c r="CA549" s="305"/>
      <c r="CB549" s="305"/>
      <c r="CC549" s="305"/>
      <c r="CD549" s="305"/>
      <c r="CE549" s="305"/>
      <c r="CF549" s="305"/>
      <c r="CG549" s="305"/>
      <c r="CH549" s="305"/>
      <c r="CI549" s="305"/>
      <c r="CJ549" s="305"/>
      <c r="CK549" s="305"/>
      <c r="CL549" s="305"/>
      <c r="CM549" s="305"/>
      <c r="CN549" s="305"/>
      <c r="CO549" s="305"/>
      <c r="CP549" s="305"/>
      <c r="CQ549" s="305"/>
      <c r="CR549" s="305"/>
      <c r="CS549" s="305"/>
      <c r="CT549" s="305"/>
      <c r="CU549" s="305"/>
      <c r="CV549" s="305"/>
      <c r="CW549" s="305"/>
      <c r="CX549" s="305"/>
      <c r="CY549" s="305"/>
      <c r="CZ549" s="305"/>
      <c r="DA549" s="305"/>
      <c r="DB549" s="305"/>
      <c r="DC549" s="305"/>
      <c r="DD549" s="305"/>
      <c r="DE549" s="305"/>
      <c r="DF549" s="305"/>
      <c r="DG549" s="305"/>
      <c r="DH549" s="305"/>
      <c r="DI549" s="305"/>
      <c r="DJ549" s="305"/>
      <c r="DK549" s="305"/>
      <c r="DL549" s="305"/>
      <c r="DM549" s="305"/>
      <c r="DN549" s="305"/>
      <c r="DO549" s="305"/>
      <c r="DP549" s="305"/>
      <c r="DQ549" s="305"/>
      <c r="DR549" s="305"/>
      <c r="DS549" s="305"/>
      <c r="DT549" s="305"/>
      <c r="DU549" s="305"/>
      <c r="DV549" s="305"/>
      <c r="DW549" s="305"/>
      <c r="DX549" s="305"/>
      <c r="DY549" s="305"/>
      <c r="DZ549" s="305"/>
      <c r="EA549" s="305"/>
      <c r="EB549" s="305"/>
      <c r="EC549" s="305"/>
      <c r="ED549" s="305"/>
      <c r="EE549" s="305"/>
      <c r="EF549" s="305"/>
      <c r="EG549" s="305"/>
      <c r="EH549" s="305"/>
      <c r="EI549" s="305"/>
      <c r="EJ549" s="305"/>
      <c r="EK549" s="305"/>
      <c r="EL549" s="305"/>
      <c r="EM549" s="305"/>
      <c r="EN549" s="305"/>
      <c r="EO549" s="305"/>
      <c r="EP549" s="305"/>
      <c r="EQ549" s="305"/>
      <c r="ER549" s="305"/>
      <c r="ES549" s="305"/>
      <c r="ET549" s="305"/>
      <c r="EU549" s="305"/>
      <c r="EV549" s="305"/>
      <c r="EW549" s="305"/>
      <c r="EX549" s="305"/>
      <c r="EY549" s="305"/>
      <c r="EZ549" s="305"/>
      <c r="FA549" s="305"/>
      <c r="FB549" s="305"/>
      <c r="FC549" s="305"/>
      <c r="FD549" s="305"/>
      <c r="FE549" s="305"/>
      <c r="FF549" s="305"/>
      <c r="FG549" s="305"/>
      <c r="FH549" s="305"/>
      <c r="FI549" s="305"/>
      <c r="FJ549" s="305"/>
      <c r="FK549" s="305"/>
      <c r="FL549" s="305"/>
      <c r="FM549" s="305"/>
      <c r="FN549" s="305"/>
      <c r="FO549" s="305"/>
      <c r="FP549" s="305"/>
      <c r="FQ549" s="305"/>
      <c r="FR549" s="305"/>
      <c r="FS549" s="305"/>
      <c r="FT549" s="305"/>
      <c r="FU549" s="305"/>
      <c r="FV549" s="305"/>
      <c r="FW549" s="305"/>
      <c r="FX549" s="305"/>
      <c r="FY549" s="305"/>
      <c r="FZ549" s="305"/>
      <c r="GA549" s="305"/>
      <c r="GB549" s="305"/>
      <c r="GC549" s="305"/>
      <c r="GD549" s="305"/>
      <c r="GE549" s="305"/>
      <c r="GF549" s="305"/>
      <c r="GG549" s="305"/>
      <c r="GH549" s="305"/>
      <c r="GI549" s="305"/>
      <c r="GJ549" s="305"/>
      <c r="GK549" s="305"/>
      <c r="GL549" s="305"/>
      <c r="GM549" s="305"/>
      <c r="GN549" s="305"/>
      <c r="GO549" s="305"/>
      <c r="GP549" s="305"/>
      <c r="GQ549" s="305"/>
      <c r="GR549" s="305"/>
    </row>
    <row r="550" spans="3:200" s="318" customFormat="1" ht="12.75" customHeight="1" x14ac:dyDescent="0.2">
      <c r="C550" s="367"/>
      <c r="D550" s="403"/>
      <c r="E550" s="369"/>
      <c r="F550" s="369"/>
      <c r="G550" s="369"/>
      <c r="H550" s="369"/>
      <c r="I550" s="370"/>
      <c r="J550"/>
      <c r="K550" s="371"/>
      <c r="L550" s="371"/>
      <c r="M550" s="371"/>
      <c r="N550" s="371"/>
      <c r="O550" s="305"/>
      <c r="P550" s="305"/>
      <c r="Q550" s="305"/>
      <c r="R550" s="305"/>
      <c r="S550" s="305"/>
      <c r="T550" s="305"/>
      <c r="U550" s="305"/>
      <c r="V550" s="305"/>
      <c r="W550" s="305"/>
      <c r="X550" s="305"/>
      <c r="Y550" s="305"/>
      <c r="Z550" s="305"/>
      <c r="AA550" s="305"/>
      <c r="AB550" s="305"/>
      <c r="AC550" s="305"/>
      <c r="AD550" s="305"/>
      <c r="AE550" s="305"/>
      <c r="AF550" s="305"/>
      <c r="AG550" s="305"/>
      <c r="AH550" s="305"/>
      <c r="AI550" s="305"/>
      <c r="AJ550" s="305"/>
      <c r="AK550" s="305"/>
      <c r="AL550" s="305"/>
      <c r="AM550" s="305"/>
      <c r="AN550" s="305"/>
      <c r="AO550" s="305"/>
      <c r="AP550" s="305"/>
      <c r="AQ550" s="305"/>
      <c r="AR550" s="305"/>
      <c r="AS550" s="305"/>
      <c r="AT550" s="305"/>
      <c r="AU550" s="305"/>
      <c r="AV550" s="305"/>
      <c r="AW550" s="305"/>
      <c r="AX550" s="305"/>
      <c r="AY550" s="305"/>
      <c r="AZ550" s="305"/>
      <c r="BA550" s="305"/>
      <c r="BB550" s="305"/>
      <c r="BC550" s="305"/>
      <c r="BD550" s="305"/>
      <c r="BE550" s="305"/>
      <c r="BF550" s="305"/>
      <c r="BG550" s="305"/>
      <c r="BH550" s="305"/>
      <c r="BI550" s="305"/>
      <c r="BJ550" s="305"/>
      <c r="BK550" s="305"/>
      <c r="BL550" s="305"/>
      <c r="BM550" s="305"/>
      <c r="BN550" s="305"/>
      <c r="BO550" s="305"/>
      <c r="BP550" s="305"/>
      <c r="BQ550" s="305"/>
      <c r="BR550" s="305"/>
      <c r="BS550" s="305"/>
      <c r="BT550" s="305"/>
      <c r="BU550" s="305"/>
      <c r="BV550" s="305"/>
      <c r="BW550" s="305"/>
      <c r="BX550" s="305"/>
      <c r="BY550" s="305"/>
      <c r="BZ550" s="305"/>
      <c r="CA550" s="305"/>
      <c r="CB550" s="305"/>
      <c r="CC550" s="305"/>
      <c r="CD550" s="305"/>
      <c r="CE550" s="305"/>
      <c r="CF550" s="305"/>
      <c r="CG550" s="305"/>
      <c r="CH550" s="305"/>
      <c r="CI550" s="305"/>
      <c r="CJ550" s="305"/>
      <c r="CK550" s="305"/>
      <c r="CL550" s="305"/>
      <c r="CM550" s="305"/>
      <c r="CN550" s="305"/>
      <c r="CO550" s="305"/>
      <c r="CP550" s="305"/>
      <c r="CQ550" s="305"/>
      <c r="CR550" s="305"/>
      <c r="CS550" s="305"/>
      <c r="CT550" s="305"/>
      <c r="CU550" s="305"/>
      <c r="CV550" s="305"/>
      <c r="CW550" s="305"/>
      <c r="CX550" s="305"/>
      <c r="CY550" s="305"/>
      <c r="CZ550" s="305"/>
      <c r="DA550" s="305"/>
      <c r="DB550" s="305"/>
      <c r="DC550" s="305"/>
      <c r="DD550" s="305"/>
      <c r="DE550" s="305"/>
      <c r="DF550" s="305"/>
      <c r="DG550" s="305"/>
      <c r="DH550" s="305"/>
      <c r="DI550" s="305"/>
      <c r="DJ550" s="305"/>
      <c r="DK550" s="305"/>
      <c r="DL550" s="305"/>
      <c r="DM550" s="305"/>
      <c r="DN550" s="305"/>
      <c r="DO550" s="305"/>
      <c r="DP550" s="305"/>
      <c r="DQ550" s="305"/>
      <c r="DR550" s="305"/>
      <c r="DS550" s="305"/>
      <c r="DT550" s="305"/>
      <c r="DU550" s="305"/>
      <c r="DV550" s="305"/>
      <c r="DW550" s="305"/>
      <c r="DX550" s="305"/>
      <c r="DY550" s="305"/>
      <c r="DZ550" s="305"/>
      <c r="EA550" s="305"/>
      <c r="EB550" s="305"/>
      <c r="EC550" s="305"/>
      <c r="ED550" s="305"/>
      <c r="EE550" s="305"/>
      <c r="EF550" s="305"/>
      <c r="EG550" s="305"/>
      <c r="EH550" s="305"/>
      <c r="EI550" s="305"/>
      <c r="EJ550" s="305"/>
      <c r="EK550" s="305"/>
      <c r="EL550" s="305"/>
      <c r="EM550" s="305"/>
      <c r="EN550" s="305"/>
      <c r="EO550" s="305"/>
      <c r="EP550" s="305"/>
      <c r="EQ550" s="305"/>
      <c r="ER550" s="305"/>
      <c r="ES550" s="305"/>
      <c r="ET550" s="305"/>
      <c r="EU550" s="305"/>
      <c r="EV550" s="305"/>
      <c r="EW550" s="305"/>
      <c r="EX550" s="305"/>
      <c r="EY550" s="305"/>
      <c r="EZ550" s="305"/>
      <c r="FA550" s="305"/>
      <c r="FB550" s="305"/>
      <c r="FC550" s="305"/>
      <c r="FD550" s="305"/>
      <c r="FE550" s="305"/>
      <c r="FF550" s="305"/>
      <c r="FG550" s="305"/>
      <c r="FH550" s="305"/>
      <c r="FI550" s="305"/>
      <c r="FJ550" s="305"/>
      <c r="FK550" s="305"/>
      <c r="FL550" s="305"/>
      <c r="FM550" s="305"/>
      <c r="FN550" s="305"/>
      <c r="FO550" s="305"/>
      <c r="FP550" s="305"/>
      <c r="FQ550" s="305"/>
      <c r="FR550" s="305"/>
      <c r="FS550" s="305"/>
      <c r="FT550" s="305"/>
      <c r="FU550" s="305"/>
      <c r="FV550" s="305"/>
      <c r="FW550" s="305"/>
      <c r="FX550" s="305"/>
      <c r="FY550" s="305"/>
      <c r="FZ550" s="305"/>
      <c r="GA550" s="305"/>
      <c r="GB550" s="305"/>
      <c r="GC550" s="305"/>
      <c r="GD550" s="305"/>
      <c r="GE550" s="305"/>
      <c r="GF550" s="305"/>
      <c r="GG550" s="305"/>
      <c r="GH550" s="305"/>
      <c r="GI550" s="305"/>
      <c r="GJ550" s="305"/>
      <c r="GK550" s="305"/>
      <c r="GL550" s="305"/>
      <c r="GM550" s="305"/>
      <c r="GN550" s="305"/>
      <c r="GO550" s="305"/>
      <c r="GP550" s="305"/>
      <c r="GQ550" s="305"/>
      <c r="GR550" s="305"/>
    </row>
    <row r="551" spans="3:200" s="318" customFormat="1" ht="12.75" customHeight="1" x14ac:dyDescent="0.2">
      <c r="C551" s="367"/>
      <c r="D551" s="403"/>
      <c r="E551" s="369"/>
      <c r="F551" s="369"/>
      <c r="G551" s="369"/>
      <c r="H551" s="369"/>
      <c r="I551" s="370"/>
      <c r="J551"/>
      <c r="K551" s="371"/>
      <c r="L551" s="371"/>
      <c r="M551" s="371"/>
      <c r="N551" s="371"/>
      <c r="O551" s="305"/>
      <c r="P551" s="305"/>
      <c r="Q551" s="305"/>
      <c r="R551" s="305"/>
      <c r="S551" s="305"/>
      <c r="T551" s="305"/>
      <c r="U551" s="305"/>
      <c r="V551" s="305"/>
      <c r="W551" s="305"/>
      <c r="X551" s="305"/>
      <c r="Y551" s="305"/>
      <c r="Z551" s="305"/>
      <c r="AA551" s="305"/>
      <c r="AB551" s="305"/>
      <c r="AC551" s="305"/>
      <c r="AD551" s="305"/>
      <c r="AE551" s="305"/>
      <c r="AF551" s="305"/>
      <c r="AG551" s="305"/>
      <c r="AH551" s="305"/>
      <c r="AI551" s="305"/>
      <c r="AJ551" s="305"/>
      <c r="AK551" s="305"/>
      <c r="AL551" s="305"/>
      <c r="AM551" s="305"/>
      <c r="AN551" s="305"/>
      <c r="AO551" s="305"/>
      <c r="AP551" s="305"/>
      <c r="AQ551" s="305"/>
      <c r="AR551" s="305"/>
      <c r="AS551" s="305"/>
      <c r="AT551" s="305"/>
      <c r="AU551" s="305"/>
      <c r="AV551" s="305"/>
      <c r="AW551" s="305"/>
      <c r="AX551" s="305"/>
      <c r="AY551" s="305"/>
      <c r="AZ551" s="305"/>
      <c r="BA551" s="305"/>
      <c r="BB551" s="305"/>
      <c r="BC551" s="305"/>
      <c r="BD551" s="305"/>
      <c r="BE551" s="305"/>
      <c r="BF551" s="305"/>
      <c r="BG551" s="305"/>
      <c r="BH551" s="305"/>
      <c r="BI551" s="305"/>
      <c r="BJ551" s="305"/>
      <c r="BK551" s="305"/>
      <c r="BL551" s="305"/>
      <c r="BM551" s="305"/>
      <c r="BN551" s="305"/>
      <c r="BO551" s="305"/>
      <c r="BP551" s="305"/>
      <c r="BQ551" s="305"/>
      <c r="BR551" s="305"/>
      <c r="BS551" s="305"/>
      <c r="BT551" s="305"/>
      <c r="BU551" s="305"/>
      <c r="BV551" s="305"/>
      <c r="BW551" s="305"/>
      <c r="BX551" s="305"/>
      <c r="BY551" s="305"/>
      <c r="BZ551" s="305"/>
      <c r="CA551" s="305"/>
      <c r="CB551" s="305"/>
      <c r="CC551" s="305"/>
      <c r="CD551" s="305"/>
      <c r="CE551" s="305"/>
      <c r="CF551" s="305"/>
      <c r="CG551" s="305"/>
      <c r="CH551" s="305"/>
      <c r="CI551" s="305"/>
      <c r="CJ551" s="305"/>
      <c r="CK551" s="305"/>
      <c r="CL551" s="305"/>
      <c r="CM551" s="305"/>
      <c r="CN551" s="305"/>
      <c r="CO551" s="305"/>
      <c r="CP551" s="305"/>
      <c r="CQ551" s="305"/>
      <c r="CR551" s="305"/>
      <c r="CS551" s="305"/>
      <c r="CT551" s="305"/>
      <c r="CU551" s="305"/>
      <c r="CV551" s="305"/>
      <c r="CW551" s="305"/>
      <c r="CX551" s="305"/>
      <c r="CY551" s="305"/>
      <c r="CZ551" s="305"/>
      <c r="DA551" s="305"/>
      <c r="DB551" s="305"/>
      <c r="DC551" s="305"/>
      <c r="DD551" s="305"/>
      <c r="DE551" s="305"/>
      <c r="DF551" s="305"/>
      <c r="DG551" s="305"/>
      <c r="DH551" s="305"/>
      <c r="DI551" s="305"/>
      <c r="DJ551" s="305"/>
      <c r="DK551" s="305"/>
      <c r="DL551" s="305"/>
      <c r="DM551" s="305"/>
      <c r="DN551" s="305"/>
      <c r="DO551" s="305"/>
      <c r="DP551" s="305"/>
      <c r="DQ551" s="305"/>
      <c r="DR551" s="305"/>
      <c r="DS551" s="305"/>
      <c r="DT551" s="305"/>
      <c r="DU551" s="305"/>
      <c r="DV551" s="305"/>
      <c r="DW551" s="305"/>
      <c r="DX551" s="305"/>
      <c r="DY551" s="305"/>
      <c r="DZ551" s="305"/>
      <c r="EA551" s="305"/>
      <c r="EB551" s="305"/>
      <c r="EC551" s="305"/>
      <c r="ED551" s="305"/>
      <c r="EE551" s="305"/>
      <c r="EF551" s="305"/>
      <c r="EG551" s="305"/>
      <c r="EH551" s="305"/>
      <c r="EI551" s="305"/>
      <c r="EJ551" s="305"/>
      <c r="EK551" s="305"/>
      <c r="EL551" s="305"/>
      <c r="EM551" s="305"/>
      <c r="EN551" s="305"/>
      <c r="EO551" s="305"/>
      <c r="EP551" s="305"/>
      <c r="EQ551" s="305"/>
      <c r="ER551" s="305"/>
      <c r="ES551" s="305"/>
      <c r="ET551" s="305"/>
      <c r="EU551" s="305"/>
      <c r="EV551" s="305"/>
      <c r="EW551" s="305"/>
      <c r="EX551" s="305"/>
      <c r="EY551" s="305"/>
      <c r="EZ551" s="305"/>
      <c r="FA551" s="305"/>
      <c r="FB551" s="305"/>
      <c r="FC551" s="305"/>
      <c r="FD551" s="305"/>
      <c r="FE551" s="305"/>
      <c r="FF551" s="305"/>
      <c r="FG551" s="305"/>
      <c r="FH551" s="305"/>
      <c r="FI551" s="305"/>
      <c r="FJ551" s="305"/>
      <c r="FK551" s="305"/>
      <c r="FL551" s="305"/>
      <c r="FM551" s="305"/>
      <c r="FN551" s="305"/>
      <c r="FO551" s="305"/>
      <c r="FP551" s="305"/>
      <c r="FQ551" s="305"/>
      <c r="FR551" s="305"/>
      <c r="FS551" s="305"/>
      <c r="FT551" s="305"/>
      <c r="FU551" s="305"/>
      <c r="FV551" s="305"/>
      <c r="FW551" s="305"/>
      <c r="FX551" s="305"/>
      <c r="FY551" s="305"/>
      <c r="FZ551" s="305"/>
      <c r="GA551" s="305"/>
      <c r="GB551" s="305"/>
      <c r="GC551" s="305"/>
      <c r="GD551" s="305"/>
      <c r="GE551" s="305"/>
      <c r="GF551" s="305"/>
      <c r="GG551" s="305"/>
      <c r="GH551" s="305"/>
      <c r="GI551" s="305"/>
      <c r="GJ551" s="305"/>
      <c r="GK551" s="305"/>
      <c r="GL551" s="305"/>
      <c r="GM551" s="305"/>
      <c r="GN551" s="305"/>
      <c r="GO551" s="305"/>
      <c r="GP551" s="305"/>
      <c r="GQ551" s="305"/>
      <c r="GR551" s="305"/>
    </row>
    <row r="552" spans="3:200" s="318" customFormat="1" ht="12.75" customHeight="1" x14ac:dyDescent="0.2">
      <c r="C552" s="367"/>
      <c r="D552" s="403"/>
      <c r="E552" s="369"/>
      <c r="F552" s="369"/>
      <c r="G552" s="369"/>
      <c r="H552" s="369"/>
      <c r="I552" s="370"/>
      <c r="J552"/>
      <c r="K552" s="371"/>
      <c r="L552" s="371"/>
      <c r="M552" s="371"/>
      <c r="N552" s="371"/>
      <c r="O552" s="305"/>
      <c r="P552" s="305"/>
      <c r="Q552" s="305"/>
      <c r="R552" s="305"/>
      <c r="S552" s="305"/>
      <c r="T552" s="305"/>
      <c r="U552" s="305"/>
      <c r="V552" s="305"/>
      <c r="W552" s="305"/>
      <c r="X552" s="305"/>
      <c r="Y552" s="305"/>
      <c r="Z552" s="305"/>
      <c r="AA552" s="305"/>
      <c r="AB552" s="305"/>
      <c r="AC552" s="305"/>
      <c r="AD552" s="305"/>
      <c r="AE552" s="305"/>
      <c r="AF552" s="305"/>
      <c r="AG552" s="305"/>
      <c r="AH552" s="305"/>
      <c r="AI552" s="305"/>
      <c r="AJ552" s="305"/>
      <c r="AK552" s="305"/>
      <c r="AL552" s="305"/>
      <c r="AM552" s="305"/>
      <c r="AN552" s="305"/>
      <c r="AO552" s="305"/>
      <c r="AP552" s="305"/>
      <c r="AQ552" s="305"/>
      <c r="AR552" s="305"/>
      <c r="AS552" s="305"/>
      <c r="AT552" s="305"/>
      <c r="AU552" s="305"/>
      <c r="AV552" s="305"/>
      <c r="AW552" s="305"/>
      <c r="AX552" s="305"/>
      <c r="AY552" s="305"/>
      <c r="AZ552" s="305"/>
      <c r="BA552" s="305"/>
      <c r="BB552" s="305"/>
      <c r="BC552" s="305"/>
      <c r="BD552" s="305"/>
      <c r="BE552" s="305"/>
      <c r="BF552" s="305"/>
      <c r="BG552" s="305"/>
      <c r="BH552" s="305"/>
      <c r="BI552" s="305"/>
      <c r="BJ552" s="305"/>
      <c r="BK552" s="305"/>
      <c r="BL552" s="305"/>
      <c r="BM552" s="305"/>
      <c r="BN552" s="305"/>
      <c r="BO552" s="305"/>
      <c r="BP552" s="305"/>
      <c r="BQ552" s="305"/>
      <c r="BR552" s="305"/>
      <c r="BS552" s="305"/>
      <c r="BT552" s="305"/>
      <c r="BU552" s="305"/>
      <c r="BV552" s="305"/>
      <c r="BW552" s="305"/>
      <c r="BX552" s="305"/>
      <c r="BY552" s="305"/>
      <c r="BZ552" s="305"/>
      <c r="CA552" s="305"/>
      <c r="CB552" s="305"/>
      <c r="CC552" s="305"/>
      <c r="CD552" s="305"/>
      <c r="CE552" s="305"/>
      <c r="CF552" s="305"/>
      <c r="CG552" s="305"/>
      <c r="CH552" s="305"/>
      <c r="CI552" s="305"/>
      <c r="CJ552" s="305"/>
      <c r="CK552" s="305"/>
      <c r="CL552" s="305"/>
      <c r="CM552" s="305"/>
      <c r="CN552" s="305"/>
      <c r="CO552" s="305"/>
      <c r="CP552" s="305"/>
      <c r="CQ552" s="305"/>
      <c r="CR552" s="305"/>
      <c r="CS552" s="305"/>
      <c r="CT552" s="305"/>
      <c r="CU552" s="305"/>
      <c r="CV552" s="305"/>
      <c r="CW552" s="305"/>
      <c r="CX552" s="305"/>
      <c r="CY552" s="305"/>
      <c r="CZ552" s="305"/>
      <c r="DA552" s="305"/>
      <c r="DB552" s="305"/>
      <c r="DC552" s="305"/>
      <c r="DD552" s="305"/>
      <c r="DE552" s="305"/>
      <c r="DF552" s="305"/>
      <c r="DG552" s="305"/>
      <c r="DH552" s="305"/>
      <c r="DI552" s="305"/>
      <c r="DJ552" s="305"/>
      <c r="DK552" s="305"/>
      <c r="DL552" s="305"/>
      <c r="DM552" s="305"/>
      <c r="DN552" s="305"/>
      <c r="DO552" s="305"/>
      <c r="DP552" s="305"/>
      <c r="DQ552" s="305"/>
      <c r="DR552" s="305"/>
      <c r="DS552" s="305"/>
      <c r="DT552" s="305"/>
      <c r="DU552" s="305"/>
      <c r="DV552" s="305"/>
      <c r="DW552" s="305"/>
      <c r="DX552" s="305"/>
      <c r="DY552" s="305"/>
      <c r="DZ552" s="305"/>
      <c r="EA552" s="305"/>
      <c r="EB552" s="305"/>
      <c r="EC552" s="305"/>
      <c r="ED552" s="305"/>
      <c r="EE552" s="305"/>
      <c r="EF552" s="305"/>
      <c r="EG552" s="305"/>
      <c r="EH552" s="305"/>
      <c r="EI552" s="305"/>
      <c r="EJ552" s="305"/>
      <c r="EK552" s="305"/>
      <c r="EL552" s="305"/>
      <c r="EM552" s="305"/>
      <c r="EN552" s="305"/>
      <c r="EO552" s="305"/>
      <c r="EP552" s="305"/>
      <c r="EQ552" s="305"/>
      <c r="ER552" s="305"/>
      <c r="ES552" s="305"/>
      <c r="ET552" s="305"/>
      <c r="EU552" s="305"/>
      <c r="EV552" s="305"/>
      <c r="EW552" s="305"/>
      <c r="EX552" s="305"/>
      <c r="EY552" s="305"/>
      <c r="EZ552" s="305"/>
      <c r="FA552" s="305"/>
      <c r="FB552" s="305"/>
      <c r="FC552" s="305"/>
      <c r="FD552" s="305"/>
      <c r="FE552" s="305"/>
      <c r="FF552" s="305"/>
      <c r="FG552" s="305"/>
      <c r="FH552" s="305"/>
      <c r="FI552" s="305"/>
      <c r="FJ552" s="305"/>
      <c r="FK552" s="305"/>
      <c r="FL552" s="305"/>
      <c r="FM552" s="305"/>
      <c r="FN552" s="305"/>
      <c r="FO552" s="305"/>
      <c r="FP552" s="305"/>
      <c r="FQ552" s="305"/>
      <c r="FR552" s="305"/>
      <c r="FS552" s="305"/>
      <c r="FT552" s="305"/>
      <c r="FU552" s="305"/>
      <c r="FV552" s="305"/>
      <c r="FW552" s="305"/>
      <c r="FX552" s="305"/>
      <c r="FY552" s="305"/>
      <c r="FZ552" s="305"/>
      <c r="GA552" s="305"/>
      <c r="GB552" s="305"/>
      <c r="GC552" s="305"/>
      <c r="GD552" s="305"/>
      <c r="GE552" s="305"/>
      <c r="GF552" s="305"/>
      <c r="GG552" s="305"/>
      <c r="GH552" s="305"/>
      <c r="GI552" s="305"/>
      <c r="GJ552" s="305"/>
      <c r="GK552" s="305"/>
      <c r="GL552" s="305"/>
      <c r="GM552" s="305"/>
      <c r="GN552" s="305"/>
      <c r="GO552" s="305"/>
      <c r="GP552" s="305"/>
      <c r="GQ552" s="305"/>
      <c r="GR552" s="305"/>
    </row>
    <row r="553" spans="3:200" s="318" customFormat="1" ht="12.75" customHeight="1" x14ac:dyDescent="0.2">
      <c r="C553" s="367"/>
      <c r="D553" s="403"/>
      <c r="E553" s="369"/>
      <c r="F553" s="369"/>
      <c r="G553" s="369"/>
      <c r="H553" s="369"/>
      <c r="I553" s="370"/>
      <c r="J553"/>
      <c r="K553" s="371"/>
      <c r="L553" s="371"/>
      <c r="M553" s="371"/>
      <c r="N553" s="371"/>
      <c r="O553" s="305"/>
      <c r="P553" s="305"/>
      <c r="Q553" s="305"/>
      <c r="R553" s="305"/>
      <c r="S553" s="305"/>
      <c r="T553" s="305"/>
      <c r="U553" s="305"/>
      <c r="V553" s="305"/>
      <c r="W553" s="305"/>
      <c r="X553" s="305"/>
      <c r="Y553" s="305"/>
      <c r="Z553" s="305"/>
      <c r="AA553" s="305"/>
      <c r="AB553" s="305"/>
      <c r="AC553" s="305"/>
      <c r="AD553" s="305"/>
      <c r="AE553" s="305"/>
      <c r="AF553" s="305"/>
      <c r="AG553" s="305"/>
      <c r="AH553" s="305"/>
      <c r="AI553" s="305"/>
      <c r="AJ553" s="305"/>
      <c r="AK553" s="305"/>
      <c r="AL553" s="305"/>
      <c r="AM553" s="305"/>
      <c r="AN553" s="305"/>
      <c r="AO553" s="305"/>
      <c r="AP553" s="305"/>
      <c r="AQ553" s="305"/>
      <c r="AR553" s="305"/>
      <c r="AS553" s="305"/>
      <c r="AT553" s="305"/>
      <c r="AU553" s="305"/>
      <c r="AV553" s="305"/>
      <c r="AW553" s="305"/>
      <c r="AX553" s="305"/>
      <c r="AY553" s="305"/>
      <c r="AZ553" s="305"/>
      <c r="BA553" s="305"/>
      <c r="BB553" s="305"/>
      <c r="BC553" s="305"/>
      <c r="BD553" s="305"/>
      <c r="BE553" s="305"/>
      <c r="BF553" s="305"/>
      <c r="BG553" s="305"/>
      <c r="BH553" s="305"/>
      <c r="BI553" s="305"/>
      <c r="BJ553" s="305"/>
      <c r="BK553" s="305"/>
      <c r="BL553" s="305"/>
      <c r="BM553" s="305"/>
      <c r="BN553" s="305"/>
      <c r="BO553" s="305"/>
      <c r="BP553" s="305"/>
      <c r="BQ553" s="305"/>
      <c r="BR553" s="305"/>
      <c r="BS553" s="305"/>
      <c r="BT553" s="305"/>
      <c r="BU553" s="305"/>
      <c r="BV553" s="305"/>
      <c r="BW553" s="305"/>
      <c r="BX553" s="305"/>
      <c r="BY553" s="305"/>
      <c r="BZ553" s="305"/>
      <c r="CA553" s="305"/>
      <c r="CB553" s="305"/>
      <c r="CC553" s="305"/>
      <c r="CD553" s="305"/>
      <c r="CE553" s="305"/>
      <c r="CF553" s="305"/>
      <c r="CG553" s="305"/>
      <c r="CH553" s="305"/>
      <c r="CI553" s="305"/>
      <c r="CJ553" s="305"/>
      <c r="CK553" s="305"/>
      <c r="CL553" s="305"/>
      <c r="CM553" s="305"/>
      <c r="CN553" s="305"/>
      <c r="CO553" s="305"/>
      <c r="CP553" s="305"/>
      <c r="CQ553" s="305"/>
      <c r="CR553" s="305"/>
      <c r="CS553" s="305"/>
      <c r="CT553" s="305"/>
      <c r="CU553" s="305"/>
      <c r="CV553" s="305"/>
      <c r="CW553" s="305"/>
      <c r="CX553" s="305"/>
      <c r="CY553" s="305"/>
      <c r="CZ553" s="305"/>
      <c r="DA553" s="305"/>
      <c r="DB553" s="305"/>
      <c r="DC553" s="305"/>
      <c r="DD553" s="305"/>
      <c r="DE553" s="305"/>
      <c r="DF553" s="305"/>
      <c r="DG553" s="305"/>
      <c r="DH553" s="305"/>
      <c r="DI553" s="305"/>
      <c r="DJ553" s="305"/>
      <c r="DK553" s="305"/>
      <c r="DL553" s="305"/>
      <c r="DM553" s="305"/>
      <c r="DN553" s="305"/>
      <c r="DO553" s="305"/>
      <c r="DP553" s="305"/>
      <c r="DQ553" s="305"/>
      <c r="DR553" s="305"/>
      <c r="DS553" s="305"/>
      <c r="DT553" s="305"/>
      <c r="DU553" s="305"/>
      <c r="DV553" s="305"/>
      <c r="DW553" s="305"/>
      <c r="DX553" s="305"/>
      <c r="DY553" s="305"/>
      <c r="DZ553" s="305"/>
      <c r="EA553" s="305"/>
      <c r="EB553" s="305"/>
      <c r="EC553" s="305"/>
      <c r="ED553" s="305"/>
      <c r="EE553" s="305"/>
      <c r="EF553" s="305"/>
      <c r="EG553" s="305"/>
      <c r="EH553" s="305"/>
      <c r="EI553" s="305"/>
      <c r="EJ553" s="305"/>
      <c r="EK553" s="305"/>
      <c r="EL553" s="305"/>
      <c r="EM553" s="305"/>
      <c r="EN553" s="305"/>
      <c r="EO553" s="305"/>
      <c r="EP553" s="305"/>
      <c r="EQ553" s="305"/>
      <c r="ER553" s="305"/>
      <c r="ES553" s="305"/>
      <c r="ET553" s="305"/>
      <c r="EU553" s="305"/>
      <c r="EV553" s="305"/>
      <c r="EW553" s="305"/>
      <c r="EX553" s="305"/>
      <c r="EY553" s="305"/>
      <c r="EZ553" s="305"/>
      <c r="FA553" s="305"/>
      <c r="FB553" s="305"/>
      <c r="FC553" s="305"/>
      <c r="FD553" s="305"/>
      <c r="FE553" s="305"/>
      <c r="FF553" s="305"/>
      <c r="FG553" s="305"/>
      <c r="FH553" s="305"/>
      <c r="FI553" s="305"/>
      <c r="FJ553" s="305"/>
      <c r="FK553" s="305"/>
      <c r="FL553" s="305"/>
      <c r="FM553" s="305"/>
      <c r="FN553" s="305"/>
      <c r="FO553" s="305"/>
      <c r="FP553" s="305"/>
      <c r="FQ553" s="305"/>
      <c r="FR553" s="305"/>
      <c r="FS553" s="305"/>
      <c r="FT553" s="305"/>
      <c r="FU553" s="305"/>
      <c r="FV553" s="305"/>
      <c r="FW553" s="305"/>
      <c r="FX553" s="305"/>
      <c r="FY553" s="305"/>
      <c r="FZ553" s="305"/>
      <c r="GA553" s="305"/>
      <c r="GB553" s="305"/>
      <c r="GC553" s="305"/>
      <c r="GD553" s="305"/>
      <c r="GE553" s="305"/>
      <c r="GF553" s="305"/>
      <c r="GG553" s="305"/>
      <c r="GH553" s="305"/>
      <c r="GI553" s="305"/>
      <c r="GJ553" s="305"/>
      <c r="GK553" s="305"/>
      <c r="GL553" s="305"/>
      <c r="GM553" s="305"/>
      <c r="GN553" s="305"/>
      <c r="GO553" s="305"/>
      <c r="GP553" s="305"/>
      <c r="GQ553" s="305"/>
      <c r="GR553" s="305"/>
    </row>
    <row r="554" spans="3:200" s="318" customFormat="1" ht="12.75" customHeight="1" x14ac:dyDescent="0.2">
      <c r="C554" s="367"/>
      <c r="D554" s="403"/>
      <c r="E554" s="369"/>
      <c r="F554" s="369"/>
      <c r="G554" s="369"/>
      <c r="H554" s="369"/>
      <c r="I554" s="370"/>
      <c r="J554"/>
      <c r="K554" s="371"/>
      <c r="L554" s="371"/>
      <c r="M554" s="371"/>
      <c r="N554" s="371"/>
      <c r="O554" s="305"/>
      <c r="P554" s="305"/>
      <c r="Q554" s="305"/>
      <c r="R554" s="305"/>
      <c r="S554" s="305"/>
      <c r="T554" s="305"/>
      <c r="U554" s="305"/>
      <c r="V554" s="305"/>
      <c r="W554" s="305"/>
      <c r="X554" s="305"/>
      <c r="Y554" s="305"/>
      <c r="Z554" s="305"/>
      <c r="AA554" s="305"/>
      <c r="AB554" s="305"/>
      <c r="AC554" s="305"/>
      <c r="AD554" s="305"/>
      <c r="AE554" s="305"/>
      <c r="AF554" s="305"/>
      <c r="AG554" s="305"/>
      <c r="AH554" s="305"/>
      <c r="AI554" s="305"/>
      <c r="AJ554" s="305"/>
      <c r="AK554" s="305"/>
      <c r="AL554" s="305"/>
      <c r="AM554" s="305"/>
      <c r="AN554" s="305"/>
      <c r="AO554" s="305"/>
      <c r="AP554" s="305"/>
      <c r="AQ554" s="305"/>
      <c r="AR554" s="305"/>
      <c r="AS554" s="305"/>
      <c r="AT554" s="305"/>
      <c r="AU554" s="305"/>
      <c r="AV554" s="305"/>
      <c r="AW554" s="305"/>
      <c r="AX554" s="305"/>
      <c r="AY554" s="305"/>
      <c r="AZ554" s="305"/>
      <c r="BA554" s="305"/>
      <c r="BB554" s="305"/>
      <c r="BC554" s="305"/>
      <c r="BD554" s="305"/>
      <c r="BE554" s="305"/>
      <c r="BF554" s="305"/>
      <c r="BG554" s="305"/>
      <c r="BH554" s="305"/>
      <c r="BI554" s="305"/>
      <c r="BJ554" s="305"/>
      <c r="BK554" s="305"/>
      <c r="BL554" s="305"/>
      <c r="BM554" s="305"/>
      <c r="BN554" s="305"/>
      <c r="BO554" s="305"/>
      <c r="BP554" s="305"/>
      <c r="BQ554" s="305"/>
      <c r="BR554" s="305"/>
      <c r="BS554" s="305"/>
      <c r="BT554" s="305"/>
      <c r="BU554" s="305"/>
      <c r="BV554" s="305"/>
      <c r="BW554" s="305"/>
      <c r="BX554" s="305"/>
      <c r="BY554" s="305"/>
      <c r="BZ554" s="305"/>
      <c r="CA554" s="305"/>
      <c r="CB554" s="305"/>
      <c r="CC554" s="305"/>
      <c r="CD554" s="305"/>
      <c r="CE554" s="305"/>
      <c r="CF554" s="305"/>
      <c r="CG554" s="305"/>
      <c r="CH554" s="305"/>
      <c r="CI554" s="305"/>
      <c r="CJ554" s="305"/>
      <c r="CK554" s="305"/>
      <c r="CL554" s="305"/>
      <c r="CM554" s="305"/>
      <c r="CN554" s="305"/>
      <c r="CO554" s="305"/>
      <c r="CP554" s="305"/>
      <c r="CQ554" s="305"/>
      <c r="CR554" s="305"/>
      <c r="CS554" s="305"/>
      <c r="CT554" s="305"/>
      <c r="CU554" s="305"/>
      <c r="CV554" s="305"/>
      <c r="CW554" s="305"/>
      <c r="CX554" s="305"/>
      <c r="CY554" s="305"/>
      <c r="CZ554" s="305"/>
      <c r="DA554" s="305"/>
      <c r="DB554" s="305"/>
      <c r="DC554" s="305"/>
      <c r="DD554" s="305"/>
      <c r="DE554" s="305"/>
      <c r="DF554" s="305"/>
      <c r="DG554" s="305"/>
      <c r="DH554" s="305"/>
      <c r="DI554" s="305"/>
      <c r="DJ554" s="305"/>
      <c r="DK554" s="305"/>
      <c r="DL554" s="305"/>
      <c r="DM554" s="305"/>
      <c r="DN554" s="305"/>
      <c r="DO554" s="305"/>
      <c r="DP554" s="305"/>
      <c r="DQ554" s="305"/>
      <c r="DR554" s="305"/>
      <c r="DS554" s="305"/>
      <c r="DT554" s="305"/>
      <c r="DU554" s="305"/>
      <c r="DV554" s="305"/>
      <c r="DW554" s="305"/>
      <c r="DX554" s="305"/>
      <c r="DY554" s="305"/>
      <c r="DZ554" s="305"/>
      <c r="EA554" s="305"/>
      <c r="EB554" s="305"/>
      <c r="EC554" s="305"/>
      <c r="ED554" s="305"/>
      <c r="EE554" s="305"/>
      <c r="EF554" s="305"/>
      <c r="EG554" s="305"/>
      <c r="EH554" s="305"/>
      <c r="EI554" s="305"/>
      <c r="EJ554" s="305"/>
      <c r="EK554" s="305"/>
      <c r="EL554" s="305"/>
      <c r="EM554" s="305"/>
      <c r="EN554" s="305"/>
      <c r="EO554" s="305"/>
      <c r="EP554" s="305"/>
      <c r="EQ554" s="305"/>
      <c r="ER554" s="305"/>
      <c r="ES554" s="305"/>
      <c r="ET554" s="305"/>
      <c r="EU554" s="305"/>
      <c r="EV554" s="305"/>
      <c r="EW554" s="305"/>
      <c r="EX554" s="305"/>
      <c r="EY554" s="305"/>
      <c r="EZ554" s="305"/>
      <c r="FA554" s="305"/>
      <c r="FB554" s="305"/>
      <c r="FC554" s="305"/>
      <c r="FD554" s="305"/>
      <c r="FE554" s="305"/>
      <c r="FF554" s="305"/>
      <c r="FG554" s="305"/>
      <c r="FH554" s="305"/>
      <c r="FI554" s="305"/>
      <c r="FJ554" s="305"/>
      <c r="FK554" s="305"/>
      <c r="FL554" s="305"/>
      <c r="FM554" s="305"/>
      <c r="FN554" s="305"/>
      <c r="FO554" s="305"/>
      <c r="FP554" s="305"/>
      <c r="FQ554" s="305"/>
      <c r="FR554" s="305"/>
      <c r="FS554" s="305"/>
      <c r="FT554" s="305"/>
      <c r="FU554" s="305"/>
      <c r="FV554" s="305"/>
      <c r="FW554" s="305"/>
      <c r="FX554" s="305"/>
      <c r="FY554" s="305"/>
      <c r="FZ554" s="305"/>
      <c r="GA554" s="305"/>
      <c r="GB554" s="305"/>
      <c r="GC554" s="305"/>
      <c r="GD554" s="305"/>
      <c r="GE554" s="305"/>
      <c r="GF554" s="305"/>
      <c r="GG554" s="305"/>
      <c r="GH554" s="305"/>
      <c r="GI554" s="305"/>
      <c r="GJ554" s="305"/>
      <c r="GK554" s="305"/>
      <c r="GL554" s="305"/>
      <c r="GM554" s="305"/>
      <c r="GN554" s="305"/>
      <c r="GO554" s="305"/>
      <c r="GP554" s="305"/>
      <c r="GQ554" s="305"/>
      <c r="GR554" s="305"/>
    </row>
    <row r="555" spans="3:200" s="318" customFormat="1" ht="12.75" customHeight="1" x14ac:dyDescent="0.2">
      <c r="C555" s="367"/>
      <c r="D555" s="403"/>
      <c r="E555" s="369"/>
      <c r="F555" s="369"/>
      <c r="G555" s="369"/>
      <c r="H555" s="369"/>
      <c r="I555" s="370"/>
      <c r="J555"/>
      <c r="K555" s="371"/>
      <c r="L555" s="371"/>
      <c r="M555" s="371"/>
      <c r="N555" s="371"/>
      <c r="O555" s="305"/>
      <c r="P555" s="305"/>
      <c r="Q555" s="305"/>
      <c r="R555" s="305"/>
      <c r="S555" s="305"/>
      <c r="T555" s="305"/>
      <c r="U555" s="305"/>
      <c r="V555" s="305"/>
      <c r="W555" s="305"/>
      <c r="X555" s="305"/>
      <c r="Y555" s="305"/>
      <c r="Z555" s="305"/>
      <c r="AA555" s="305"/>
      <c r="AB555" s="305"/>
      <c r="AC555" s="305"/>
      <c r="AD555" s="305"/>
      <c r="AE555" s="305"/>
      <c r="AF555" s="305"/>
      <c r="AG555" s="305"/>
      <c r="AH555" s="305"/>
      <c r="AI555" s="305"/>
      <c r="AJ555" s="305"/>
      <c r="AK555" s="305"/>
      <c r="AL555" s="305"/>
      <c r="AM555" s="305"/>
      <c r="AN555" s="305"/>
      <c r="AO555" s="305"/>
      <c r="AP555" s="305"/>
      <c r="AQ555" s="305"/>
      <c r="AR555" s="305"/>
      <c r="AS555" s="305"/>
      <c r="AT555" s="305"/>
      <c r="AU555" s="305"/>
      <c r="AV555" s="305"/>
      <c r="AW555" s="305"/>
      <c r="AX555" s="305"/>
      <c r="AY555" s="305"/>
      <c r="AZ555" s="305"/>
      <c r="BA555" s="305"/>
      <c r="BB555" s="305"/>
      <c r="BC555" s="305"/>
      <c r="BD555" s="305"/>
      <c r="BE555" s="305"/>
      <c r="BF555" s="305"/>
      <c r="BG555" s="305"/>
      <c r="BH555" s="305"/>
      <c r="BI555" s="305"/>
      <c r="BJ555" s="305"/>
      <c r="BK555" s="305"/>
      <c r="BL555" s="305"/>
      <c r="BM555" s="305"/>
      <c r="BN555" s="305"/>
      <c r="BO555" s="305"/>
      <c r="BP555" s="305"/>
      <c r="BQ555" s="305"/>
      <c r="BR555" s="305"/>
      <c r="BS555" s="305"/>
      <c r="BT555" s="305"/>
      <c r="BU555" s="305"/>
      <c r="BV555" s="305"/>
      <c r="BW555" s="305"/>
      <c r="BX555" s="305"/>
      <c r="BY555" s="305"/>
      <c r="BZ555" s="305"/>
      <c r="CA555" s="305"/>
      <c r="CB555" s="305"/>
      <c r="CC555" s="305"/>
      <c r="CD555" s="305"/>
      <c r="CE555" s="305"/>
      <c r="CF555" s="305"/>
      <c r="CG555" s="305"/>
      <c r="CH555" s="305"/>
      <c r="CI555" s="305"/>
      <c r="CJ555" s="305"/>
      <c r="CK555" s="305"/>
      <c r="CL555" s="305"/>
      <c r="CM555" s="305"/>
      <c r="CN555" s="305"/>
      <c r="CO555" s="305"/>
      <c r="CP555" s="305"/>
      <c r="CQ555" s="305"/>
      <c r="CR555" s="305"/>
      <c r="CS555" s="305"/>
      <c r="CT555" s="305"/>
      <c r="CU555" s="305"/>
      <c r="CV555" s="305"/>
      <c r="CW555" s="305"/>
      <c r="CX555" s="305"/>
      <c r="CY555" s="305"/>
      <c r="CZ555" s="305"/>
      <c r="DA555" s="305"/>
      <c r="DB555" s="305"/>
      <c r="DC555" s="305"/>
      <c r="DD555" s="305"/>
      <c r="DE555" s="305"/>
      <c r="DF555" s="305"/>
      <c r="DG555" s="305"/>
      <c r="DH555" s="305"/>
      <c r="DI555" s="305"/>
      <c r="DJ555" s="305"/>
      <c r="DK555" s="305"/>
      <c r="DL555" s="305"/>
      <c r="DM555" s="305"/>
      <c r="DN555" s="305"/>
      <c r="DO555" s="305"/>
      <c r="DP555" s="305"/>
      <c r="DQ555" s="305"/>
      <c r="DR555" s="305"/>
      <c r="DS555" s="305"/>
      <c r="DT555" s="305"/>
      <c r="DU555" s="305"/>
      <c r="DV555" s="305"/>
      <c r="DW555" s="305"/>
      <c r="DX555" s="305"/>
      <c r="DY555" s="305"/>
      <c r="DZ555" s="305"/>
      <c r="EA555" s="305"/>
      <c r="EB555" s="305"/>
      <c r="EC555" s="305"/>
      <c r="ED555" s="305"/>
      <c r="EE555" s="305"/>
      <c r="EF555" s="305"/>
      <c r="EG555" s="305"/>
      <c r="EH555" s="305"/>
      <c r="EI555" s="305"/>
      <c r="EJ555" s="305"/>
      <c r="EK555" s="305"/>
      <c r="EL555" s="305"/>
      <c r="EM555" s="305"/>
      <c r="EN555" s="305"/>
      <c r="EO555" s="305"/>
      <c r="EP555" s="305"/>
      <c r="EQ555" s="305"/>
      <c r="ER555" s="305"/>
      <c r="ES555" s="305"/>
      <c r="ET555" s="305"/>
      <c r="EU555" s="305"/>
      <c r="EV555" s="305"/>
      <c r="EW555" s="305"/>
      <c r="EX555" s="305"/>
      <c r="EY555" s="305"/>
      <c r="EZ555" s="305"/>
      <c r="FA555" s="305"/>
      <c r="FB555" s="305"/>
      <c r="FC555" s="305"/>
      <c r="FD555" s="305"/>
      <c r="FE555" s="305"/>
      <c r="FF555" s="305"/>
      <c r="FG555" s="305"/>
      <c r="FH555" s="305"/>
      <c r="FI555" s="305"/>
      <c r="FJ555" s="305"/>
      <c r="FK555" s="305"/>
      <c r="FL555" s="305"/>
      <c r="FM555" s="305"/>
      <c r="FN555" s="305"/>
      <c r="FO555" s="305"/>
      <c r="FP555" s="305"/>
      <c r="FQ555" s="305"/>
      <c r="FR555" s="305"/>
      <c r="FS555" s="305"/>
      <c r="FT555" s="305"/>
      <c r="FU555" s="305"/>
      <c r="FV555" s="305"/>
      <c r="FW555" s="305"/>
      <c r="FX555" s="305"/>
      <c r="FY555" s="305"/>
      <c r="FZ555" s="305"/>
      <c r="GA555" s="305"/>
      <c r="GB555" s="305"/>
      <c r="GC555" s="305"/>
      <c r="GD555" s="305"/>
      <c r="GE555" s="305"/>
      <c r="GF555" s="305"/>
      <c r="GG555" s="305"/>
      <c r="GH555" s="305"/>
      <c r="GI555" s="305"/>
      <c r="GJ555" s="305"/>
      <c r="GK555" s="305"/>
      <c r="GL555" s="305"/>
      <c r="GM555" s="305"/>
      <c r="GN555" s="305"/>
      <c r="GO555" s="305"/>
      <c r="GP555" s="305"/>
      <c r="GQ555" s="305"/>
      <c r="GR555" s="305"/>
    </row>
    <row r="556" spans="3:200" s="318" customFormat="1" ht="12.75" customHeight="1" x14ac:dyDescent="0.2">
      <c r="C556" s="367"/>
      <c r="D556" s="403"/>
      <c r="E556" s="369"/>
      <c r="F556" s="369"/>
      <c r="G556" s="369"/>
      <c r="H556" s="369"/>
      <c r="I556" s="370"/>
      <c r="J556"/>
      <c r="K556" s="371"/>
      <c r="L556" s="371"/>
      <c r="M556" s="371"/>
      <c r="N556" s="371"/>
      <c r="O556" s="305"/>
      <c r="P556" s="305"/>
      <c r="Q556" s="305"/>
      <c r="R556" s="305"/>
      <c r="S556" s="305"/>
      <c r="T556" s="305"/>
      <c r="U556" s="305"/>
      <c r="V556" s="305"/>
      <c r="W556" s="305"/>
      <c r="X556" s="305"/>
      <c r="Y556" s="305"/>
      <c r="Z556" s="305"/>
      <c r="AA556" s="305"/>
      <c r="AB556" s="305"/>
      <c r="AC556" s="305"/>
      <c r="AD556" s="305"/>
      <c r="AE556" s="305"/>
      <c r="AF556" s="305"/>
      <c r="AG556" s="305"/>
      <c r="AH556" s="305"/>
      <c r="AI556" s="305"/>
      <c r="AJ556" s="305"/>
      <c r="AK556" s="305"/>
      <c r="AL556" s="305"/>
      <c r="AM556" s="305"/>
      <c r="AN556" s="305"/>
      <c r="AO556" s="305"/>
      <c r="AP556" s="305"/>
      <c r="AQ556" s="305"/>
      <c r="AR556" s="305"/>
      <c r="AS556" s="305"/>
      <c r="AT556" s="305"/>
      <c r="AU556" s="305"/>
      <c r="AV556" s="305"/>
      <c r="AW556" s="305"/>
      <c r="AX556" s="305"/>
      <c r="AY556" s="305"/>
      <c r="AZ556" s="305"/>
      <c r="BA556" s="305"/>
      <c r="BB556" s="305"/>
      <c r="BC556" s="305"/>
      <c r="BD556" s="305"/>
      <c r="BE556" s="305"/>
      <c r="BF556" s="305"/>
      <c r="BG556" s="305"/>
      <c r="BH556" s="305"/>
      <c r="BI556" s="305"/>
      <c r="BJ556" s="305"/>
      <c r="BK556" s="305"/>
      <c r="BL556" s="305"/>
      <c r="BM556" s="305"/>
      <c r="BN556" s="305"/>
      <c r="BO556" s="305"/>
      <c r="BP556" s="305"/>
      <c r="BQ556" s="305"/>
      <c r="BR556" s="305"/>
      <c r="BS556" s="305"/>
      <c r="BT556" s="305"/>
      <c r="BU556" s="305"/>
      <c r="BV556" s="305"/>
      <c r="BW556" s="305"/>
      <c r="BX556" s="305"/>
      <c r="BY556" s="305"/>
      <c r="BZ556" s="305"/>
      <c r="CA556" s="305"/>
      <c r="CB556" s="305"/>
      <c r="CC556" s="305"/>
      <c r="CD556" s="305"/>
      <c r="CE556" s="305"/>
      <c r="CF556" s="305"/>
      <c r="CG556" s="305"/>
      <c r="CH556" s="305"/>
      <c r="CI556" s="305"/>
      <c r="CJ556" s="305"/>
      <c r="CK556" s="305"/>
      <c r="CL556" s="305"/>
      <c r="CM556" s="305"/>
      <c r="CN556" s="305"/>
      <c r="CO556" s="305"/>
      <c r="CP556" s="305"/>
      <c r="CQ556" s="305"/>
      <c r="CR556" s="305"/>
      <c r="CS556" s="305"/>
      <c r="CT556" s="305"/>
      <c r="CU556" s="305"/>
      <c r="CV556" s="305"/>
      <c r="CW556" s="305"/>
      <c r="CX556" s="305"/>
      <c r="CY556" s="305"/>
      <c r="CZ556" s="305"/>
      <c r="DA556" s="305"/>
      <c r="DB556" s="305"/>
      <c r="DC556" s="305"/>
      <c r="DD556" s="305"/>
      <c r="DE556" s="305"/>
      <c r="DF556" s="305"/>
      <c r="DG556" s="305"/>
      <c r="DH556" s="305"/>
      <c r="DI556" s="305"/>
      <c r="DJ556" s="305"/>
      <c r="DK556" s="305"/>
      <c r="DL556" s="305"/>
      <c r="DM556" s="305"/>
      <c r="DN556" s="305"/>
      <c r="DO556" s="305"/>
      <c r="DP556" s="305"/>
      <c r="DQ556" s="305"/>
      <c r="DR556" s="305"/>
      <c r="DS556" s="305"/>
      <c r="DT556" s="305"/>
      <c r="DU556" s="305"/>
      <c r="DV556" s="305"/>
      <c r="DW556" s="305"/>
      <c r="DX556" s="305"/>
      <c r="DY556" s="305"/>
      <c r="DZ556" s="305"/>
      <c r="EA556" s="305"/>
      <c r="EB556" s="305"/>
      <c r="EC556" s="305"/>
      <c r="ED556" s="305"/>
      <c r="EE556" s="305"/>
      <c r="EF556" s="305"/>
      <c r="EG556" s="305"/>
      <c r="EH556" s="305"/>
      <c r="EI556" s="305"/>
      <c r="EJ556" s="305"/>
      <c r="EK556" s="305"/>
      <c r="EL556" s="305"/>
      <c r="EM556" s="305"/>
      <c r="EN556" s="305"/>
      <c r="EO556" s="305"/>
      <c r="EP556" s="305"/>
      <c r="EQ556" s="305"/>
      <c r="ER556" s="305"/>
      <c r="ES556" s="305"/>
      <c r="ET556" s="305"/>
      <c r="EU556" s="305"/>
      <c r="EV556" s="305"/>
      <c r="EW556" s="305"/>
      <c r="EX556" s="305"/>
      <c r="EY556" s="305"/>
      <c r="EZ556" s="305"/>
      <c r="FA556" s="305"/>
      <c r="FB556" s="305"/>
      <c r="FC556" s="305"/>
      <c r="FD556" s="305"/>
      <c r="FE556" s="305"/>
      <c r="FF556" s="305"/>
      <c r="FG556" s="305"/>
      <c r="FH556" s="305"/>
      <c r="FI556" s="305"/>
      <c r="FJ556" s="305"/>
      <c r="FK556" s="305"/>
      <c r="FL556" s="305"/>
      <c r="FM556" s="305"/>
      <c r="FN556" s="305"/>
      <c r="FO556" s="305"/>
      <c r="FP556" s="305"/>
      <c r="FQ556" s="305"/>
      <c r="FR556" s="305"/>
      <c r="FS556" s="305"/>
      <c r="FT556" s="305"/>
      <c r="FU556" s="305"/>
      <c r="FV556" s="305"/>
      <c r="FW556" s="305"/>
      <c r="FX556" s="305"/>
      <c r="FY556" s="305"/>
      <c r="FZ556" s="305"/>
      <c r="GA556" s="305"/>
      <c r="GB556" s="305"/>
      <c r="GC556" s="305"/>
      <c r="GD556" s="305"/>
      <c r="GE556" s="305"/>
      <c r="GF556" s="305"/>
      <c r="GG556" s="305"/>
      <c r="GH556" s="305"/>
      <c r="GI556" s="305"/>
      <c r="GJ556" s="305"/>
      <c r="GK556" s="305"/>
      <c r="GL556" s="305"/>
      <c r="GM556" s="305"/>
      <c r="GN556" s="305"/>
      <c r="GO556" s="305"/>
      <c r="GP556" s="305"/>
      <c r="GQ556" s="305"/>
      <c r="GR556" s="305"/>
    </row>
    <row r="557" spans="3:200" s="318" customFormat="1" ht="12.75" customHeight="1" x14ac:dyDescent="0.2">
      <c r="C557" s="367"/>
      <c r="D557" s="403"/>
      <c r="E557" s="369"/>
      <c r="F557" s="369"/>
      <c r="G557" s="369"/>
      <c r="H557" s="369"/>
      <c r="I557" s="370"/>
      <c r="J557"/>
      <c r="K557" s="371"/>
      <c r="L557" s="371"/>
      <c r="M557" s="371"/>
      <c r="N557" s="371"/>
      <c r="O557" s="305"/>
      <c r="P557" s="305"/>
      <c r="Q557" s="305"/>
      <c r="R557" s="305"/>
      <c r="S557" s="305"/>
      <c r="T557" s="305"/>
      <c r="U557" s="305"/>
      <c r="V557" s="305"/>
      <c r="W557" s="305"/>
      <c r="X557" s="305"/>
      <c r="Y557" s="305"/>
      <c r="Z557" s="305"/>
      <c r="AA557" s="305"/>
      <c r="AB557" s="305"/>
      <c r="AC557" s="305"/>
      <c r="AD557" s="305"/>
      <c r="AE557" s="305"/>
      <c r="AF557" s="305"/>
      <c r="AG557" s="305"/>
      <c r="AH557" s="305"/>
      <c r="AI557" s="305"/>
      <c r="AJ557" s="305"/>
      <c r="AK557" s="305"/>
      <c r="AL557" s="305"/>
      <c r="AM557" s="305"/>
      <c r="AN557" s="305"/>
      <c r="AO557" s="305"/>
      <c r="AP557" s="305"/>
      <c r="AQ557" s="305"/>
      <c r="AR557" s="305"/>
      <c r="AS557" s="305"/>
      <c r="AT557" s="305"/>
      <c r="AU557" s="305"/>
      <c r="AV557" s="305"/>
      <c r="AW557" s="305"/>
      <c r="AX557" s="305"/>
      <c r="AY557" s="305"/>
      <c r="AZ557" s="305"/>
      <c r="BA557" s="305"/>
      <c r="BB557" s="305"/>
      <c r="BC557" s="305"/>
      <c r="BD557" s="305"/>
      <c r="BE557" s="305"/>
      <c r="BF557" s="305"/>
      <c r="BG557" s="305"/>
      <c r="BH557" s="305"/>
      <c r="BI557" s="305"/>
      <c r="BJ557" s="305"/>
      <c r="BK557" s="305"/>
      <c r="BL557" s="305"/>
      <c r="BM557" s="305"/>
      <c r="BN557" s="305"/>
      <c r="BO557" s="305"/>
      <c r="BP557" s="305"/>
      <c r="BQ557" s="305"/>
      <c r="BR557" s="305"/>
      <c r="BS557" s="305"/>
      <c r="BT557" s="305"/>
      <c r="BU557" s="305"/>
      <c r="BV557" s="305"/>
      <c r="BW557" s="305"/>
      <c r="BX557" s="305"/>
      <c r="BY557" s="305"/>
      <c r="BZ557" s="305"/>
      <c r="CA557" s="305"/>
      <c r="CB557" s="305"/>
      <c r="CC557" s="305"/>
      <c r="CD557" s="305"/>
      <c r="CE557" s="305"/>
      <c r="CF557" s="305"/>
      <c r="CG557" s="305"/>
      <c r="CH557" s="305"/>
      <c r="CI557" s="305"/>
      <c r="CJ557" s="305"/>
      <c r="CK557" s="305"/>
      <c r="CL557" s="305"/>
      <c r="CM557" s="305"/>
      <c r="CN557" s="305"/>
      <c r="CO557" s="305"/>
      <c r="CP557" s="305"/>
      <c r="CQ557" s="305"/>
      <c r="CR557" s="305"/>
      <c r="CS557" s="305"/>
      <c r="CT557" s="305"/>
      <c r="CU557" s="305"/>
      <c r="CV557" s="305"/>
      <c r="CW557" s="305"/>
      <c r="CX557" s="305"/>
      <c r="CY557" s="305"/>
      <c r="CZ557" s="305"/>
      <c r="DA557" s="305"/>
      <c r="DB557" s="305"/>
      <c r="DC557" s="305"/>
      <c r="DD557" s="305"/>
      <c r="DE557" s="305"/>
      <c r="DF557" s="305"/>
      <c r="DG557" s="305"/>
      <c r="DH557" s="305"/>
      <c r="DI557" s="305"/>
      <c r="DJ557" s="305"/>
      <c r="DK557" s="305"/>
      <c r="DL557" s="305"/>
      <c r="DM557" s="305"/>
      <c r="DN557" s="305"/>
      <c r="DO557" s="305"/>
      <c r="DP557" s="305"/>
      <c r="DQ557" s="305"/>
      <c r="DR557" s="305"/>
      <c r="DS557" s="305"/>
      <c r="DT557" s="305"/>
      <c r="DU557" s="305"/>
      <c r="DV557" s="305"/>
      <c r="DW557" s="305"/>
      <c r="DX557" s="305"/>
      <c r="DY557" s="305"/>
      <c r="DZ557" s="305"/>
      <c r="EA557" s="305"/>
      <c r="EB557" s="305"/>
      <c r="EC557" s="305"/>
      <c r="ED557" s="305"/>
      <c r="EE557" s="305"/>
      <c r="EF557" s="305"/>
      <c r="EG557" s="305"/>
      <c r="EH557" s="305"/>
      <c r="EI557" s="305"/>
      <c r="EJ557" s="305"/>
      <c r="EK557" s="305"/>
      <c r="EL557" s="305"/>
      <c r="EM557" s="305"/>
      <c r="EN557" s="305"/>
      <c r="EO557" s="305"/>
      <c r="EP557" s="305"/>
      <c r="EQ557" s="305"/>
      <c r="ER557" s="305"/>
      <c r="ES557" s="305"/>
      <c r="ET557" s="305"/>
      <c r="EU557" s="305"/>
      <c r="EV557" s="305"/>
      <c r="EW557" s="305"/>
      <c r="EX557" s="305"/>
      <c r="EY557" s="305"/>
      <c r="EZ557" s="305"/>
      <c r="FA557" s="305"/>
      <c r="FB557" s="305"/>
      <c r="FC557" s="305"/>
      <c r="FD557" s="305"/>
      <c r="FE557" s="305"/>
      <c r="FF557" s="305"/>
      <c r="FG557" s="305"/>
      <c r="FH557" s="305"/>
      <c r="FI557" s="305"/>
      <c r="FJ557" s="305"/>
      <c r="FK557" s="305"/>
      <c r="FL557" s="305"/>
      <c r="FM557" s="305"/>
      <c r="FN557" s="305"/>
      <c r="FO557" s="305"/>
      <c r="FP557" s="305"/>
      <c r="FQ557" s="305"/>
      <c r="FR557" s="305"/>
      <c r="FS557" s="305"/>
      <c r="FT557" s="305"/>
      <c r="FU557" s="305"/>
      <c r="FV557" s="305"/>
      <c r="FW557" s="305"/>
      <c r="FX557" s="305"/>
      <c r="FY557" s="305"/>
      <c r="FZ557" s="305"/>
      <c r="GA557" s="305"/>
      <c r="GB557" s="305"/>
      <c r="GC557" s="305"/>
      <c r="GD557" s="305"/>
      <c r="GE557" s="305"/>
      <c r="GF557" s="305"/>
      <c r="GG557" s="305"/>
      <c r="GH557" s="305"/>
      <c r="GI557" s="305"/>
      <c r="GJ557" s="305"/>
      <c r="GK557" s="305"/>
      <c r="GL557" s="305"/>
      <c r="GM557" s="305"/>
      <c r="GN557" s="305"/>
      <c r="GO557" s="305"/>
      <c r="GP557" s="305"/>
      <c r="GQ557" s="305"/>
      <c r="GR557" s="305"/>
    </row>
    <row r="558" spans="3:200" s="318" customFormat="1" ht="12.75" customHeight="1" x14ac:dyDescent="0.2">
      <c r="C558" s="367"/>
      <c r="D558" s="403"/>
      <c r="E558" s="369"/>
      <c r="F558" s="369"/>
      <c r="G558" s="369"/>
      <c r="H558" s="369"/>
      <c r="I558" s="370"/>
      <c r="J558"/>
      <c r="K558" s="371"/>
      <c r="L558" s="371"/>
      <c r="M558" s="371"/>
      <c r="N558" s="371"/>
      <c r="O558" s="305"/>
      <c r="P558" s="305"/>
      <c r="Q558" s="305"/>
      <c r="R558" s="305"/>
      <c r="S558" s="305"/>
      <c r="T558" s="305"/>
      <c r="U558" s="305"/>
      <c r="V558" s="305"/>
      <c r="W558" s="305"/>
      <c r="X558" s="305"/>
      <c r="Y558" s="305"/>
      <c r="Z558" s="305"/>
      <c r="AA558" s="305"/>
      <c r="AB558" s="305"/>
      <c r="AC558" s="305"/>
      <c r="AD558" s="305"/>
      <c r="AE558" s="305"/>
      <c r="AF558" s="305"/>
      <c r="AG558" s="305"/>
      <c r="AH558" s="305"/>
      <c r="AI558" s="305"/>
      <c r="AJ558" s="305"/>
      <c r="AK558" s="305"/>
      <c r="AL558" s="305"/>
      <c r="AM558" s="305"/>
      <c r="AN558" s="305"/>
      <c r="AO558" s="305"/>
      <c r="AP558" s="305"/>
      <c r="AQ558" s="305"/>
      <c r="AR558" s="305"/>
      <c r="AS558" s="305"/>
      <c r="AT558" s="305"/>
      <c r="AU558" s="305"/>
      <c r="AV558" s="305"/>
      <c r="AW558" s="305"/>
      <c r="AX558" s="305"/>
      <c r="AY558" s="305"/>
      <c r="AZ558" s="305"/>
      <c r="BA558" s="305"/>
      <c r="BB558" s="305"/>
      <c r="BC558" s="305"/>
      <c r="BD558" s="305"/>
      <c r="BE558" s="305"/>
      <c r="BF558" s="305"/>
      <c r="BG558" s="305"/>
      <c r="BH558" s="305"/>
      <c r="BI558" s="305"/>
      <c r="BJ558" s="305"/>
      <c r="BK558" s="305"/>
      <c r="BL558" s="305"/>
      <c r="BM558" s="305"/>
      <c r="BN558" s="305"/>
      <c r="BO558" s="305"/>
      <c r="BP558" s="305"/>
      <c r="BQ558" s="305"/>
      <c r="BR558" s="305"/>
      <c r="BS558" s="305"/>
      <c r="BT558" s="305"/>
      <c r="BU558" s="305"/>
      <c r="BV558" s="305"/>
      <c r="BW558" s="305"/>
      <c r="BX558" s="305"/>
      <c r="BY558" s="305"/>
      <c r="BZ558" s="305"/>
      <c r="CA558" s="305"/>
      <c r="CB558" s="305"/>
      <c r="CC558" s="305"/>
      <c r="CD558" s="305"/>
      <c r="CE558" s="305"/>
      <c r="CF558" s="305"/>
      <c r="CG558" s="305"/>
      <c r="CH558" s="305"/>
      <c r="CI558" s="305"/>
      <c r="CJ558" s="305"/>
      <c r="CK558" s="305"/>
      <c r="CL558" s="305"/>
      <c r="CM558" s="305"/>
      <c r="CN558" s="305"/>
      <c r="CO558" s="305"/>
      <c r="CP558" s="305"/>
      <c r="CQ558" s="305"/>
      <c r="CR558" s="305"/>
      <c r="CS558" s="305"/>
      <c r="CT558" s="305"/>
      <c r="CU558" s="305"/>
      <c r="CV558" s="305"/>
      <c r="CW558" s="305"/>
      <c r="CX558" s="305"/>
      <c r="CY558" s="305"/>
      <c r="CZ558" s="305"/>
      <c r="DA558" s="305"/>
      <c r="DB558" s="305"/>
      <c r="DC558" s="305"/>
      <c r="DD558" s="305"/>
      <c r="DE558" s="305"/>
      <c r="DF558" s="305"/>
      <c r="DG558" s="305"/>
      <c r="DH558" s="305"/>
      <c r="DI558" s="305"/>
      <c r="DJ558" s="305"/>
      <c r="DK558" s="305"/>
      <c r="DL558" s="305"/>
      <c r="DM558" s="305"/>
      <c r="DN558" s="305"/>
      <c r="DO558" s="305"/>
      <c r="DP558" s="305"/>
      <c r="DQ558" s="305"/>
      <c r="DR558" s="305"/>
      <c r="DS558" s="305"/>
      <c r="DT558" s="305"/>
      <c r="DU558" s="305"/>
      <c r="DV558" s="305"/>
      <c r="DW558" s="305"/>
      <c r="DX558" s="305"/>
      <c r="DY558" s="305"/>
      <c r="DZ558" s="305"/>
      <c r="EA558" s="305"/>
      <c r="EB558" s="305"/>
      <c r="EC558" s="305"/>
      <c r="ED558" s="305"/>
      <c r="EE558" s="305"/>
      <c r="EF558" s="305"/>
      <c r="EG558" s="305"/>
      <c r="EH558" s="305"/>
      <c r="EI558" s="305"/>
      <c r="EJ558" s="305"/>
      <c r="EK558" s="305"/>
      <c r="EL558" s="305"/>
      <c r="EM558" s="305"/>
      <c r="EN558" s="305"/>
      <c r="EO558" s="305"/>
      <c r="EP558" s="305"/>
      <c r="EQ558" s="305"/>
      <c r="ER558" s="305"/>
      <c r="ES558" s="305"/>
      <c r="ET558" s="305"/>
      <c r="EU558" s="305"/>
      <c r="EV558" s="305"/>
      <c r="EW558" s="305"/>
      <c r="EX558" s="305"/>
      <c r="EY558" s="305"/>
      <c r="EZ558" s="305"/>
      <c r="FA558" s="305"/>
      <c r="FB558" s="305"/>
      <c r="FC558" s="305"/>
      <c r="FD558" s="305"/>
      <c r="FE558" s="305"/>
      <c r="FF558" s="305"/>
      <c r="FG558" s="305"/>
      <c r="FH558" s="305"/>
      <c r="FI558" s="305"/>
      <c r="FJ558" s="305"/>
      <c r="FK558" s="305"/>
      <c r="FL558" s="305"/>
      <c r="FM558" s="305"/>
      <c r="FN558" s="305"/>
      <c r="FO558" s="305"/>
      <c r="FP558" s="305"/>
      <c r="FQ558" s="305"/>
      <c r="FR558" s="305"/>
      <c r="FS558" s="305"/>
      <c r="FT558" s="305"/>
      <c r="FU558" s="305"/>
      <c r="FV558" s="305"/>
      <c r="FW558" s="305"/>
      <c r="FX558" s="305"/>
      <c r="FY558" s="305"/>
      <c r="FZ558" s="305"/>
      <c r="GA558" s="305"/>
      <c r="GB558" s="305"/>
      <c r="GC558" s="305"/>
      <c r="GD558" s="305"/>
      <c r="GE558" s="305"/>
      <c r="GF558" s="305"/>
      <c r="GG558" s="305"/>
      <c r="GH558" s="305"/>
      <c r="GI558" s="305"/>
      <c r="GJ558" s="305"/>
      <c r="GK558" s="305"/>
      <c r="GL558" s="305"/>
      <c r="GM558" s="305"/>
      <c r="GN558" s="305"/>
      <c r="GO558" s="305"/>
      <c r="GP558" s="305"/>
      <c r="GQ558" s="305"/>
      <c r="GR558" s="305"/>
    </row>
    <row r="559" spans="3:200" s="318" customFormat="1" ht="12.75" customHeight="1" x14ac:dyDescent="0.2">
      <c r="C559" s="367"/>
      <c r="D559" s="403"/>
      <c r="E559" s="369"/>
      <c r="F559" s="369"/>
      <c r="G559" s="369"/>
      <c r="H559" s="369"/>
      <c r="I559" s="370"/>
      <c r="J559"/>
      <c r="K559" s="371"/>
      <c r="L559" s="371"/>
      <c r="M559" s="371"/>
      <c r="N559" s="371"/>
      <c r="O559" s="305"/>
      <c r="P559" s="305"/>
      <c r="Q559" s="305"/>
      <c r="R559" s="305"/>
      <c r="S559" s="305"/>
      <c r="T559" s="305"/>
      <c r="U559" s="305"/>
      <c r="V559" s="305"/>
      <c r="W559" s="305"/>
      <c r="X559" s="305"/>
      <c r="Y559" s="305"/>
      <c r="Z559" s="305"/>
      <c r="AA559" s="305"/>
      <c r="AB559" s="305"/>
      <c r="AC559" s="305"/>
      <c r="AD559" s="305"/>
      <c r="AE559" s="305"/>
      <c r="AF559" s="305"/>
      <c r="AG559" s="305"/>
      <c r="AH559" s="305"/>
      <c r="AI559" s="305"/>
      <c r="AJ559" s="305"/>
      <c r="AK559" s="305"/>
      <c r="AL559" s="305"/>
      <c r="AM559" s="305"/>
      <c r="AN559" s="305"/>
      <c r="AO559" s="305"/>
      <c r="AP559" s="305"/>
      <c r="AQ559" s="305"/>
      <c r="AR559" s="305"/>
      <c r="AS559" s="305"/>
      <c r="AT559" s="305"/>
      <c r="AU559" s="305"/>
      <c r="AV559" s="305"/>
      <c r="AW559" s="305"/>
      <c r="AX559" s="305"/>
      <c r="AY559" s="305"/>
      <c r="AZ559" s="305"/>
      <c r="BA559" s="305"/>
      <c r="BB559" s="305"/>
      <c r="BC559" s="305"/>
      <c r="BD559" s="305"/>
      <c r="BE559" s="305"/>
      <c r="BF559" s="305"/>
      <c r="BG559" s="305"/>
      <c r="BH559" s="305"/>
      <c r="BI559" s="305"/>
      <c r="BJ559" s="305"/>
      <c r="BK559" s="305"/>
      <c r="BL559" s="305"/>
      <c r="BM559" s="305"/>
      <c r="BN559" s="305"/>
      <c r="BO559" s="305"/>
      <c r="BP559" s="305"/>
      <c r="BQ559" s="305"/>
      <c r="BR559" s="305"/>
      <c r="BS559" s="305"/>
      <c r="BT559" s="305"/>
      <c r="BU559" s="305"/>
      <c r="BV559" s="305"/>
      <c r="BW559" s="305"/>
      <c r="BX559" s="305"/>
      <c r="BY559" s="305"/>
      <c r="BZ559" s="305"/>
      <c r="CA559" s="305"/>
      <c r="CB559" s="305"/>
      <c r="CC559" s="305"/>
      <c r="CD559" s="305"/>
      <c r="CE559" s="305"/>
      <c r="CF559" s="305"/>
      <c r="CG559" s="305"/>
      <c r="CH559" s="305"/>
      <c r="CI559" s="305"/>
      <c r="CJ559" s="305"/>
      <c r="CK559" s="305"/>
      <c r="CL559" s="305"/>
      <c r="CM559" s="305"/>
      <c r="CN559" s="305"/>
      <c r="CO559" s="305"/>
      <c r="CP559" s="305"/>
      <c r="CQ559" s="305"/>
      <c r="CR559" s="305"/>
      <c r="CS559" s="305"/>
      <c r="CT559" s="305"/>
      <c r="CU559" s="305"/>
      <c r="CV559" s="305"/>
      <c r="CW559" s="305"/>
      <c r="CX559" s="305"/>
      <c r="CY559" s="305"/>
      <c r="CZ559" s="305"/>
      <c r="DA559" s="305"/>
      <c r="DB559" s="305"/>
      <c r="DC559" s="305"/>
      <c r="DD559" s="305"/>
      <c r="DE559" s="305"/>
      <c r="DF559" s="305"/>
      <c r="DG559" s="305"/>
      <c r="DH559" s="305"/>
      <c r="DI559" s="305"/>
      <c r="DJ559" s="305"/>
      <c r="DK559" s="305"/>
      <c r="DL559" s="305"/>
      <c r="DM559" s="305"/>
      <c r="DN559" s="305"/>
      <c r="DO559" s="305"/>
      <c r="DP559" s="305"/>
      <c r="DQ559" s="305"/>
      <c r="DR559" s="305"/>
      <c r="DS559" s="305"/>
      <c r="DT559" s="305"/>
      <c r="DU559" s="305"/>
      <c r="DV559" s="305"/>
      <c r="DW559" s="305"/>
      <c r="DX559" s="305"/>
      <c r="DY559" s="305"/>
      <c r="DZ559" s="305"/>
      <c r="EA559" s="305"/>
      <c r="EB559" s="305"/>
      <c r="EC559" s="305"/>
      <c r="ED559" s="305"/>
      <c r="EE559" s="305"/>
      <c r="EF559" s="305"/>
      <c r="EG559" s="305"/>
      <c r="EH559" s="305"/>
      <c r="EI559" s="305"/>
      <c r="EJ559" s="305"/>
      <c r="EK559" s="305"/>
      <c r="EL559" s="305"/>
      <c r="EM559" s="305"/>
      <c r="EN559" s="305"/>
      <c r="EO559" s="305"/>
      <c r="EP559" s="305"/>
      <c r="EQ559" s="305"/>
      <c r="ER559" s="305"/>
      <c r="ES559" s="305"/>
      <c r="ET559" s="305"/>
      <c r="EU559" s="305"/>
      <c r="EV559" s="305"/>
      <c r="EW559" s="305"/>
      <c r="EX559" s="305"/>
      <c r="EY559" s="305"/>
      <c r="EZ559" s="305"/>
      <c r="FA559" s="305"/>
      <c r="FB559" s="305"/>
      <c r="FC559" s="305"/>
      <c r="FD559" s="305"/>
      <c r="FE559" s="305"/>
      <c r="FF559" s="305"/>
      <c r="FG559" s="305"/>
      <c r="FH559" s="305"/>
      <c r="FI559" s="305"/>
      <c r="FJ559" s="305"/>
      <c r="FK559" s="305"/>
      <c r="FL559" s="305"/>
      <c r="FM559" s="305"/>
      <c r="FN559" s="305"/>
      <c r="FO559" s="305"/>
      <c r="FP559" s="305"/>
      <c r="FQ559" s="305"/>
      <c r="FR559" s="305"/>
      <c r="FS559" s="305"/>
      <c r="FT559" s="305"/>
      <c r="FU559" s="305"/>
      <c r="FV559" s="305"/>
      <c r="FW559" s="305"/>
      <c r="FX559" s="305"/>
      <c r="FY559" s="305"/>
      <c r="FZ559" s="305"/>
      <c r="GA559" s="305"/>
      <c r="GB559" s="305"/>
      <c r="GC559" s="305"/>
      <c r="GD559" s="305"/>
      <c r="GE559" s="305"/>
      <c r="GF559" s="305"/>
      <c r="GG559" s="305"/>
      <c r="GH559" s="305"/>
      <c r="GI559" s="305"/>
      <c r="GJ559" s="305"/>
      <c r="GK559" s="305"/>
      <c r="GL559" s="305"/>
      <c r="GM559" s="305"/>
      <c r="GN559" s="305"/>
      <c r="GO559" s="305"/>
      <c r="GP559" s="305"/>
      <c r="GQ559" s="305"/>
      <c r="GR559" s="305"/>
    </row>
    <row r="560" spans="3:200" s="318" customFormat="1" ht="12.75" customHeight="1" x14ac:dyDescent="0.2">
      <c r="C560" s="367"/>
      <c r="D560" s="403"/>
      <c r="E560" s="369"/>
      <c r="F560" s="369"/>
      <c r="G560" s="369"/>
      <c r="H560" s="369"/>
      <c r="I560" s="370"/>
      <c r="J560"/>
      <c r="K560" s="371"/>
      <c r="L560" s="371"/>
      <c r="M560" s="371"/>
      <c r="N560" s="371"/>
      <c r="O560" s="305"/>
      <c r="P560" s="305"/>
      <c r="Q560" s="305"/>
      <c r="R560" s="305"/>
      <c r="S560" s="305"/>
      <c r="T560" s="305"/>
      <c r="U560" s="305"/>
      <c r="V560" s="305"/>
      <c r="W560" s="305"/>
      <c r="X560" s="305"/>
      <c r="Y560" s="305"/>
      <c r="Z560" s="305"/>
      <c r="AA560" s="305"/>
      <c r="AB560" s="305"/>
      <c r="AC560" s="305"/>
      <c r="AD560" s="305"/>
      <c r="AE560" s="305"/>
      <c r="AF560" s="305"/>
      <c r="AG560" s="305"/>
      <c r="AH560" s="305"/>
      <c r="AI560" s="305"/>
      <c r="AJ560" s="305"/>
      <c r="AK560" s="305"/>
      <c r="AL560" s="305"/>
      <c r="AM560" s="305"/>
      <c r="AN560" s="305"/>
      <c r="AO560" s="305"/>
      <c r="AP560" s="305"/>
      <c r="AQ560" s="305"/>
      <c r="AR560" s="305"/>
      <c r="AS560" s="305"/>
      <c r="AT560" s="305"/>
      <c r="AU560" s="305"/>
      <c r="AV560" s="305"/>
      <c r="AW560" s="305"/>
      <c r="AX560" s="305"/>
      <c r="AY560" s="305"/>
      <c r="AZ560" s="305"/>
      <c r="BA560" s="305"/>
      <c r="BB560" s="305"/>
      <c r="BC560" s="305"/>
      <c r="BD560" s="305"/>
      <c r="BE560" s="305"/>
      <c r="BF560" s="305"/>
      <c r="BG560" s="305"/>
      <c r="BH560" s="305"/>
      <c r="BI560" s="305"/>
      <c r="BJ560" s="305"/>
      <c r="BK560" s="305"/>
      <c r="BL560" s="305"/>
      <c r="BM560" s="305"/>
      <c r="BN560" s="305"/>
      <c r="BO560" s="305"/>
      <c r="BP560" s="305"/>
      <c r="BQ560" s="305"/>
      <c r="BR560" s="305"/>
      <c r="BS560" s="305"/>
      <c r="BT560" s="305"/>
      <c r="BU560" s="305"/>
      <c r="BV560" s="305"/>
      <c r="BW560" s="305"/>
      <c r="BX560" s="305"/>
      <c r="BY560" s="305"/>
      <c r="BZ560" s="305"/>
      <c r="CA560" s="305"/>
      <c r="CB560" s="305"/>
      <c r="CC560" s="305"/>
      <c r="CD560" s="305"/>
      <c r="CE560" s="305"/>
      <c r="CF560" s="305"/>
      <c r="CG560" s="305"/>
      <c r="CH560" s="305"/>
      <c r="CI560" s="305"/>
      <c r="CJ560" s="305"/>
      <c r="CK560" s="305"/>
      <c r="CL560" s="305"/>
      <c r="CM560" s="305"/>
      <c r="CN560" s="305"/>
      <c r="CO560" s="305"/>
      <c r="CP560" s="305"/>
      <c r="CQ560" s="305"/>
      <c r="CR560" s="305"/>
      <c r="CS560" s="305"/>
      <c r="CT560" s="305"/>
      <c r="CU560" s="305"/>
      <c r="CV560" s="305"/>
      <c r="CW560" s="305"/>
      <c r="CX560" s="305"/>
      <c r="CY560" s="305"/>
      <c r="CZ560" s="305"/>
      <c r="DA560" s="305"/>
      <c r="DB560" s="305"/>
      <c r="DC560" s="305"/>
      <c r="DD560" s="305"/>
      <c r="DE560" s="305"/>
      <c r="DF560" s="305"/>
      <c r="DG560" s="305"/>
      <c r="DH560" s="305"/>
      <c r="DI560" s="305"/>
      <c r="DJ560" s="305"/>
      <c r="DK560" s="305"/>
      <c r="DL560" s="305"/>
      <c r="DM560" s="305"/>
      <c r="DN560" s="305"/>
      <c r="DO560" s="305"/>
      <c r="DP560" s="305"/>
      <c r="DQ560" s="305"/>
      <c r="DR560" s="305"/>
      <c r="DS560" s="305"/>
      <c r="DT560" s="305"/>
      <c r="DU560" s="305"/>
      <c r="DV560" s="305"/>
      <c r="DW560" s="305"/>
      <c r="DX560" s="305"/>
      <c r="DY560" s="305"/>
      <c r="DZ560" s="305"/>
      <c r="EA560" s="305"/>
      <c r="EB560" s="305"/>
      <c r="EC560" s="305"/>
      <c r="ED560" s="305"/>
      <c r="EE560" s="305"/>
      <c r="EF560" s="305"/>
      <c r="EG560" s="305"/>
      <c r="EH560" s="305"/>
      <c r="EI560" s="305"/>
      <c r="EJ560" s="305"/>
      <c r="EK560" s="305"/>
      <c r="EL560" s="305"/>
      <c r="EM560" s="305"/>
      <c r="EN560" s="305"/>
      <c r="EO560" s="305"/>
      <c r="EP560" s="305"/>
      <c r="EQ560" s="305"/>
      <c r="ER560" s="305"/>
      <c r="ES560" s="305"/>
      <c r="ET560" s="305"/>
      <c r="EU560" s="305"/>
      <c r="EV560" s="305"/>
      <c r="EW560" s="305"/>
      <c r="EX560" s="305"/>
      <c r="EY560" s="305"/>
      <c r="EZ560" s="305"/>
      <c r="FA560" s="305"/>
      <c r="FB560" s="305"/>
      <c r="FC560" s="305"/>
      <c r="FD560" s="305"/>
      <c r="FE560" s="305"/>
      <c r="FF560" s="305"/>
      <c r="FG560" s="305"/>
      <c r="FH560" s="305"/>
      <c r="FI560" s="305"/>
      <c r="FJ560" s="305"/>
      <c r="FK560" s="305"/>
      <c r="FL560" s="305"/>
      <c r="FM560" s="305"/>
      <c r="FN560" s="305"/>
      <c r="FO560" s="305"/>
      <c r="FP560" s="305"/>
      <c r="FQ560" s="305"/>
      <c r="FR560" s="305"/>
      <c r="FS560" s="305"/>
      <c r="FT560" s="305"/>
      <c r="FU560" s="305"/>
      <c r="FV560" s="305"/>
      <c r="FW560" s="305"/>
      <c r="FX560" s="305"/>
      <c r="FY560" s="305"/>
      <c r="FZ560" s="305"/>
      <c r="GA560" s="305"/>
      <c r="GB560" s="305"/>
      <c r="GC560" s="305"/>
      <c r="GD560" s="305"/>
      <c r="GE560" s="305"/>
      <c r="GF560" s="305"/>
      <c r="GG560" s="305"/>
      <c r="GH560" s="305"/>
      <c r="GI560" s="305"/>
      <c r="GJ560" s="305"/>
      <c r="GK560" s="305"/>
      <c r="GL560" s="305"/>
      <c r="GM560" s="305"/>
      <c r="GN560" s="305"/>
      <c r="GO560" s="305"/>
      <c r="GP560" s="305"/>
      <c r="GQ560" s="305"/>
      <c r="GR560" s="305"/>
    </row>
    <row r="561" spans="3:200" s="318" customFormat="1" ht="12.75" customHeight="1" x14ac:dyDescent="0.2">
      <c r="C561" s="367"/>
      <c r="D561" s="403"/>
      <c r="E561" s="369"/>
      <c r="F561" s="369"/>
      <c r="G561" s="369"/>
      <c r="H561" s="369"/>
      <c r="I561" s="370"/>
      <c r="J561"/>
      <c r="K561" s="371"/>
      <c r="L561" s="371"/>
      <c r="M561" s="371"/>
      <c r="N561" s="371"/>
      <c r="O561" s="305"/>
      <c r="P561" s="305"/>
      <c r="Q561" s="305"/>
      <c r="R561" s="305"/>
      <c r="S561" s="305"/>
      <c r="T561" s="305"/>
      <c r="U561" s="305"/>
      <c r="V561" s="305"/>
      <c r="W561" s="305"/>
      <c r="X561" s="305"/>
      <c r="Y561" s="305"/>
      <c r="Z561" s="305"/>
      <c r="AA561" s="305"/>
      <c r="AB561" s="305"/>
      <c r="AC561" s="305"/>
      <c r="AD561" s="305"/>
      <c r="AE561" s="305"/>
      <c r="AF561" s="305"/>
      <c r="AG561" s="305"/>
      <c r="AH561" s="305"/>
      <c r="AI561" s="305"/>
      <c r="AJ561" s="305"/>
      <c r="AK561" s="305"/>
      <c r="AL561" s="305"/>
      <c r="AM561" s="305"/>
      <c r="AN561" s="305"/>
      <c r="AO561" s="305"/>
      <c r="AP561" s="305"/>
      <c r="AQ561" s="305"/>
      <c r="AR561" s="305"/>
      <c r="AS561" s="305"/>
      <c r="AT561" s="305"/>
      <c r="AU561" s="305"/>
      <c r="AV561" s="305"/>
      <c r="AW561" s="305"/>
      <c r="AX561" s="305"/>
      <c r="AY561" s="305"/>
      <c r="AZ561" s="305"/>
      <c r="BA561" s="305"/>
      <c r="BB561" s="305"/>
      <c r="BC561" s="305"/>
      <c r="BD561" s="305"/>
      <c r="BE561" s="305"/>
      <c r="BF561" s="305"/>
      <c r="BG561" s="305"/>
      <c r="BH561" s="305"/>
      <c r="BI561" s="305"/>
      <c r="BJ561" s="305"/>
      <c r="BK561" s="305"/>
      <c r="BL561" s="305"/>
      <c r="BM561" s="305"/>
      <c r="BN561" s="305"/>
      <c r="BO561" s="305"/>
      <c r="BP561" s="305"/>
      <c r="BQ561" s="305"/>
      <c r="BR561" s="305"/>
      <c r="BS561" s="305"/>
      <c r="BT561" s="305"/>
      <c r="BU561" s="305"/>
      <c r="BV561" s="305"/>
      <c r="BW561" s="305"/>
      <c r="BX561" s="305"/>
      <c r="BY561" s="305"/>
      <c r="BZ561" s="305"/>
      <c r="CA561" s="305"/>
      <c r="CB561" s="305"/>
      <c r="CC561" s="305"/>
      <c r="CD561" s="305"/>
      <c r="CE561" s="305"/>
      <c r="CF561" s="305"/>
      <c r="CG561" s="305"/>
      <c r="CH561" s="305"/>
      <c r="CI561" s="305"/>
      <c r="CJ561" s="305"/>
      <c r="CK561" s="305"/>
      <c r="CL561" s="305"/>
      <c r="CM561" s="305"/>
      <c r="CN561" s="305"/>
      <c r="CO561" s="305"/>
      <c r="CP561" s="305"/>
      <c r="CQ561" s="305"/>
      <c r="CR561" s="305"/>
      <c r="CS561" s="305"/>
      <c r="CT561" s="305"/>
      <c r="CU561" s="305"/>
      <c r="CV561" s="305"/>
      <c r="CW561" s="305"/>
      <c r="CX561" s="305"/>
      <c r="CY561" s="305"/>
      <c r="CZ561" s="305"/>
      <c r="DA561" s="305"/>
      <c r="DB561" s="305"/>
      <c r="DC561" s="305"/>
      <c r="DD561" s="305"/>
      <c r="DE561" s="305"/>
      <c r="DF561" s="305"/>
      <c r="DG561" s="305"/>
      <c r="DH561" s="305"/>
      <c r="DI561" s="305"/>
      <c r="DJ561" s="305"/>
      <c r="DK561" s="305"/>
      <c r="DL561" s="305"/>
      <c r="DM561" s="305"/>
      <c r="DN561" s="305"/>
      <c r="DO561" s="305"/>
      <c r="DP561" s="305"/>
      <c r="DQ561" s="305"/>
      <c r="DR561" s="305"/>
      <c r="DS561" s="305"/>
      <c r="DT561" s="305"/>
      <c r="DU561" s="305"/>
      <c r="DV561" s="305"/>
      <c r="DW561" s="305"/>
      <c r="DX561" s="305"/>
      <c r="DY561" s="305"/>
      <c r="DZ561" s="305"/>
      <c r="EA561" s="305"/>
      <c r="EB561" s="305"/>
      <c r="EC561" s="305"/>
      <c r="ED561" s="305"/>
      <c r="EE561" s="305"/>
      <c r="EF561" s="305"/>
      <c r="EG561" s="305"/>
      <c r="EH561" s="305"/>
      <c r="EI561" s="305"/>
      <c r="EJ561" s="305"/>
      <c r="EK561" s="305"/>
      <c r="EL561" s="305"/>
      <c r="EM561" s="305"/>
      <c r="EN561" s="305"/>
      <c r="EO561" s="305"/>
      <c r="EP561" s="305"/>
      <c r="EQ561" s="305"/>
      <c r="ER561" s="305"/>
      <c r="ES561" s="305"/>
      <c r="ET561" s="305"/>
      <c r="EU561" s="305"/>
      <c r="EV561" s="305"/>
      <c r="EW561" s="305"/>
      <c r="EX561" s="305"/>
      <c r="EY561" s="305"/>
      <c r="EZ561" s="305"/>
      <c r="FA561" s="305"/>
      <c r="FB561" s="305"/>
      <c r="FC561" s="305"/>
      <c r="FD561" s="305"/>
      <c r="FE561" s="305"/>
      <c r="FF561" s="305"/>
      <c r="FG561" s="305"/>
      <c r="FH561" s="305"/>
      <c r="FI561" s="305"/>
      <c r="FJ561" s="305"/>
      <c r="FK561" s="305"/>
      <c r="FL561" s="305"/>
      <c r="FM561" s="305"/>
      <c r="FN561" s="305"/>
      <c r="FO561" s="305"/>
      <c r="FP561" s="305"/>
      <c r="FQ561" s="305"/>
      <c r="FR561" s="305"/>
      <c r="FS561" s="305"/>
      <c r="FT561" s="305"/>
      <c r="FU561" s="305"/>
      <c r="FV561" s="305"/>
      <c r="FW561" s="305"/>
      <c r="FX561" s="305"/>
      <c r="FY561" s="305"/>
      <c r="FZ561" s="305"/>
      <c r="GA561" s="305"/>
      <c r="GB561" s="305"/>
      <c r="GC561" s="305"/>
      <c r="GD561" s="305"/>
      <c r="GE561" s="305"/>
      <c r="GF561" s="305"/>
      <c r="GG561" s="305"/>
      <c r="GH561" s="305"/>
      <c r="GI561" s="305"/>
      <c r="GJ561" s="305"/>
      <c r="GK561" s="305"/>
      <c r="GL561" s="305"/>
      <c r="GM561" s="305"/>
      <c r="GN561" s="305"/>
      <c r="GO561" s="305"/>
      <c r="GP561" s="305"/>
      <c r="GQ561" s="305"/>
      <c r="GR561" s="305"/>
    </row>
    <row r="562" spans="3:200" s="318" customFormat="1" ht="12.75" customHeight="1" x14ac:dyDescent="0.2">
      <c r="C562" s="367"/>
      <c r="D562" s="403"/>
      <c r="E562" s="369"/>
      <c r="F562" s="369"/>
      <c r="G562" s="369"/>
      <c r="H562" s="369"/>
      <c r="I562" s="370"/>
      <c r="J562"/>
      <c r="K562" s="371"/>
      <c r="L562" s="371"/>
      <c r="M562" s="371"/>
      <c r="N562" s="371"/>
      <c r="O562" s="305"/>
      <c r="P562" s="305"/>
      <c r="Q562" s="305"/>
      <c r="R562" s="305"/>
      <c r="S562" s="305"/>
      <c r="T562" s="305"/>
      <c r="U562" s="305"/>
      <c r="V562" s="305"/>
      <c r="W562" s="305"/>
      <c r="X562" s="305"/>
      <c r="Y562" s="305"/>
      <c r="Z562" s="305"/>
      <c r="AA562" s="305"/>
      <c r="AB562" s="305"/>
      <c r="AC562" s="305"/>
      <c r="AD562" s="305"/>
      <c r="AE562" s="305"/>
      <c r="AF562" s="305"/>
      <c r="AG562" s="305"/>
      <c r="AH562" s="305"/>
      <c r="AI562" s="305"/>
      <c r="AJ562" s="305"/>
      <c r="AK562" s="305"/>
      <c r="AL562" s="305"/>
      <c r="AM562" s="305"/>
      <c r="AN562" s="305"/>
      <c r="AO562" s="305"/>
      <c r="AP562" s="305"/>
      <c r="AQ562" s="305"/>
      <c r="AR562" s="305"/>
      <c r="AS562" s="305"/>
      <c r="AT562" s="305"/>
      <c r="AU562" s="305"/>
      <c r="AV562" s="305"/>
      <c r="AW562" s="305"/>
      <c r="AX562" s="305"/>
      <c r="AY562" s="305"/>
      <c r="AZ562" s="305"/>
      <c r="BA562" s="305"/>
      <c r="BB562" s="305"/>
      <c r="BC562" s="305"/>
      <c r="BD562" s="305"/>
      <c r="BE562" s="305"/>
      <c r="BF562" s="305"/>
      <c r="BG562" s="305"/>
      <c r="BH562" s="305"/>
      <c r="BI562" s="305"/>
      <c r="BJ562" s="305"/>
      <c r="BK562" s="305"/>
      <c r="BL562" s="305"/>
      <c r="BM562" s="305"/>
      <c r="BN562" s="305"/>
      <c r="BO562" s="305"/>
      <c r="BP562" s="305"/>
      <c r="BQ562" s="305"/>
      <c r="BR562" s="305"/>
      <c r="BS562" s="305"/>
      <c r="BT562" s="305"/>
      <c r="BU562" s="305"/>
      <c r="BV562" s="305"/>
      <c r="BW562" s="305"/>
      <c r="BX562" s="305"/>
      <c r="BY562" s="305"/>
      <c r="BZ562" s="305"/>
      <c r="CA562" s="305"/>
      <c r="CB562" s="305"/>
      <c r="CC562" s="305"/>
      <c r="CD562" s="305"/>
      <c r="CE562" s="305"/>
      <c r="CF562" s="305"/>
      <c r="CG562" s="305"/>
      <c r="CH562" s="305"/>
      <c r="CI562" s="305"/>
      <c r="CJ562" s="305"/>
      <c r="CK562" s="305"/>
      <c r="CL562" s="305"/>
      <c r="CM562" s="305"/>
      <c r="CN562" s="305"/>
      <c r="CO562" s="305"/>
      <c r="CP562" s="305"/>
      <c r="CQ562" s="305"/>
      <c r="CR562" s="305"/>
      <c r="CS562" s="305"/>
      <c r="CT562" s="305"/>
      <c r="CU562" s="305"/>
      <c r="CV562" s="305"/>
      <c r="CW562" s="305"/>
      <c r="CX562" s="305"/>
      <c r="CY562" s="305"/>
      <c r="CZ562" s="305"/>
      <c r="DA562" s="305"/>
      <c r="DB562" s="305"/>
      <c r="DC562" s="305"/>
      <c r="DD562" s="305"/>
      <c r="DE562" s="305"/>
      <c r="DF562" s="305"/>
      <c r="DG562" s="305"/>
      <c r="DH562" s="305"/>
      <c r="DI562" s="305"/>
      <c r="DJ562" s="305"/>
      <c r="DK562" s="305"/>
      <c r="DL562" s="305"/>
      <c r="DM562" s="305"/>
      <c r="DN562" s="305"/>
      <c r="DO562" s="305"/>
      <c r="DP562" s="305"/>
      <c r="DQ562" s="305"/>
      <c r="DR562" s="305"/>
      <c r="DS562" s="305"/>
      <c r="DT562" s="305"/>
      <c r="DU562" s="305"/>
      <c r="DV562" s="305"/>
      <c r="DW562" s="305"/>
      <c r="DX562" s="305"/>
      <c r="DY562" s="305"/>
      <c r="DZ562" s="305"/>
      <c r="EA562" s="305"/>
      <c r="EB562" s="305"/>
      <c r="EC562" s="305"/>
      <c r="ED562" s="305"/>
      <c r="EE562" s="305"/>
      <c r="EF562" s="305"/>
      <c r="EG562" s="305"/>
      <c r="EH562" s="305"/>
      <c r="EI562" s="305"/>
      <c r="EJ562" s="305"/>
      <c r="EK562" s="305"/>
      <c r="EL562" s="305"/>
      <c r="EM562" s="305"/>
      <c r="EN562" s="305"/>
      <c r="EO562" s="305"/>
      <c r="EP562" s="305"/>
      <c r="EQ562" s="305"/>
      <c r="ER562" s="305"/>
      <c r="ES562" s="305"/>
      <c r="ET562" s="305"/>
      <c r="EU562" s="305"/>
      <c r="EV562" s="305"/>
      <c r="EW562" s="305"/>
      <c r="EX562" s="305"/>
      <c r="EY562" s="305"/>
      <c r="EZ562" s="305"/>
      <c r="FA562" s="305"/>
      <c r="FB562" s="305"/>
      <c r="FC562" s="305"/>
      <c r="FD562" s="305"/>
      <c r="FE562" s="305"/>
      <c r="FF562" s="305"/>
      <c r="FG562" s="305"/>
      <c r="FH562" s="305"/>
      <c r="FI562" s="305"/>
      <c r="FJ562" s="305"/>
      <c r="FK562" s="305"/>
      <c r="FL562" s="305"/>
      <c r="FM562" s="305"/>
      <c r="FN562" s="305"/>
      <c r="FO562" s="305"/>
      <c r="FP562" s="305"/>
      <c r="FQ562" s="305"/>
      <c r="FR562" s="305"/>
      <c r="FS562" s="305"/>
      <c r="FT562" s="305"/>
      <c r="FU562" s="305"/>
      <c r="FV562" s="305"/>
      <c r="FW562" s="305"/>
      <c r="FX562" s="305"/>
      <c r="FY562" s="305"/>
      <c r="FZ562" s="305"/>
      <c r="GA562" s="305"/>
      <c r="GB562" s="305"/>
      <c r="GC562" s="305"/>
      <c r="GD562" s="305"/>
      <c r="GE562" s="305"/>
      <c r="GF562" s="305"/>
      <c r="GG562" s="305"/>
      <c r="GH562" s="305"/>
      <c r="GI562" s="305"/>
      <c r="GJ562" s="305"/>
      <c r="GK562" s="305"/>
      <c r="GL562" s="305"/>
      <c r="GM562" s="305"/>
      <c r="GN562" s="305"/>
      <c r="GO562" s="305"/>
      <c r="GP562" s="305"/>
      <c r="GQ562" s="305"/>
      <c r="GR562" s="305"/>
    </row>
    <row r="563" spans="3:200" s="318" customFormat="1" ht="12.75" customHeight="1" x14ac:dyDescent="0.2">
      <c r="C563" s="367"/>
      <c r="D563" s="403"/>
      <c r="E563" s="369"/>
      <c r="F563" s="369"/>
      <c r="G563" s="369"/>
      <c r="H563" s="369"/>
      <c r="I563" s="370"/>
      <c r="J563"/>
      <c r="K563" s="371"/>
      <c r="L563" s="371"/>
      <c r="M563" s="371"/>
      <c r="N563" s="371"/>
      <c r="O563" s="305"/>
      <c r="P563" s="305"/>
      <c r="Q563" s="305"/>
      <c r="R563" s="305"/>
      <c r="S563" s="305"/>
      <c r="T563" s="305"/>
      <c r="U563" s="305"/>
      <c r="V563" s="305"/>
      <c r="W563" s="305"/>
      <c r="X563" s="305"/>
      <c r="Y563" s="305"/>
      <c r="Z563" s="305"/>
      <c r="AA563" s="305"/>
      <c r="AB563" s="305"/>
      <c r="AC563" s="305"/>
      <c r="AD563" s="305"/>
      <c r="AE563" s="305"/>
      <c r="AF563" s="305"/>
      <c r="AG563" s="305"/>
      <c r="AH563" s="305"/>
      <c r="AI563" s="305"/>
      <c r="AJ563" s="305"/>
      <c r="AK563" s="305"/>
      <c r="AL563" s="305"/>
      <c r="AM563" s="305"/>
      <c r="AN563" s="305"/>
      <c r="AO563" s="305"/>
      <c r="AP563" s="305"/>
      <c r="AQ563" s="305"/>
      <c r="AR563" s="305"/>
      <c r="AS563" s="305"/>
      <c r="AT563" s="305"/>
      <c r="AU563" s="305"/>
      <c r="AV563" s="305"/>
      <c r="AW563" s="305"/>
      <c r="AX563" s="305"/>
      <c r="AY563" s="305"/>
      <c r="AZ563" s="305"/>
      <c r="BA563" s="305"/>
      <c r="BB563" s="305"/>
      <c r="BC563" s="305"/>
      <c r="BD563" s="305"/>
      <c r="BE563" s="305"/>
      <c r="BF563" s="305"/>
      <c r="BG563" s="305"/>
      <c r="BH563" s="305"/>
      <c r="BI563" s="305"/>
      <c r="BJ563" s="305"/>
      <c r="BK563" s="305"/>
      <c r="BL563" s="305"/>
      <c r="BM563" s="305"/>
      <c r="BN563" s="305"/>
      <c r="BO563" s="305"/>
      <c r="BP563" s="305"/>
      <c r="BQ563" s="305"/>
      <c r="BR563" s="305"/>
      <c r="BS563" s="305"/>
      <c r="BT563" s="305"/>
      <c r="BU563" s="305"/>
      <c r="BV563" s="305"/>
      <c r="BW563" s="305"/>
      <c r="BX563" s="305"/>
      <c r="BY563" s="305"/>
      <c r="BZ563" s="305"/>
      <c r="CA563" s="305"/>
      <c r="CB563" s="305"/>
      <c r="CC563" s="305"/>
      <c r="CD563" s="305"/>
      <c r="CE563" s="305"/>
      <c r="CF563" s="305"/>
      <c r="CG563" s="305"/>
      <c r="CH563" s="305"/>
      <c r="CI563" s="305"/>
      <c r="CJ563" s="305"/>
      <c r="CK563" s="305"/>
      <c r="CL563" s="305"/>
      <c r="CM563" s="305"/>
      <c r="CN563" s="305"/>
      <c r="CO563" s="305"/>
      <c r="CP563" s="305"/>
      <c r="CQ563" s="305"/>
      <c r="CR563" s="305"/>
      <c r="CS563" s="305"/>
      <c r="CT563" s="305"/>
      <c r="CU563" s="305"/>
      <c r="CV563" s="305"/>
      <c r="CW563" s="305"/>
      <c r="CX563" s="305"/>
      <c r="CY563" s="305"/>
      <c r="CZ563" s="305"/>
      <c r="DA563" s="305"/>
      <c r="DB563" s="305"/>
      <c r="DC563" s="305"/>
      <c r="DD563" s="305"/>
      <c r="DE563" s="305"/>
      <c r="DF563" s="305"/>
      <c r="DG563" s="305"/>
      <c r="DH563" s="305"/>
      <c r="DI563" s="305"/>
      <c r="DJ563" s="305"/>
      <c r="DK563" s="305"/>
      <c r="DL563" s="305"/>
      <c r="DM563" s="305"/>
      <c r="DN563" s="305"/>
      <c r="DO563" s="305"/>
      <c r="DP563" s="305"/>
      <c r="DQ563" s="305"/>
      <c r="DR563" s="305"/>
      <c r="DS563" s="305"/>
      <c r="DT563" s="305"/>
      <c r="DU563" s="305"/>
      <c r="DV563" s="305"/>
      <c r="DW563" s="305"/>
      <c r="DX563" s="305"/>
      <c r="DY563" s="305"/>
      <c r="DZ563" s="305"/>
      <c r="EA563" s="305"/>
      <c r="EB563" s="305"/>
      <c r="EC563" s="305"/>
      <c r="ED563" s="305"/>
      <c r="EE563" s="305"/>
      <c r="EF563" s="305"/>
      <c r="EG563" s="305"/>
      <c r="EH563" s="305"/>
      <c r="EI563" s="305"/>
      <c r="EJ563" s="305"/>
      <c r="EK563" s="305"/>
      <c r="EL563" s="305"/>
      <c r="EM563" s="305"/>
      <c r="EN563" s="305"/>
      <c r="EO563" s="305"/>
      <c r="EP563" s="305"/>
      <c r="EQ563" s="305"/>
      <c r="ER563" s="305"/>
      <c r="ES563" s="305"/>
      <c r="ET563" s="305"/>
      <c r="EU563" s="305"/>
      <c r="EV563" s="305"/>
      <c r="EW563" s="305"/>
      <c r="EX563" s="305"/>
      <c r="EY563" s="305"/>
      <c r="EZ563" s="305"/>
      <c r="FA563" s="305"/>
      <c r="FB563" s="305"/>
      <c r="FC563" s="305"/>
      <c r="FD563" s="305"/>
      <c r="FE563" s="305"/>
      <c r="FF563" s="305"/>
      <c r="FG563" s="305"/>
      <c r="FH563" s="305"/>
      <c r="FI563" s="305"/>
      <c r="FJ563" s="305"/>
      <c r="FK563" s="305"/>
      <c r="FL563" s="305"/>
      <c r="FM563" s="305"/>
      <c r="FN563" s="305"/>
      <c r="FO563" s="305"/>
      <c r="FP563" s="305"/>
      <c r="FQ563" s="305"/>
      <c r="FR563" s="305"/>
      <c r="FS563" s="305"/>
      <c r="FT563" s="305"/>
      <c r="FU563" s="305"/>
      <c r="FV563" s="305"/>
      <c r="FW563" s="305"/>
      <c r="FX563" s="305"/>
      <c r="FY563" s="305"/>
      <c r="FZ563" s="305"/>
      <c r="GA563" s="305"/>
      <c r="GB563" s="305"/>
      <c r="GC563" s="305"/>
      <c r="GD563" s="305"/>
      <c r="GE563" s="305"/>
      <c r="GF563" s="305"/>
      <c r="GG563" s="305"/>
      <c r="GH563" s="305"/>
      <c r="GI563" s="305"/>
      <c r="GJ563" s="305"/>
      <c r="GK563" s="305"/>
      <c r="GL563" s="305"/>
      <c r="GM563" s="305"/>
      <c r="GN563" s="305"/>
      <c r="GO563" s="305"/>
      <c r="GP563" s="305"/>
      <c r="GQ563" s="305"/>
      <c r="GR563" s="305"/>
    </row>
    <row r="564" spans="3:200" s="318" customFormat="1" ht="12.75" customHeight="1" x14ac:dyDescent="0.2">
      <c r="C564" s="367"/>
      <c r="D564" s="403"/>
      <c r="E564" s="369"/>
      <c r="F564" s="369"/>
      <c r="G564" s="369"/>
      <c r="H564" s="369"/>
      <c r="I564" s="370"/>
      <c r="J564"/>
      <c r="K564" s="371"/>
      <c r="L564" s="371"/>
      <c r="M564" s="371"/>
      <c r="N564" s="371"/>
      <c r="O564" s="305"/>
      <c r="P564" s="305"/>
      <c r="Q564" s="305"/>
      <c r="R564" s="305"/>
      <c r="S564" s="305"/>
      <c r="T564" s="305"/>
      <c r="U564" s="305"/>
      <c r="V564" s="305"/>
      <c r="W564" s="305"/>
      <c r="X564" s="305"/>
      <c r="Y564" s="305"/>
      <c r="Z564" s="305"/>
      <c r="AA564" s="305"/>
      <c r="AB564" s="305"/>
      <c r="AC564" s="305"/>
      <c r="AD564" s="305"/>
      <c r="AE564" s="305"/>
      <c r="AF564" s="305"/>
      <c r="AG564" s="305"/>
      <c r="AH564" s="305"/>
      <c r="AI564" s="305"/>
      <c r="AJ564" s="305"/>
      <c r="AK564" s="305"/>
      <c r="AL564" s="305"/>
      <c r="AM564" s="305"/>
      <c r="AN564" s="305"/>
      <c r="AO564" s="305"/>
      <c r="AP564" s="305"/>
      <c r="AQ564" s="305"/>
      <c r="AR564" s="305"/>
      <c r="AS564" s="305"/>
      <c r="AT564" s="305"/>
      <c r="AU564" s="305"/>
      <c r="AV564" s="305"/>
      <c r="AW564" s="305"/>
      <c r="AX564" s="305"/>
      <c r="AY564" s="305"/>
      <c r="AZ564" s="305"/>
      <c r="BA564" s="305"/>
      <c r="BB564" s="305"/>
      <c r="BC564" s="305"/>
      <c r="BD564" s="305"/>
      <c r="BE564" s="305"/>
      <c r="BF564" s="305"/>
      <c r="BG564" s="305"/>
      <c r="BH564" s="305"/>
      <c r="BI564" s="305"/>
      <c r="BJ564" s="305"/>
      <c r="BK564" s="305"/>
      <c r="BL564" s="305"/>
      <c r="BM564" s="305"/>
      <c r="BN564" s="305"/>
      <c r="BO564" s="305"/>
      <c r="BP564" s="305"/>
      <c r="BQ564" s="305"/>
      <c r="BR564" s="305"/>
      <c r="BS564" s="305"/>
      <c r="BT564" s="305"/>
      <c r="BU564" s="305"/>
      <c r="BV564" s="305"/>
      <c r="BW564" s="305"/>
      <c r="BX564" s="305"/>
      <c r="BY564" s="305"/>
      <c r="BZ564" s="305"/>
      <c r="CA564" s="305"/>
      <c r="CB564" s="305"/>
      <c r="CC564" s="305"/>
      <c r="CD564" s="305"/>
      <c r="CE564" s="305"/>
      <c r="CF564" s="305"/>
      <c r="CG564" s="305"/>
      <c r="CH564" s="305"/>
      <c r="CI564" s="305"/>
      <c r="CJ564" s="305"/>
      <c r="CK564" s="305"/>
      <c r="CL564" s="305"/>
      <c r="CM564" s="305"/>
      <c r="CN564" s="305"/>
      <c r="CO564" s="305"/>
      <c r="CP564" s="305"/>
      <c r="CQ564" s="305"/>
      <c r="CR564" s="305"/>
      <c r="CS564" s="305"/>
      <c r="CT564" s="305"/>
      <c r="CU564" s="305"/>
      <c r="CV564" s="305"/>
      <c r="CW564" s="305"/>
      <c r="CX564" s="305"/>
      <c r="CY564" s="305"/>
      <c r="CZ564" s="305"/>
      <c r="DA564" s="305"/>
      <c r="DB564" s="305"/>
      <c r="DC564" s="305"/>
      <c r="DD564" s="305"/>
      <c r="DE564" s="305"/>
      <c r="DF564" s="305"/>
      <c r="DG564" s="305"/>
      <c r="DH564" s="305"/>
      <c r="DI564" s="305"/>
      <c r="DJ564" s="305"/>
      <c r="DK564" s="305"/>
      <c r="DL564" s="305"/>
      <c r="DM564" s="305"/>
      <c r="DN564" s="305"/>
      <c r="DO564" s="305"/>
      <c r="DP564" s="305"/>
      <c r="DQ564" s="305"/>
      <c r="DR564" s="305"/>
      <c r="DS564" s="305"/>
      <c r="DT564" s="305"/>
      <c r="DU564" s="305"/>
      <c r="DV564" s="305"/>
      <c r="DW564" s="305"/>
      <c r="DX564" s="305"/>
      <c r="DY564" s="305"/>
      <c r="DZ564" s="305"/>
      <c r="EA564" s="305"/>
      <c r="EB564" s="305"/>
      <c r="EC564" s="305"/>
      <c r="ED564" s="305"/>
      <c r="EE564" s="305"/>
      <c r="EF564" s="305"/>
      <c r="EG564" s="305"/>
      <c r="EH564" s="305"/>
      <c r="EI564" s="305"/>
      <c r="EJ564" s="305"/>
      <c r="EK564" s="305"/>
      <c r="EL564" s="305"/>
      <c r="EM564" s="305"/>
      <c r="EN564" s="305"/>
      <c r="EO564" s="305"/>
      <c r="EP564" s="305"/>
      <c r="EQ564" s="305"/>
      <c r="ER564" s="305"/>
      <c r="ES564" s="305"/>
      <c r="ET564" s="305"/>
      <c r="EU564" s="305"/>
      <c r="EV564" s="305"/>
      <c r="EW564" s="305"/>
      <c r="EX564" s="305"/>
      <c r="EY564" s="305"/>
      <c r="EZ564" s="305"/>
      <c r="FA564" s="305"/>
      <c r="FB564" s="305"/>
      <c r="FC564" s="305"/>
      <c r="FD564" s="305"/>
      <c r="FE564" s="305"/>
      <c r="FF564" s="305"/>
      <c r="FG564" s="305"/>
      <c r="FH564" s="305"/>
      <c r="FI564" s="305"/>
      <c r="FJ564" s="305"/>
      <c r="FK564" s="305"/>
      <c r="FL564" s="305"/>
      <c r="FM564" s="305"/>
      <c r="FN564" s="305"/>
      <c r="FO564" s="305"/>
      <c r="FP564" s="305"/>
      <c r="FQ564" s="305"/>
      <c r="FR564" s="305"/>
      <c r="FS564" s="305"/>
      <c r="FT564" s="305"/>
      <c r="FU564" s="305"/>
      <c r="FV564" s="305"/>
      <c r="FW564" s="305"/>
      <c r="FX564" s="305"/>
      <c r="FY564" s="305"/>
      <c r="FZ564" s="305"/>
      <c r="GA564" s="305"/>
      <c r="GB564" s="305"/>
      <c r="GC564" s="305"/>
      <c r="GD564" s="305"/>
      <c r="GE564" s="305"/>
      <c r="GF564" s="305"/>
      <c r="GG564" s="305"/>
      <c r="GH564" s="305"/>
      <c r="GI564" s="305"/>
      <c r="GJ564" s="305"/>
      <c r="GK564" s="305"/>
      <c r="GL564" s="305"/>
      <c r="GM564" s="305"/>
      <c r="GN564" s="305"/>
      <c r="GO564" s="305"/>
      <c r="GP564" s="305"/>
      <c r="GQ564" s="305"/>
      <c r="GR564" s="305"/>
    </row>
    <row r="565" spans="3:200" s="318" customFormat="1" ht="12.75" customHeight="1" x14ac:dyDescent="0.2">
      <c r="C565" s="367"/>
      <c r="D565" s="403"/>
      <c r="E565" s="369"/>
      <c r="F565" s="369"/>
      <c r="G565" s="369"/>
      <c r="H565" s="369"/>
      <c r="I565" s="370"/>
      <c r="J565"/>
      <c r="K565" s="371"/>
      <c r="L565" s="371"/>
      <c r="M565" s="371"/>
      <c r="N565" s="371"/>
      <c r="O565" s="305"/>
      <c r="P565" s="305"/>
      <c r="Q565" s="305"/>
      <c r="R565" s="305"/>
      <c r="S565" s="305"/>
      <c r="T565" s="305"/>
      <c r="U565" s="305"/>
      <c r="V565" s="305"/>
      <c r="W565" s="305"/>
      <c r="X565" s="305"/>
      <c r="Y565" s="305"/>
      <c r="Z565" s="305"/>
      <c r="AA565" s="305"/>
      <c r="AB565" s="305"/>
      <c r="AC565" s="305"/>
      <c r="AD565" s="305"/>
      <c r="AE565" s="305"/>
      <c r="AF565" s="305"/>
      <c r="AG565" s="305"/>
      <c r="AH565" s="305"/>
      <c r="AI565" s="305"/>
      <c r="AJ565" s="305"/>
      <c r="AK565" s="305"/>
      <c r="AL565" s="305"/>
      <c r="AM565" s="305"/>
      <c r="AN565" s="305"/>
      <c r="AO565" s="305"/>
      <c r="AP565" s="305"/>
      <c r="AQ565" s="305"/>
      <c r="AR565" s="305"/>
      <c r="AS565" s="305"/>
      <c r="AT565" s="305"/>
      <c r="AU565" s="305"/>
      <c r="AV565" s="305"/>
      <c r="AW565" s="305"/>
      <c r="AX565" s="305"/>
      <c r="AY565" s="305"/>
      <c r="AZ565" s="305"/>
      <c r="BA565" s="305"/>
      <c r="BB565" s="305"/>
      <c r="BC565" s="305"/>
      <c r="BD565" s="305"/>
      <c r="BE565" s="305"/>
      <c r="BF565" s="305"/>
      <c r="BG565" s="305"/>
      <c r="BH565" s="305"/>
      <c r="BI565" s="305"/>
      <c r="BJ565" s="305"/>
      <c r="BK565" s="305"/>
      <c r="BL565" s="305"/>
      <c r="BM565" s="305"/>
      <c r="BN565" s="305"/>
      <c r="BO565" s="305"/>
      <c r="BP565" s="305"/>
      <c r="BQ565" s="305"/>
      <c r="BR565" s="305"/>
      <c r="BS565" s="305"/>
      <c r="BT565" s="305"/>
      <c r="BU565" s="305"/>
      <c r="BV565" s="305"/>
      <c r="BW565" s="305"/>
      <c r="BX565" s="305"/>
      <c r="BY565" s="305"/>
      <c r="BZ565" s="305"/>
      <c r="CA565" s="305"/>
      <c r="CB565" s="305"/>
      <c r="CC565" s="305"/>
      <c r="CD565" s="305"/>
      <c r="CE565" s="305"/>
      <c r="CF565" s="305"/>
      <c r="CG565" s="305"/>
      <c r="CH565" s="305"/>
      <c r="CI565" s="305"/>
      <c r="CJ565" s="305"/>
      <c r="CK565" s="305"/>
      <c r="CL565" s="305"/>
      <c r="CM565" s="305"/>
      <c r="CN565" s="305"/>
      <c r="CO565" s="305"/>
      <c r="CP565" s="305"/>
      <c r="CQ565" s="305"/>
      <c r="CR565" s="305"/>
      <c r="CS565" s="305"/>
      <c r="CT565" s="305"/>
      <c r="CU565" s="305"/>
      <c r="CV565" s="305"/>
      <c r="CW565" s="305"/>
      <c r="CX565" s="305"/>
      <c r="CY565" s="305"/>
      <c r="CZ565" s="305"/>
      <c r="DA565" s="305"/>
      <c r="DB565" s="305"/>
      <c r="DC565" s="305"/>
      <c r="DD565" s="305"/>
      <c r="DE565" s="305"/>
      <c r="DF565" s="305"/>
      <c r="DG565" s="305"/>
      <c r="DH565" s="305"/>
      <c r="DI565" s="305"/>
      <c r="DJ565" s="305"/>
      <c r="DK565" s="305"/>
      <c r="DL565" s="305"/>
      <c r="DM565" s="305"/>
      <c r="DN565" s="305"/>
      <c r="DO565" s="305"/>
      <c r="DP565" s="305"/>
      <c r="DQ565" s="305"/>
      <c r="DR565" s="305"/>
      <c r="DS565" s="305"/>
      <c r="DT565" s="305"/>
      <c r="DU565" s="305"/>
      <c r="DV565" s="305"/>
      <c r="DW565" s="305"/>
      <c r="DX565" s="305"/>
      <c r="DY565" s="305"/>
      <c r="DZ565" s="305"/>
      <c r="EA565" s="305"/>
      <c r="EB565" s="305"/>
      <c r="EC565" s="305"/>
      <c r="ED565" s="305"/>
      <c r="EE565" s="305"/>
      <c r="EF565" s="305"/>
      <c r="EG565" s="305"/>
      <c r="EH565" s="305"/>
      <c r="EI565" s="305"/>
      <c r="EJ565" s="305"/>
      <c r="EK565" s="305"/>
      <c r="EL565" s="305"/>
      <c r="EM565" s="305"/>
      <c r="EN565" s="305"/>
      <c r="EO565" s="305"/>
      <c r="EP565" s="305"/>
      <c r="EQ565" s="305"/>
      <c r="ER565" s="305"/>
      <c r="ES565" s="305"/>
      <c r="ET565" s="305"/>
      <c r="EU565" s="305"/>
      <c r="EV565" s="305"/>
      <c r="EW565" s="305"/>
      <c r="EX565" s="305"/>
      <c r="EY565" s="305"/>
      <c r="EZ565" s="305"/>
      <c r="FA565" s="305"/>
      <c r="FB565" s="305"/>
      <c r="FC565" s="305"/>
      <c r="FD565" s="305"/>
      <c r="FE565" s="305"/>
      <c r="FF565" s="305"/>
      <c r="FG565" s="305"/>
      <c r="FH565" s="305"/>
      <c r="FI565" s="305"/>
      <c r="FJ565" s="305"/>
      <c r="FK565" s="305"/>
      <c r="FL565" s="305"/>
      <c r="FM565" s="305"/>
      <c r="FN565" s="305"/>
      <c r="FO565" s="305"/>
      <c r="FP565" s="305"/>
      <c r="FQ565" s="305"/>
      <c r="FR565" s="305"/>
      <c r="FS565" s="305"/>
      <c r="FT565" s="305"/>
      <c r="FU565" s="305"/>
      <c r="FV565" s="305"/>
      <c r="FW565" s="305"/>
      <c r="FX565" s="305"/>
      <c r="FY565" s="305"/>
      <c r="FZ565" s="305"/>
      <c r="GA565" s="305"/>
      <c r="GB565" s="305"/>
      <c r="GC565" s="305"/>
      <c r="GD565" s="305"/>
      <c r="GE565" s="305"/>
      <c r="GF565" s="305"/>
      <c r="GG565" s="305"/>
      <c r="GH565" s="305"/>
      <c r="GI565" s="305"/>
      <c r="GJ565" s="305"/>
      <c r="GK565" s="305"/>
      <c r="GL565" s="305"/>
      <c r="GM565" s="305"/>
      <c r="GN565" s="305"/>
      <c r="GO565" s="305"/>
      <c r="GP565" s="305"/>
      <c r="GQ565" s="305"/>
      <c r="GR565" s="305"/>
    </row>
    <row r="566" spans="3:200" s="318" customFormat="1" ht="12.75" customHeight="1" x14ac:dyDescent="0.2">
      <c r="C566" s="367"/>
      <c r="D566" s="403"/>
      <c r="E566" s="369"/>
      <c r="F566" s="369"/>
      <c r="G566" s="369"/>
      <c r="H566" s="369"/>
      <c r="I566" s="370"/>
      <c r="J566"/>
      <c r="K566" s="371"/>
      <c r="L566" s="371"/>
      <c r="M566" s="371"/>
      <c r="N566" s="371"/>
      <c r="O566" s="305"/>
      <c r="P566" s="305"/>
      <c r="Q566" s="305"/>
      <c r="R566" s="305"/>
      <c r="S566" s="305"/>
      <c r="T566" s="305"/>
      <c r="U566" s="305"/>
      <c r="V566" s="305"/>
      <c r="W566" s="305"/>
      <c r="X566" s="305"/>
      <c r="Y566" s="305"/>
      <c r="Z566" s="305"/>
      <c r="AA566" s="305"/>
      <c r="AB566" s="305"/>
      <c r="AC566" s="305"/>
      <c r="AD566" s="305"/>
      <c r="AE566" s="305"/>
      <c r="AF566" s="305"/>
      <c r="AG566" s="305"/>
      <c r="AH566" s="305"/>
      <c r="AI566" s="305"/>
      <c r="AJ566" s="305"/>
      <c r="AK566" s="305"/>
      <c r="AL566" s="305"/>
      <c r="AM566" s="305"/>
      <c r="AN566" s="305"/>
      <c r="AO566" s="305"/>
      <c r="AP566" s="305"/>
      <c r="AQ566" s="305"/>
      <c r="AR566" s="305"/>
      <c r="AS566" s="305"/>
      <c r="AT566" s="305"/>
      <c r="AU566" s="305"/>
      <c r="AV566" s="305"/>
      <c r="AW566" s="305"/>
      <c r="AX566" s="305"/>
      <c r="AY566" s="305"/>
      <c r="AZ566" s="305"/>
      <c r="BA566" s="305"/>
      <c r="BB566" s="305"/>
      <c r="BC566" s="305"/>
      <c r="BD566" s="305"/>
      <c r="BE566" s="305"/>
      <c r="BF566" s="305"/>
      <c r="BG566" s="305"/>
      <c r="BH566" s="305"/>
      <c r="BI566" s="305"/>
      <c r="BJ566" s="305"/>
      <c r="BK566" s="305"/>
      <c r="BL566" s="305"/>
      <c r="BM566" s="305"/>
      <c r="BN566" s="305"/>
      <c r="BO566" s="305"/>
      <c r="BP566" s="305"/>
      <c r="BQ566" s="305"/>
      <c r="BR566" s="305"/>
      <c r="BS566" s="305"/>
      <c r="BT566" s="305"/>
      <c r="BU566" s="305"/>
      <c r="BV566" s="305"/>
      <c r="BW566" s="305"/>
      <c r="BX566" s="305"/>
      <c r="BY566" s="305"/>
      <c r="BZ566" s="305"/>
      <c r="CA566" s="305"/>
      <c r="CB566" s="305"/>
      <c r="CC566" s="305"/>
      <c r="CD566" s="305"/>
      <c r="CE566" s="305"/>
      <c r="CF566" s="305"/>
      <c r="CG566" s="305"/>
      <c r="CH566" s="305"/>
      <c r="CI566" s="305"/>
      <c r="CJ566" s="305"/>
      <c r="CK566" s="305"/>
      <c r="CL566" s="305"/>
      <c r="CM566" s="305"/>
      <c r="CN566" s="305"/>
      <c r="CO566" s="305"/>
      <c r="CP566" s="305"/>
      <c r="CQ566" s="305"/>
      <c r="CR566" s="305"/>
      <c r="CS566" s="305"/>
      <c r="CT566" s="305"/>
      <c r="CU566" s="305"/>
      <c r="CV566" s="305"/>
      <c r="CW566" s="305"/>
      <c r="CX566" s="305"/>
      <c r="CY566" s="305"/>
      <c r="CZ566" s="305"/>
      <c r="DA566" s="305"/>
      <c r="DB566" s="305"/>
      <c r="DC566" s="305"/>
      <c r="DD566" s="305"/>
      <c r="DE566" s="305"/>
      <c r="DF566" s="305"/>
      <c r="DG566" s="305"/>
      <c r="DH566" s="305"/>
      <c r="DI566" s="305"/>
      <c r="DJ566" s="305"/>
      <c r="DK566" s="305"/>
      <c r="DL566" s="305"/>
      <c r="DM566" s="305"/>
      <c r="DN566" s="305"/>
      <c r="DO566" s="305"/>
      <c r="DP566" s="305"/>
      <c r="DQ566" s="305"/>
      <c r="DR566" s="305"/>
      <c r="DS566" s="305"/>
      <c r="DT566" s="305"/>
      <c r="DU566" s="305"/>
      <c r="DV566" s="305"/>
      <c r="DW566" s="305"/>
      <c r="DX566" s="305"/>
      <c r="DY566" s="305"/>
      <c r="DZ566" s="305"/>
      <c r="EA566" s="305"/>
      <c r="EB566" s="305"/>
      <c r="EC566" s="305"/>
      <c r="ED566" s="305"/>
      <c r="EE566" s="305"/>
      <c r="EF566" s="305"/>
      <c r="EG566" s="305"/>
      <c r="EH566" s="305"/>
      <c r="EI566" s="305"/>
      <c r="EJ566" s="305"/>
      <c r="EK566" s="305"/>
      <c r="EL566" s="305"/>
      <c r="EM566" s="305"/>
      <c r="EN566" s="305"/>
      <c r="EO566" s="305"/>
      <c r="EP566" s="305"/>
      <c r="EQ566" s="305"/>
      <c r="ER566" s="305"/>
      <c r="ES566" s="305"/>
      <c r="ET566" s="305"/>
      <c r="EU566" s="305"/>
      <c r="EV566" s="305"/>
      <c r="EW566" s="305"/>
      <c r="EX566" s="305"/>
      <c r="EY566" s="305"/>
      <c r="EZ566" s="305"/>
      <c r="FA566" s="305"/>
      <c r="FB566" s="305"/>
      <c r="FC566" s="305"/>
      <c r="FD566" s="305"/>
      <c r="FE566" s="305"/>
      <c r="FF566" s="305"/>
      <c r="FG566" s="305"/>
      <c r="FH566" s="305"/>
      <c r="FI566" s="305"/>
      <c r="FJ566" s="305"/>
      <c r="FK566" s="305"/>
      <c r="FL566" s="305"/>
      <c r="FM566" s="305"/>
      <c r="FN566" s="305"/>
      <c r="FO566" s="305"/>
      <c r="FP566" s="305"/>
      <c r="FQ566" s="305"/>
      <c r="FR566" s="305"/>
      <c r="FS566" s="305"/>
      <c r="FT566" s="305"/>
      <c r="FU566" s="305"/>
      <c r="FV566" s="305"/>
      <c r="FW566" s="305"/>
      <c r="FX566" s="305"/>
      <c r="FY566" s="305"/>
      <c r="FZ566" s="305"/>
      <c r="GA566" s="305"/>
      <c r="GB566" s="305"/>
      <c r="GC566" s="305"/>
      <c r="GD566" s="305"/>
      <c r="GE566" s="305"/>
      <c r="GF566" s="305"/>
      <c r="GG566" s="305"/>
      <c r="GH566" s="305"/>
      <c r="GI566" s="305"/>
      <c r="GJ566" s="305"/>
      <c r="GK566" s="305"/>
      <c r="GL566" s="305"/>
      <c r="GM566" s="305"/>
      <c r="GN566" s="305"/>
      <c r="GO566" s="305"/>
      <c r="GP566" s="305"/>
      <c r="GQ566" s="305"/>
      <c r="GR566" s="305"/>
    </row>
    <row r="567" spans="3:200" s="318" customFormat="1" ht="12.75" customHeight="1" x14ac:dyDescent="0.2">
      <c r="C567" s="367"/>
      <c r="D567" s="403"/>
      <c r="E567" s="369"/>
      <c r="F567" s="369"/>
      <c r="G567" s="369"/>
      <c r="H567" s="369"/>
      <c r="I567" s="370"/>
      <c r="J567"/>
      <c r="K567" s="371"/>
      <c r="L567" s="371"/>
      <c r="M567" s="371"/>
      <c r="N567" s="371"/>
      <c r="O567" s="305"/>
      <c r="P567" s="305"/>
      <c r="Q567" s="305"/>
      <c r="R567" s="305"/>
      <c r="S567" s="305"/>
      <c r="T567" s="305"/>
      <c r="U567" s="305"/>
      <c r="V567" s="305"/>
      <c r="W567" s="305"/>
      <c r="X567" s="305"/>
      <c r="Y567" s="305"/>
      <c r="Z567" s="305"/>
      <c r="AA567" s="305"/>
      <c r="AB567" s="305"/>
      <c r="AC567" s="305"/>
      <c r="AD567" s="305"/>
      <c r="AE567" s="305"/>
      <c r="AF567" s="305"/>
      <c r="AG567" s="305"/>
      <c r="AH567" s="305"/>
      <c r="AI567" s="305"/>
      <c r="AJ567" s="305"/>
      <c r="AK567" s="305"/>
      <c r="AL567" s="305"/>
      <c r="AM567" s="305"/>
      <c r="AN567" s="305"/>
      <c r="AO567" s="305"/>
      <c r="AP567" s="305"/>
      <c r="AQ567" s="305"/>
      <c r="AR567" s="305"/>
      <c r="AS567" s="305"/>
      <c r="AT567" s="305"/>
      <c r="AU567" s="305"/>
      <c r="AV567" s="305"/>
      <c r="AW567" s="305"/>
      <c r="AX567" s="305"/>
      <c r="AY567" s="305"/>
      <c r="AZ567" s="305"/>
      <c r="BA567" s="305"/>
      <c r="BB567" s="305"/>
      <c r="BC567" s="305"/>
      <c r="BD567" s="305"/>
      <c r="BE567" s="305"/>
      <c r="BF567" s="305"/>
      <c r="BG567" s="305"/>
      <c r="BH567" s="305"/>
      <c r="BI567" s="305"/>
      <c r="BJ567" s="305"/>
      <c r="BK567" s="305"/>
      <c r="BL567" s="305"/>
      <c r="BM567" s="305"/>
      <c r="BN567" s="305"/>
      <c r="BO567" s="305"/>
      <c r="BP567" s="305"/>
      <c r="BQ567" s="305"/>
      <c r="BR567" s="305"/>
      <c r="BS567" s="305"/>
      <c r="BT567" s="305"/>
      <c r="BU567" s="305"/>
      <c r="BV567" s="305"/>
      <c r="BW567" s="305"/>
      <c r="BX567" s="305"/>
      <c r="BY567" s="305"/>
      <c r="BZ567" s="305"/>
      <c r="CA567" s="305"/>
      <c r="CB567" s="305"/>
      <c r="CC567" s="305"/>
      <c r="CD567" s="305"/>
      <c r="CE567" s="305"/>
      <c r="CF567" s="305"/>
      <c r="CG567" s="305"/>
      <c r="CH567" s="305"/>
      <c r="CI567" s="305"/>
      <c r="CJ567" s="305"/>
      <c r="CK567" s="305"/>
      <c r="CL567" s="305"/>
      <c r="CM567" s="305"/>
      <c r="CN567" s="305"/>
      <c r="CO567" s="305"/>
      <c r="CP567" s="305"/>
      <c r="CQ567" s="305"/>
      <c r="CR567" s="305"/>
      <c r="CS567" s="305"/>
      <c r="CT567" s="305"/>
      <c r="CU567" s="305"/>
      <c r="CV567" s="305"/>
      <c r="CW567" s="305"/>
      <c r="CX567" s="305"/>
      <c r="CY567" s="305"/>
      <c r="CZ567" s="305"/>
      <c r="DA567" s="305"/>
      <c r="DB567" s="305"/>
      <c r="DC567" s="305"/>
      <c r="DD567" s="305"/>
      <c r="DE567" s="305"/>
      <c r="DF567" s="305"/>
      <c r="DG567" s="305"/>
      <c r="DH567" s="305"/>
      <c r="DI567" s="305"/>
      <c r="DJ567" s="305"/>
      <c r="DK567" s="305"/>
      <c r="DL567" s="305"/>
      <c r="DM567" s="305"/>
      <c r="DN567" s="305"/>
      <c r="DO567" s="305"/>
      <c r="DP567" s="305"/>
      <c r="DQ567" s="305"/>
      <c r="DR567" s="305"/>
      <c r="DS567" s="305"/>
      <c r="DT567" s="305"/>
      <c r="DU567" s="305"/>
      <c r="DV567" s="305"/>
      <c r="DW567" s="305"/>
      <c r="DX567" s="305"/>
      <c r="DY567" s="305"/>
      <c r="DZ567" s="305"/>
      <c r="EA567" s="305"/>
      <c r="EB567" s="305"/>
      <c r="EC567" s="305"/>
      <c r="ED567" s="305"/>
      <c r="EE567" s="305"/>
      <c r="EF567" s="305"/>
      <c r="EG567" s="305"/>
      <c r="EH567" s="305"/>
      <c r="EI567" s="305"/>
      <c r="EJ567" s="305"/>
      <c r="EK567" s="305"/>
      <c r="EL567" s="305"/>
      <c r="EM567" s="305"/>
      <c r="EN567" s="305"/>
      <c r="EO567" s="305"/>
      <c r="EP567" s="305"/>
      <c r="EQ567" s="305"/>
      <c r="ER567" s="305"/>
      <c r="ES567" s="305"/>
      <c r="ET567" s="305"/>
      <c r="EU567" s="305"/>
      <c r="EV567" s="305"/>
      <c r="EW567" s="305"/>
      <c r="EX567" s="305"/>
      <c r="EY567" s="305"/>
      <c r="EZ567" s="305"/>
      <c r="FA567" s="305"/>
      <c r="FB567" s="305"/>
      <c r="FC567" s="305"/>
      <c r="FD567" s="305"/>
      <c r="FE567" s="305"/>
      <c r="FF567" s="305"/>
      <c r="FG567" s="305"/>
      <c r="FH567" s="305"/>
      <c r="FI567" s="305"/>
      <c r="FJ567" s="305"/>
      <c r="FK567" s="305"/>
      <c r="FL567" s="305"/>
      <c r="FM567" s="305"/>
      <c r="FN567" s="305"/>
      <c r="FO567" s="305"/>
      <c r="FP567" s="305"/>
      <c r="FQ567" s="305"/>
      <c r="FR567" s="305"/>
      <c r="FS567" s="305"/>
      <c r="FT567" s="305"/>
      <c r="FU567" s="305"/>
      <c r="FV567" s="305"/>
      <c r="FW567" s="305"/>
      <c r="FX567" s="305"/>
      <c r="FY567" s="305"/>
      <c r="FZ567" s="305"/>
      <c r="GA567" s="305"/>
      <c r="GB567" s="305"/>
      <c r="GC567" s="305"/>
      <c r="GD567" s="305"/>
      <c r="GE567" s="305"/>
      <c r="GF567" s="305"/>
      <c r="GG567" s="305"/>
      <c r="GH567" s="305"/>
      <c r="GI567" s="305"/>
      <c r="GJ567" s="305"/>
      <c r="GK567" s="305"/>
      <c r="GL567" s="305"/>
      <c r="GM567" s="305"/>
      <c r="GN567" s="305"/>
      <c r="GO567" s="305"/>
      <c r="GP567" s="305"/>
      <c r="GQ567" s="305"/>
      <c r="GR567" s="305"/>
    </row>
    <row r="568" spans="3:200" s="318" customFormat="1" ht="12.75" customHeight="1" x14ac:dyDescent="0.2">
      <c r="C568" s="367"/>
      <c r="D568" s="403"/>
      <c r="E568" s="369"/>
      <c r="F568" s="369"/>
      <c r="G568" s="369"/>
      <c r="H568" s="369"/>
      <c r="I568" s="370"/>
      <c r="J568"/>
      <c r="K568" s="371"/>
      <c r="L568" s="371"/>
      <c r="M568" s="371"/>
      <c r="N568" s="371"/>
      <c r="O568" s="305"/>
      <c r="P568" s="305"/>
      <c r="Q568" s="305"/>
      <c r="R568" s="305"/>
      <c r="S568" s="305"/>
      <c r="T568" s="305"/>
      <c r="U568" s="305"/>
      <c r="V568" s="305"/>
      <c r="W568" s="305"/>
      <c r="X568" s="305"/>
      <c r="Y568" s="305"/>
      <c r="Z568" s="305"/>
      <c r="AA568" s="305"/>
      <c r="AB568" s="305"/>
      <c r="AC568" s="305"/>
      <c r="AD568" s="305"/>
      <c r="AE568" s="305"/>
      <c r="AF568" s="305"/>
      <c r="AG568" s="305"/>
      <c r="AH568" s="305"/>
      <c r="AI568" s="305"/>
      <c r="AJ568" s="305"/>
      <c r="AK568" s="305"/>
      <c r="AL568" s="305"/>
      <c r="AM568" s="305"/>
      <c r="AN568" s="305"/>
      <c r="AO568" s="305"/>
      <c r="AP568" s="305"/>
      <c r="AQ568" s="305"/>
      <c r="AR568" s="305"/>
      <c r="AS568" s="305"/>
      <c r="AT568" s="305"/>
      <c r="AU568" s="305"/>
      <c r="AV568" s="305"/>
      <c r="AW568" s="305"/>
      <c r="AX568" s="305"/>
      <c r="AY568" s="305"/>
      <c r="AZ568" s="305"/>
      <c r="BA568" s="305"/>
      <c r="BB568" s="305"/>
      <c r="BC568" s="305"/>
      <c r="BD568" s="305"/>
      <c r="BE568" s="305"/>
      <c r="BF568" s="305"/>
      <c r="BG568" s="305"/>
      <c r="BH568" s="305"/>
      <c r="BI568" s="305"/>
      <c r="BJ568" s="305"/>
      <c r="BK568" s="305"/>
      <c r="BL568" s="305"/>
      <c r="BM568" s="305"/>
      <c r="BN568" s="305"/>
      <c r="BO568" s="305"/>
      <c r="BP568" s="305"/>
      <c r="BQ568" s="305"/>
      <c r="BR568" s="305"/>
      <c r="BS568" s="305"/>
      <c r="BT568" s="305"/>
      <c r="BU568" s="305"/>
      <c r="BV568" s="305"/>
      <c r="BW568" s="305"/>
      <c r="BX568" s="305"/>
      <c r="BY568" s="305"/>
      <c r="BZ568" s="305"/>
      <c r="CA568" s="305"/>
      <c r="CB568" s="305"/>
      <c r="CC568" s="305"/>
      <c r="CD568" s="305"/>
      <c r="CE568" s="305"/>
      <c r="CF568" s="305"/>
      <c r="CG568" s="305"/>
      <c r="CH568" s="305"/>
      <c r="CI568" s="305"/>
      <c r="CJ568" s="305"/>
      <c r="CK568" s="305"/>
      <c r="CL568" s="305"/>
      <c r="CM568" s="305"/>
      <c r="CN568" s="305"/>
      <c r="CO568" s="305"/>
      <c r="CP568" s="305"/>
      <c r="CQ568" s="305"/>
      <c r="CR568" s="305"/>
      <c r="CS568" s="305"/>
      <c r="CT568" s="305"/>
      <c r="CU568" s="305"/>
      <c r="CV568" s="305"/>
      <c r="CW568" s="305"/>
      <c r="CX568" s="305"/>
      <c r="CY568" s="305"/>
      <c r="CZ568" s="305"/>
      <c r="DA568" s="305"/>
      <c r="DB568" s="305"/>
      <c r="DC568" s="305"/>
      <c r="DD568" s="305"/>
      <c r="DE568" s="305"/>
      <c r="DF568" s="305"/>
      <c r="DG568" s="305"/>
      <c r="DH568" s="305"/>
      <c r="DI568" s="305"/>
      <c r="DJ568" s="305"/>
      <c r="DK568" s="305"/>
      <c r="DL568" s="305"/>
      <c r="DM568" s="305"/>
      <c r="DN568" s="305"/>
      <c r="DO568" s="305"/>
      <c r="DP568" s="305"/>
      <c r="DQ568" s="305"/>
      <c r="DR568" s="305"/>
      <c r="DS568" s="305"/>
      <c r="DT568" s="305"/>
      <c r="DU568" s="305"/>
      <c r="DV568" s="305"/>
      <c r="DW568" s="305"/>
      <c r="DX568" s="305"/>
      <c r="DY568" s="305"/>
      <c r="DZ568" s="305"/>
      <c r="EA568" s="305"/>
      <c r="EB568" s="305"/>
      <c r="EC568" s="305"/>
      <c r="ED568" s="305"/>
      <c r="EE568" s="305"/>
      <c r="EF568" s="305"/>
      <c r="EG568" s="305"/>
      <c r="EH568" s="305"/>
      <c r="EI568" s="305"/>
      <c r="EJ568" s="305"/>
      <c r="EK568" s="305"/>
      <c r="EL568" s="305"/>
      <c r="EM568" s="305"/>
      <c r="EN568" s="305"/>
      <c r="EO568" s="305"/>
      <c r="EP568" s="305"/>
      <c r="EQ568" s="305"/>
      <c r="ER568" s="305"/>
      <c r="ES568" s="305"/>
      <c r="ET568" s="305"/>
      <c r="EU568" s="305"/>
      <c r="EV568" s="305"/>
      <c r="EW568" s="305"/>
      <c r="EX568" s="305"/>
      <c r="EY568" s="305"/>
      <c r="EZ568" s="305"/>
      <c r="FA568" s="305"/>
      <c r="FB568" s="305"/>
      <c r="FC568" s="305"/>
      <c r="FD568" s="305"/>
      <c r="FE568" s="305"/>
      <c r="FF568" s="305"/>
      <c r="FG568" s="305"/>
      <c r="FH568" s="305"/>
      <c r="FI568" s="305"/>
      <c r="FJ568" s="305"/>
      <c r="FK568" s="305"/>
      <c r="FL568" s="305"/>
      <c r="FM568" s="305"/>
      <c r="FN568" s="305"/>
      <c r="FO568" s="305"/>
      <c r="FP568" s="305"/>
      <c r="FQ568" s="305"/>
      <c r="FR568" s="305"/>
      <c r="FS568" s="305"/>
      <c r="FT568" s="305"/>
      <c r="FU568" s="305"/>
      <c r="FV568" s="305"/>
      <c r="FW568" s="305"/>
      <c r="FX568" s="305"/>
      <c r="FY568" s="305"/>
      <c r="FZ568" s="305"/>
      <c r="GA568" s="305"/>
      <c r="GB568" s="305"/>
      <c r="GC568" s="305"/>
      <c r="GD568" s="305"/>
      <c r="GE568" s="305"/>
      <c r="GF568" s="305"/>
      <c r="GG568" s="305"/>
      <c r="GH568" s="305"/>
      <c r="GI568" s="305"/>
      <c r="GJ568" s="305"/>
      <c r="GK568" s="305"/>
      <c r="GL568" s="305"/>
      <c r="GM568" s="305"/>
      <c r="GN568" s="305"/>
      <c r="GO568" s="305"/>
      <c r="GP568" s="305"/>
      <c r="GQ568" s="305"/>
      <c r="GR568" s="305"/>
    </row>
    <row r="569" spans="3:200" s="318" customFormat="1" ht="12.75" customHeight="1" x14ac:dyDescent="0.2">
      <c r="C569" s="367"/>
      <c r="D569" s="403"/>
      <c r="E569" s="369"/>
      <c r="F569" s="369"/>
      <c r="G569" s="369"/>
      <c r="H569" s="369"/>
      <c r="I569" s="370"/>
      <c r="J569"/>
      <c r="K569" s="371"/>
      <c r="L569" s="371"/>
      <c r="M569" s="371"/>
      <c r="N569" s="371"/>
      <c r="O569" s="305"/>
      <c r="P569" s="305"/>
      <c r="Q569" s="305"/>
      <c r="R569" s="305"/>
      <c r="S569" s="305"/>
      <c r="T569" s="305"/>
      <c r="U569" s="305"/>
      <c r="V569" s="305"/>
      <c r="W569" s="305"/>
      <c r="X569" s="305"/>
      <c r="Y569" s="305"/>
      <c r="Z569" s="305"/>
      <c r="AA569" s="305"/>
      <c r="AB569" s="305"/>
      <c r="AC569" s="305"/>
      <c r="AD569" s="305"/>
      <c r="AE569" s="305"/>
      <c r="AF569" s="305"/>
      <c r="AG569" s="305"/>
      <c r="AH569" s="305"/>
      <c r="AI569" s="305"/>
      <c r="AJ569" s="305"/>
      <c r="AK569" s="305"/>
      <c r="AL569" s="305"/>
      <c r="AM569" s="305"/>
      <c r="AN569" s="305"/>
      <c r="AO569" s="305"/>
      <c r="AP569" s="305"/>
      <c r="AQ569" s="305"/>
      <c r="AR569" s="305"/>
      <c r="AS569" s="305"/>
      <c r="AT569" s="305"/>
      <c r="AU569" s="305"/>
      <c r="AV569" s="305"/>
      <c r="AW569" s="305"/>
      <c r="AX569" s="305"/>
      <c r="AY569" s="305"/>
      <c r="AZ569" s="305"/>
      <c r="BA569" s="305"/>
      <c r="BB569" s="305"/>
      <c r="BC569" s="305"/>
      <c r="BD569" s="305"/>
      <c r="BE569" s="305"/>
      <c r="BF569" s="305"/>
      <c r="BG569" s="305"/>
      <c r="BH569" s="305"/>
      <c r="BI569" s="305"/>
      <c r="BJ569" s="305"/>
      <c r="BK569" s="305"/>
      <c r="BL569" s="305"/>
      <c r="BM569" s="305"/>
      <c r="BN569" s="305"/>
      <c r="BO569" s="305"/>
      <c r="BP569" s="305"/>
      <c r="BQ569" s="305"/>
      <c r="BR569" s="305"/>
      <c r="BS569" s="305"/>
      <c r="BT569" s="305"/>
      <c r="BU569" s="305"/>
      <c r="BV569" s="305"/>
      <c r="BW569" s="305"/>
      <c r="BX569" s="305"/>
      <c r="BY569" s="305"/>
      <c r="BZ569" s="305"/>
      <c r="CA569" s="305"/>
      <c r="CB569" s="305"/>
      <c r="CC569" s="305"/>
      <c r="CD569" s="305"/>
      <c r="CE569" s="305"/>
      <c r="CF569" s="305"/>
      <c r="CG569" s="305"/>
      <c r="CH569" s="305"/>
      <c r="CI569" s="305"/>
      <c r="CJ569" s="305"/>
      <c r="CK569" s="305"/>
      <c r="CL569" s="305"/>
      <c r="CM569" s="305"/>
      <c r="CN569" s="305"/>
      <c r="CO569" s="305"/>
      <c r="CP569" s="305"/>
      <c r="CQ569" s="305"/>
      <c r="CR569" s="305"/>
      <c r="CS569" s="305"/>
      <c r="CT569" s="305"/>
      <c r="CU569" s="305"/>
      <c r="CV569" s="305"/>
      <c r="CW569" s="305"/>
      <c r="CX569" s="305"/>
      <c r="CY569" s="305"/>
      <c r="CZ569" s="305"/>
      <c r="DA569" s="305"/>
      <c r="DB569" s="305"/>
      <c r="DC569" s="305"/>
      <c r="DD569" s="305"/>
      <c r="DE569" s="305"/>
      <c r="DF569" s="305"/>
      <c r="DG569" s="305"/>
      <c r="DH569" s="305"/>
      <c r="DI569" s="305"/>
      <c r="DJ569" s="305"/>
      <c r="DK569" s="305"/>
      <c r="DL569" s="305"/>
      <c r="DM569" s="305"/>
      <c r="DN569" s="305"/>
      <c r="DO569" s="305"/>
      <c r="DP569" s="305"/>
      <c r="DQ569" s="305"/>
      <c r="DR569" s="305"/>
      <c r="DS569" s="305"/>
      <c r="DT569" s="305"/>
      <c r="DU569" s="305"/>
      <c r="DV569" s="305"/>
      <c r="DW569" s="305"/>
      <c r="DX569" s="305"/>
      <c r="DY569" s="305"/>
      <c r="DZ569" s="305"/>
      <c r="EA569" s="305"/>
      <c r="EB569" s="305"/>
      <c r="EC569" s="305"/>
      <c r="ED569" s="305"/>
      <c r="EE569" s="305"/>
      <c r="EF569" s="305"/>
      <c r="EG569" s="305"/>
      <c r="EH569" s="305"/>
      <c r="EI569" s="305"/>
      <c r="EJ569" s="305"/>
      <c r="EK569" s="305"/>
      <c r="EL569" s="305"/>
      <c r="EM569" s="305"/>
      <c r="EN569" s="305"/>
      <c r="EO569" s="305"/>
      <c r="EP569" s="305"/>
      <c r="EQ569" s="305"/>
      <c r="ER569" s="305"/>
      <c r="ES569" s="305"/>
      <c r="ET569" s="305"/>
      <c r="EU569" s="305"/>
      <c r="EV569" s="305"/>
      <c r="EW569" s="305"/>
      <c r="EX569" s="305"/>
      <c r="EY569" s="305"/>
      <c r="EZ569" s="305"/>
      <c r="FA569" s="305"/>
      <c r="FB569" s="305"/>
      <c r="FC569" s="305"/>
      <c r="FD569" s="305"/>
      <c r="FE569" s="305"/>
      <c r="FF569" s="305"/>
      <c r="FG569" s="305"/>
      <c r="FH569" s="305"/>
      <c r="FI569" s="305"/>
      <c r="FJ569" s="305"/>
      <c r="FK569" s="305"/>
      <c r="FL569" s="305"/>
      <c r="FM569" s="305"/>
      <c r="FN569" s="305"/>
      <c r="FO569" s="305"/>
      <c r="FP569" s="305"/>
      <c r="FQ569" s="305"/>
      <c r="FR569" s="305"/>
      <c r="FS569" s="305"/>
      <c r="FT569" s="305"/>
      <c r="FU569" s="305"/>
      <c r="FV569" s="305"/>
      <c r="FW569" s="305"/>
      <c r="FX569" s="305"/>
      <c r="FY569" s="305"/>
      <c r="FZ569" s="305"/>
      <c r="GA569" s="305"/>
      <c r="GB569" s="305"/>
      <c r="GC569" s="305"/>
      <c r="GD569" s="305"/>
      <c r="GE569" s="305"/>
      <c r="GF569" s="305"/>
      <c r="GG569" s="305"/>
      <c r="GH569" s="305"/>
      <c r="GI569" s="305"/>
      <c r="GJ569" s="305"/>
      <c r="GK569" s="305"/>
      <c r="GL569" s="305"/>
      <c r="GM569" s="305"/>
      <c r="GN569" s="305"/>
      <c r="GO569" s="305"/>
      <c r="GP569" s="305"/>
      <c r="GQ569" s="305"/>
      <c r="GR569" s="305"/>
    </row>
    <row r="570" spans="3:200" s="318" customFormat="1" ht="12.75" customHeight="1" x14ac:dyDescent="0.2">
      <c r="C570" s="367"/>
      <c r="D570" s="403"/>
      <c r="E570" s="369"/>
      <c r="F570" s="369"/>
      <c r="G570" s="369"/>
      <c r="H570" s="369"/>
      <c r="I570" s="370"/>
      <c r="J570"/>
      <c r="K570" s="371"/>
      <c r="L570" s="371"/>
      <c r="M570" s="371"/>
      <c r="N570" s="371"/>
      <c r="O570" s="305"/>
      <c r="P570" s="305"/>
      <c r="Q570" s="305"/>
      <c r="R570" s="305"/>
      <c r="S570" s="305"/>
      <c r="T570" s="305"/>
      <c r="U570" s="305"/>
      <c r="V570" s="305"/>
      <c r="W570" s="305"/>
      <c r="X570" s="305"/>
      <c r="Y570" s="305"/>
      <c r="Z570" s="305"/>
      <c r="AA570" s="305"/>
      <c r="AB570" s="305"/>
      <c r="AC570" s="305"/>
      <c r="AD570" s="305"/>
      <c r="AE570" s="305"/>
      <c r="AF570" s="305"/>
      <c r="AG570" s="305"/>
      <c r="AH570" s="305"/>
      <c r="AI570" s="305"/>
      <c r="AJ570" s="305"/>
      <c r="AK570" s="305"/>
      <c r="AL570" s="305"/>
      <c r="AM570" s="305"/>
      <c r="AN570" s="305"/>
      <c r="AO570" s="305"/>
      <c r="AP570" s="305"/>
      <c r="AQ570" s="305"/>
      <c r="AR570" s="305"/>
      <c r="AS570" s="305"/>
      <c r="AT570" s="305"/>
      <c r="AU570" s="305"/>
      <c r="AV570" s="305"/>
      <c r="AW570" s="305"/>
      <c r="AX570" s="305"/>
      <c r="AY570" s="305"/>
      <c r="AZ570" s="305"/>
      <c r="BA570" s="305"/>
      <c r="BB570" s="305"/>
      <c r="BC570" s="305"/>
      <c r="BD570" s="305"/>
      <c r="BE570" s="305"/>
      <c r="BF570" s="305"/>
      <c r="BG570" s="305"/>
      <c r="BH570" s="305"/>
      <c r="BI570" s="305"/>
      <c r="BJ570" s="305"/>
      <c r="BK570" s="305"/>
      <c r="BL570" s="305"/>
      <c r="BM570" s="305"/>
      <c r="BN570" s="305"/>
      <c r="BO570" s="305"/>
      <c r="BP570" s="305"/>
      <c r="BQ570" s="305"/>
      <c r="BR570" s="305"/>
      <c r="BS570" s="305"/>
      <c r="BT570" s="305"/>
      <c r="BU570" s="305"/>
      <c r="BV570" s="305"/>
      <c r="BW570" s="305"/>
      <c r="BX570" s="305"/>
      <c r="BY570" s="305"/>
      <c r="BZ570" s="305"/>
      <c r="CA570" s="305"/>
      <c r="CB570" s="305"/>
      <c r="CC570" s="305"/>
      <c r="CD570" s="305"/>
      <c r="CE570" s="305"/>
      <c r="CF570" s="305"/>
      <c r="CG570" s="305"/>
      <c r="CH570" s="305"/>
      <c r="CI570" s="305"/>
      <c r="CJ570" s="305"/>
      <c r="CK570" s="305"/>
      <c r="CL570" s="305"/>
      <c r="CM570" s="305"/>
      <c r="CN570" s="305"/>
      <c r="CO570" s="305"/>
      <c r="CP570" s="305"/>
      <c r="CQ570" s="305"/>
      <c r="CR570" s="305"/>
      <c r="CS570" s="305"/>
      <c r="CT570" s="305"/>
      <c r="CU570" s="305"/>
      <c r="CV570" s="305"/>
      <c r="CW570" s="305"/>
      <c r="CX570" s="305"/>
      <c r="CY570" s="305"/>
      <c r="CZ570" s="305"/>
      <c r="DA570" s="305"/>
      <c r="DB570" s="305"/>
      <c r="DC570" s="305"/>
      <c r="DD570" s="305"/>
      <c r="DE570" s="305"/>
      <c r="DF570" s="305"/>
      <c r="DG570" s="305"/>
      <c r="DH570" s="305"/>
      <c r="DI570" s="305"/>
      <c r="DJ570" s="305"/>
      <c r="DK570" s="305"/>
      <c r="DL570" s="305"/>
      <c r="DM570" s="305"/>
      <c r="DN570" s="305"/>
      <c r="DO570" s="305"/>
      <c r="DP570" s="305"/>
      <c r="DQ570" s="305"/>
      <c r="DR570" s="305"/>
      <c r="DS570" s="305"/>
      <c r="DT570" s="305"/>
      <c r="DU570" s="305"/>
      <c r="DV570" s="305"/>
      <c r="DW570" s="305"/>
      <c r="DX570" s="305"/>
      <c r="DY570" s="305"/>
      <c r="DZ570" s="305"/>
      <c r="EA570" s="305"/>
      <c r="EB570" s="305"/>
      <c r="EC570" s="305"/>
      <c r="ED570" s="305"/>
      <c r="EE570" s="305"/>
      <c r="EF570" s="305"/>
      <c r="EG570" s="305"/>
      <c r="EH570" s="305"/>
      <c r="EI570" s="305"/>
      <c r="EJ570" s="305"/>
      <c r="EK570" s="305"/>
      <c r="EL570" s="305"/>
      <c r="EM570" s="305"/>
      <c r="EN570" s="305"/>
      <c r="EO570" s="305"/>
      <c r="EP570" s="305"/>
      <c r="EQ570" s="305"/>
      <c r="ER570" s="305"/>
      <c r="ES570" s="305"/>
      <c r="ET570" s="305"/>
      <c r="EU570" s="305"/>
      <c r="EV570" s="305"/>
      <c r="EW570" s="305"/>
      <c r="EX570" s="305"/>
      <c r="EY570" s="305"/>
      <c r="EZ570" s="305"/>
      <c r="FA570" s="305"/>
      <c r="FB570" s="305"/>
      <c r="FC570" s="305"/>
      <c r="FD570" s="305"/>
      <c r="FE570" s="305"/>
      <c r="FF570" s="305"/>
      <c r="FG570" s="305"/>
      <c r="FH570" s="305"/>
      <c r="FI570" s="305"/>
      <c r="FJ570" s="305"/>
      <c r="FK570" s="305"/>
      <c r="FL570" s="305"/>
      <c r="FM570" s="305"/>
      <c r="FN570" s="305"/>
      <c r="FO570" s="305"/>
      <c r="FP570" s="305"/>
      <c r="FQ570" s="305"/>
      <c r="FR570" s="305"/>
      <c r="FS570" s="305"/>
      <c r="FT570" s="305"/>
      <c r="FU570" s="305"/>
      <c r="FV570" s="305"/>
      <c r="FW570" s="305"/>
      <c r="FX570" s="305"/>
      <c r="FY570" s="305"/>
      <c r="FZ570" s="305"/>
      <c r="GA570" s="305"/>
      <c r="GB570" s="305"/>
      <c r="GC570" s="305"/>
      <c r="GD570" s="305"/>
      <c r="GE570" s="305"/>
      <c r="GF570" s="305"/>
      <c r="GG570" s="305"/>
      <c r="GH570" s="305"/>
      <c r="GI570" s="305"/>
      <c r="GJ570" s="305"/>
      <c r="GK570" s="305"/>
      <c r="GL570" s="305"/>
      <c r="GM570" s="305"/>
      <c r="GN570" s="305"/>
      <c r="GO570" s="305"/>
      <c r="GP570" s="305"/>
      <c r="GQ570" s="305"/>
      <c r="GR570" s="305"/>
    </row>
    <row r="571" spans="3:200" s="318" customFormat="1" ht="12.75" customHeight="1" x14ac:dyDescent="0.2">
      <c r="C571" s="367"/>
      <c r="D571" s="403"/>
      <c r="E571" s="369"/>
      <c r="F571" s="369"/>
      <c r="G571" s="369"/>
      <c r="H571" s="369"/>
      <c r="I571" s="370"/>
      <c r="J571"/>
      <c r="K571" s="371"/>
      <c r="L571" s="371"/>
      <c r="M571" s="371"/>
      <c r="N571" s="371"/>
      <c r="O571" s="305"/>
      <c r="P571" s="305"/>
      <c r="Q571" s="305"/>
      <c r="R571" s="305"/>
      <c r="S571" s="305"/>
      <c r="T571" s="305"/>
      <c r="U571" s="305"/>
      <c r="V571" s="305"/>
      <c r="W571" s="305"/>
      <c r="X571" s="305"/>
      <c r="Y571" s="305"/>
      <c r="Z571" s="305"/>
      <c r="AA571" s="305"/>
      <c r="AB571" s="305"/>
      <c r="AC571" s="305"/>
      <c r="AD571" s="305"/>
      <c r="AE571" s="305"/>
      <c r="AF571" s="305"/>
      <c r="AG571" s="305"/>
      <c r="AH571" s="305"/>
      <c r="AI571" s="305"/>
      <c r="AJ571" s="305"/>
      <c r="AK571" s="305"/>
      <c r="AL571" s="305"/>
      <c r="AM571" s="305"/>
      <c r="AN571" s="305"/>
      <c r="AO571" s="305"/>
      <c r="AP571" s="305"/>
      <c r="AQ571" s="305"/>
      <c r="AR571" s="305"/>
      <c r="AS571" s="305"/>
      <c r="AT571" s="305"/>
      <c r="AU571" s="305"/>
      <c r="AV571" s="305"/>
      <c r="AW571" s="305"/>
      <c r="AX571" s="305"/>
      <c r="AY571" s="305"/>
      <c r="AZ571" s="305"/>
      <c r="BA571" s="305"/>
      <c r="BB571" s="305"/>
      <c r="BC571" s="305"/>
      <c r="BD571" s="305"/>
      <c r="BE571" s="305"/>
      <c r="BF571" s="305"/>
      <c r="BG571" s="305"/>
      <c r="BH571" s="305"/>
      <c r="BI571" s="305"/>
      <c r="BJ571" s="305"/>
      <c r="BK571" s="305"/>
      <c r="BL571" s="305"/>
      <c r="BM571" s="305"/>
      <c r="BN571" s="305"/>
      <c r="BO571" s="305"/>
      <c r="BP571" s="305"/>
      <c r="BQ571" s="305"/>
      <c r="BR571" s="305"/>
      <c r="BS571" s="305"/>
      <c r="BT571" s="305"/>
      <c r="BU571" s="305"/>
      <c r="BV571" s="305"/>
      <c r="BW571" s="305"/>
      <c r="BX571" s="305"/>
      <c r="BY571" s="305"/>
      <c r="BZ571" s="305"/>
      <c r="CA571" s="305"/>
      <c r="CB571" s="305"/>
      <c r="CC571" s="305"/>
      <c r="CD571" s="305"/>
      <c r="CE571" s="305"/>
      <c r="CF571" s="305"/>
      <c r="CG571" s="305"/>
      <c r="CH571" s="305"/>
      <c r="CI571" s="305"/>
      <c r="CJ571" s="305"/>
      <c r="CK571" s="305"/>
      <c r="CL571" s="305"/>
      <c r="CM571" s="305"/>
      <c r="CN571" s="305"/>
      <c r="CO571" s="305"/>
      <c r="CP571" s="305"/>
      <c r="CQ571" s="305"/>
      <c r="CR571" s="305"/>
      <c r="CS571" s="305"/>
      <c r="CT571" s="305"/>
      <c r="CU571" s="305"/>
      <c r="CV571" s="305"/>
      <c r="CW571" s="305"/>
      <c r="CX571" s="305"/>
      <c r="CY571" s="305"/>
      <c r="CZ571" s="305"/>
      <c r="DA571" s="305"/>
      <c r="DB571" s="305"/>
      <c r="DC571" s="305"/>
      <c r="DD571" s="305"/>
      <c r="DE571" s="305"/>
      <c r="DF571" s="305"/>
      <c r="DG571" s="305"/>
      <c r="DH571" s="305"/>
      <c r="DI571" s="305"/>
      <c r="DJ571" s="305"/>
      <c r="DK571" s="305"/>
      <c r="DL571" s="305"/>
      <c r="DM571" s="305"/>
      <c r="DN571" s="305"/>
      <c r="DO571" s="305"/>
      <c r="DP571" s="305"/>
      <c r="DQ571" s="305"/>
      <c r="DR571" s="305"/>
      <c r="DS571" s="305"/>
      <c r="DT571" s="305"/>
      <c r="DU571" s="305"/>
      <c r="DV571" s="305"/>
      <c r="DW571" s="305"/>
      <c r="DX571" s="305"/>
      <c r="DY571" s="305"/>
      <c r="DZ571" s="305"/>
      <c r="EA571" s="305"/>
      <c r="EB571" s="305"/>
      <c r="EC571" s="305"/>
      <c r="ED571" s="305"/>
      <c r="EE571" s="305"/>
      <c r="EF571" s="305"/>
      <c r="EG571" s="305"/>
      <c r="EH571" s="305"/>
      <c r="EI571" s="305"/>
      <c r="EJ571" s="305"/>
      <c r="EK571" s="305"/>
      <c r="EL571" s="305"/>
      <c r="EM571" s="305"/>
      <c r="EN571" s="305"/>
      <c r="EO571" s="305"/>
      <c r="EP571" s="305"/>
      <c r="EQ571" s="305"/>
      <c r="ER571" s="305"/>
      <c r="ES571" s="305"/>
      <c r="ET571" s="305"/>
      <c r="EU571" s="305"/>
      <c r="EV571" s="305"/>
      <c r="EW571" s="305"/>
      <c r="EX571" s="305"/>
      <c r="EY571" s="305"/>
      <c r="EZ571" s="305"/>
      <c r="FA571" s="305"/>
      <c r="FB571" s="305"/>
      <c r="FC571" s="305"/>
      <c r="FD571" s="305"/>
      <c r="FE571" s="305"/>
      <c r="FF571" s="305"/>
      <c r="FG571" s="305"/>
      <c r="FH571" s="305"/>
      <c r="FI571" s="305"/>
      <c r="FJ571" s="305"/>
      <c r="FK571" s="305"/>
      <c r="FL571" s="305"/>
      <c r="FM571" s="305"/>
      <c r="FN571" s="305"/>
      <c r="FO571" s="305"/>
      <c r="FP571" s="305"/>
      <c r="FQ571" s="305"/>
      <c r="FR571" s="305"/>
      <c r="FS571" s="305"/>
      <c r="FT571" s="305"/>
      <c r="FU571" s="305"/>
      <c r="FV571" s="305"/>
      <c r="FW571" s="305"/>
      <c r="FX571" s="305"/>
      <c r="FY571" s="305"/>
      <c r="FZ571" s="305"/>
      <c r="GA571" s="305"/>
      <c r="GB571" s="305"/>
      <c r="GC571" s="305"/>
      <c r="GD571" s="305"/>
      <c r="GE571" s="305"/>
      <c r="GF571" s="305"/>
      <c r="GG571" s="305"/>
      <c r="GH571" s="305"/>
      <c r="GI571" s="305"/>
      <c r="GJ571" s="305"/>
      <c r="GK571" s="305"/>
      <c r="GL571" s="305"/>
      <c r="GM571" s="305"/>
      <c r="GN571" s="305"/>
      <c r="GO571" s="305"/>
      <c r="GP571" s="305"/>
      <c r="GQ571" s="305"/>
      <c r="GR571" s="305"/>
    </row>
    <row r="572" spans="3:200" s="318" customFormat="1" ht="12.75" customHeight="1" x14ac:dyDescent="0.2">
      <c r="C572" s="367"/>
      <c r="D572" s="403"/>
      <c r="E572" s="369"/>
      <c r="F572" s="369"/>
      <c r="G572" s="369"/>
      <c r="H572" s="369"/>
      <c r="I572" s="370"/>
      <c r="J572"/>
      <c r="K572" s="371"/>
      <c r="L572" s="371"/>
      <c r="M572" s="371"/>
      <c r="N572" s="371"/>
      <c r="O572" s="305"/>
      <c r="P572" s="305"/>
      <c r="Q572" s="305"/>
      <c r="R572" s="305"/>
      <c r="S572" s="305"/>
      <c r="T572" s="305"/>
      <c r="U572" s="305"/>
      <c r="V572" s="305"/>
      <c r="W572" s="305"/>
      <c r="X572" s="305"/>
      <c r="Y572" s="305"/>
      <c r="Z572" s="305"/>
      <c r="AA572" s="305"/>
      <c r="AB572" s="305"/>
      <c r="AC572" s="305"/>
      <c r="AD572" s="305"/>
      <c r="AE572" s="305"/>
      <c r="AF572" s="305"/>
      <c r="AG572" s="305"/>
      <c r="AH572" s="305"/>
      <c r="AI572" s="305"/>
      <c r="AJ572" s="305"/>
      <c r="AK572" s="305"/>
      <c r="AL572" s="305"/>
      <c r="AM572" s="305"/>
      <c r="AN572" s="305"/>
      <c r="AO572" s="305"/>
      <c r="AP572" s="305"/>
      <c r="AQ572" s="305"/>
      <c r="AR572" s="305"/>
      <c r="AS572" s="305"/>
      <c r="AT572" s="305"/>
      <c r="AU572" s="305"/>
      <c r="AV572" s="305"/>
      <c r="AW572" s="305"/>
      <c r="AX572" s="305"/>
      <c r="AY572" s="305"/>
      <c r="AZ572" s="305"/>
      <c r="BA572" s="305"/>
      <c r="BB572" s="305"/>
      <c r="BC572" s="305"/>
      <c r="BD572" s="305"/>
      <c r="BE572" s="305"/>
      <c r="BF572" s="305"/>
      <c r="BG572" s="305"/>
      <c r="BH572" s="305"/>
      <c r="BI572" s="305"/>
      <c r="BJ572" s="305"/>
      <c r="BK572" s="305"/>
      <c r="BL572" s="305"/>
      <c r="BM572" s="305"/>
      <c r="BN572" s="305"/>
      <c r="BO572" s="305"/>
      <c r="BP572" s="305"/>
      <c r="BQ572" s="305"/>
      <c r="BR572" s="305"/>
      <c r="BS572" s="305"/>
      <c r="BT572" s="305"/>
      <c r="BU572" s="305"/>
      <c r="BV572" s="305"/>
      <c r="BW572" s="305"/>
      <c r="BX572" s="305"/>
      <c r="BY572" s="305"/>
      <c r="BZ572" s="305"/>
      <c r="CA572" s="305"/>
      <c r="CB572" s="305"/>
      <c r="CC572" s="305"/>
      <c r="CD572" s="305"/>
      <c r="CE572" s="305"/>
      <c r="CF572" s="305"/>
      <c r="CG572" s="305"/>
      <c r="CH572" s="305"/>
      <c r="CI572" s="305"/>
      <c r="CJ572" s="305"/>
      <c r="CK572" s="305"/>
      <c r="CL572" s="305"/>
      <c r="CM572" s="305"/>
      <c r="CN572" s="305"/>
      <c r="CO572" s="305"/>
      <c r="CP572" s="305"/>
      <c r="CQ572" s="305"/>
      <c r="CR572" s="305"/>
      <c r="CS572" s="305"/>
      <c r="CT572" s="305"/>
      <c r="CU572" s="305"/>
      <c r="CV572" s="305"/>
      <c r="CW572" s="305"/>
      <c r="CX572" s="305"/>
      <c r="CY572" s="305"/>
      <c r="CZ572" s="305"/>
      <c r="DA572" s="305"/>
      <c r="DB572" s="305"/>
      <c r="DC572" s="305"/>
      <c r="DD572" s="305"/>
      <c r="DE572" s="305"/>
      <c r="DF572" s="305"/>
      <c r="DG572" s="305"/>
      <c r="DH572" s="305"/>
      <c r="DI572" s="305"/>
      <c r="DJ572" s="305"/>
      <c r="DK572" s="305"/>
      <c r="DL572" s="305"/>
      <c r="DM572" s="305"/>
      <c r="DN572" s="305"/>
      <c r="DO572" s="305"/>
      <c r="DP572" s="305"/>
      <c r="DQ572" s="305"/>
      <c r="DR572" s="305"/>
      <c r="DS572" s="305"/>
      <c r="DT572" s="305"/>
      <c r="DU572" s="305"/>
      <c r="DV572" s="305"/>
      <c r="DW572" s="305"/>
      <c r="DX572" s="305"/>
      <c r="DY572" s="305"/>
      <c r="DZ572" s="305"/>
      <c r="EA572" s="305"/>
      <c r="EB572" s="305"/>
      <c r="EC572" s="305"/>
      <c r="ED572" s="305"/>
      <c r="EE572" s="305"/>
      <c r="EF572" s="305"/>
      <c r="EG572" s="305"/>
      <c r="EH572" s="305"/>
      <c r="EI572" s="305"/>
      <c r="EJ572" s="305"/>
      <c r="EK572" s="305"/>
      <c r="EL572" s="305"/>
      <c r="EM572" s="305"/>
      <c r="EN572" s="305"/>
      <c r="EO572" s="305"/>
      <c r="EP572" s="305"/>
      <c r="EQ572" s="305"/>
      <c r="ER572" s="305"/>
      <c r="ES572" s="305"/>
      <c r="ET572" s="305"/>
      <c r="EU572" s="305"/>
      <c r="EV572" s="305"/>
      <c r="EW572" s="305"/>
      <c r="EX572" s="305"/>
      <c r="EY572" s="305"/>
      <c r="EZ572" s="305"/>
      <c r="FA572" s="305"/>
      <c r="FB572" s="305"/>
      <c r="FC572" s="305"/>
      <c r="FD572" s="305"/>
      <c r="FE572" s="305"/>
      <c r="FF572" s="305"/>
      <c r="FG572" s="305"/>
      <c r="FH572" s="305"/>
      <c r="FI572" s="305"/>
      <c r="FJ572" s="305"/>
      <c r="FK572" s="305"/>
      <c r="FL572" s="305"/>
      <c r="FM572" s="305"/>
      <c r="FN572" s="305"/>
      <c r="FO572" s="305"/>
      <c r="FP572" s="305"/>
      <c r="FQ572" s="305"/>
      <c r="FR572" s="305"/>
      <c r="FS572" s="305"/>
      <c r="FT572" s="305"/>
      <c r="FU572" s="305"/>
      <c r="FV572" s="305"/>
      <c r="FW572" s="305"/>
      <c r="FX572" s="305"/>
      <c r="FY572" s="305"/>
      <c r="FZ572" s="305"/>
      <c r="GA572" s="305"/>
      <c r="GB572" s="305"/>
      <c r="GC572" s="305"/>
      <c r="GD572" s="305"/>
      <c r="GE572" s="305"/>
      <c r="GF572" s="305"/>
      <c r="GG572" s="305"/>
      <c r="GH572" s="305"/>
      <c r="GI572" s="305"/>
      <c r="GJ572" s="305"/>
      <c r="GK572" s="305"/>
      <c r="GL572" s="305"/>
      <c r="GM572" s="305"/>
      <c r="GN572" s="305"/>
      <c r="GO572" s="305"/>
      <c r="GP572" s="305"/>
      <c r="GQ572" s="305"/>
      <c r="GR572" s="305"/>
    </row>
    <row r="573" spans="3:200" s="318" customFormat="1" ht="12.75" customHeight="1" x14ac:dyDescent="0.2">
      <c r="C573" s="367"/>
      <c r="D573" s="403"/>
      <c r="E573" s="369"/>
      <c r="F573" s="369"/>
      <c r="G573" s="369"/>
      <c r="H573" s="369"/>
      <c r="I573" s="370"/>
      <c r="J573"/>
      <c r="K573" s="371"/>
      <c r="L573" s="371"/>
      <c r="M573" s="371"/>
      <c r="N573" s="371"/>
      <c r="O573" s="305"/>
      <c r="P573" s="305"/>
      <c r="Q573" s="305"/>
      <c r="R573" s="305"/>
      <c r="S573" s="305"/>
      <c r="T573" s="305"/>
      <c r="U573" s="305"/>
      <c r="V573" s="305"/>
      <c r="W573" s="305"/>
      <c r="X573" s="305"/>
      <c r="Y573" s="305"/>
      <c r="Z573" s="305"/>
      <c r="AA573" s="305"/>
      <c r="AB573" s="305"/>
      <c r="AC573" s="305"/>
      <c r="AD573" s="305"/>
      <c r="AE573" s="305"/>
      <c r="AF573" s="305"/>
      <c r="AG573" s="305"/>
      <c r="AH573" s="305"/>
      <c r="AI573" s="305"/>
      <c r="AJ573" s="305"/>
      <c r="AK573" s="305"/>
      <c r="AL573" s="305"/>
      <c r="AM573" s="305"/>
      <c r="AN573" s="305"/>
      <c r="AO573" s="305"/>
      <c r="AP573" s="305"/>
      <c r="AQ573" s="305"/>
      <c r="AR573" s="305"/>
      <c r="AS573" s="305"/>
      <c r="AT573" s="305"/>
      <c r="AU573" s="305"/>
      <c r="AV573" s="305"/>
      <c r="AW573" s="305"/>
      <c r="AX573" s="305"/>
      <c r="AY573" s="305"/>
      <c r="AZ573" s="305"/>
      <c r="BA573" s="305"/>
      <c r="BB573" s="305"/>
      <c r="BC573" s="305"/>
      <c r="BD573" s="305"/>
      <c r="BE573" s="305"/>
      <c r="BF573" s="305"/>
      <c r="BG573" s="305"/>
      <c r="BH573" s="305"/>
      <c r="BI573" s="305"/>
      <c r="BJ573" s="305"/>
      <c r="BK573" s="305"/>
      <c r="BL573" s="305"/>
      <c r="BM573" s="305"/>
      <c r="BN573" s="305"/>
      <c r="BO573" s="305"/>
      <c r="BP573" s="305"/>
      <c r="BQ573" s="305"/>
      <c r="BR573" s="305"/>
      <c r="BS573" s="305"/>
      <c r="BT573" s="305"/>
      <c r="BU573" s="305"/>
      <c r="BV573" s="305"/>
      <c r="BW573" s="305"/>
      <c r="BX573" s="305"/>
      <c r="BY573" s="305"/>
      <c r="BZ573" s="305"/>
      <c r="CA573" s="305"/>
      <c r="CB573" s="305"/>
      <c r="CC573" s="305"/>
      <c r="CD573" s="305"/>
      <c r="CE573" s="305"/>
      <c r="CF573" s="305"/>
      <c r="CG573" s="305"/>
      <c r="CH573" s="305"/>
      <c r="CI573" s="305"/>
      <c r="CJ573" s="305"/>
      <c r="CK573" s="305"/>
      <c r="CL573" s="305"/>
      <c r="CM573" s="305"/>
      <c r="CN573" s="305"/>
      <c r="CO573" s="305"/>
      <c r="CP573" s="305"/>
      <c r="CQ573" s="305"/>
      <c r="CR573" s="305"/>
      <c r="CS573" s="305"/>
      <c r="CT573" s="305"/>
      <c r="CU573" s="305"/>
      <c r="CV573" s="305"/>
      <c r="CW573" s="305"/>
      <c r="CX573" s="305"/>
      <c r="CY573" s="305"/>
      <c r="CZ573" s="305"/>
      <c r="DA573" s="305"/>
      <c r="DB573" s="305"/>
      <c r="DC573" s="305"/>
      <c r="DD573" s="305"/>
      <c r="DE573" s="305"/>
      <c r="DF573" s="305"/>
      <c r="DG573" s="305"/>
      <c r="DH573" s="305"/>
      <c r="DI573" s="305"/>
      <c r="DJ573" s="305"/>
      <c r="DK573" s="305"/>
      <c r="DL573" s="305"/>
      <c r="DM573" s="305"/>
      <c r="DN573" s="305"/>
      <c r="DO573" s="305"/>
      <c r="DP573" s="305"/>
      <c r="DQ573" s="305"/>
      <c r="DR573" s="305"/>
      <c r="DS573" s="305"/>
      <c r="DT573" s="305"/>
      <c r="DU573" s="305"/>
      <c r="DV573" s="305"/>
      <c r="DW573" s="305"/>
      <c r="DX573" s="305"/>
      <c r="DY573" s="305"/>
      <c r="DZ573" s="305"/>
      <c r="EA573" s="305"/>
      <c r="EB573" s="305"/>
      <c r="EC573" s="305"/>
      <c r="ED573" s="305"/>
      <c r="EE573" s="305"/>
      <c r="EF573" s="305"/>
      <c r="EG573" s="305"/>
      <c r="EH573" s="305"/>
      <c r="EI573" s="305"/>
      <c r="EJ573" s="305"/>
      <c r="EK573" s="305"/>
      <c r="EL573" s="305"/>
      <c r="EM573" s="305"/>
      <c r="EN573" s="305"/>
      <c r="EO573" s="305"/>
      <c r="EP573" s="305"/>
      <c r="EQ573" s="305"/>
      <c r="ER573" s="305"/>
      <c r="ES573" s="305"/>
      <c r="ET573" s="305"/>
      <c r="EU573" s="305"/>
      <c r="EV573" s="305"/>
      <c r="EW573" s="305"/>
      <c r="EX573" s="305"/>
      <c r="EY573" s="305"/>
      <c r="EZ573" s="305"/>
      <c r="FA573" s="305"/>
      <c r="FB573" s="305"/>
      <c r="FC573" s="305"/>
      <c r="FD573" s="305"/>
      <c r="FE573" s="305"/>
      <c r="FF573" s="305"/>
      <c r="FG573" s="305"/>
      <c r="FH573" s="305"/>
      <c r="FI573" s="305"/>
      <c r="FJ573" s="305"/>
      <c r="FK573" s="305"/>
      <c r="FL573" s="305"/>
      <c r="FM573" s="305"/>
      <c r="FN573" s="305"/>
      <c r="FO573" s="305"/>
      <c r="FP573" s="305"/>
      <c r="FQ573" s="305"/>
      <c r="FR573" s="305"/>
      <c r="FS573" s="305"/>
      <c r="FT573" s="305"/>
      <c r="FU573" s="305"/>
      <c r="FV573" s="305"/>
      <c r="FW573" s="305"/>
      <c r="FX573" s="305"/>
      <c r="FY573" s="305"/>
      <c r="FZ573" s="305"/>
      <c r="GA573" s="305"/>
      <c r="GB573" s="305"/>
      <c r="GC573" s="305"/>
      <c r="GD573" s="305"/>
      <c r="GE573" s="305"/>
      <c r="GF573" s="305"/>
      <c r="GG573" s="305"/>
      <c r="GH573" s="305"/>
      <c r="GI573" s="305"/>
      <c r="GJ573" s="305"/>
      <c r="GK573" s="305"/>
      <c r="GL573" s="305"/>
      <c r="GM573" s="305"/>
      <c r="GN573" s="305"/>
      <c r="GO573" s="305"/>
      <c r="GP573" s="305"/>
      <c r="GQ573" s="305"/>
      <c r="GR573" s="305"/>
    </row>
    <row r="574" spans="3:200" s="318" customFormat="1" ht="12.75" customHeight="1" x14ac:dyDescent="0.2">
      <c r="C574" s="367"/>
      <c r="D574" s="403"/>
      <c r="E574" s="369"/>
      <c r="F574" s="369"/>
      <c r="G574" s="369"/>
      <c r="H574" s="369"/>
      <c r="I574" s="370"/>
      <c r="J574"/>
      <c r="K574" s="371"/>
      <c r="L574" s="371"/>
      <c r="M574" s="371"/>
      <c r="N574" s="371"/>
      <c r="O574" s="305"/>
      <c r="P574" s="305"/>
      <c r="Q574" s="305"/>
      <c r="R574" s="305"/>
      <c r="S574" s="305"/>
      <c r="T574" s="305"/>
      <c r="U574" s="305"/>
      <c r="V574" s="305"/>
      <c r="W574" s="305"/>
      <c r="X574" s="305"/>
      <c r="Y574" s="305"/>
      <c r="Z574" s="305"/>
      <c r="AA574" s="305"/>
      <c r="AB574" s="305"/>
      <c r="AC574" s="305"/>
      <c r="AD574" s="305"/>
      <c r="AE574" s="305"/>
      <c r="AF574" s="305"/>
      <c r="AG574" s="305"/>
      <c r="AH574" s="305"/>
      <c r="AI574" s="305"/>
      <c r="AJ574" s="305"/>
      <c r="AK574" s="305"/>
      <c r="AL574" s="305"/>
      <c r="AM574" s="305"/>
      <c r="AN574" s="305"/>
      <c r="AO574" s="305"/>
      <c r="AP574" s="305"/>
      <c r="AQ574" s="305"/>
      <c r="AR574" s="305"/>
      <c r="AS574" s="305"/>
      <c r="AT574" s="305"/>
      <c r="AU574" s="305"/>
      <c r="AV574" s="305"/>
      <c r="AW574" s="305"/>
      <c r="AX574" s="305"/>
      <c r="AY574" s="305"/>
      <c r="AZ574" s="305"/>
      <c r="BA574" s="305"/>
      <c r="BB574" s="305"/>
      <c r="BC574" s="305"/>
      <c r="BD574" s="305"/>
      <c r="BE574" s="305"/>
      <c r="BF574" s="305"/>
      <c r="BG574" s="305"/>
      <c r="BH574" s="305"/>
      <c r="BI574" s="305"/>
      <c r="BJ574" s="305"/>
      <c r="BK574" s="305"/>
      <c r="BL574" s="305"/>
      <c r="BM574" s="305"/>
      <c r="BN574" s="305"/>
      <c r="BO574" s="305"/>
      <c r="BP574" s="305"/>
      <c r="BQ574" s="305"/>
      <c r="BR574" s="305"/>
      <c r="BS574" s="305"/>
      <c r="BT574" s="305"/>
      <c r="BU574" s="305"/>
      <c r="BV574" s="305"/>
      <c r="BW574" s="305"/>
      <c r="BX574" s="305"/>
      <c r="BY574" s="305"/>
      <c r="BZ574" s="305"/>
      <c r="CA574" s="305"/>
      <c r="CB574" s="305"/>
      <c r="CC574" s="305"/>
      <c r="CD574" s="305"/>
      <c r="CE574" s="305"/>
      <c r="CF574" s="305"/>
      <c r="CG574" s="305"/>
      <c r="CH574" s="305"/>
      <c r="CI574" s="305"/>
      <c r="CJ574" s="305"/>
      <c r="CK574" s="305"/>
      <c r="CL574" s="305"/>
      <c r="CM574" s="305"/>
      <c r="CN574" s="305"/>
      <c r="CO574" s="305"/>
      <c r="CP574" s="305"/>
      <c r="CQ574" s="305"/>
      <c r="CR574" s="305"/>
      <c r="CS574" s="305"/>
      <c r="CT574" s="305"/>
      <c r="CU574" s="305"/>
      <c r="CV574" s="305"/>
      <c r="CW574" s="305"/>
      <c r="CX574" s="305"/>
      <c r="CY574" s="305"/>
      <c r="CZ574" s="305"/>
      <c r="DA574" s="305"/>
      <c r="DB574" s="305"/>
      <c r="DC574" s="305"/>
      <c r="DD574" s="305"/>
      <c r="DE574" s="305"/>
      <c r="DF574" s="305"/>
      <c r="DG574" s="305"/>
      <c r="DH574" s="305"/>
      <c r="DI574" s="305"/>
      <c r="DJ574" s="305"/>
      <c r="DK574" s="305"/>
      <c r="DL574" s="305"/>
      <c r="DM574" s="305"/>
      <c r="DN574" s="305"/>
      <c r="DO574" s="305"/>
      <c r="DP574" s="305"/>
      <c r="DQ574" s="305"/>
      <c r="DR574" s="305"/>
      <c r="DS574" s="305"/>
      <c r="DT574" s="305"/>
      <c r="DU574" s="305"/>
      <c r="DV574" s="305"/>
      <c r="DW574" s="305"/>
      <c r="DX574" s="305"/>
      <c r="DY574" s="305"/>
      <c r="DZ574" s="305"/>
      <c r="EA574" s="305"/>
      <c r="EB574" s="305"/>
      <c r="EC574" s="305"/>
      <c r="ED574" s="305"/>
      <c r="EE574" s="305"/>
      <c r="EF574" s="305"/>
      <c r="EG574" s="305"/>
      <c r="EH574" s="305"/>
      <c r="EI574" s="305"/>
      <c r="EJ574" s="305"/>
      <c r="EK574" s="305"/>
      <c r="EL574" s="305"/>
      <c r="EM574" s="305"/>
      <c r="EN574" s="305"/>
      <c r="EO574" s="305"/>
      <c r="EP574" s="305"/>
      <c r="EQ574" s="305"/>
      <c r="ER574" s="305"/>
      <c r="ES574" s="305"/>
      <c r="ET574" s="305"/>
      <c r="EU574" s="305"/>
      <c r="EV574" s="305"/>
      <c r="EW574" s="305"/>
      <c r="EX574" s="305"/>
      <c r="EY574" s="305"/>
      <c r="EZ574" s="305"/>
      <c r="FA574" s="305"/>
      <c r="FB574" s="305"/>
      <c r="FC574" s="305"/>
      <c r="FD574" s="305"/>
      <c r="FE574" s="305"/>
      <c r="FF574" s="305"/>
      <c r="FG574" s="305"/>
      <c r="FH574" s="305"/>
      <c r="FI574" s="305"/>
      <c r="FJ574" s="305"/>
      <c r="FK574" s="305"/>
      <c r="FL574" s="305"/>
      <c r="FM574" s="305"/>
      <c r="FN574" s="305"/>
      <c r="FO574" s="305"/>
      <c r="FP574" s="305"/>
      <c r="FQ574" s="305"/>
      <c r="FR574" s="305"/>
      <c r="FS574" s="305"/>
      <c r="FT574" s="305"/>
      <c r="FU574" s="305"/>
      <c r="FV574" s="305"/>
      <c r="FW574" s="305"/>
      <c r="FX574" s="305"/>
      <c r="FY574" s="305"/>
      <c r="FZ574" s="305"/>
      <c r="GA574" s="305"/>
      <c r="GB574" s="305"/>
      <c r="GC574" s="305"/>
      <c r="GD574" s="305"/>
      <c r="GE574" s="305"/>
      <c r="GF574" s="305"/>
      <c r="GG574" s="305"/>
      <c r="GH574" s="305"/>
      <c r="GI574" s="305"/>
      <c r="GJ574" s="305"/>
      <c r="GK574" s="305"/>
      <c r="GL574" s="305"/>
      <c r="GM574" s="305"/>
      <c r="GN574" s="305"/>
      <c r="GO574" s="305"/>
      <c r="GP574" s="305"/>
      <c r="GQ574" s="305"/>
      <c r="GR574" s="305"/>
    </row>
    <row r="575" spans="3:200" s="318" customFormat="1" ht="12.75" customHeight="1" x14ac:dyDescent="0.2">
      <c r="C575" s="367"/>
      <c r="D575" s="403"/>
      <c r="E575" s="369"/>
      <c r="F575" s="369"/>
      <c r="G575" s="369"/>
      <c r="H575" s="369"/>
      <c r="I575" s="370"/>
      <c r="J575"/>
      <c r="K575" s="371"/>
      <c r="L575" s="371"/>
      <c r="M575" s="371"/>
      <c r="N575" s="371"/>
      <c r="O575" s="305"/>
      <c r="P575" s="305"/>
      <c r="Q575" s="305"/>
      <c r="R575" s="305"/>
      <c r="S575" s="305"/>
      <c r="T575" s="305"/>
      <c r="U575" s="305"/>
      <c r="V575" s="305"/>
      <c r="W575" s="305"/>
      <c r="X575" s="305"/>
      <c r="Y575" s="305"/>
      <c r="Z575" s="305"/>
      <c r="AA575" s="305"/>
      <c r="AB575" s="305"/>
      <c r="AC575" s="305"/>
      <c r="AD575" s="305"/>
      <c r="AE575" s="305"/>
      <c r="AF575" s="305"/>
      <c r="AG575" s="305"/>
      <c r="AH575" s="305"/>
      <c r="AI575" s="305"/>
      <c r="AJ575" s="305"/>
      <c r="AK575" s="305"/>
      <c r="AL575" s="305"/>
      <c r="AM575" s="305"/>
      <c r="AN575" s="305"/>
      <c r="AO575" s="305"/>
      <c r="AP575" s="305"/>
      <c r="AQ575" s="305"/>
      <c r="AR575" s="305"/>
      <c r="AS575" s="305"/>
      <c r="AT575" s="305"/>
      <c r="AU575" s="305"/>
      <c r="AV575" s="305"/>
      <c r="AW575" s="305"/>
      <c r="AX575" s="305"/>
      <c r="AY575" s="305"/>
      <c r="AZ575" s="305"/>
      <c r="BA575" s="305"/>
      <c r="BB575" s="305"/>
      <c r="BC575" s="305"/>
      <c r="BD575" s="305"/>
      <c r="BE575" s="305"/>
      <c r="BF575" s="305"/>
      <c r="BG575" s="305"/>
      <c r="BH575" s="305"/>
      <c r="BI575" s="305"/>
      <c r="BJ575" s="305"/>
      <c r="BK575" s="305"/>
      <c r="BL575" s="305"/>
      <c r="BM575" s="305"/>
      <c r="BN575" s="305"/>
      <c r="BO575" s="305"/>
      <c r="BP575" s="305"/>
      <c r="BQ575" s="305"/>
      <c r="BR575" s="305"/>
      <c r="BS575" s="305"/>
      <c r="BT575" s="305"/>
      <c r="BU575" s="305"/>
      <c r="BV575" s="305"/>
      <c r="BW575" s="305"/>
      <c r="BX575" s="305"/>
      <c r="BY575" s="305"/>
      <c r="BZ575" s="305"/>
      <c r="CA575" s="305"/>
      <c r="CB575" s="305"/>
      <c r="CC575" s="305"/>
      <c r="CD575" s="305"/>
      <c r="CE575" s="305"/>
      <c r="CF575" s="305"/>
      <c r="CG575" s="305"/>
      <c r="CH575" s="305"/>
      <c r="CI575" s="305"/>
      <c r="CJ575" s="305"/>
      <c r="CK575" s="305"/>
      <c r="CL575" s="305"/>
      <c r="CM575" s="305"/>
      <c r="CN575" s="305"/>
      <c r="CO575" s="305"/>
      <c r="CP575" s="305"/>
      <c r="CQ575" s="305"/>
      <c r="CR575" s="305"/>
      <c r="CS575" s="305"/>
      <c r="CT575" s="305"/>
      <c r="CU575" s="305"/>
      <c r="CV575" s="305"/>
      <c r="CW575" s="305"/>
      <c r="CX575" s="305"/>
      <c r="CY575" s="305"/>
      <c r="CZ575" s="305"/>
      <c r="DA575" s="305"/>
      <c r="DB575" s="305"/>
      <c r="DC575" s="305"/>
      <c r="DD575" s="305"/>
      <c r="DE575" s="305"/>
      <c r="DF575" s="305"/>
      <c r="DG575" s="305"/>
      <c r="DH575" s="305"/>
      <c r="DI575" s="305"/>
      <c r="DJ575" s="305"/>
      <c r="DK575" s="305"/>
      <c r="DL575" s="305"/>
      <c r="DM575" s="305"/>
      <c r="DN575" s="305"/>
      <c r="DO575" s="305"/>
      <c r="DP575" s="305"/>
      <c r="DQ575" s="305"/>
      <c r="DR575" s="305"/>
      <c r="DS575" s="305"/>
      <c r="DT575" s="305"/>
      <c r="DU575" s="305"/>
      <c r="DV575" s="305"/>
      <c r="DW575" s="305"/>
      <c r="DX575" s="305"/>
      <c r="DY575" s="305"/>
      <c r="DZ575" s="305"/>
      <c r="EA575" s="305"/>
      <c r="EB575" s="305"/>
      <c r="EC575" s="305"/>
      <c r="ED575" s="305"/>
      <c r="EE575" s="305"/>
      <c r="EF575" s="305"/>
      <c r="EG575" s="305"/>
      <c r="EH575" s="305"/>
      <c r="EI575" s="305"/>
      <c r="EJ575" s="305"/>
      <c r="EK575" s="305"/>
      <c r="EL575" s="305"/>
      <c r="EM575" s="305"/>
      <c r="EN575" s="305"/>
      <c r="EO575" s="305"/>
      <c r="EP575" s="305"/>
      <c r="EQ575" s="305"/>
      <c r="ER575" s="305"/>
      <c r="ES575" s="305"/>
      <c r="ET575" s="305"/>
      <c r="EU575" s="305"/>
      <c r="EV575" s="305"/>
      <c r="EW575" s="305"/>
      <c r="EX575" s="305"/>
      <c r="EY575" s="305"/>
      <c r="EZ575" s="305"/>
      <c r="FA575" s="305"/>
      <c r="FB575" s="305"/>
      <c r="FC575" s="305"/>
      <c r="FD575" s="305"/>
      <c r="FE575" s="305"/>
      <c r="FF575" s="305"/>
      <c r="FG575" s="305"/>
      <c r="FH575" s="305"/>
      <c r="FI575" s="305"/>
      <c r="FJ575" s="305"/>
      <c r="FK575" s="305"/>
      <c r="FL575" s="305"/>
      <c r="FM575" s="305"/>
      <c r="FN575" s="305"/>
      <c r="FO575" s="305"/>
      <c r="FP575" s="305"/>
      <c r="FQ575" s="305"/>
      <c r="FR575" s="305"/>
      <c r="FS575" s="305"/>
      <c r="FT575" s="305"/>
      <c r="FU575" s="305"/>
      <c r="FV575" s="305"/>
      <c r="FW575" s="305"/>
      <c r="FX575" s="305"/>
      <c r="FY575" s="305"/>
      <c r="FZ575" s="305"/>
      <c r="GA575" s="305"/>
      <c r="GB575" s="305"/>
      <c r="GC575" s="305"/>
      <c r="GD575" s="305"/>
      <c r="GE575" s="305"/>
      <c r="GF575" s="305"/>
      <c r="GG575" s="305"/>
      <c r="GH575" s="305"/>
      <c r="GI575" s="305"/>
      <c r="GJ575" s="305"/>
      <c r="GK575" s="305"/>
      <c r="GL575" s="305"/>
      <c r="GM575" s="305"/>
      <c r="GN575" s="305"/>
      <c r="GO575" s="305"/>
      <c r="GP575" s="305"/>
      <c r="GQ575" s="305"/>
      <c r="GR575" s="305"/>
    </row>
    <row r="576" spans="3:200" s="318" customFormat="1" ht="12.75" customHeight="1" x14ac:dyDescent="0.2">
      <c r="C576" s="367"/>
      <c r="D576" s="403"/>
      <c r="E576" s="369"/>
      <c r="F576" s="369"/>
      <c r="G576" s="369"/>
      <c r="H576" s="369"/>
      <c r="I576" s="370"/>
      <c r="J576"/>
      <c r="K576" s="371"/>
      <c r="L576" s="371"/>
      <c r="M576" s="371"/>
      <c r="N576" s="371"/>
      <c r="O576" s="305"/>
      <c r="P576" s="305"/>
      <c r="Q576" s="305"/>
      <c r="R576" s="305"/>
      <c r="S576" s="305"/>
      <c r="T576" s="305"/>
      <c r="U576" s="305"/>
      <c r="V576" s="305"/>
      <c r="W576" s="305"/>
      <c r="X576" s="305"/>
      <c r="Y576" s="305"/>
      <c r="Z576" s="305"/>
      <c r="AA576" s="305"/>
      <c r="AB576" s="305"/>
      <c r="AC576" s="305"/>
      <c r="AD576" s="305"/>
      <c r="AE576" s="305"/>
      <c r="AF576" s="305"/>
      <c r="AG576" s="305"/>
      <c r="AH576" s="305"/>
      <c r="AI576" s="305"/>
      <c r="AJ576" s="305"/>
      <c r="AK576" s="305"/>
      <c r="AL576" s="305"/>
      <c r="AM576" s="305"/>
      <c r="AN576" s="305"/>
      <c r="AO576" s="305"/>
      <c r="AP576" s="305"/>
      <c r="AQ576" s="305"/>
      <c r="AR576" s="305"/>
      <c r="AS576" s="305"/>
      <c r="AT576" s="305"/>
      <c r="AU576" s="305"/>
      <c r="AV576" s="305"/>
      <c r="AW576" s="305"/>
      <c r="AX576" s="305"/>
      <c r="AY576" s="305"/>
      <c r="AZ576" s="305"/>
      <c r="BA576" s="305"/>
      <c r="BB576" s="305"/>
      <c r="BC576" s="305"/>
      <c r="BD576" s="305"/>
      <c r="BE576" s="305"/>
      <c r="BF576" s="305"/>
      <c r="BG576" s="305"/>
      <c r="BH576" s="305"/>
      <c r="BI576" s="305"/>
      <c r="BJ576" s="305"/>
      <c r="BK576" s="305"/>
      <c r="BL576" s="305"/>
      <c r="BM576" s="305"/>
      <c r="BN576" s="305"/>
      <c r="BO576" s="305"/>
      <c r="BP576" s="305"/>
      <c r="BQ576" s="305"/>
      <c r="BR576" s="305"/>
      <c r="BS576" s="305"/>
      <c r="BT576" s="305"/>
      <c r="BU576" s="305"/>
      <c r="BV576" s="305"/>
      <c r="BW576" s="305"/>
      <c r="BX576" s="305"/>
      <c r="BY576" s="305"/>
      <c r="BZ576" s="305"/>
      <c r="CA576" s="305"/>
      <c r="CB576" s="305"/>
      <c r="CC576" s="305"/>
      <c r="CD576" s="305"/>
      <c r="CE576" s="305"/>
      <c r="CF576" s="305"/>
      <c r="CG576" s="305"/>
      <c r="CH576" s="305"/>
      <c r="CI576" s="305"/>
      <c r="CJ576" s="305"/>
      <c r="CK576" s="305"/>
      <c r="CL576" s="305"/>
      <c r="CM576" s="305"/>
      <c r="CN576" s="305"/>
      <c r="CO576" s="305"/>
      <c r="CP576" s="305"/>
      <c r="CQ576" s="305"/>
      <c r="CR576" s="305"/>
      <c r="CS576" s="305"/>
      <c r="CT576" s="305"/>
      <c r="CU576" s="305"/>
      <c r="CV576" s="305"/>
      <c r="CW576" s="305"/>
      <c r="CX576" s="305"/>
      <c r="CY576" s="305"/>
      <c r="CZ576" s="305"/>
      <c r="DA576" s="305"/>
      <c r="DB576" s="305"/>
      <c r="DC576" s="305"/>
      <c r="DD576" s="305"/>
      <c r="DE576" s="305"/>
      <c r="DF576" s="305"/>
      <c r="DG576" s="305"/>
      <c r="DH576" s="305"/>
      <c r="DI576" s="305"/>
      <c r="DJ576" s="305"/>
      <c r="DK576" s="305"/>
      <c r="DL576" s="305"/>
      <c r="DM576" s="305"/>
      <c r="DN576" s="305"/>
      <c r="DO576" s="305"/>
      <c r="DP576" s="305"/>
      <c r="DQ576" s="305"/>
      <c r="DR576" s="305"/>
      <c r="DS576" s="305"/>
      <c r="DT576" s="305"/>
      <c r="DU576" s="305"/>
      <c r="DV576" s="305"/>
      <c r="DW576" s="305"/>
      <c r="DX576" s="305"/>
      <c r="DY576" s="305"/>
      <c r="DZ576" s="305"/>
      <c r="EA576" s="305"/>
      <c r="EB576" s="305"/>
      <c r="EC576" s="305"/>
      <c r="ED576" s="305"/>
      <c r="EE576" s="305"/>
      <c r="EF576" s="305"/>
      <c r="EG576" s="305"/>
      <c r="EH576" s="305"/>
      <c r="EI576" s="305"/>
      <c r="EJ576" s="305"/>
      <c r="EK576" s="305"/>
      <c r="EL576" s="305"/>
      <c r="EM576" s="305"/>
      <c r="EN576" s="305"/>
      <c r="EO576" s="305"/>
      <c r="EP576" s="305"/>
      <c r="EQ576" s="305"/>
      <c r="ER576" s="305"/>
      <c r="ES576" s="305"/>
      <c r="ET576" s="305"/>
      <c r="EU576" s="305"/>
      <c r="EV576" s="305"/>
      <c r="EW576" s="305"/>
      <c r="EX576" s="305"/>
      <c r="EY576" s="305"/>
      <c r="EZ576" s="305"/>
      <c r="FA576" s="305"/>
      <c r="FB576" s="305"/>
      <c r="FC576" s="305"/>
      <c r="FD576" s="305"/>
      <c r="FE576" s="305"/>
      <c r="FF576" s="305"/>
      <c r="FG576" s="305"/>
      <c r="FH576" s="305"/>
      <c r="FI576" s="305"/>
      <c r="FJ576" s="305"/>
      <c r="FK576" s="305"/>
      <c r="FL576" s="305"/>
      <c r="FM576" s="305"/>
      <c r="FN576" s="305"/>
      <c r="FO576" s="305"/>
      <c r="FP576" s="305"/>
      <c r="FQ576" s="305"/>
      <c r="FR576" s="305"/>
      <c r="FS576" s="305"/>
      <c r="FT576" s="305"/>
      <c r="FU576" s="305"/>
      <c r="FV576" s="305"/>
      <c r="FW576" s="305"/>
      <c r="FX576" s="305"/>
      <c r="FY576" s="305"/>
      <c r="FZ576" s="305"/>
      <c r="GA576" s="305"/>
      <c r="GB576" s="305"/>
      <c r="GC576" s="305"/>
      <c r="GD576" s="305"/>
      <c r="GE576" s="305"/>
      <c r="GF576" s="305"/>
      <c r="GG576" s="305"/>
      <c r="GH576" s="305"/>
      <c r="GI576" s="305"/>
      <c r="GJ576" s="305"/>
      <c r="GK576" s="305"/>
      <c r="GL576" s="305"/>
      <c r="GM576" s="305"/>
      <c r="GN576" s="305"/>
      <c r="GO576" s="305"/>
      <c r="GP576" s="305"/>
      <c r="GQ576" s="305"/>
      <c r="GR576" s="305"/>
    </row>
    <row r="577" spans="3:200" s="318" customFormat="1" ht="12.75" customHeight="1" x14ac:dyDescent="0.2">
      <c r="C577" s="367"/>
      <c r="D577" s="403"/>
      <c r="E577" s="369"/>
      <c r="F577" s="369"/>
      <c r="G577" s="369"/>
      <c r="H577" s="369"/>
      <c r="I577" s="370"/>
      <c r="J577"/>
      <c r="K577" s="371"/>
      <c r="L577" s="371"/>
      <c r="M577" s="371"/>
      <c r="N577" s="371"/>
      <c r="O577" s="305"/>
      <c r="P577" s="305"/>
      <c r="Q577" s="305"/>
      <c r="R577" s="305"/>
      <c r="S577" s="305"/>
      <c r="T577" s="305"/>
      <c r="U577" s="305"/>
      <c r="V577" s="305"/>
      <c r="W577" s="305"/>
      <c r="X577" s="305"/>
      <c r="Y577" s="305"/>
      <c r="Z577" s="305"/>
      <c r="AA577" s="305"/>
      <c r="AB577" s="305"/>
      <c r="AC577" s="305"/>
      <c r="AD577" s="305"/>
      <c r="AE577" s="305"/>
      <c r="AF577" s="305"/>
      <c r="AG577" s="305"/>
      <c r="AH577" s="305"/>
      <c r="AI577" s="305"/>
      <c r="AJ577" s="305"/>
      <c r="AK577" s="305"/>
      <c r="AL577" s="305"/>
      <c r="AM577" s="305"/>
      <c r="AN577" s="305"/>
      <c r="AO577" s="305"/>
      <c r="AP577" s="305"/>
      <c r="AQ577" s="305"/>
      <c r="AR577" s="305"/>
      <c r="AS577" s="305"/>
      <c r="AT577" s="305"/>
      <c r="AU577" s="305"/>
      <c r="AV577" s="305"/>
      <c r="AW577" s="305"/>
      <c r="AX577" s="305"/>
      <c r="AY577" s="305"/>
      <c r="AZ577" s="305"/>
      <c r="BA577" s="305"/>
      <c r="BB577" s="305"/>
      <c r="BC577" s="305"/>
      <c r="BD577" s="305"/>
      <c r="BE577" s="305"/>
      <c r="BF577" s="305"/>
      <c r="BG577" s="305"/>
      <c r="BH577" s="305"/>
      <c r="BI577" s="305"/>
      <c r="BJ577" s="305"/>
      <c r="BK577" s="305"/>
      <c r="BL577" s="305"/>
      <c r="BM577" s="305"/>
      <c r="BN577" s="305"/>
      <c r="BO577" s="305"/>
      <c r="BP577" s="305"/>
      <c r="BQ577" s="305"/>
      <c r="BR577" s="305"/>
      <c r="BS577" s="305"/>
      <c r="BT577" s="305"/>
      <c r="BU577" s="305"/>
      <c r="BV577" s="305"/>
      <c r="BW577" s="305"/>
      <c r="BX577" s="305"/>
      <c r="BY577" s="305"/>
      <c r="BZ577" s="305"/>
      <c r="CA577" s="305"/>
      <c r="CB577" s="305"/>
      <c r="CC577" s="305"/>
      <c r="CD577" s="305"/>
      <c r="CE577" s="305"/>
      <c r="CF577" s="305"/>
      <c r="CG577" s="305"/>
      <c r="CH577" s="305"/>
      <c r="CI577" s="305"/>
      <c r="CJ577" s="305"/>
      <c r="CK577" s="305"/>
      <c r="CL577" s="305"/>
      <c r="CM577" s="305"/>
      <c r="CN577" s="305"/>
      <c r="CO577" s="305"/>
      <c r="CP577" s="305"/>
      <c r="CQ577" s="305"/>
      <c r="CR577" s="305"/>
      <c r="CS577" s="305"/>
      <c r="CT577" s="305"/>
      <c r="CU577" s="305"/>
      <c r="CV577" s="305"/>
      <c r="CW577" s="305"/>
      <c r="CX577" s="305"/>
      <c r="CY577" s="305"/>
      <c r="CZ577" s="305"/>
      <c r="DA577" s="305"/>
      <c r="DB577" s="305"/>
      <c r="DC577" s="305"/>
      <c r="DD577" s="305"/>
      <c r="DE577" s="305"/>
      <c r="DF577" s="305"/>
      <c r="DG577" s="305"/>
      <c r="DH577" s="305"/>
      <c r="DI577" s="305"/>
      <c r="DJ577" s="305"/>
      <c r="DK577" s="305"/>
      <c r="DL577" s="305"/>
      <c r="DM577" s="305"/>
      <c r="DN577" s="305"/>
      <c r="DO577" s="305"/>
      <c r="DP577" s="305"/>
      <c r="DQ577" s="305"/>
      <c r="DR577" s="305"/>
      <c r="DS577" s="305"/>
      <c r="DT577" s="305"/>
      <c r="DU577" s="305"/>
      <c r="DV577" s="305"/>
      <c r="DW577" s="305"/>
      <c r="DX577" s="305"/>
      <c r="DY577" s="305"/>
      <c r="DZ577" s="305"/>
      <c r="EA577" s="305"/>
      <c r="EB577" s="305"/>
      <c r="EC577" s="305"/>
      <c r="ED577" s="305"/>
      <c r="EE577" s="305"/>
      <c r="EF577" s="305"/>
      <c r="EG577" s="305"/>
      <c r="EH577" s="305"/>
      <c r="EI577" s="305"/>
      <c r="EJ577" s="305"/>
      <c r="EK577" s="305"/>
      <c r="EL577" s="305"/>
      <c r="EM577" s="305"/>
      <c r="EN577" s="305"/>
      <c r="EO577" s="305"/>
      <c r="EP577" s="305"/>
      <c r="EQ577" s="305"/>
      <c r="ER577" s="305"/>
      <c r="ES577" s="305"/>
      <c r="ET577" s="305"/>
      <c r="EU577" s="305"/>
      <c r="EV577" s="305"/>
      <c r="EW577" s="305"/>
      <c r="EX577" s="305"/>
      <c r="EY577" s="305"/>
      <c r="EZ577" s="305"/>
      <c r="FA577" s="305"/>
      <c r="FB577" s="305"/>
      <c r="FC577" s="305"/>
      <c r="FD577" s="305"/>
      <c r="FE577" s="305"/>
      <c r="FF577" s="305"/>
      <c r="FG577" s="305"/>
      <c r="FH577" s="305"/>
      <c r="FI577" s="305"/>
      <c r="FJ577" s="305"/>
      <c r="FK577" s="305"/>
      <c r="FL577" s="305"/>
      <c r="FM577" s="305"/>
      <c r="FN577" s="305"/>
      <c r="FO577" s="305"/>
      <c r="FP577" s="305"/>
      <c r="FQ577" s="305"/>
      <c r="FR577" s="305"/>
      <c r="FS577" s="305"/>
      <c r="FT577" s="305"/>
      <c r="FU577" s="305"/>
      <c r="FV577" s="305"/>
      <c r="FW577" s="305"/>
      <c r="FX577" s="305"/>
      <c r="FY577" s="305"/>
      <c r="FZ577" s="305"/>
      <c r="GA577" s="305"/>
      <c r="GB577" s="305"/>
      <c r="GC577" s="305"/>
      <c r="GD577" s="305"/>
      <c r="GE577" s="305"/>
      <c r="GF577" s="305"/>
      <c r="GG577" s="305"/>
      <c r="GH577" s="305"/>
      <c r="GI577" s="305"/>
      <c r="GJ577" s="305"/>
      <c r="GK577" s="305"/>
      <c r="GL577" s="305"/>
      <c r="GM577" s="305"/>
      <c r="GN577" s="305"/>
      <c r="GO577" s="305"/>
      <c r="GP577" s="305"/>
      <c r="GQ577" s="305"/>
      <c r="GR577" s="305"/>
    </row>
    <row r="578" spans="3:200" s="318" customFormat="1" ht="12.75" customHeight="1" x14ac:dyDescent="0.2">
      <c r="C578" s="367"/>
      <c r="D578" s="403"/>
      <c r="E578" s="369"/>
      <c r="F578" s="369"/>
      <c r="G578" s="369"/>
      <c r="H578" s="369"/>
      <c r="I578" s="370"/>
      <c r="J578"/>
      <c r="K578" s="371"/>
      <c r="L578" s="371"/>
      <c r="M578" s="371"/>
      <c r="N578" s="371"/>
      <c r="O578" s="305"/>
      <c r="P578" s="305"/>
      <c r="Q578" s="305"/>
      <c r="R578" s="305"/>
      <c r="S578" s="305"/>
      <c r="T578" s="305"/>
      <c r="U578" s="305"/>
      <c r="V578" s="305"/>
      <c r="W578" s="305"/>
      <c r="X578" s="305"/>
      <c r="Y578" s="305"/>
      <c r="Z578" s="305"/>
      <c r="AA578" s="305"/>
      <c r="AB578" s="305"/>
      <c r="AC578" s="305"/>
      <c r="AD578" s="305"/>
      <c r="AE578" s="305"/>
      <c r="AF578" s="305"/>
      <c r="AG578" s="305"/>
      <c r="AH578" s="305"/>
      <c r="AI578" s="305"/>
      <c r="AJ578" s="305"/>
      <c r="AK578" s="305"/>
      <c r="AL578" s="305"/>
      <c r="AM578" s="305"/>
      <c r="AN578" s="305"/>
      <c r="AO578" s="305"/>
      <c r="AP578" s="305"/>
      <c r="AQ578" s="305"/>
      <c r="AR578" s="305"/>
      <c r="AS578" s="305"/>
      <c r="AT578" s="305"/>
      <c r="AU578" s="305"/>
      <c r="AV578" s="305"/>
      <c r="AW578" s="305"/>
      <c r="AX578" s="305"/>
      <c r="AY578" s="305"/>
      <c r="AZ578" s="305"/>
      <c r="BA578" s="305"/>
      <c r="BB578" s="305"/>
      <c r="BC578" s="305"/>
      <c r="BD578" s="305"/>
      <c r="BE578" s="305"/>
      <c r="BF578" s="305"/>
      <c r="BG578" s="305"/>
      <c r="BH578" s="305"/>
      <c r="BI578" s="305"/>
      <c r="BJ578" s="305"/>
      <c r="BK578" s="305"/>
      <c r="BL578" s="305"/>
      <c r="BM578" s="305"/>
      <c r="BN578" s="305"/>
      <c r="BO578" s="305"/>
      <c r="BP578" s="305"/>
      <c r="BQ578" s="305"/>
      <c r="BR578" s="305"/>
      <c r="BS578" s="305"/>
      <c r="BT578" s="305"/>
      <c r="BU578" s="305"/>
      <c r="BV578" s="305"/>
      <c r="BW578" s="305"/>
      <c r="BX578" s="305"/>
      <c r="BY578" s="305"/>
      <c r="BZ578" s="305"/>
      <c r="CA578" s="305"/>
      <c r="CB578" s="305"/>
      <c r="CC578" s="305"/>
      <c r="CD578" s="305"/>
      <c r="CE578" s="305"/>
      <c r="CF578" s="305"/>
      <c r="CG578" s="305"/>
      <c r="CH578" s="305"/>
      <c r="CI578" s="305"/>
      <c r="CJ578" s="305"/>
      <c r="CK578" s="305"/>
      <c r="CL578" s="305"/>
      <c r="CM578" s="305"/>
      <c r="CN578" s="305"/>
      <c r="CO578" s="305"/>
      <c r="CP578" s="305"/>
      <c r="CQ578" s="305"/>
      <c r="CR578" s="305"/>
      <c r="CS578" s="305"/>
      <c r="CT578" s="305"/>
      <c r="CU578" s="305"/>
      <c r="CV578" s="305"/>
      <c r="CW578" s="305"/>
      <c r="CX578" s="305"/>
      <c r="CY578" s="305"/>
      <c r="CZ578" s="305"/>
      <c r="DA578" s="305"/>
      <c r="DB578" s="305"/>
      <c r="DC578" s="305"/>
      <c r="DD578" s="305"/>
      <c r="DE578" s="305"/>
      <c r="DF578" s="305"/>
      <c r="DG578" s="305"/>
      <c r="DH578" s="305"/>
      <c r="DI578" s="305"/>
      <c r="DJ578" s="305"/>
      <c r="DK578" s="305"/>
      <c r="DL578" s="305"/>
      <c r="DM578" s="305"/>
      <c r="DN578" s="305"/>
      <c r="DO578" s="305"/>
      <c r="DP578" s="305"/>
      <c r="DQ578" s="305"/>
      <c r="DR578" s="305"/>
      <c r="DS578" s="305"/>
      <c r="DT578" s="305"/>
      <c r="DU578" s="305"/>
      <c r="DV578" s="305"/>
      <c r="DW578" s="305"/>
      <c r="DX578" s="305"/>
      <c r="DY578" s="305"/>
      <c r="DZ578" s="305"/>
      <c r="EA578" s="305"/>
      <c r="EB578" s="305"/>
      <c r="EC578" s="305"/>
      <c r="ED578" s="305"/>
      <c r="EE578" s="305"/>
      <c r="EF578" s="305"/>
      <c r="EG578" s="305"/>
      <c r="EH578" s="305"/>
      <c r="EI578" s="305"/>
      <c r="EJ578" s="305"/>
      <c r="EK578" s="305"/>
      <c r="EL578" s="305"/>
      <c r="EM578" s="305"/>
      <c r="EN578" s="305"/>
      <c r="EO578" s="305"/>
      <c r="EP578" s="305"/>
      <c r="EQ578" s="305"/>
      <c r="ER578" s="305"/>
      <c r="ES578" s="305"/>
      <c r="ET578" s="305"/>
      <c r="EU578" s="305"/>
      <c r="EV578" s="305"/>
      <c r="EW578" s="305"/>
      <c r="EX578" s="305"/>
      <c r="EY578" s="305"/>
      <c r="EZ578" s="305"/>
      <c r="FA578" s="305"/>
      <c r="FB578" s="305"/>
      <c r="FC578" s="305"/>
      <c r="FD578" s="305"/>
      <c r="FE578" s="305"/>
      <c r="FF578" s="305"/>
      <c r="FG578" s="305"/>
      <c r="FH578" s="305"/>
      <c r="FI578" s="305"/>
      <c r="FJ578" s="305"/>
      <c r="FK578" s="305"/>
      <c r="FL578" s="305"/>
      <c r="FM578" s="305"/>
      <c r="FN578" s="305"/>
      <c r="FO578" s="305"/>
      <c r="FP578" s="305"/>
      <c r="FQ578" s="305"/>
      <c r="FR578" s="305"/>
      <c r="FS578" s="305"/>
      <c r="FT578" s="305"/>
      <c r="FU578" s="305"/>
      <c r="FV578" s="305"/>
      <c r="FW578" s="305"/>
      <c r="FX578" s="305"/>
      <c r="FY578" s="305"/>
      <c r="FZ578" s="305"/>
      <c r="GA578" s="305"/>
      <c r="GB578" s="305"/>
      <c r="GC578" s="305"/>
      <c r="GD578" s="305"/>
      <c r="GE578" s="305"/>
      <c r="GF578" s="305"/>
      <c r="GG578" s="305"/>
      <c r="GH578" s="305"/>
      <c r="GI578" s="305"/>
      <c r="GJ578" s="305"/>
      <c r="GK578" s="305"/>
      <c r="GL578" s="305"/>
      <c r="GM578" s="305"/>
      <c r="GN578" s="305"/>
      <c r="GO578" s="305"/>
      <c r="GP578" s="305"/>
      <c r="GQ578" s="305"/>
      <c r="GR578" s="305"/>
    </row>
    <row r="579" spans="3:200" s="318" customFormat="1" ht="12.75" customHeight="1" x14ac:dyDescent="0.2">
      <c r="C579" s="367"/>
      <c r="D579" s="403"/>
      <c r="E579" s="369"/>
      <c r="F579" s="369"/>
      <c r="G579" s="369"/>
      <c r="H579" s="369"/>
      <c r="I579" s="370"/>
      <c r="J579"/>
      <c r="K579" s="371"/>
      <c r="L579" s="371"/>
      <c r="M579" s="371"/>
      <c r="N579" s="371"/>
      <c r="O579" s="305"/>
      <c r="P579" s="305"/>
      <c r="Q579" s="305"/>
      <c r="R579" s="305"/>
      <c r="S579" s="305"/>
      <c r="T579" s="305"/>
      <c r="U579" s="305"/>
      <c r="V579" s="305"/>
      <c r="W579" s="305"/>
      <c r="X579" s="305"/>
      <c r="Y579" s="305"/>
      <c r="Z579" s="305"/>
      <c r="AA579" s="305"/>
      <c r="AB579" s="305"/>
      <c r="AC579" s="305"/>
      <c r="AD579" s="305"/>
      <c r="AE579" s="305"/>
      <c r="AF579" s="305"/>
      <c r="AG579" s="305"/>
      <c r="AH579" s="305"/>
      <c r="AI579" s="305"/>
      <c r="AJ579" s="305"/>
      <c r="AK579" s="305"/>
      <c r="AL579" s="305"/>
      <c r="AM579" s="305"/>
      <c r="AN579" s="305"/>
      <c r="AO579" s="305"/>
      <c r="AP579" s="305"/>
      <c r="AQ579" s="305"/>
      <c r="AR579" s="305"/>
      <c r="AS579" s="305"/>
      <c r="AT579" s="305"/>
      <c r="AU579" s="305"/>
      <c r="AV579" s="305"/>
      <c r="AW579" s="305"/>
      <c r="AX579" s="305"/>
      <c r="AY579" s="305"/>
      <c r="AZ579" s="305"/>
      <c r="BA579" s="305"/>
      <c r="BB579" s="305"/>
      <c r="BC579" s="305"/>
      <c r="BD579" s="305"/>
      <c r="BE579" s="305"/>
      <c r="BF579" s="305"/>
      <c r="BG579" s="305"/>
      <c r="BH579" s="305"/>
      <c r="BI579" s="305"/>
      <c r="BJ579" s="305"/>
      <c r="BK579" s="305"/>
      <c r="BL579" s="305"/>
      <c r="BM579" s="305"/>
      <c r="BN579" s="305"/>
      <c r="BO579" s="305"/>
      <c r="BP579" s="305"/>
      <c r="BQ579" s="305"/>
      <c r="BR579" s="305"/>
      <c r="BS579" s="305"/>
      <c r="BT579" s="305"/>
      <c r="BU579" s="305"/>
      <c r="BV579" s="305"/>
      <c r="BW579" s="305"/>
      <c r="BX579" s="305"/>
      <c r="BY579" s="305"/>
      <c r="BZ579" s="305"/>
      <c r="CA579" s="305"/>
      <c r="CB579" s="305"/>
      <c r="CC579" s="305"/>
      <c r="CD579" s="305"/>
      <c r="CE579" s="305"/>
      <c r="CF579" s="305"/>
      <c r="CG579" s="305"/>
      <c r="CH579" s="305"/>
      <c r="CI579" s="305"/>
      <c r="CJ579" s="305"/>
      <c r="CK579" s="305"/>
      <c r="CL579" s="305"/>
      <c r="CM579" s="305"/>
      <c r="CN579" s="305"/>
      <c r="CO579" s="305"/>
      <c r="CP579" s="305"/>
      <c r="CQ579" s="305"/>
      <c r="CR579" s="305"/>
      <c r="CS579" s="305"/>
      <c r="CT579" s="305"/>
      <c r="CU579" s="305"/>
      <c r="CV579" s="305"/>
      <c r="CW579" s="305"/>
      <c r="CX579" s="305"/>
      <c r="CY579" s="305"/>
      <c r="CZ579" s="305"/>
      <c r="DA579" s="305"/>
      <c r="DB579" s="305"/>
      <c r="DC579" s="305"/>
      <c r="DD579" s="305"/>
      <c r="DE579" s="305"/>
      <c r="DF579" s="305"/>
      <c r="DG579" s="305"/>
      <c r="DH579" s="305"/>
      <c r="DI579" s="305"/>
      <c r="DJ579" s="305"/>
      <c r="DK579" s="305"/>
      <c r="DL579" s="305"/>
      <c r="DM579" s="305"/>
      <c r="DN579" s="305"/>
      <c r="DO579" s="305"/>
      <c r="DP579" s="305"/>
      <c r="DQ579" s="305"/>
      <c r="DR579" s="305"/>
      <c r="DS579" s="305"/>
      <c r="DT579" s="305"/>
      <c r="DU579" s="305"/>
      <c r="DV579" s="305"/>
      <c r="DW579" s="305"/>
      <c r="DX579" s="305"/>
      <c r="DY579" s="305"/>
      <c r="DZ579" s="305"/>
      <c r="EA579" s="305"/>
      <c r="EB579" s="305"/>
      <c r="EC579" s="305"/>
      <c r="ED579" s="305"/>
      <c r="EE579" s="305"/>
      <c r="EF579" s="305"/>
      <c r="EG579" s="305"/>
      <c r="EH579" s="305"/>
      <c r="EI579" s="305"/>
      <c r="EJ579" s="305"/>
      <c r="EK579" s="305"/>
      <c r="EL579" s="305"/>
      <c r="EM579" s="305"/>
      <c r="EN579" s="305"/>
      <c r="EO579" s="305"/>
      <c r="EP579" s="305"/>
      <c r="EQ579" s="305"/>
      <c r="ER579" s="305"/>
      <c r="ES579" s="305"/>
      <c r="ET579" s="305"/>
      <c r="EU579" s="305"/>
      <c r="EV579" s="305"/>
      <c r="EW579" s="305"/>
      <c r="EX579" s="305"/>
      <c r="EY579" s="305"/>
      <c r="EZ579" s="305"/>
      <c r="FA579" s="305"/>
      <c r="FB579" s="305"/>
      <c r="FC579" s="305"/>
      <c r="FD579" s="305"/>
      <c r="FE579" s="305"/>
      <c r="FF579" s="305"/>
      <c r="FG579" s="305"/>
      <c r="FH579" s="305"/>
      <c r="FI579" s="305"/>
      <c r="FJ579" s="305"/>
      <c r="FK579" s="305"/>
      <c r="FL579" s="305"/>
      <c r="FM579" s="305"/>
      <c r="FN579" s="305"/>
      <c r="FO579" s="305"/>
      <c r="FP579" s="305"/>
      <c r="FQ579" s="305"/>
      <c r="FR579" s="305"/>
      <c r="FS579" s="305"/>
      <c r="FT579" s="305"/>
      <c r="FU579" s="305"/>
      <c r="FV579" s="305"/>
      <c r="FW579" s="305"/>
      <c r="FX579" s="305"/>
      <c r="FY579" s="305"/>
      <c r="FZ579" s="305"/>
      <c r="GA579" s="305"/>
      <c r="GB579" s="305"/>
      <c r="GC579" s="305"/>
      <c r="GD579" s="305"/>
      <c r="GE579" s="305"/>
      <c r="GF579" s="305"/>
      <c r="GG579" s="305"/>
      <c r="GH579" s="305"/>
      <c r="GI579" s="305"/>
      <c r="GJ579" s="305"/>
      <c r="GK579" s="305"/>
      <c r="GL579" s="305"/>
      <c r="GM579" s="305"/>
      <c r="GN579" s="305"/>
      <c r="GO579" s="305"/>
      <c r="GP579" s="305"/>
      <c r="GQ579" s="305"/>
      <c r="GR579" s="305"/>
    </row>
    <row r="580" spans="3:200" s="318" customFormat="1" ht="12.75" customHeight="1" x14ac:dyDescent="0.2">
      <c r="C580" s="367"/>
      <c r="D580" s="403"/>
      <c r="E580" s="369"/>
      <c r="F580" s="369"/>
      <c r="G580" s="369"/>
      <c r="H580" s="369"/>
      <c r="I580" s="370"/>
      <c r="J580"/>
      <c r="K580" s="371"/>
      <c r="L580" s="371"/>
      <c r="M580" s="371"/>
      <c r="N580" s="371"/>
      <c r="O580" s="305"/>
      <c r="P580" s="305"/>
      <c r="Q580" s="305"/>
      <c r="R580" s="305"/>
      <c r="S580" s="305"/>
      <c r="T580" s="305"/>
      <c r="U580" s="305"/>
      <c r="V580" s="305"/>
      <c r="W580" s="305"/>
      <c r="X580" s="305"/>
      <c r="Y580" s="305"/>
      <c r="Z580" s="305"/>
      <c r="AA580" s="305"/>
      <c r="AB580" s="305"/>
      <c r="AC580" s="305"/>
      <c r="AD580" s="305"/>
      <c r="AE580" s="305"/>
      <c r="AF580" s="305"/>
      <c r="AG580" s="305"/>
      <c r="AH580" s="305"/>
      <c r="AI580" s="305"/>
      <c r="AJ580" s="305"/>
      <c r="AK580" s="305"/>
      <c r="AL580" s="305"/>
      <c r="AM580" s="305"/>
      <c r="AN580" s="305"/>
      <c r="AO580" s="305"/>
      <c r="AP580" s="305"/>
      <c r="AQ580" s="305"/>
      <c r="AR580" s="305"/>
      <c r="AS580" s="305"/>
      <c r="AT580" s="305"/>
      <c r="AU580" s="305"/>
      <c r="AV580" s="305"/>
      <c r="AW580" s="305"/>
      <c r="AX580" s="305"/>
      <c r="AY580" s="305"/>
      <c r="AZ580" s="305"/>
      <c r="BA580" s="305"/>
      <c r="BB580" s="305"/>
      <c r="BC580" s="305"/>
      <c r="BD580" s="305"/>
      <c r="BE580" s="305"/>
      <c r="BF580" s="305"/>
      <c r="BG580" s="305"/>
      <c r="BH580" s="305"/>
      <c r="BI580" s="305"/>
      <c r="BJ580" s="305"/>
      <c r="BK580" s="305"/>
      <c r="BL580" s="305"/>
      <c r="BM580" s="305"/>
      <c r="BN580" s="305"/>
      <c r="BO580" s="305"/>
      <c r="BP580" s="305"/>
      <c r="BQ580" s="305"/>
      <c r="BR580" s="305"/>
      <c r="BS580" s="305"/>
      <c r="BT580" s="305"/>
      <c r="BU580" s="305"/>
      <c r="BV580" s="305"/>
      <c r="BW580" s="305"/>
      <c r="BX580" s="305"/>
      <c r="BY580" s="305"/>
      <c r="BZ580" s="305"/>
      <c r="CA580" s="305"/>
      <c r="CB580" s="305"/>
      <c r="CC580" s="305"/>
      <c r="CD580" s="305"/>
      <c r="CE580" s="305"/>
      <c r="CF580" s="305"/>
      <c r="CG580" s="305"/>
      <c r="CH580" s="305"/>
      <c r="CI580" s="305"/>
      <c r="CJ580" s="305"/>
      <c r="CK580" s="305"/>
      <c r="CL580" s="305"/>
      <c r="CM580" s="305"/>
      <c r="CN580" s="305"/>
      <c r="CO580" s="305"/>
      <c r="CP580" s="305"/>
      <c r="CQ580" s="305"/>
      <c r="CR580" s="305"/>
      <c r="CS580" s="305"/>
      <c r="CT580" s="305"/>
      <c r="CU580" s="305"/>
      <c r="CV580" s="305"/>
      <c r="CW580" s="305"/>
      <c r="CX580" s="305"/>
      <c r="CY580" s="305"/>
      <c r="CZ580" s="305"/>
      <c r="DA580" s="305"/>
      <c r="DB580" s="305"/>
      <c r="DC580" s="305"/>
      <c r="DD580" s="305"/>
      <c r="DE580" s="305"/>
      <c r="DF580" s="305"/>
      <c r="DG580" s="305"/>
      <c r="DH580" s="305"/>
      <c r="DI580" s="305"/>
      <c r="DJ580" s="305"/>
      <c r="DK580" s="305"/>
      <c r="DL580" s="305"/>
      <c r="DM580" s="305"/>
      <c r="DN580" s="305"/>
      <c r="DO580" s="305"/>
      <c r="DP580" s="305"/>
      <c r="DQ580" s="305"/>
      <c r="DR580" s="305"/>
      <c r="DS580" s="305"/>
      <c r="DT580" s="305"/>
      <c r="DU580" s="305"/>
      <c r="DV580" s="305"/>
      <c r="DW580" s="305"/>
      <c r="DX580" s="305"/>
      <c r="DY580" s="305"/>
      <c r="DZ580" s="305"/>
      <c r="EA580" s="305"/>
      <c r="EB580" s="305"/>
      <c r="EC580" s="305"/>
      <c r="ED580" s="305"/>
      <c r="EE580" s="305"/>
      <c r="EF580" s="305"/>
      <c r="EG580" s="305"/>
      <c r="EH580" s="305"/>
      <c r="EI580" s="305"/>
      <c r="EJ580" s="305"/>
      <c r="EK580" s="305"/>
      <c r="EL580" s="305"/>
      <c r="EM580" s="305"/>
      <c r="EN580" s="305"/>
      <c r="EO580" s="305"/>
      <c r="EP580" s="305"/>
      <c r="EQ580" s="305"/>
      <c r="ER580" s="305"/>
      <c r="ES580" s="305"/>
      <c r="ET580" s="305"/>
      <c r="EU580" s="305"/>
      <c r="EV580" s="305"/>
      <c r="EW580" s="305"/>
      <c r="EX580" s="305"/>
      <c r="EY580" s="305"/>
      <c r="EZ580" s="305"/>
      <c r="FA580" s="305"/>
      <c r="FB580" s="305"/>
      <c r="FC580" s="305"/>
      <c r="FD580" s="305"/>
      <c r="FE580" s="305"/>
      <c r="FF580" s="305"/>
      <c r="FG580" s="305"/>
      <c r="FH580" s="305"/>
      <c r="FI580" s="305"/>
      <c r="FJ580" s="305"/>
      <c r="FK580" s="305"/>
      <c r="FL580" s="305"/>
      <c r="FM580" s="305"/>
      <c r="FN580" s="305"/>
      <c r="FO580" s="305"/>
      <c r="FP580" s="305"/>
      <c r="FQ580" s="305"/>
      <c r="FR580" s="305"/>
      <c r="FS580" s="305"/>
      <c r="FT580" s="305"/>
      <c r="FU580" s="305"/>
      <c r="FV580" s="305"/>
      <c r="FW580" s="305"/>
      <c r="FX580" s="305"/>
      <c r="FY580" s="305"/>
      <c r="FZ580" s="305"/>
      <c r="GA580" s="305"/>
      <c r="GB580" s="305"/>
      <c r="GC580" s="305"/>
      <c r="GD580" s="305"/>
      <c r="GE580" s="305"/>
      <c r="GF580" s="305"/>
      <c r="GG580" s="305"/>
      <c r="GH580" s="305"/>
      <c r="GI580" s="305"/>
      <c r="GJ580" s="305"/>
      <c r="GK580" s="305"/>
      <c r="GL580" s="305"/>
      <c r="GM580" s="305"/>
      <c r="GN580" s="305"/>
      <c r="GO580" s="305"/>
      <c r="GP580" s="305"/>
      <c r="GQ580" s="305"/>
      <c r="GR580" s="305"/>
    </row>
    <row r="581" spans="3:200" s="318" customFormat="1" ht="12.75" customHeight="1" x14ac:dyDescent="0.2">
      <c r="C581" s="367"/>
      <c r="D581" s="403"/>
      <c r="E581" s="369"/>
      <c r="F581" s="369"/>
      <c r="G581" s="369"/>
      <c r="H581" s="369"/>
      <c r="I581" s="370"/>
      <c r="J581"/>
      <c r="K581" s="371"/>
      <c r="L581" s="371"/>
      <c r="M581" s="371"/>
      <c r="N581" s="371"/>
      <c r="O581" s="305"/>
      <c r="P581" s="305"/>
      <c r="Q581" s="305"/>
      <c r="R581" s="305"/>
      <c r="S581" s="305"/>
      <c r="T581" s="305"/>
      <c r="U581" s="305"/>
      <c r="V581" s="305"/>
      <c r="W581" s="305"/>
      <c r="X581" s="305"/>
      <c r="Y581" s="305"/>
      <c r="Z581" s="305"/>
      <c r="AA581" s="305"/>
      <c r="AB581" s="305"/>
      <c r="AC581" s="305"/>
      <c r="AD581" s="305"/>
      <c r="AE581" s="305"/>
      <c r="AF581" s="305"/>
      <c r="AG581" s="305"/>
      <c r="AH581" s="305"/>
      <c r="AI581" s="305"/>
      <c r="AJ581" s="305"/>
      <c r="AK581" s="305"/>
      <c r="AL581" s="305"/>
      <c r="AM581" s="305"/>
      <c r="AN581" s="305"/>
      <c r="AO581" s="305"/>
      <c r="AP581" s="305"/>
      <c r="AQ581" s="305"/>
      <c r="AR581" s="305"/>
      <c r="AS581" s="305"/>
      <c r="AT581" s="305"/>
      <c r="AU581" s="305"/>
      <c r="AV581" s="305"/>
      <c r="AW581" s="305"/>
      <c r="AX581" s="305"/>
      <c r="AY581" s="305"/>
      <c r="AZ581" s="305"/>
      <c r="BA581" s="305"/>
      <c r="BB581" s="305"/>
      <c r="BC581" s="305"/>
      <c r="BD581" s="305"/>
      <c r="BE581" s="305"/>
      <c r="BF581" s="305"/>
      <c r="BG581" s="305"/>
      <c r="BH581" s="305"/>
      <c r="BI581" s="305"/>
      <c r="BJ581" s="305"/>
      <c r="BK581" s="305"/>
      <c r="BL581" s="305"/>
      <c r="BM581" s="305"/>
      <c r="BN581" s="305"/>
      <c r="BO581" s="305"/>
      <c r="BP581" s="305"/>
      <c r="BQ581" s="305"/>
      <c r="BR581" s="305"/>
      <c r="BS581" s="305"/>
      <c r="BT581" s="305"/>
      <c r="BU581" s="305"/>
      <c r="BV581" s="305"/>
      <c r="BW581" s="305"/>
      <c r="BX581" s="305"/>
      <c r="BY581" s="305"/>
      <c r="BZ581" s="305"/>
      <c r="CA581" s="305"/>
      <c r="CB581" s="305"/>
      <c r="CC581" s="305"/>
      <c r="CD581" s="305"/>
      <c r="CE581" s="305"/>
      <c r="CF581" s="305"/>
      <c r="CG581" s="305"/>
      <c r="CH581" s="305"/>
      <c r="CI581" s="305"/>
      <c r="CJ581" s="305"/>
      <c r="CK581" s="305"/>
      <c r="CL581" s="305"/>
      <c r="CM581" s="305"/>
      <c r="CN581" s="305"/>
      <c r="CO581" s="305"/>
      <c r="CP581" s="305"/>
      <c r="CQ581" s="305"/>
      <c r="CR581" s="305"/>
      <c r="CS581" s="305"/>
      <c r="CT581" s="305"/>
      <c r="CU581" s="305"/>
      <c r="CV581" s="305"/>
      <c r="CW581" s="305"/>
      <c r="CX581" s="305"/>
      <c r="CY581" s="305"/>
      <c r="CZ581" s="305"/>
      <c r="DA581" s="305"/>
      <c r="DB581" s="305"/>
      <c r="DC581" s="305"/>
      <c r="DD581" s="305"/>
      <c r="DE581" s="305"/>
      <c r="DF581" s="305"/>
      <c r="DG581" s="305"/>
      <c r="DH581" s="305"/>
      <c r="DI581" s="305"/>
      <c r="DJ581" s="305"/>
      <c r="DK581" s="305"/>
      <c r="DL581" s="305"/>
      <c r="DM581" s="305"/>
      <c r="DN581" s="305"/>
      <c r="DO581" s="305"/>
      <c r="DP581" s="305"/>
      <c r="DQ581" s="305"/>
      <c r="DR581" s="305"/>
      <c r="DS581" s="305"/>
      <c r="DT581" s="305"/>
      <c r="DU581" s="305"/>
      <c r="DV581" s="305"/>
      <c r="DW581" s="305"/>
      <c r="DX581" s="305"/>
      <c r="DY581" s="305"/>
      <c r="DZ581" s="305"/>
      <c r="EA581" s="305"/>
      <c r="EB581" s="305"/>
      <c r="EC581" s="305"/>
      <c r="ED581" s="305"/>
      <c r="EE581" s="305"/>
      <c r="EF581" s="305"/>
      <c r="EG581" s="305"/>
      <c r="EH581" s="305"/>
      <c r="EI581" s="305"/>
      <c r="EJ581" s="305"/>
      <c r="EK581" s="305"/>
      <c r="EL581" s="305"/>
      <c r="EM581" s="305"/>
      <c r="EN581" s="305"/>
      <c r="EO581" s="305"/>
      <c r="EP581" s="305"/>
      <c r="EQ581" s="305"/>
      <c r="ER581" s="305"/>
      <c r="ES581" s="305"/>
      <c r="ET581" s="305"/>
      <c r="EU581" s="305"/>
      <c r="EV581" s="305"/>
      <c r="EW581" s="305"/>
      <c r="EX581" s="305"/>
      <c r="EY581" s="305"/>
      <c r="EZ581" s="305"/>
      <c r="FA581" s="305"/>
      <c r="FB581" s="305"/>
      <c r="FC581" s="305"/>
      <c r="FD581" s="305"/>
      <c r="FE581" s="305"/>
      <c r="FF581" s="305"/>
      <c r="FG581" s="305"/>
      <c r="FH581" s="305"/>
      <c r="FI581" s="305"/>
      <c r="FJ581" s="305"/>
      <c r="FK581" s="305"/>
      <c r="FL581" s="305"/>
      <c r="FM581" s="305"/>
      <c r="FN581" s="305"/>
      <c r="FO581" s="305"/>
      <c r="FP581" s="305"/>
      <c r="FQ581" s="305"/>
      <c r="FR581" s="305"/>
      <c r="FS581" s="305"/>
      <c r="FT581" s="305"/>
      <c r="FU581" s="305"/>
      <c r="FV581" s="305"/>
      <c r="FW581" s="305"/>
      <c r="FX581" s="305"/>
      <c r="FY581" s="305"/>
      <c r="FZ581" s="305"/>
      <c r="GA581" s="305"/>
      <c r="GB581" s="305"/>
      <c r="GC581" s="305"/>
      <c r="GD581" s="305"/>
      <c r="GE581" s="305"/>
      <c r="GF581" s="305"/>
      <c r="GG581" s="305"/>
      <c r="GH581" s="305"/>
      <c r="GI581" s="305"/>
      <c r="GJ581" s="305"/>
      <c r="GK581" s="305"/>
      <c r="GL581" s="305"/>
      <c r="GM581" s="305"/>
      <c r="GN581" s="305"/>
      <c r="GO581" s="305"/>
      <c r="GP581" s="305"/>
      <c r="GQ581" s="305"/>
      <c r="GR581" s="305"/>
    </row>
    <row r="582" spans="3:200" s="318" customFormat="1" ht="12.75" customHeight="1" x14ac:dyDescent="0.2">
      <c r="C582" s="367"/>
      <c r="D582" s="403"/>
      <c r="E582" s="369"/>
      <c r="F582" s="369"/>
      <c r="G582" s="369"/>
      <c r="H582" s="369"/>
      <c r="I582" s="370"/>
      <c r="J582"/>
      <c r="K582" s="371"/>
      <c r="L582" s="371"/>
      <c r="M582" s="371"/>
      <c r="N582" s="371"/>
      <c r="O582" s="305"/>
      <c r="P582" s="305"/>
      <c r="Q582" s="305"/>
      <c r="R582" s="305"/>
      <c r="S582" s="305"/>
      <c r="T582" s="305"/>
      <c r="U582" s="305"/>
      <c r="V582" s="305"/>
      <c r="W582" s="305"/>
      <c r="X582" s="305"/>
      <c r="Y582" s="305"/>
      <c r="Z582" s="305"/>
      <c r="AA582" s="305"/>
      <c r="AB582" s="305"/>
      <c r="AC582" s="305"/>
      <c r="AD582" s="305"/>
      <c r="AE582" s="305"/>
      <c r="AF582" s="305"/>
      <c r="AG582" s="305"/>
      <c r="AH582" s="305"/>
      <c r="AI582" s="305"/>
      <c r="AJ582" s="305"/>
      <c r="AK582" s="305"/>
      <c r="AL582" s="305"/>
      <c r="AM582" s="305"/>
      <c r="AN582" s="305"/>
      <c r="AO582" s="305"/>
      <c r="AP582" s="305"/>
      <c r="AQ582" s="305"/>
      <c r="AR582" s="305"/>
      <c r="AS582" s="305"/>
      <c r="AT582" s="305"/>
      <c r="AU582" s="305"/>
      <c r="AV582" s="305"/>
      <c r="AW582" s="305"/>
      <c r="AX582" s="305"/>
      <c r="AY582" s="305"/>
      <c r="AZ582" s="305"/>
      <c r="BA582" s="305"/>
      <c r="BB582" s="305"/>
      <c r="BC582" s="305"/>
      <c r="BD582" s="305"/>
      <c r="BE582" s="305"/>
      <c r="BF582" s="305"/>
      <c r="BG582" s="305"/>
      <c r="BH582" s="305"/>
      <c r="BI582" s="305"/>
      <c r="BJ582" s="305"/>
      <c r="BK582" s="305"/>
      <c r="BL582" s="305"/>
      <c r="BM582" s="305"/>
      <c r="BN582" s="305"/>
      <c r="BO582" s="305"/>
      <c r="BP582" s="305"/>
      <c r="BQ582" s="305"/>
      <c r="BR582" s="305"/>
      <c r="BS582" s="305"/>
      <c r="BT582" s="305"/>
      <c r="BU582" s="305"/>
      <c r="BV582" s="305"/>
      <c r="BW582" s="305"/>
      <c r="BX582" s="305"/>
      <c r="BY582" s="305"/>
      <c r="BZ582" s="305"/>
      <c r="CA582" s="305"/>
      <c r="CB582" s="305"/>
      <c r="CC582" s="305"/>
      <c r="CD582" s="305"/>
      <c r="CE582" s="305"/>
      <c r="CF582" s="305"/>
      <c r="CG582" s="305"/>
      <c r="CH582" s="305"/>
      <c r="CI582" s="305"/>
      <c r="CJ582" s="305"/>
      <c r="CK582" s="305"/>
      <c r="CL582" s="305"/>
      <c r="CM582" s="305"/>
      <c r="CN582" s="305"/>
      <c r="CO582" s="305"/>
      <c r="CP582" s="305"/>
      <c r="CQ582" s="305"/>
      <c r="CR582" s="305"/>
      <c r="CS582" s="305"/>
      <c r="CT582" s="305"/>
      <c r="CU582" s="305"/>
      <c r="CV582" s="305"/>
      <c r="CW582" s="305"/>
      <c r="CX582" s="305"/>
      <c r="CY582" s="305"/>
      <c r="CZ582" s="305"/>
      <c r="DA582" s="305"/>
      <c r="DB582" s="305"/>
      <c r="DC582" s="305"/>
      <c r="DD582" s="305"/>
      <c r="DE582" s="305"/>
      <c r="DF582" s="305"/>
      <c r="DG582" s="305"/>
      <c r="DH582" s="305"/>
      <c r="DI582" s="305"/>
      <c r="DJ582" s="305"/>
      <c r="DK582" s="305"/>
      <c r="DL582" s="305"/>
      <c r="DM582" s="305"/>
      <c r="DN582" s="305"/>
      <c r="DO582" s="305"/>
      <c r="DP582" s="305"/>
      <c r="DQ582" s="305"/>
      <c r="DR582" s="305"/>
      <c r="DS582" s="305"/>
      <c r="DT582" s="305"/>
      <c r="DU582" s="305"/>
      <c r="DV582" s="305"/>
      <c r="DW582" s="305"/>
      <c r="DX582" s="305"/>
      <c r="DY582" s="305"/>
      <c r="DZ582" s="305"/>
      <c r="EA582" s="305"/>
      <c r="EB582" s="305"/>
      <c r="EC582" s="305"/>
      <c r="ED582" s="305"/>
      <c r="EE582" s="305"/>
      <c r="EF582" s="305"/>
      <c r="EG582" s="305"/>
      <c r="EH582" s="305"/>
      <c r="EI582" s="305"/>
      <c r="EJ582" s="305"/>
      <c r="EK582" s="305"/>
      <c r="EL582" s="305"/>
      <c r="EM582" s="305"/>
      <c r="EN582" s="305"/>
      <c r="EO582" s="305"/>
      <c r="EP582" s="305"/>
      <c r="EQ582" s="305"/>
      <c r="ER582" s="305"/>
      <c r="ES582" s="305"/>
      <c r="ET582" s="305"/>
      <c r="EU582" s="305"/>
      <c r="EV582" s="305"/>
      <c r="EW582" s="305"/>
      <c r="EX582" s="305"/>
      <c r="EY582" s="305"/>
      <c r="EZ582" s="305"/>
      <c r="FA582" s="305"/>
      <c r="FB582" s="305"/>
      <c r="FC582" s="305"/>
      <c r="FD582" s="305"/>
      <c r="FE582" s="305"/>
      <c r="FF582" s="305"/>
      <c r="FG582" s="305"/>
      <c r="FH582" s="305"/>
      <c r="FI582" s="305"/>
      <c r="FJ582" s="305"/>
      <c r="FK582" s="305"/>
      <c r="FL582" s="305"/>
      <c r="FM582" s="305"/>
      <c r="FN582" s="305"/>
      <c r="FO582" s="305"/>
      <c r="FP582" s="305"/>
      <c r="FQ582" s="305"/>
      <c r="FR582" s="305"/>
      <c r="FS582" s="305"/>
      <c r="FT582" s="305"/>
      <c r="FU582" s="305"/>
      <c r="FV582" s="305"/>
      <c r="FW582" s="305"/>
      <c r="FX582" s="305"/>
      <c r="FY582" s="305"/>
      <c r="FZ582" s="305"/>
      <c r="GA582" s="305"/>
      <c r="GB582" s="305"/>
      <c r="GC582" s="305"/>
      <c r="GD582" s="305"/>
      <c r="GE582" s="305"/>
      <c r="GF582" s="305"/>
      <c r="GG582" s="305"/>
      <c r="GH582" s="305"/>
      <c r="GI582" s="305"/>
      <c r="GJ582" s="305"/>
      <c r="GK582" s="305"/>
      <c r="GL582" s="305"/>
      <c r="GM582" s="305"/>
      <c r="GN582" s="305"/>
      <c r="GO582" s="305"/>
      <c r="GP582" s="305"/>
      <c r="GQ582" s="305"/>
      <c r="GR582" s="305"/>
    </row>
    <row r="583" spans="3:200" s="318" customFormat="1" ht="12.75" customHeight="1" x14ac:dyDescent="0.2">
      <c r="C583" s="367"/>
      <c r="D583" s="403"/>
      <c r="E583" s="369"/>
      <c r="F583" s="369"/>
      <c r="G583" s="369"/>
      <c r="H583" s="369"/>
      <c r="I583" s="370"/>
      <c r="J583"/>
      <c r="K583" s="371"/>
      <c r="L583" s="371"/>
      <c r="M583" s="371"/>
      <c r="N583" s="371"/>
      <c r="O583" s="305"/>
      <c r="P583" s="305"/>
      <c r="Q583" s="305"/>
      <c r="R583" s="305"/>
      <c r="S583" s="305"/>
      <c r="T583" s="305"/>
      <c r="U583" s="305"/>
      <c r="V583" s="305"/>
      <c r="W583" s="305"/>
      <c r="X583" s="305"/>
      <c r="Y583" s="305"/>
      <c r="Z583" s="305"/>
      <c r="AA583" s="305"/>
      <c r="AB583" s="305"/>
      <c r="AC583" s="305"/>
      <c r="AD583" s="305"/>
      <c r="AE583" s="305"/>
      <c r="AF583" s="305"/>
      <c r="AG583" s="305"/>
      <c r="AH583" s="305"/>
      <c r="AI583" s="305"/>
      <c r="AJ583" s="305"/>
      <c r="AK583" s="305"/>
      <c r="AL583" s="305"/>
      <c r="AM583" s="305"/>
      <c r="AN583" s="305"/>
      <c r="AO583" s="305"/>
      <c r="AP583" s="305"/>
      <c r="AQ583" s="305"/>
      <c r="AR583" s="305"/>
      <c r="AS583" s="305"/>
      <c r="AT583" s="305"/>
      <c r="AU583" s="305"/>
      <c r="AV583" s="305"/>
      <c r="AW583" s="305"/>
      <c r="AX583" s="305"/>
      <c r="AY583" s="305"/>
      <c r="AZ583" s="305"/>
      <c r="BA583" s="305"/>
      <c r="BB583" s="305"/>
      <c r="BC583" s="305"/>
      <c r="BD583" s="305"/>
      <c r="BE583" s="305"/>
      <c r="BF583" s="305"/>
      <c r="BG583" s="305"/>
      <c r="BH583" s="305"/>
      <c r="BI583" s="305"/>
      <c r="BJ583" s="305"/>
      <c r="BK583" s="305"/>
      <c r="BL583" s="305"/>
      <c r="BM583" s="305"/>
      <c r="BN583" s="305"/>
      <c r="BO583" s="305"/>
      <c r="BP583" s="305"/>
      <c r="BQ583" s="305"/>
      <c r="BR583" s="305"/>
      <c r="BS583" s="305"/>
      <c r="BT583" s="305"/>
      <c r="BU583" s="305"/>
      <c r="BV583" s="305"/>
      <c r="BW583" s="305"/>
      <c r="BX583" s="305"/>
      <c r="BY583" s="305"/>
      <c r="BZ583" s="305"/>
      <c r="CA583" s="305"/>
      <c r="CB583" s="305"/>
      <c r="CC583" s="305"/>
      <c r="CD583" s="305"/>
      <c r="CE583" s="305"/>
      <c r="CF583" s="305"/>
      <c r="CG583" s="305"/>
      <c r="CH583" s="305"/>
      <c r="CI583" s="305"/>
      <c r="CJ583" s="305"/>
      <c r="CK583" s="305"/>
      <c r="CL583" s="305"/>
      <c r="CM583" s="305"/>
      <c r="CN583" s="305"/>
      <c r="CO583" s="305"/>
      <c r="CP583" s="305"/>
      <c r="CQ583" s="305"/>
      <c r="CR583" s="305"/>
      <c r="CS583" s="305"/>
      <c r="CT583" s="305"/>
      <c r="CU583" s="305"/>
      <c r="CV583" s="305"/>
      <c r="CW583" s="305"/>
      <c r="CX583" s="305"/>
      <c r="CY583" s="305"/>
      <c r="CZ583" s="305"/>
      <c r="DA583" s="305"/>
      <c r="DB583" s="305"/>
      <c r="DC583" s="305"/>
      <c r="DD583" s="305"/>
      <c r="DE583" s="305"/>
      <c r="DF583" s="305"/>
      <c r="DG583" s="305"/>
      <c r="DH583" s="305"/>
      <c r="DI583" s="305"/>
      <c r="DJ583" s="305"/>
      <c r="DK583" s="305"/>
      <c r="DL583" s="305"/>
      <c r="DM583" s="305"/>
      <c r="DN583" s="305"/>
      <c r="DO583" s="305"/>
      <c r="DP583" s="305"/>
      <c r="DQ583" s="305"/>
      <c r="DR583" s="305"/>
      <c r="DS583" s="305"/>
      <c r="DT583" s="305"/>
      <c r="DU583" s="305"/>
      <c r="DV583" s="305"/>
      <c r="DW583" s="305"/>
      <c r="DX583" s="305"/>
      <c r="DY583" s="305"/>
      <c r="DZ583" s="305"/>
      <c r="EA583" s="305"/>
      <c r="EB583" s="305"/>
      <c r="EC583" s="305"/>
      <c r="ED583" s="305"/>
      <c r="EE583" s="305"/>
      <c r="EF583" s="305"/>
      <c r="EG583" s="305"/>
      <c r="EH583" s="305"/>
      <c r="EI583" s="305"/>
      <c r="EJ583" s="305"/>
      <c r="EK583" s="305"/>
      <c r="EL583" s="305"/>
      <c r="EM583" s="305"/>
      <c r="EN583" s="305"/>
      <c r="EO583" s="305"/>
      <c r="EP583" s="305"/>
      <c r="EQ583" s="305"/>
      <c r="ER583" s="305"/>
      <c r="ES583" s="305"/>
      <c r="ET583" s="305"/>
      <c r="EU583" s="305"/>
      <c r="EV583" s="305"/>
      <c r="EW583" s="305"/>
      <c r="EX583" s="305"/>
      <c r="EY583" s="305"/>
      <c r="EZ583" s="305"/>
      <c r="FA583" s="305"/>
      <c r="FB583" s="305"/>
      <c r="FC583" s="305"/>
      <c r="FD583" s="305"/>
      <c r="FE583" s="305"/>
      <c r="FF583" s="305"/>
      <c r="FG583" s="305"/>
      <c r="FH583" s="305"/>
      <c r="FI583" s="305"/>
      <c r="FJ583" s="305"/>
      <c r="FK583" s="305"/>
      <c r="FL583" s="305"/>
      <c r="FM583" s="305"/>
      <c r="FN583" s="305"/>
      <c r="FO583" s="305"/>
      <c r="FP583" s="305"/>
      <c r="FQ583" s="305"/>
      <c r="FR583" s="305"/>
      <c r="FS583" s="305"/>
      <c r="FT583" s="305"/>
      <c r="FU583" s="305"/>
      <c r="FV583" s="305"/>
      <c r="FW583" s="305"/>
      <c r="FX583" s="305"/>
      <c r="FY583" s="305"/>
      <c r="FZ583" s="305"/>
      <c r="GA583" s="305"/>
      <c r="GB583" s="305"/>
      <c r="GC583" s="305"/>
      <c r="GD583" s="305"/>
      <c r="GE583" s="305"/>
      <c r="GF583" s="305"/>
      <c r="GG583" s="305"/>
      <c r="GH583" s="305"/>
      <c r="GI583" s="305"/>
      <c r="GJ583" s="305"/>
      <c r="GK583" s="305"/>
      <c r="GL583" s="305"/>
      <c r="GM583" s="305"/>
      <c r="GN583" s="305"/>
      <c r="GO583" s="305"/>
      <c r="GP583" s="305"/>
      <c r="GQ583" s="305"/>
      <c r="GR583" s="305"/>
    </row>
    <row r="584" spans="3:200" s="318" customFormat="1" ht="12.75" customHeight="1" x14ac:dyDescent="0.2">
      <c r="C584" s="367"/>
      <c r="D584" s="403"/>
      <c r="E584" s="369"/>
      <c r="F584" s="369"/>
      <c r="G584" s="369"/>
      <c r="H584" s="369"/>
      <c r="I584" s="370"/>
      <c r="J584"/>
      <c r="K584" s="371"/>
      <c r="L584" s="371"/>
      <c r="M584" s="371"/>
      <c r="N584" s="371"/>
      <c r="O584" s="305"/>
      <c r="P584" s="305"/>
      <c r="Q584" s="305"/>
      <c r="R584" s="305"/>
      <c r="S584" s="305"/>
      <c r="T584" s="305"/>
      <c r="U584" s="305"/>
      <c r="V584" s="305"/>
      <c r="W584" s="305"/>
      <c r="X584" s="305"/>
      <c r="Y584" s="305"/>
      <c r="Z584" s="305"/>
      <c r="AA584" s="305"/>
      <c r="AB584" s="305"/>
      <c r="AC584" s="305"/>
      <c r="AD584" s="305"/>
      <c r="AE584" s="305"/>
      <c r="AF584" s="305"/>
      <c r="AG584" s="305"/>
      <c r="AH584" s="305"/>
      <c r="AI584" s="305"/>
      <c r="AJ584" s="305"/>
      <c r="AK584" s="305"/>
      <c r="AL584" s="305"/>
      <c r="AM584" s="305"/>
      <c r="AN584" s="305"/>
      <c r="AO584" s="305"/>
      <c r="AP584" s="305"/>
      <c r="AQ584" s="305"/>
      <c r="AR584" s="305"/>
      <c r="AS584" s="305"/>
      <c r="AT584" s="305"/>
      <c r="AU584" s="305"/>
      <c r="AV584" s="305"/>
      <c r="AW584" s="305"/>
      <c r="AX584" s="305"/>
      <c r="AY584" s="305"/>
      <c r="AZ584" s="305"/>
      <c r="BA584" s="305"/>
      <c r="BB584" s="305"/>
      <c r="BC584" s="305"/>
      <c r="BD584" s="305"/>
      <c r="BE584" s="305"/>
      <c r="BF584" s="305"/>
      <c r="BG584" s="305"/>
      <c r="BH584" s="305"/>
      <c r="BI584" s="305"/>
      <c r="BJ584" s="305"/>
      <c r="BK584" s="305"/>
      <c r="BL584" s="305"/>
      <c r="BM584" s="305"/>
      <c r="BN584" s="305"/>
      <c r="BO584" s="305"/>
      <c r="BP584" s="305"/>
      <c r="BQ584" s="305"/>
      <c r="BR584" s="305"/>
      <c r="BS584" s="305"/>
      <c r="BT584" s="305"/>
      <c r="BU584" s="305"/>
      <c r="BV584" s="305"/>
      <c r="BW584" s="305"/>
      <c r="BX584" s="305"/>
      <c r="BY584" s="305"/>
      <c r="BZ584" s="305"/>
      <c r="CA584" s="305"/>
      <c r="CB584" s="305"/>
      <c r="CC584" s="305"/>
      <c r="CD584" s="305"/>
      <c r="CE584" s="305"/>
      <c r="CF584" s="305"/>
      <c r="CG584" s="305"/>
      <c r="CH584" s="305"/>
      <c r="CI584" s="305"/>
      <c r="CJ584" s="305"/>
      <c r="CK584" s="305"/>
      <c r="CL584" s="305"/>
      <c r="CM584" s="305"/>
      <c r="CN584" s="305"/>
      <c r="CO584" s="305"/>
      <c r="CP584" s="305"/>
      <c r="CQ584" s="305"/>
      <c r="CR584" s="305"/>
      <c r="CS584" s="305"/>
      <c r="CT584" s="305"/>
      <c r="CU584" s="305"/>
      <c r="CV584" s="305"/>
      <c r="CW584" s="305"/>
      <c r="CX584" s="305"/>
      <c r="CY584" s="305"/>
      <c r="CZ584" s="305"/>
      <c r="DA584" s="305"/>
      <c r="DB584" s="305"/>
      <c r="DC584" s="305"/>
      <c r="DD584" s="305"/>
      <c r="DE584" s="305"/>
      <c r="DF584" s="305"/>
      <c r="DG584" s="305"/>
      <c r="DH584" s="305"/>
      <c r="DI584" s="305"/>
      <c r="DJ584" s="305"/>
      <c r="DK584" s="305"/>
      <c r="DL584" s="305"/>
      <c r="DM584" s="305"/>
      <c r="DN584" s="305"/>
      <c r="DO584" s="305"/>
      <c r="DP584" s="305"/>
      <c r="DQ584" s="305"/>
      <c r="DR584" s="305"/>
      <c r="DS584" s="305"/>
      <c r="DT584" s="305"/>
      <c r="DU584" s="305"/>
      <c r="DV584" s="305"/>
      <c r="DW584" s="305"/>
      <c r="DX584" s="305"/>
      <c r="DY584" s="305"/>
      <c r="DZ584" s="305"/>
      <c r="EA584" s="305"/>
      <c r="EB584" s="305"/>
      <c r="EC584" s="305"/>
      <c r="ED584" s="305"/>
      <c r="EE584" s="305"/>
      <c r="EF584" s="305"/>
      <c r="EG584" s="305"/>
      <c r="EH584" s="305"/>
      <c r="EI584" s="305"/>
      <c r="EJ584" s="305"/>
      <c r="EK584" s="305"/>
      <c r="EL584" s="305"/>
      <c r="EM584" s="305"/>
      <c r="EN584" s="305"/>
      <c r="EO584" s="305"/>
      <c r="EP584" s="305"/>
      <c r="EQ584" s="305"/>
      <c r="ER584" s="305"/>
      <c r="ES584" s="305"/>
      <c r="ET584" s="305"/>
      <c r="EU584" s="305"/>
      <c r="EV584" s="305"/>
      <c r="EW584" s="305"/>
      <c r="EX584" s="305"/>
      <c r="EY584" s="305"/>
      <c r="EZ584" s="305"/>
      <c r="FA584" s="305"/>
      <c r="FB584" s="305"/>
      <c r="FC584" s="305"/>
      <c r="FD584" s="305"/>
      <c r="FE584" s="305"/>
      <c r="FF584" s="305"/>
      <c r="FG584" s="305"/>
      <c r="FH584" s="305"/>
      <c r="FI584" s="305"/>
      <c r="FJ584" s="305"/>
      <c r="FK584" s="305"/>
      <c r="FL584" s="305"/>
      <c r="FM584" s="305"/>
      <c r="FN584" s="305"/>
      <c r="FO584" s="305"/>
      <c r="FP584" s="305"/>
      <c r="FQ584" s="305"/>
      <c r="FR584" s="305"/>
      <c r="FS584" s="305"/>
      <c r="FT584" s="305"/>
      <c r="FU584" s="305"/>
      <c r="FV584" s="305"/>
      <c r="FW584" s="305"/>
      <c r="FX584" s="305"/>
      <c r="FY584" s="305"/>
      <c r="FZ584" s="305"/>
      <c r="GA584" s="305"/>
      <c r="GB584" s="305"/>
      <c r="GC584" s="305"/>
      <c r="GD584" s="305"/>
      <c r="GE584" s="305"/>
      <c r="GF584" s="305"/>
      <c r="GG584" s="305"/>
      <c r="GH584" s="305"/>
      <c r="GI584" s="305"/>
      <c r="GJ584" s="305"/>
      <c r="GK584" s="305"/>
      <c r="GL584" s="305"/>
      <c r="GM584" s="305"/>
      <c r="GN584" s="305"/>
      <c r="GO584" s="305"/>
      <c r="GP584" s="305"/>
      <c r="GQ584" s="305"/>
      <c r="GR584" s="305"/>
    </row>
    <row r="585" spans="3:200" s="318" customFormat="1" ht="12.75" customHeight="1" x14ac:dyDescent="0.2">
      <c r="C585" s="367"/>
      <c r="D585" s="403"/>
      <c r="E585" s="369"/>
      <c r="F585" s="369"/>
      <c r="G585" s="369"/>
      <c r="H585" s="369"/>
      <c r="I585" s="370"/>
      <c r="J585"/>
      <c r="K585" s="371"/>
      <c r="L585" s="371"/>
      <c r="M585" s="371"/>
      <c r="N585" s="371"/>
      <c r="O585" s="305"/>
      <c r="P585" s="305"/>
      <c r="Q585" s="305"/>
      <c r="R585" s="305"/>
      <c r="S585" s="305"/>
      <c r="T585" s="305"/>
      <c r="U585" s="305"/>
      <c r="V585" s="305"/>
      <c r="W585" s="305"/>
      <c r="X585" s="305"/>
      <c r="Y585" s="305"/>
      <c r="Z585" s="305"/>
      <c r="AA585" s="305"/>
      <c r="AB585" s="305"/>
      <c r="AC585" s="305"/>
      <c r="AD585" s="305"/>
      <c r="AE585" s="305"/>
      <c r="AF585" s="305"/>
      <c r="AG585" s="305"/>
      <c r="AH585" s="305"/>
      <c r="AI585" s="305"/>
      <c r="AJ585" s="305"/>
      <c r="AK585" s="305"/>
      <c r="AL585" s="305"/>
      <c r="AM585" s="305"/>
      <c r="AN585" s="305"/>
      <c r="AO585" s="305"/>
      <c r="AP585" s="305"/>
      <c r="AQ585" s="305"/>
      <c r="AR585" s="305"/>
      <c r="AS585" s="305"/>
      <c r="AT585" s="305"/>
      <c r="AU585" s="305"/>
      <c r="AV585" s="305"/>
      <c r="AW585" s="305"/>
      <c r="AX585" s="305"/>
      <c r="AY585" s="305"/>
      <c r="AZ585" s="305"/>
      <c r="BA585" s="305"/>
      <c r="BB585" s="305"/>
      <c r="BC585" s="305"/>
      <c r="BD585" s="305"/>
      <c r="BE585" s="305"/>
      <c r="BF585" s="305"/>
      <c r="BG585" s="305"/>
      <c r="BH585" s="305"/>
      <c r="BI585" s="305"/>
      <c r="BJ585" s="305"/>
      <c r="BK585" s="305"/>
      <c r="BL585" s="305"/>
      <c r="BM585" s="305"/>
      <c r="BN585" s="305"/>
      <c r="BO585" s="305"/>
      <c r="BP585" s="305"/>
      <c r="BQ585" s="305"/>
      <c r="BR585" s="305"/>
      <c r="BS585" s="305"/>
      <c r="BT585" s="305"/>
      <c r="BU585" s="305"/>
      <c r="BV585" s="305"/>
      <c r="BW585" s="305"/>
      <c r="BX585" s="305"/>
      <c r="BY585" s="305"/>
      <c r="BZ585" s="305"/>
      <c r="CA585" s="305"/>
      <c r="CB585" s="305"/>
      <c r="CC585" s="305"/>
      <c r="CD585" s="305"/>
      <c r="CE585" s="305"/>
      <c r="CF585" s="305"/>
      <c r="CG585" s="305"/>
      <c r="CH585" s="305"/>
      <c r="CI585" s="305"/>
      <c r="CJ585" s="305"/>
      <c r="CK585" s="305"/>
      <c r="CL585" s="305"/>
      <c r="CM585" s="305"/>
      <c r="CN585" s="305"/>
      <c r="CO585" s="305"/>
      <c r="CP585" s="305"/>
      <c r="CQ585" s="305"/>
      <c r="CR585" s="305"/>
      <c r="CS585" s="305"/>
      <c r="CT585" s="305"/>
      <c r="CU585" s="305"/>
      <c r="CV585" s="305"/>
      <c r="CW585" s="305"/>
      <c r="CX585" s="305"/>
      <c r="CY585" s="305"/>
      <c r="CZ585" s="305"/>
      <c r="DA585" s="305"/>
      <c r="DB585" s="305"/>
      <c r="DC585" s="305"/>
      <c r="DD585" s="305"/>
      <c r="DE585" s="305"/>
      <c r="DF585" s="305"/>
      <c r="DG585" s="305"/>
      <c r="DH585" s="305"/>
      <c r="DI585" s="305"/>
      <c r="DJ585" s="305"/>
      <c r="DK585" s="305"/>
      <c r="DL585" s="305"/>
      <c r="DM585" s="305"/>
      <c r="DN585" s="305"/>
      <c r="DO585" s="305"/>
      <c r="DP585" s="305"/>
      <c r="DQ585" s="305"/>
      <c r="DR585" s="305"/>
      <c r="DS585" s="305"/>
      <c r="DT585" s="305"/>
      <c r="DU585" s="305"/>
      <c r="DV585" s="305"/>
      <c r="DW585" s="305"/>
      <c r="DX585" s="305"/>
      <c r="DY585" s="305"/>
      <c r="DZ585" s="305"/>
      <c r="EA585" s="305"/>
      <c r="EB585" s="305"/>
      <c r="EC585" s="305"/>
      <c r="ED585" s="305"/>
      <c r="EE585" s="305"/>
      <c r="EF585" s="305"/>
      <c r="EG585" s="305"/>
      <c r="EH585" s="305"/>
      <c r="EI585" s="305"/>
      <c r="EJ585" s="305"/>
      <c r="EK585" s="305"/>
      <c r="EL585" s="305"/>
      <c r="EM585" s="305"/>
      <c r="EN585" s="305"/>
      <c r="EO585" s="305"/>
      <c r="EP585" s="305"/>
      <c r="EQ585" s="305"/>
      <c r="ER585" s="305"/>
      <c r="ES585" s="305"/>
      <c r="ET585" s="305"/>
      <c r="EU585" s="305"/>
      <c r="EV585" s="305"/>
      <c r="EW585" s="305"/>
      <c r="EX585" s="305"/>
      <c r="EY585" s="305"/>
      <c r="EZ585" s="305"/>
      <c r="FA585" s="305"/>
      <c r="FB585" s="305"/>
      <c r="FC585" s="305"/>
      <c r="FD585" s="305"/>
      <c r="FE585" s="305"/>
      <c r="FF585" s="305"/>
      <c r="FG585" s="305"/>
      <c r="FH585" s="305"/>
      <c r="FI585" s="305"/>
      <c r="FJ585" s="305"/>
      <c r="FK585" s="305"/>
      <c r="FL585" s="305"/>
      <c r="FM585" s="305"/>
      <c r="FN585" s="305"/>
      <c r="FO585" s="305"/>
      <c r="FP585" s="305"/>
      <c r="FQ585" s="305"/>
      <c r="FR585" s="305"/>
      <c r="FS585" s="305"/>
      <c r="FT585" s="305"/>
      <c r="FU585" s="305"/>
      <c r="FV585" s="305"/>
      <c r="FW585" s="305"/>
      <c r="FX585" s="305"/>
      <c r="FY585" s="305"/>
      <c r="FZ585" s="305"/>
      <c r="GA585" s="305"/>
      <c r="GB585" s="305"/>
      <c r="GC585" s="305"/>
      <c r="GD585" s="305"/>
      <c r="GE585" s="305"/>
      <c r="GF585" s="305"/>
      <c r="GG585" s="305"/>
      <c r="GH585" s="305"/>
      <c r="GI585" s="305"/>
      <c r="GJ585" s="305"/>
      <c r="GK585" s="305"/>
      <c r="GL585" s="305"/>
      <c r="GM585" s="305"/>
      <c r="GN585" s="305"/>
      <c r="GO585" s="305"/>
      <c r="GP585" s="305"/>
      <c r="GQ585" s="305"/>
      <c r="GR585" s="305"/>
    </row>
    <row r="586" spans="3:200" s="318" customFormat="1" ht="12.75" customHeight="1" x14ac:dyDescent="0.2">
      <c r="C586" s="367"/>
      <c r="D586" s="403"/>
      <c r="E586" s="369"/>
      <c r="F586" s="369"/>
      <c r="G586" s="369"/>
      <c r="H586" s="369"/>
      <c r="I586" s="370"/>
      <c r="J586"/>
      <c r="K586" s="371"/>
      <c r="L586" s="371"/>
      <c r="M586" s="371"/>
      <c r="N586" s="371"/>
      <c r="O586" s="305"/>
      <c r="P586" s="305"/>
      <c r="Q586" s="305"/>
      <c r="R586" s="305"/>
      <c r="S586" s="305"/>
      <c r="T586" s="305"/>
      <c r="U586" s="305"/>
      <c r="V586" s="305"/>
      <c r="W586" s="305"/>
      <c r="X586" s="305"/>
      <c r="Y586" s="305"/>
      <c r="Z586" s="305"/>
      <c r="AA586" s="305"/>
      <c r="AB586" s="305"/>
      <c r="AC586" s="305"/>
      <c r="AD586" s="305"/>
      <c r="AE586" s="305"/>
      <c r="AF586" s="305"/>
      <c r="AG586" s="305"/>
      <c r="AH586" s="305"/>
      <c r="AI586" s="305"/>
      <c r="AJ586" s="305"/>
      <c r="AK586" s="305"/>
      <c r="AL586" s="305"/>
      <c r="AM586" s="305"/>
      <c r="AN586" s="305"/>
      <c r="AO586" s="305"/>
      <c r="AP586" s="305"/>
      <c r="AQ586" s="305"/>
      <c r="AR586" s="305"/>
      <c r="AS586" s="305"/>
      <c r="AT586" s="305"/>
      <c r="AU586" s="305"/>
      <c r="AV586" s="305"/>
      <c r="AW586" s="305"/>
      <c r="AX586" s="305"/>
      <c r="AY586" s="305"/>
      <c r="AZ586" s="305"/>
      <c r="BA586" s="305"/>
      <c r="BB586" s="305"/>
      <c r="BC586" s="305"/>
      <c r="BD586" s="305"/>
      <c r="BE586" s="305"/>
      <c r="BF586" s="305"/>
      <c r="BG586" s="305"/>
      <c r="BH586" s="305"/>
      <c r="BI586" s="305"/>
      <c r="BJ586" s="305"/>
      <c r="BK586" s="305"/>
      <c r="BL586" s="305"/>
      <c r="BM586" s="305"/>
      <c r="BN586" s="305"/>
      <c r="BO586" s="305"/>
      <c r="BP586" s="305"/>
      <c r="BQ586" s="305"/>
      <c r="BR586" s="305"/>
      <c r="BS586" s="305"/>
      <c r="BT586" s="305"/>
      <c r="BU586" s="305"/>
      <c r="BV586" s="305"/>
      <c r="BW586" s="305"/>
      <c r="BX586" s="305"/>
      <c r="BY586" s="305"/>
      <c r="BZ586" s="305"/>
      <c r="CA586" s="305"/>
      <c r="CB586" s="305"/>
      <c r="CC586" s="305"/>
      <c r="CD586" s="305"/>
      <c r="CE586" s="305"/>
      <c r="CF586" s="305"/>
      <c r="CG586" s="305"/>
      <c r="CH586" s="305"/>
      <c r="CI586" s="305"/>
      <c r="CJ586" s="305"/>
      <c r="CK586" s="305"/>
      <c r="CL586" s="305"/>
      <c r="CM586" s="305"/>
      <c r="CN586" s="305"/>
      <c r="CO586" s="305"/>
      <c r="CP586" s="305"/>
      <c r="CQ586" s="305"/>
      <c r="CR586" s="305"/>
      <c r="CS586" s="305"/>
      <c r="CT586" s="305"/>
      <c r="CU586" s="305"/>
      <c r="CV586" s="305"/>
      <c r="CW586" s="305"/>
      <c r="CX586" s="305"/>
      <c r="CY586" s="305"/>
      <c r="CZ586" s="305"/>
      <c r="DA586" s="305"/>
      <c r="DB586" s="305"/>
      <c r="DC586" s="305"/>
      <c r="DD586" s="305"/>
      <c r="DE586" s="305"/>
      <c r="DF586" s="305"/>
      <c r="DG586" s="305"/>
      <c r="DH586" s="305"/>
      <c r="DI586" s="305"/>
      <c r="DJ586" s="305"/>
      <c r="DK586" s="305"/>
      <c r="DL586" s="305"/>
      <c r="DM586" s="305"/>
      <c r="DN586" s="305"/>
      <c r="DO586" s="305"/>
      <c r="DP586" s="305"/>
      <c r="DQ586" s="305"/>
      <c r="DR586" s="305"/>
      <c r="DS586" s="305"/>
      <c r="DT586" s="305"/>
      <c r="DU586" s="305"/>
      <c r="DV586" s="305"/>
      <c r="DW586" s="305"/>
      <c r="DX586" s="305"/>
      <c r="DY586" s="305"/>
      <c r="DZ586" s="305"/>
      <c r="EA586" s="305"/>
      <c r="EB586" s="305"/>
      <c r="EC586" s="305"/>
      <c r="ED586" s="305"/>
      <c r="EE586" s="305"/>
      <c r="EF586" s="305"/>
      <c r="EG586" s="305"/>
      <c r="EH586" s="305"/>
      <c r="EI586" s="305"/>
      <c r="EJ586" s="305"/>
      <c r="EK586" s="305"/>
      <c r="EL586" s="305"/>
      <c r="EM586" s="305"/>
      <c r="EN586" s="305"/>
      <c r="EO586" s="305"/>
      <c r="EP586" s="305"/>
      <c r="EQ586" s="305"/>
      <c r="ER586" s="305"/>
      <c r="ES586" s="305"/>
      <c r="ET586" s="305"/>
      <c r="EU586" s="305"/>
      <c r="EV586" s="305"/>
      <c r="EW586" s="305"/>
      <c r="EX586" s="305"/>
      <c r="EY586" s="305"/>
      <c r="EZ586" s="305"/>
      <c r="FA586" s="305"/>
      <c r="FB586" s="305"/>
      <c r="FC586" s="305"/>
      <c r="FD586" s="305"/>
      <c r="FE586" s="305"/>
      <c r="FF586" s="305"/>
      <c r="FG586" s="305"/>
      <c r="FH586" s="305"/>
      <c r="FI586" s="305"/>
      <c r="FJ586" s="305"/>
      <c r="FK586" s="305"/>
      <c r="FL586" s="305"/>
      <c r="FM586" s="305"/>
      <c r="FN586" s="305"/>
      <c r="FO586" s="305"/>
      <c r="FP586" s="305"/>
      <c r="FQ586" s="305"/>
      <c r="FR586" s="305"/>
      <c r="FS586" s="305"/>
      <c r="FT586" s="305"/>
      <c r="FU586" s="305"/>
      <c r="FV586" s="305"/>
      <c r="FW586" s="305"/>
      <c r="FX586" s="305"/>
      <c r="FY586" s="305"/>
      <c r="FZ586" s="305"/>
      <c r="GA586" s="305"/>
      <c r="GB586" s="305"/>
      <c r="GC586" s="305"/>
      <c r="GD586" s="305"/>
      <c r="GE586" s="305"/>
      <c r="GF586" s="305"/>
      <c r="GG586" s="305"/>
      <c r="GH586" s="305"/>
      <c r="GI586" s="305"/>
      <c r="GJ586" s="305"/>
      <c r="GK586" s="305"/>
      <c r="GL586" s="305"/>
      <c r="GM586" s="305"/>
      <c r="GN586" s="305"/>
      <c r="GO586" s="305"/>
      <c r="GP586" s="305"/>
      <c r="GQ586" s="305"/>
      <c r="GR586" s="305"/>
    </row>
    <row r="587" spans="3:200" s="318" customFormat="1" ht="12.75" customHeight="1" x14ac:dyDescent="0.2">
      <c r="C587" s="367"/>
      <c r="D587" s="403"/>
      <c r="E587" s="369"/>
      <c r="F587" s="369"/>
      <c r="G587" s="369"/>
      <c r="H587" s="369"/>
      <c r="I587" s="370"/>
      <c r="J587"/>
      <c r="K587" s="371"/>
      <c r="L587" s="371"/>
      <c r="M587" s="371"/>
      <c r="N587" s="371"/>
      <c r="O587" s="305"/>
      <c r="P587" s="305"/>
      <c r="Q587" s="305"/>
      <c r="R587" s="305"/>
      <c r="S587" s="305"/>
      <c r="T587" s="305"/>
      <c r="U587" s="305"/>
      <c r="V587" s="305"/>
      <c r="W587" s="305"/>
      <c r="X587" s="305"/>
      <c r="Y587" s="305"/>
      <c r="Z587" s="305"/>
      <c r="AA587" s="305"/>
      <c r="AB587" s="305"/>
      <c r="AC587" s="305"/>
      <c r="AD587" s="305"/>
      <c r="AE587" s="305"/>
      <c r="AF587" s="305"/>
      <c r="AG587" s="305"/>
      <c r="AH587" s="305"/>
      <c r="AI587" s="305"/>
      <c r="AJ587" s="305"/>
      <c r="AK587" s="305"/>
      <c r="AL587" s="305"/>
      <c r="AM587" s="305"/>
      <c r="AN587" s="305"/>
      <c r="AO587" s="305"/>
      <c r="AP587" s="305"/>
      <c r="AQ587" s="305"/>
      <c r="AR587" s="305"/>
      <c r="AS587" s="305"/>
      <c r="AT587" s="305"/>
      <c r="AU587" s="305"/>
      <c r="AV587" s="305"/>
      <c r="AW587" s="305"/>
      <c r="AX587" s="305"/>
      <c r="AY587" s="305"/>
      <c r="AZ587" s="305"/>
      <c r="BA587" s="305"/>
      <c r="BB587" s="305"/>
      <c r="BC587" s="305"/>
      <c r="BD587" s="305"/>
      <c r="BE587" s="305"/>
      <c r="BF587" s="305"/>
      <c r="BG587" s="305"/>
      <c r="BH587" s="305"/>
      <c r="BI587" s="305"/>
      <c r="BJ587" s="305"/>
      <c r="BK587" s="305"/>
      <c r="BL587" s="305"/>
      <c r="BM587" s="305"/>
      <c r="BN587" s="305"/>
      <c r="BO587" s="305"/>
      <c r="BP587" s="305"/>
      <c r="BQ587" s="305"/>
      <c r="BR587" s="305"/>
      <c r="BS587" s="305"/>
      <c r="BT587" s="305"/>
      <c r="BU587" s="305"/>
      <c r="BV587" s="305"/>
      <c r="BW587" s="305"/>
      <c r="BX587" s="305"/>
      <c r="BY587" s="305"/>
      <c r="BZ587" s="305"/>
      <c r="CA587" s="305"/>
      <c r="CB587" s="305"/>
      <c r="CC587" s="305"/>
      <c r="CD587" s="305"/>
      <c r="CE587" s="305"/>
      <c r="CF587" s="305"/>
      <c r="CG587" s="305"/>
      <c r="CH587" s="305"/>
      <c r="CI587" s="305"/>
      <c r="CJ587" s="305"/>
      <c r="CK587" s="305"/>
      <c r="CL587" s="305"/>
      <c r="CM587" s="305"/>
      <c r="CN587" s="305"/>
      <c r="CO587" s="305"/>
      <c r="CP587" s="305"/>
      <c r="CQ587" s="305"/>
      <c r="CR587" s="305"/>
      <c r="CS587" s="305"/>
      <c r="CT587" s="305"/>
      <c r="CU587" s="305"/>
      <c r="CV587" s="305"/>
      <c r="CW587" s="305"/>
      <c r="CX587" s="305"/>
      <c r="CY587" s="305"/>
      <c r="CZ587" s="305"/>
      <c r="DA587" s="305"/>
      <c r="DB587" s="305"/>
      <c r="DC587" s="305"/>
      <c r="DD587" s="305"/>
      <c r="DE587" s="305"/>
      <c r="DF587" s="305"/>
      <c r="DG587" s="305"/>
      <c r="DH587" s="305"/>
      <c r="DI587" s="305"/>
      <c r="DJ587" s="305"/>
      <c r="DK587" s="305"/>
      <c r="DL587" s="305"/>
      <c r="DM587" s="305"/>
      <c r="DN587" s="305"/>
      <c r="DO587" s="305"/>
      <c r="DP587" s="305"/>
      <c r="DQ587" s="305"/>
      <c r="DR587" s="305"/>
      <c r="DS587" s="305"/>
      <c r="DT587" s="305"/>
      <c r="DU587" s="305"/>
      <c r="DV587" s="305"/>
      <c r="DW587" s="305"/>
      <c r="DX587" s="305"/>
      <c r="DY587" s="305"/>
      <c r="DZ587" s="305"/>
      <c r="EA587" s="305"/>
      <c r="EB587" s="305"/>
      <c r="EC587" s="305"/>
      <c r="ED587" s="305"/>
      <c r="EE587" s="305"/>
      <c r="EF587" s="305"/>
      <c r="EG587" s="305"/>
      <c r="EH587" s="305"/>
      <c r="EI587" s="305"/>
      <c r="EJ587" s="305"/>
      <c r="EK587" s="305"/>
      <c r="EL587" s="305"/>
      <c r="EM587" s="305"/>
      <c r="EN587" s="305"/>
      <c r="EO587" s="305"/>
      <c r="EP587" s="305"/>
      <c r="EQ587" s="305"/>
      <c r="ER587" s="305"/>
      <c r="ES587" s="305"/>
      <c r="ET587" s="305"/>
      <c r="EU587" s="305"/>
      <c r="EV587" s="305"/>
      <c r="EW587" s="305"/>
      <c r="EX587" s="305"/>
      <c r="EY587" s="305"/>
      <c r="EZ587" s="305"/>
      <c r="FA587" s="305"/>
      <c r="FB587" s="305"/>
      <c r="FC587" s="305"/>
      <c r="FD587" s="305"/>
      <c r="FE587" s="305"/>
      <c r="FF587" s="305"/>
      <c r="FG587" s="305"/>
      <c r="FH587" s="305"/>
      <c r="FI587" s="305"/>
      <c r="FJ587" s="305"/>
      <c r="FK587" s="305"/>
      <c r="FL587" s="305"/>
      <c r="FM587" s="305"/>
      <c r="FN587" s="305"/>
      <c r="FO587" s="305"/>
      <c r="FP587" s="305"/>
      <c r="FQ587" s="305"/>
      <c r="FR587" s="305"/>
      <c r="FS587" s="305"/>
      <c r="FT587" s="305"/>
      <c r="FU587" s="305"/>
      <c r="FV587" s="305"/>
      <c r="FW587" s="305"/>
      <c r="FX587" s="305"/>
      <c r="FY587" s="305"/>
      <c r="FZ587" s="305"/>
      <c r="GA587" s="305"/>
      <c r="GB587" s="305"/>
      <c r="GC587" s="305"/>
      <c r="GD587" s="305"/>
      <c r="GE587" s="305"/>
      <c r="GF587" s="305"/>
      <c r="GG587" s="305"/>
      <c r="GH587" s="305"/>
      <c r="GI587" s="305"/>
      <c r="GJ587" s="305"/>
      <c r="GK587" s="305"/>
      <c r="GL587" s="305"/>
      <c r="GM587" s="305"/>
      <c r="GN587" s="305"/>
      <c r="GO587" s="305"/>
      <c r="GP587" s="305"/>
      <c r="GQ587" s="305"/>
      <c r="GR587" s="305"/>
    </row>
    <row r="588" spans="3:200" s="318" customFormat="1" ht="12.75" customHeight="1" x14ac:dyDescent="0.2">
      <c r="C588" s="367"/>
      <c r="D588" s="403"/>
      <c r="E588" s="369"/>
      <c r="F588" s="369"/>
      <c r="G588" s="369"/>
      <c r="H588" s="369"/>
      <c r="I588" s="370"/>
      <c r="J588"/>
      <c r="K588" s="371"/>
      <c r="L588" s="371"/>
      <c r="M588" s="371"/>
      <c r="N588" s="371"/>
      <c r="O588" s="305"/>
      <c r="P588" s="305"/>
      <c r="Q588" s="305"/>
      <c r="R588" s="305"/>
      <c r="S588" s="305"/>
      <c r="T588" s="305"/>
      <c r="U588" s="305"/>
      <c r="V588" s="305"/>
      <c r="W588" s="305"/>
      <c r="X588" s="305"/>
      <c r="Y588" s="305"/>
      <c r="Z588" s="305"/>
      <c r="AA588" s="305"/>
      <c r="AB588" s="305"/>
      <c r="AC588" s="305"/>
      <c r="AD588" s="305"/>
      <c r="AE588" s="305"/>
      <c r="AF588" s="305"/>
      <c r="AG588" s="305"/>
      <c r="AH588" s="305"/>
      <c r="AI588" s="305"/>
      <c r="AJ588" s="305"/>
      <c r="AK588" s="305"/>
      <c r="AL588" s="305"/>
      <c r="AM588" s="305"/>
      <c r="AN588" s="305"/>
      <c r="AO588" s="305"/>
      <c r="AP588" s="305"/>
      <c r="AQ588" s="305"/>
      <c r="AR588" s="305"/>
      <c r="AS588" s="305"/>
      <c r="AT588" s="305"/>
      <c r="AU588" s="305"/>
      <c r="AV588" s="305"/>
      <c r="AW588" s="305"/>
      <c r="AX588" s="305"/>
      <c r="AY588" s="305"/>
      <c r="AZ588" s="305"/>
      <c r="BA588" s="305"/>
      <c r="BB588" s="305"/>
      <c r="BC588" s="305"/>
      <c r="BD588" s="305"/>
      <c r="BE588" s="305"/>
      <c r="BF588" s="305"/>
      <c r="BG588" s="305"/>
      <c r="BH588" s="305"/>
      <c r="BI588" s="305"/>
      <c r="BJ588" s="305"/>
      <c r="BK588" s="305"/>
      <c r="BL588" s="305"/>
      <c r="BM588" s="305"/>
      <c r="BN588" s="305"/>
      <c r="BO588" s="305"/>
      <c r="BP588" s="305"/>
      <c r="BQ588" s="305"/>
      <c r="BR588" s="305"/>
      <c r="BS588" s="305"/>
      <c r="BT588" s="305"/>
      <c r="BU588" s="305"/>
      <c r="BV588" s="305"/>
      <c r="BW588" s="305"/>
      <c r="BX588" s="305"/>
      <c r="BY588" s="305"/>
      <c r="BZ588" s="305"/>
      <c r="CA588" s="305"/>
      <c r="CB588" s="305"/>
      <c r="CC588" s="305"/>
      <c r="CD588" s="305"/>
      <c r="CE588" s="305"/>
      <c r="CF588" s="305"/>
      <c r="CG588" s="305"/>
      <c r="CH588" s="305"/>
      <c r="CI588" s="305"/>
      <c r="CJ588" s="305"/>
      <c r="CK588" s="305"/>
      <c r="CL588" s="305"/>
      <c r="CM588" s="305"/>
      <c r="CN588" s="305"/>
      <c r="CO588" s="305"/>
      <c r="CP588" s="305"/>
      <c r="CQ588" s="305"/>
      <c r="CR588" s="305"/>
      <c r="CS588" s="305"/>
      <c r="CT588" s="305"/>
      <c r="CU588" s="305"/>
      <c r="CV588" s="305"/>
      <c r="CW588" s="305"/>
      <c r="CX588" s="305"/>
      <c r="CY588" s="305"/>
      <c r="CZ588" s="305"/>
      <c r="DA588" s="305"/>
      <c r="DB588" s="305"/>
      <c r="DC588" s="305"/>
      <c r="DD588" s="305"/>
      <c r="DE588" s="305"/>
      <c r="DF588" s="305"/>
      <c r="DG588" s="305"/>
      <c r="DH588" s="305"/>
      <c r="DI588" s="305"/>
      <c r="DJ588" s="305"/>
      <c r="DK588" s="305"/>
      <c r="DL588" s="305"/>
      <c r="DM588" s="305"/>
      <c r="DN588" s="305"/>
      <c r="DO588" s="305"/>
      <c r="DP588" s="305"/>
      <c r="DQ588" s="305"/>
      <c r="DR588" s="305"/>
      <c r="DS588" s="305"/>
      <c r="DT588" s="305"/>
      <c r="DU588" s="305"/>
      <c r="DV588" s="305"/>
      <c r="DW588" s="305"/>
      <c r="DX588" s="305"/>
      <c r="DY588" s="305"/>
      <c r="DZ588" s="305"/>
      <c r="EA588" s="305"/>
      <c r="EB588" s="305"/>
      <c r="EC588" s="305"/>
      <c r="ED588" s="305"/>
      <c r="EE588" s="305"/>
      <c r="EF588" s="305"/>
      <c r="EG588" s="305"/>
      <c r="EH588" s="305"/>
      <c r="EI588" s="305"/>
      <c r="EJ588" s="305"/>
      <c r="EK588" s="305"/>
      <c r="EL588" s="305"/>
      <c r="EM588" s="305"/>
      <c r="EN588" s="305"/>
      <c r="EO588" s="305"/>
      <c r="EP588" s="305"/>
      <c r="EQ588" s="305"/>
      <c r="ER588" s="305"/>
      <c r="ES588" s="305"/>
      <c r="ET588" s="305"/>
      <c r="EU588" s="305"/>
      <c r="EV588" s="305"/>
      <c r="EW588" s="305"/>
      <c r="EX588" s="305"/>
      <c r="EY588" s="305"/>
      <c r="EZ588" s="305"/>
      <c r="FA588" s="305"/>
      <c r="FB588" s="305"/>
      <c r="FC588" s="305"/>
      <c r="FD588" s="305"/>
      <c r="FE588" s="305"/>
      <c r="FF588" s="305"/>
      <c r="FG588" s="305"/>
      <c r="FH588" s="305"/>
      <c r="FI588" s="305"/>
      <c r="FJ588" s="305"/>
      <c r="FK588" s="305"/>
      <c r="FL588" s="305"/>
      <c r="FM588" s="305"/>
      <c r="FN588" s="305"/>
      <c r="FO588" s="305"/>
      <c r="FP588" s="305"/>
      <c r="FQ588" s="305"/>
      <c r="FR588" s="305"/>
      <c r="FS588" s="305"/>
      <c r="FT588" s="305"/>
      <c r="FU588" s="305"/>
      <c r="FV588" s="305"/>
      <c r="FW588" s="305"/>
      <c r="FX588" s="305"/>
      <c r="FY588" s="305"/>
      <c r="FZ588" s="305"/>
      <c r="GA588" s="305"/>
      <c r="GB588" s="305"/>
      <c r="GC588" s="305"/>
      <c r="GD588" s="305"/>
      <c r="GE588" s="305"/>
      <c r="GF588" s="305"/>
      <c r="GG588" s="305"/>
      <c r="GH588" s="305"/>
      <c r="GI588" s="305"/>
      <c r="GJ588" s="305"/>
      <c r="GK588" s="305"/>
      <c r="GL588" s="305"/>
      <c r="GM588" s="305"/>
      <c r="GN588" s="305"/>
      <c r="GO588" s="305"/>
      <c r="GP588" s="305"/>
      <c r="GQ588" s="305"/>
      <c r="GR588" s="305"/>
    </row>
    <row r="589" spans="3:200" s="318" customFormat="1" ht="12.75" customHeight="1" x14ac:dyDescent="0.2">
      <c r="C589" s="367"/>
      <c r="D589" s="403"/>
      <c r="E589" s="369"/>
      <c r="F589" s="369"/>
      <c r="G589" s="369"/>
      <c r="H589" s="369"/>
      <c r="I589" s="370"/>
      <c r="J589"/>
      <c r="K589" s="371"/>
      <c r="L589" s="371"/>
      <c r="M589" s="371"/>
      <c r="N589" s="371"/>
      <c r="O589" s="305"/>
      <c r="P589" s="305"/>
      <c r="Q589" s="305"/>
      <c r="R589" s="305"/>
      <c r="S589" s="305"/>
      <c r="T589" s="305"/>
      <c r="U589" s="305"/>
      <c r="V589" s="305"/>
      <c r="W589" s="305"/>
      <c r="X589" s="305"/>
      <c r="Y589" s="305"/>
      <c r="Z589" s="305"/>
      <c r="AA589" s="305"/>
      <c r="AB589" s="305"/>
      <c r="AC589" s="305"/>
      <c r="AD589" s="305"/>
      <c r="AE589" s="305"/>
      <c r="AF589" s="305"/>
      <c r="AG589" s="305"/>
      <c r="AH589" s="305"/>
      <c r="AI589" s="305"/>
      <c r="AJ589" s="305"/>
      <c r="AK589" s="305"/>
      <c r="AL589" s="305"/>
      <c r="AM589" s="305"/>
      <c r="AN589" s="305"/>
      <c r="AO589" s="305"/>
      <c r="AP589" s="305"/>
      <c r="AQ589" s="305"/>
      <c r="AR589" s="305"/>
      <c r="AS589" s="305"/>
      <c r="AT589" s="305"/>
      <c r="AU589" s="305"/>
      <c r="AV589" s="305"/>
      <c r="AW589" s="305"/>
      <c r="AX589" s="305"/>
      <c r="AY589" s="305"/>
      <c r="AZ589" s="305"/>
      <c r="BA589" s="305"/>
      <c r="BB589" s="305"/>
      <c r="BC589" s="305"/>
      <c r="BD589" s="305"/>
      <c r="BE589" s="305"/>
      <c r="BF589" s="305"/>
      <c r="BG589" s="305"/>
      <c r="BH589" s="305"/>
      <c r="BI589" s="305"/>
      <c r="BJ589" s="305"/>
      <c r="BK589" s="305"/>
      <c r="BL589" s="305"/>
      <c r="BM589" s="305"/>
      <c r="BN589" s="305"/>
      <c r="BO589" s="305"/>
      <c r="BP589" s="305"/>
      <c r="BQ589" s="305"/>
      <c r="BR589" s="305"/>
      <c r="BS589" s="305"/>
      <c r="BT589" s="305"/>
      <c r="BU589" s="305"/>
      <c r="BV589" s="305"/>
      <c r="BW589" s="305"/>
      <c r="BX589" s="305"/>
      <c r="BY589" s="305"/>
      <c r="BZ589" s="305"/>
      <c r="CA589" s="305"/>
      <c r="CB589" s="305"/>
      <c r="CC589" s="305"/>
      <c r="CD589" s="305"/>
      <c r="CE589" s="305"/>
      <c r="CF589" s="305"/>
      <c r="CG589" s="305"/>
      <c r="CH589" s="305"/>
      <c r="CI589" s="305"/>
      <c r="CJ589" s="305"/>
      <c r="CK589" s="305"/>
      <c r="CL589" s="305"/>
      <c r="CM589" s="305"/>
      <c r="CN589" s="305"/>
      <c r="CO589" s="305"/>
      <c r="CP589" s="305"/>
      <c r="CQ589" s="305"/>
      <c r="CR589" s="305"/>
      <c r="CS589" s="305"/>
      <c r="CT589" s="305"/>
      <c r="CU589" s="305"/>
      <c r="CV589" s="305"/>
      <c r="CW589" s="305"/>
      <c r="CX589" s="305"/>
      <c r="CY589" s="305"/>
      <c r="CZ589" s="305"/>
      <c r="DA589" s="305"/>
      <c r="DB589" s="305"/>
      <c r="DC589" s="305"/>
      <c r="DD589" s="305"/>
      <c r="DE589" s="305"/>
      <c r="DF589" s="305"/>
      <c r="DG589" s="305"/>
      <c r="DH589" s="305"/>
      <c r="DI589" s="305"/>
      <c r="DJ589" s="305"/>
      <c r="DK589" s="305"/>
      <c r="DL589" s="305"/>
      <c r="DM589" s="305"/>
      <c r="DN589" s="305"/>
      <c r="DO589" s="305"/>
      <c r="DP589" s="305"/>
      <c r="DQ589" s="305"/>
      <c r="DR589" s="305"/>
      <c r="DS589" s="305"/>
      <c r="DT589" s="305"/>
      <c r="DU589" s="305"/>
      <c r="DV589" s="305"/>
      <c r="DW589" s="305"/>
      <c r="DX589" s="305"/>
      <c r="DY589" s="305"/>
      <c r="DZ589" s="305"/>
      <c r="EA589" s="305"/>
      <c r="EB589" s="305"/>
      <c r="EC589" s="305"/>
      <c r="ED589" s="305"/>
      <c r="EE589" s="305"/>
      <c r="EF589" s="305"/>
      <c r="EG589" s="305"/>
      <c r="EH589" s="305"/>
      <c r="EI589" s="305"/>
      <c r="EJ589" s="305"/>
      <c r="EK589" s="305"/>
      <c r="EL589" s="305"/>
      <c r="EM589" s="305"/>
      <c r="EN589" s="305"/>
      <c r="EO589" s="305"/>
      <c r="EP589" s="305"/>
      <c r="EQ589" s="305"/>
      <c r="ER589" s="305"/>
      <c r="ES589" s="305"/>
      <c r="ET589" s="305"/>
      <c r="EU589" s="305"/>
      <c r="EV589" s="305"/>
      <c r="EW589" s="305"/>
      <c r="EX589" s="305"/>
      <c r="EY589" s="305"/>
      <c r="EZ589" s="305"/>
      <c r="FA589" s="305"/>
      <c r="FB589" s="305"/>
      <c r="FC589" s="305"/>
      <c r="FD589" s="305"/>
      <c r="FE589" s="305"/>
      <c r="FF589" s="305"/>
      <c r="FG589" s="305"/>
      <c r="FH589" s="305"/>
      <c r="FI589" s="305"/>
      <c r="FJ589" s="305"/>
      <c r="FK589" s="305"/>
      <c r="FL589" s="305"/>
      <c r="FM589" s="305"/>
      <c r="FN589" s="305"/>
      <c r="FO589" s="305"/>
      <c r="FP589" s="305"/>
      <c r="FQ589" s="305"/>
      <c r="FR589" s="305"/>
      <c r="FS589" s="305"/>
      <c r="FT589" s="305"/>
      <c r="FU589" s="305"/>
      <c r="FV589" s="305"/>
      <c r="FW589" s="305"/>
      <c r="FX589" s="305"/>
      <c r="FY589" s="305"/>
      <c r="FZ589" s="305"/>
      <c r="GA589" s="305"/>
      <c r="GB589" s="305"/>
      <c r="GC589" s="305"/>
      <c r="GD589" s="305"/>
      <c r="GE589" s="305"/>
      <c r="GF589" s="305"/>
      <c r="GG589" s="305"/>
      <c r="GH589" s="305"/>
      <c r="GI589" s="305"/>
      <c r="GJ589" s="305"/>
      <c r="GK589" s="305"/>
      <c r="GL589" s="305"/>
      <c r="GM589" s="305"/>
      <c r="GN589" s="305"/>
      <c r="GO589" s="305"/>
      <c r="GP589" s="305"/>
      <c r="GQ589" s="305"/>
      <c r="GR589" s="305"/>
    </row>
    <row r="590" spans="3:200" s="318" customFormat="1" ht="12.75" customHeight="1" x14ac:dyDescent="0.2">
      <c r="C590" s="367"/>
      <c r="D590" s="403"/>
      <c r="E590" s="369"/>
      <c r="F590" s="369"/>
      <c r="G590" s="369"/>
      <c r="H590" s="369"/>
      <c r="I590" s="370"/>
      <c r="J590"/>
      <c r="K590" s="371"/>
      <c r="L590" s="371"/>
      <c r="M590" s="371"/>
      <c r="N590" s="371"/>
      <c r="O590" s="305"/>
      <c r="P590" s="305"/>
      <c r="Q590" s="305"/>
      <c r="R590" s="305"/>
      <c r="S590" s="305"/>
      <c r="T590" s="305"/>
      <c r="U590" s="305"/>
      <c r="V590" s="305"/>
      <c r="W590" s="305"/>
      <c r="X590" s="305"/>
      <c r="Y590" s="305"/>
      <c r="Z590" s="305"/>
      <c r="AA590" s="305"/>
      <c r="AB590" s="305"/>
      <c r="AC590" s="305"/>
      <c r="AD590" s="305"/>
      <c r="AE590" s="305"/>
      <c r="AF590" s="305"/>
      <c r="AG590" s="305"/>
      <c r="AH590" s="305"/>
      <c r="AI590" s="305"/>
      <c r="AJ590" s="305"/>
      <c r="AK590" s="305"/>
      <c r="AL590" s="305"/>
      <c r="AM590" s="305"/>
      <c r="AN590" s="305"/>
      <c r="AO590" s="305"/>
      <c r="AP590" s="305"/>
      <c r="AQ590" s="305"/>
      <c r="AR590" s="305"/>
      <c r="AS590" s="305"/>
      <c r="AT590" s="305"/>
      <c r="AU590" s="305"/>
      <c r="AV590" s="305"/>
      <c r="AW590" s="305"/>
      <c r="AX590" s="305"/>
      <c r="AY590" s="305"/>
      <c r="AZ590" s="305"/>
      <c r="BA590" s="305"/>
      <c r="BB590" s="305"/>
      <c r="BC590" s="305"/>
      <c r="BD590" s="305"/>
      <c r="BE590" s="305"/>
      <c r="BF590" s="305"/>
      <c r="BG590" s="305"/>
      <c r="BH590" s="305"/>
      <c r="BI590" s="305"/>
      <c r="BJ590" s="305"/>
      <c r="BK590" s="305"/>
      <c r="BL590" s="305"/>
      <c r="BM590" s="305"/>
      <c r="BN590" s="305"/>
      <c r="BO590" s="305"/>
      <c r="BP590" s="305"/>
      <c r="BQ590" s="305"/>
      <c r="BR590" s="305"/>
      <c r="BS590" s="305"/>
      <c r="BT590" s="305"/>
      <c r="BU590" s="305"/>
      <c r="BV590" s="305"/>
      <c r="BW590" s="305"/>
      <c r="BX590" s="305"/>
      <c r="BY590" s="305"/>
      <c r="BZ590" s="305"/>
      <c r="CA590" s="305"/>
      <c r="CB590" s="305"/>
      <c r="CC590" s="305"/>
      <c r="CD590" s="305"/>
      <c r="CE590" s="305"/>
      <c r="CF590" s="305"/>
      <c r="CG590" s="305"/>
      <c r="CH590" s="305"/>
      <c r="CI590" s="305"/>
      <c r="CJ590" s="305"/>
      <c r="CK590" s="305"/>
      <c r="CL590" s="305"/>
      <c r="CM590" s="305"/>
      <c r="CN590" s="305"/>
      <c r="CO590" s="305"/>
      <c r="CP590" s="305"/>
      <c r="CQ590" s="305"/>
      <c r="CR590" s="305"/>
      <c r="CS590" s="305"/>
      <c r="CT590" s="305"/>
      <c r="CU590" s="305"/>
      <c r="CV590" s="305"/>
      <c r="CW590" s="305"/>
      <c r="CX590" s="305"/>
      <c r="CY590" s="305"/>
      <c r="CZ590" s="305"/>
      <c r="DA590" s="305"/>
      <c r="DB590" s="305"/>
      <c r="DC590" s="305"/>
      <c r="DD590" s="305"/>
      <c r="DE590" s="305"/>
      <c r="DF590" s="305"/>
      <c r="DG590" s="305"/>
      <c r="DH590" s="305"/>
      <c r="DI590" s="305"/>
      <c r="DJ590" s="305"/>
      <c r="DK590" s="305"/>
      <c r="DL590" s="305"/>
      <c r="DM590" s="305"/>
      <c r="DN590" s="305"/>
      <c r="DO590" s="305"/>
      <c r="DP590" s="305"/>
      <c r="DQ590" s="305"/>
      <c r="DR590" s="305"/>
      <c r="DS590" s="305"/>
      <c r="DT590" s="305"/>
      <c r="DU590" s="305"/>
      <c r="DV590" s="305"/>
      <c r="DW590" s="305"/>
      <c r="DX590" s="305"/>
      <c r="DY590" s="305"/>
      <c r="DZ590" s="305"/>
      <c r="EA590" s="305"/>
      <c r="EB590" s="305"/>
      <c r="EC590" s="305"/>
      <c r="ED590" s="305"/>
      <c r="EE590" s="305"/>
      <c r="EF590" s="305"/>
      <c r="EG590" s="305"/>
      <c r="EH590" s="305"/>
      <c r="EI590" s="305"/>
      <c r="EJ590" s="305"/>
      <c r="EK590" s="305"/>
      <c r="EL590" s="305"/>
      <c r="EM590" s="305"/>
      <c r="EN590" s="305"/>
      <c r="EO590" s="305"/>
      <c r="EP590" s="305"/>
      <c r="EQ590" s="305"/>
      <c r="ER590" s="305"/>
      <c r="ES590" s="305"/>
      <c r="ET590" s="305"/>
      <c r="EU590" s="305"/>
      <c r="EV590" s="305"/>
      <c r="EW590" s="305"/>
      <c r="EX590" s="305"/>
      <c r="EY590" s="305"/>
      <c r="EZ590" s="305"/>
      <c r="FA590" s="305"/>
      <c r="FB590" s="305"/>
      <c r="FC590" s="305"/>
      <c r="FD590" s="305"/>
      <c r="FE590" s="305"/>
      <c r="FF590" s="305"/>
      <c r="FG590" s="305"/>
      <c r="FH590" s="305"/>
      <c r="FI590" s="305"/>
      <c r="FJ590" s="305"/>
      <c r="FK590" s="305"/>
      <c r="FL590" s="305"/>
      <c r="FM590" s="305"/>
      <c r="FN590" s="305"/>
      <c r="FO590" s="305"/>
      <c r="FP590" s="305"/>
      <c r="FQ590" s="305"/>
      <c r="FR590" s="305"/>
      <c r="FS590" s="305"/>
      <c r="FT590" s="305"/>
      <c r="FU590" s="305"/>
      <c r="FV590" s="305"/>
      <c r="FW590" s="305"/>
      <c r="FX590" s="305"/>
      <c r="FY590" s="305"/>
      <c r="FZ590" s="305"/>
      <c r="GA590" s="305"/>
      <c r="GB590" s="305"/>
      <c r="GC590" s="305"/>
      <c r="GD590" s="305"/>
      <c r="GE590" s="305"/>
      <c r="GF590" s="305"/>
      <c r="GG590" s="305"/>
      <c r="GH590" s="305"/>
      <c r="GI590" s="305"/>
      <c r="GJ590" s="305"/>
      <c r="GK590" s="305"/>
      <c r="GL590" s="305"/>
      <c r="GM590" s="305"/>
      <c r="GN590" s="305"/>
      <c r="GO590" s="305"/>
      <c r="GP590" s="305"/>
      <c r="GQ590" s="305"/>
      <c r="GR590" s="305"/>
    </row>
    <row r="591" spans="3:200" s="318" customFormat="1" ht="12.75" customHeight="1" x14ac:dyDescent="0.2">
      <c r="C591" s="367"/>
      <c r="D591" s="403"/>
      <c r="E591" s="369"/>
      <c r="F591" s="369"/>
      <c r="G591" s="369"/>
      <c r="H591" s="369"/>
      <c r="I591" s="370"/>
      <c r="J591"/>
      <c r="K591" s="371"/>
      <c r="L591" s="371"/>
      <c r="M591" s="371"/>
      <c r="N591" s="371"/>
      <c r="O591" s="305"/>
      <c r="P591" s="305"/>
      <c r="Q591" s="305"/>
      <c r="R591" s="305"/>
      <c r="S591" s="305"/>
      <c r="T591" s="305"/>
      <c r="U591" s="305"/>
      <c r="V591" s="305"/>
      <c r="W591" s="305"/>
      <c r="X591" s="305"/>
      <c r="Y591" s="305"/>
      <c r="Z591" s="305"/>
      <c r="AA591" s="305"/>
      <c r="AB591" s="305"/>
      <c r="AC591" s="305"/>
      <c r="AD591" s="305"/>
      <c r="AE591" s="305"/>
      <c r="AF591" s="305"/>
      <c r="AG591" s="305"/>
      <c r="AH591" s="305"/>
      <c r="AI591" s="305"/>
      <c r="AJ591" s="305"/>
      <c r="AK591" s="305"/>
      <c r="AL591" s="305"/>
      <c r="AM591" s="305"/>
      <c r="AN591" s="305"/>
      <c r="AO591" s="305"/>
      <c r="AP591" s="305"/>
      <c r="AQ591" s="305"/>
      <c r="AR591" s="305"/>
      <c r="AS591" s="305"/>
      <c r="AT591" s="305"/>
      <c r="AU591" s="305"/>
      <c r="AV591" s="305"/>
      <c r="AW591" s="305"/>
      <c r="AX591" s="305"/>
      <c r="AY591" s="305"/>
      <c r="AZ591" s="305"/>
      <c r="BA591" s="305"/>
      <c r="BB591" s="305"/>
      <c r="BC591" s="305"/>
      <c r="BD591" s="305"/>
      <c r="BE591" s="305"/>
      <c r="BF591" s="305"/>
      <c r="BG591" s="305"/>
      <c r="BH591" s="305"/>
      <c r="BI591" s="305"/>
      <c r="BJ591" s="305"/>
      <c r="BK591" s="305"/>
      <c r="BL591" s="305"/>
      <c r="BM591" s="305"/>
      <c r="BN591" s="305"/>
      <c r="BO591" s="305"/>
      <c r="BP591" s="305"/>
      <c r="BQ591" s="305"/>
      <c r="BR591" s="305"/>
      <c r="BS591" s="305"/>
      <c r="BT591" s="305"/>
      <c r="BU591" s="305"/>
      <c r="BV591" s="305"/>
      <c r="BW591" s="305"/>
      <c r="BX591" s="305"/>
      <c r="BY591" s="305"/>
      <c r="BZ591" s="305"/>
      <c r="CA591" s="305"/>
      <c r="CB591" s="305"/>
      <c r="CC591" s="305"/>
      <c r="CD591" s="305"/>
      <c r="CE591" s="305"/>
      <c r="CF591" s="305"/>
      <c r="CG591" s="305"/>
      <c r="CH591" s="305"/>
      <c r="CI591" s="305"/>
      <c r="CJ591" s="305"/>
      <c r="CK591" s="305"/>
      <c r="CL591" s="305"/>
      <c r="CM591" s="305"/>
      <c r="CN591" s="305"/>
      <c r="CO591" s="305"/>
      <c r="CP591" s="305"/>
      <c r="CQ591" s="305"/>
      <c r="CR591" s="305"/>
      <c r="CS591" s="305"/>
      <c r="CT591" s="305"/>
      <c r="CU591" s="305"/>
      <c r="CV591" s="305"/>
      <c r="CW591" s="305"/>
      <c r="CX591" s="305"/>
      <c r="CY591" s="305"/>
      <c r="CZ591" s="305"/>
      <c r="DA591" s="305"/>
      <c r="DB591" s="305"/>
      <c r="DC591" s="305"/>
      <c r="DD591" s="305"/>
      <c r="DE591" s="305"/>
      <c r="DF591" s="305"/>
      <c r="DG591" s="305"/>
      <c r="DH591" s="305"/>
      <c r="DI591" s="305"/>
      <c r="DJ591" s="305"/>
      <c r="DK591" s="305"/>
      <c r="DL591" s="305"/>
      <c r="DM591" s="305"/>
      <c r="DN591" s="305"/>
      <c r="DO591" s="305"/>
      <c r="DP591" s="305"/>
      <c r="DQ591" s="305"/>
      <c r="DR591" s="305"/>
      <c r="DS591" s="305"/>
      <c r="DT591" s="305"/>
      <c r="DU591" s="305"/>
      <c r="DV591" s="305"/>
      <c r="DW591" s="305"/>
      <c r="DX591" s="305"/>
      <c r="DY591" s="305"/>
      <c r="DZ591" s="305"/>
      <c r="EA591" s="305"/>
      <c r="EB591" s="305"/>
      <c r="EC591" s="305"/>
      <c r="ED591" s="305"/>
      <c r="EE591" s="305"/>
      <c r="EF591" s="305"/>
      <c r="EG591" s="305"/>
      <c r="EH591" s="305"/>
      <c r="EI591" s="305"/>
      <c r="EJ591" s="305"/>
      <c r="EK591" s="305"/>
      <c r="EL591" s="305"/>
      <c r="EM591" s="305"/>
      <c r="EN591" s="305"/>
      <c r="EO591" s="305"/>
      <c r="EP591" s="305"/>
      <c r="EQ591" s="305"/>
      <c r="ER591" s="305"/>
      <c r="ES591" s="305"/>
      <c r="ET591" s="305"/>
      <c r="EU591" s="305"/>
      <c r="EV591" s="305"/>
      <c r="EW591" s="305"/>
      <c r="EX591" s="305"/>
      <c r="EY591" s="305"/>
      <c r="EZ591" s="305"/>
      <c r="FA591" s="305"/>
      <c r="FB591" s="305"/>
      <c r="FC591" s="305"/>
      <c r="FD591" s="305"/>
      <c r="FE591" s="305"/>
      <c r="FF591" s="305"/>
      <c r="FG591" s="305"/>
      <c r="FH591" s="305"/>
      <c r="FI591" s="305"/>
      <c r="FJ591" s="305"/>
      <c r="FK591" s="305"/>
      <c r="FL591" s="305"/>
      <c r="FM591" s="305"/>
      <c r="FN591" s="305"/>
      <c r="FO591" s="305"/>
      <c r="FP591" s="305"/>
      <c r="FQ591" s="305"/>
      <c r="FR591" s="305"/>
      <c r="FS591" s="305"/>
      <c r="FT591" s="305"/>
      <c r="FU591" s="305"/>
      <c r="FV591" s="305"/>
      <c r="FW591" s="305"/>
      <c r="FX591" s="305"/>
      <c r="FY591" s="305"/>
      <c r="FZ591" s="305"/>
      <c r="GA591" s="305"/>
      <c r="GB591" s="305"/>
      <c r="GC591" s="305"/>
      <c r="GD591" s="305"/>
      <c r="GE591" s="305"/>
      <c r="GF591" s="305"/>
      <c r="GG591" s="305"/>
      <c r="GH591" s="305"/>
      <c r="GI591" s="305"/>
      <c r="GJ591" s="305"/>
      <c r="GK591" s="305"/>
      <c r="GL591" s="305"/>
      <c r="GM591" s="305"/>
      <c r="GN591" s="305"/>
      <c r="GO591" s="305"/>
      <c r="GP591" s="305"/>
      <c r="GQ591" s="305"/>
      <c r="GR591" s="305"/>
    </row>
    <row r="592" spans="3:200" s="318" customFormat="1" ht="12.75" customHeight="1" x14ac:dyDescent="0.2">
      <c r="C592" s="367"/>
      <c r="D592" s="403"/>
      <c r="E592" s="369"/>
      <c r="F592" s="369"/>
      <c r="G592" s="369"/>
      <c r="H592" s="369"/>
      <c r="I592" s="370"/>
      <c r="J592"/>
      <c r="K592" s="371"/>
      <c r="L592" s="371"/>
      <c r="M592" s="371"/>
      <c r="N592" s="371"/>
      <c r="O592" s="305"/>
      <c r="P592" s="305"/>
      <c r="Q592" s="305"/>
      <c r="R592" s="305"/>
      <c r="S592" s="305"/>
      <c r="T592" s="305"/>
      <c r="U592" s="305"/>
      <c r="V592" s="305"/>
      <c r="W592" s="305"/>
      <c r="X592" s="305"/>
      <c r="Y592" s="305"/>
      <c r="Z592" s="305"/>
      <c r="AA592" s="305"/>
      <c r="AB592" s="305"/>
      <c r="AC592" s="305"/>
      <c r="AD592" s="305"/>
      <c r="AE592" s="305"/>
      <c r="AF592" s="305"/>
      <c r="AG592" s="305"/>
      <c r="AH592" s="305"/>
      <c r="AI592" s="305"/>
      <c r="AJ592" s="305"/>
      <c r="AK592" s="305"/>
      <c r="AL592" s="305"/>
      <c r="AM592" s="305"/>
      <c r="AN592" s="305"/>
      <c r="AO592" s="305"/>
      <c r="AP592" s="305"/>
      <c r="AQ592" s="305"/>
      <c r="AR592" s="305"/>
      <c r="AS592" s="305"/>
      <c r="AT592" s="305"/>
      <c r="AU592" s="305"/>
      <c r="AV592" s="305"/>
      <c r="AW592" s="305"/>
      <c r="AX592" s="305"/>
      <c r="AY592" s="305"/>
      <c r="AZ592" s="305"/>
      <c r="BA592" s="305"/>
      <c r="BB592" s="305"/>
      <c r="BC592" s="305"/>
      <c r="BD592" s="305"/>
      <c r="BE592" s="305"/>
      <c r="BF592" s="305"/>
      <c r="BG592" s="305"/>
      <c r="BH592" s="305"/>
      <c r="BI592" s="305"/>
      <c r="BJ592" s="305"/>
      <c r="BK592" s="305"/>
      <c r="BL592" s="305"/>
      <c r="BM592" s="305"/>
      <c r="BN592" s="305"/>
      <c r="BO592" s="305"/>
      <c r="BP592" s="305"/>
      <c r="BQ592" s="305"/>
      <c r="BR592" s="305"/>
      <c r="BS592" s="305"/>
      <c r="BT592" s="305"/>
      <c r="BU592" s="305"/>
      <c r="BV592" s="305"/>
      <c r="BW592" s="305"/>
      <c r="BX592" s="305"/>
      <c r="BY592" s="305"/>
      <c r="BZ592" s="305"/>
      <c r="CA592" s="305"/>
      <c r="CB592" s="305"/>
      <c r="CC592" s="305"/>
      <c r="CD592" s="305"/>
      <c r="CE592" s="305"/>
      <c r="CF592" s="305"/>
      <c r="CG592" s="305"/>
      <c r="CH592" s="305"/>
      <c r="CI592" s="305"/>
      <c r="CJ592" s="305"/>
      <c r="CK592" s="305"/>
      <c r="CL592" s="305"/>
      <c r="CM592" s="305"/>
      <c r="CN592" s="305"/>
      <c r="CO592" s="305"/>
      <c r="CP592" s="305"/>
      <c r="CQ592" s="305"/>
      <c r="CR592" s="305"/>
      <c r="CS592" s="305"/>
      <c r="CT592" s="305"/>
      <c r="CU592" s="305"/>
      <c r="CV592" s="305"/>
      <c r="CW592" s="305"/>
      <c r="CX592" s="305"/>
      <c r="CY592" s="305"/>
      <c r="CZ592" s="305"/>
      <c r="DA592" s="305"/>
      <c r="DB592" s="305"/>
      <c r="DC592" s="305"/>
      <c r="DD592" s="305"/>
      <c r="DE592" s="305"/>
      <c r="DF592" s="305"/>
      <c r="DG592" s="305"/>
      <c r="DH592" s="305"/>
      <c r="DI592" s="305"/>
      <c r="DJ592" s="305"/>
      <c r="DK592" s="305"/>
      <c r="DL592" s="305"/>
      <c r="DM592" s="305"/>
      <c r="DN592" s="305"/>
      <c r="DO592" s="305"/>
      <c r="DP592" s="305"/>
      <c r="DQ592" s="305"/>
      <c r="DR592" s="305"/>
      <c r="DS592" s="305"/>
      <c r="DT592" s="305"/>
      <c r="DU592" s="305"/>
      <c r="DV592" s="305"/>
      <c r="DW592" s="305"/>
      <c r="DX592" s="305"/>
      <c r="DY592" s="305"/>
      <c r="DZ592" s="305"/>
      <c r="EA592" s="305"/>
      <c r="EB592" s="305"/>
      <c r="EC592" s="305"/>
      <c r="ED592" s="305"/>
      <c r="EE592" s="305"/>
      <c r="EF592" s="305"/>
      <c r="EG592" s="305"/>
      <c r="EH592" s="305"/>
      <c r="EI592" s="305"/>
      <c r="EJ592" s="305"/>
      <c r="EK592" s="305"/>
      <c r="EL592" s="305"/>
      <c r="EM592" s="305"/>
      <c r="EN592" s="305"/>
      <c r="EO592" s="305"/>
      <c r="EP592" s="305"/>
      <c r="EQ592" s="305"/>
      <c r="ER592" s="305"/>
      <c r="ES592" s="305"/>
      <c r="ET592" s="305"/>
      <c r="EU592" s="305"/>
      <c r="EV592" s="305"/>
      <c r="EW592" s="305"/>
      <c r="EX592" s="305"/>
      <c r="EY592" s="305"/>
      <c r="EZ592" s="305"/>
      <c r="FA592" s="305"/>
      <c r="FB592" s="305"/>
      <c r="FC592" s="305"/>
      <c r="FD592" s="305"/>
      <c r="FE592" s="305"/>
      <c r="FF592" s="305"/>
      <c r="FG592" s="305"/>
      <c r="FH592" s="305"/>
      <c r="FI592" s="305"/>
      <c r="FJ592" s="305"/>
      <c r="FK592" s="305"/>
      <c r="FL592" s="305"/>
      <c r="FM592" s="305"/>
      <c r="FN592" s="305"/>
      <c r="FO592" s="305"/>
      <c r="FP592" s="305"/>
      <c r="FQ592" s="305"/>
      <c r="FR592" s="305"/>
      <c r="FS592" s="305"/>
      <c r="FT592" s="305"/>
      <c r="FU592" s="305"/>
      <c r="FV592" s="305"/>
      <c r="FW592" s="305"/>
      <c r="FX592" s="305"/>
      <c r="FY592" s="305"/>
      <c r="FZ592" s="305"/>
      <c r="GA592" s="305"/>
      <c r="GB592" s="305"/>
      <c r="GC592" s="305"/>
      <c r="GD592" s="305"/>
      <c r="GE592" s="305"/>
      <c r="GF592" s="305"/>
      <c r="GG592" s="305"/>
      <c r="GH592" s="305"/>
      <c r="GI592" s="305"/>
      <c r="GJ592" s="305"/>
      <c r="GK592" s="305"/>
      <c r="GL592" s="305"/>
      <c r="GM592" s="305"/>
      <c r="GN592" s="305"/>
      <c r="GO592" s="305"/>
      <c r="GP592" s="305"/>
      <c r="GQ592" s="305"/>
      <c r="GR592" s="305"/>
    </row>
    <row r="593" spans="3:200" s="318" customFormat="1" ht="12.75" customHeight="1" x14ac:dyDescent="0.2">
      <c r="C593" s="367"/>
      <c r="D593" s="403"/>
      <c r="E593" s="369"/>
      <c r="F593" s="369"/>
      <c r="G593" s="369"/>
      <c r="H593" s="369"/>
      <c r="I593" s="370"/>
      <c r="J593"/>
      <c r="K593" s="371"/>
      <c r="L593" s="371"/>
      <c r="M593" s="371"/>
      <c r="N593" s="371"/>
      <c r="O593" s="305"/>
      <c r="P593" s="305"/>
      <c r="Q593" s="305"/>
      <c r="R593" s="305"/>
      <c r="S593" s="305"/>
      <c r="T593" s="305"/>
      <c r="U593" s="305"/>
      <c r="V593" s="305"/>
      <c r="W593" s="305"/>
      <c r="X593" s="305"/>
      <c r="Y593" s="305"/>
      <c r="Z593" s="305"/>
      <c r="AA593" s="305"/>
      <c r="AB593" s="305"/>
      <c r="AC593" s="305"/>
      <c r="AD593" s="305"/>
      <c r="AE593" s="305"/>
      <c r="AF593" s="305"/>
      <c r="AG593" s="305"/>
      <c r="AH593" s="305"/>
      <c r="AI593" s="305"/>
      <c r="AJ593" s="305"/>
      <c r="AK593" s="305"/>
      <c r="AL593" s="305"/>
      <c r="AM593" s="305"/>
      <c r="AN593" s="305"/>
      <c r="AO593" s="305"/>
      <c r="AP593" s="305"/>
      <c r="AQ593" s="305"/>
      <c r="AR593" s="305"/>
      <c r="AS593" s="305"/>
      <c r="AT593" s="305"/>
      <c r="AU593" s="305"/>
      <c r="AV593" s="305"/>
      <c r="AW593" s="305"/>
      <c r="AX593" s="305"/>
      <c r="AY593" s="305"/>
      <c r="AZ593" s="305"/>
      <c r="BA593" s="305"/>
      <c r="BB593" s="305"/>
      <c r="BC593" s="305"/>
      <c r="BD593" s="305"/>
      <c r="BE593" s="305"/>
      <c r="BF593" s="305"/>
      <c r="BG593" s="305"/>
      <c r="BH593" s="305"/>
      <c r="BI593" s="305"/>
      <c r="BJ593" s="305"/>
      <c r="BK593" s="305"/>
      <c r="BL593" s="305"/>
      <c r="BM593" s="305"/>
      <c r="BN593" s="305"/>
      <c r="BO593" s="305"/>
      <c r="BP593" s="305"/>
      <c r="BQ593" s="305"/>
      <c r="BR593" s="305"/>
      <c r="BS593" s="305"/>
      <c r="BT593" s="305"/>
      <c r="BU593" s="305"/>
      <c r="BV593" s="305"/>
      <c r="BW593" s="305"/>
      <c r="BX593" s="305"/>
      <c r="BY593" s="305"/>
      <c r="BZ593" s="305"/>
      <c r="CA593" s="305"/>
      <c r="CB593" s="305"/>
      <c r="CC593" s="305"/>
      <c r="CD593" s="305"/>
      <c r="CE593" s="305"/>
      <c r="CF593" s="305"/>
      <c r="CG593" s="305"/>
      <c r="CH593" s="305"/>
      <c r="CI593" s="305"/>
      <c r="CJ593" s="305"/>
      <c r="CK593" s="305"/>
      <c r="CL593" s="305"/>
      <c r="CM593" s="305"/>
      <c r="CN593" s="305"/>
      <c r="CO593" s="305"/>
      <c r="CP593" s="305"/>
      <c r="CQ593" s="305"/>
      <c r="CR593" s="305"/>
      <c r="CS593" s="305"/>
      <c r="CT593" s="305"/>
      <c r="CU593" s="305"/>
      <c r="CV593" s="305"/>
      <c r="CW593" s="305"/>
      <c r="CX593" s="305"/>
      <c r="CY593" s="305"/>
      <c r="CZ593" s="305"/>
      <c r="DA593" s="305"/>
      <c r="DB593" s="305"/>
      <c r="DC593" s="305"/>
      <c r="DD593" s="305"/>
      <c r="DE593" s="305"/>
      <c r="DF593" s="305"/>
      <c r="DG593" s="305"/>
      <c r="DH593" s="305"/>
      <c r="DI593" s="305"/>
      <c r="DJ593" s="305"/>
      <c r="DK593" s="305"/>
      <c r="DL593" s="305"/>
      <c r="DM593" s="305"/>
      <c r="DN593" s="305"/>
      <c r="DO593" s="305"/>
      <c r="DP593" s="305"/>
      <c r="DQ593" s="305"/>
      <c r="DR593" s="305"/>
      <c r="DS593" s="305"/>
      <c r="DT593" s="305"/>
      <c r="DU593" s="305"/>
      <c r="DV593" s="305"/>
      <c r="DW593" s="305"/>
      <c r="DX593" s="305"/>
      <c r="DY593" s="305"/>
      <c r="DZ593" s="305"/>
      <c r="EA593" s="305"/>
      <c r="EB593" s="305"/>
      <c r="EC593" s="305"/>
      <c r="ED593" s="305"/>
      <c r="EE593" s="305"/>
      <c r="EF593" s="305"/>
      <c r="EG593" s="305"/>
      <c r="EH593" s="305"/>
      <c r="EI593" s="305"/>
      <c r="EJ593" s="305"/>
      <c r="EK593" s="305"/>
      <c r="EL593" s="305"/>
      <c r="EM593" s="305"/>
      <c r="EN593" s="305"/>
      <c r="EO593" s="305"/>
      <c r="EP593" s="305"/>
      <c r="EQ593" s="305"/>
      <c r="ER593" s="305"/>
      <c r="ES593" s="305"/>
      <c r="ET593" s="305"/>
      <c r="EU593" s="305"/>
      <c r="EV593" s="305"/>
      <c r="EW593" s="305"/>
      <c r="EX593" s="305"/>
      <c r="EY593" s="305"/>
      <c r="EZ593" s="305"/>
      <c r="FA593" s="305"/>
      <c r="FB593" s="305"/>
      <c r="FC593" s="305"/>
      <c r="FD593" s="305"/>
      <c r="FE593" s="305"/>
      <c r="FF593" s="305"/>
      <c r="FG593" s="305"/>
      <c r="FH593" s="305"/>
      <c r="FI593" s="305"/>
      <c r="FJ593" s="305"/>
      <c r="FK593" s="305"/>
      <c r="FL593" s="305"/>
      <c r="FM593" s="305"/>
      <c r="FN593" s="305"/>
      <c r="FO593" s="305"/>
      <c r="FP593" s="305"/>
      <c r="FQ593" s="305"/>
      <c r="FR593" s="305"/>
      <c r="FS593" s="305"/>
      <c r="FT593" s="305"/>
      <c r="FU593" s="305"/>
      <c r="FV593" s="305"/>
      <c r="FW593" s="305"/>
      <c r="FX593" s="305"/>
      <c r="FY593" s="305"/>
      <c r="FZ593" s="305"/>
      <c r="GA593" s="305"/>
      <c r="GB593" s="305"/>
      <c r="GC593" s="305"/>
      <c r="GD593" s="305"/>
      <c r="GE593" s="305"/>
      <c r="GF593" s="305"/>
      <c r="GG593" s="305"/>
      <c r="GH593" s="305"/>
      <c r="GI593" s="305"/>
      <c r="GJ593" s="305"/>
      <c r="GK593" s="305"/>
      <c r="GL593" s="305"/>
      <c r="GM593" s="305"/>
      <c r="GN593" s="305"/>
      <c r="GO593" s="305"/>
      <c r="GP593" s="305"/>
      <c r="GQ593" s="305"/>
      <c r="GR593" s="305"/>
    </row>
    <row r="594" spans="3:200" s="318" customFormat="1" ht="12.75" customHeight="1" x14ac:dyDescent="0.2">
      <c r="C594" s="367"/>
      <c r="D594" s="403"/>
      <c r="E594" s="369"/>
      <c r="F594" s="369"/>
      <c r="G594" s="369"/>
      <c r="H594" s="369"/>
      <c r="I594" s="370"/>
      <c r="J594"/>
      <c r="K594" s="371"/>
      <c r="L594" s="371"/>
      <c r="M594" s="371"/>
      <c r="N594" s="371"/>
      <c r="O594" s="305"/>
      <c r="P594" s="305"/>
      <c r="Q594" s="305"/>
      <c r="R594" s="305"/>
      <c r="S594" s="305"/>
      <c r="T594" s="305"/>
      <c r="U594" s="305"/>
      <c r="V594" s="305"/>
      <c r="W594" s="305"/>
      <c r="X594" s="305"/>
      <c r="Y594" s="305"/>
      <c r="Z594" s="305"/>
      <c r="AA594" s="305"/>
      <c r="AB594" s="305"/>
      <c r="AC594" s="305"/>
      <c r="AD594" s="305"/>
      <c r="AE594" s="305"/>
      <c r="AF594" s="305"/>
      <c r="AG594" s="305"/>
      <c r="AH594" s="305"/>
      <c r="AI594" s="305"/>
      <c r="AJ594" s="305"/>
      <c r="AK594" s="305"/>
      <c r="AL594" s="305"/>
      <c r="AM594" s="305"/>
      <c r="AN594" s="305"/>
      <c r="AO594" s="305"/>
      <c r="AP594" s="305"/>
      <c r="AQ594" s="305"/>
      <c r="AR594" s="305"/>
      <c r="AS594" s="305"/>
      <c r="AT594" s="305"/>
      <c r="AU594" s="305"/>
      <c r="AV594" s="305"/>
      <c r="AW594" s="305"/>
      <c r="AX594" s="305"/>
      <c r="AY594" s="305"/>
      <c r="AZ594" s="305"/>
      <c r="BA594" s="305"/>
      <c r="BB594" s="305"/>
      <c r="BC594" s="305"/>
      <c r="BD594" s="305"/>
      <c r="BE594" s="305"/>
      <c r="BF594" s="305"/>
      <c r="BG594" s="305"/>
      <c r="BH594" s="305"/>
      <c r="BI594" s="305"/>
      <c r="BJ594" s="305"/>
      <c r="BK594" s="305"/>
      <c r="BL594" s="305"/>
      <c r="BM594" s="305"/>
      <c r="BN594" s="305"/>
      <c r="BO594" s="305"/>
      <c r="BP594" s="305"/>
      <c r="BQ594" s="305"/>
      <c r="BR594" s="305"/>
      <c r="BS594" s="305"/>
      <c r="BT594" s="305"/>
      <c r="BU594" s="305"/>
      <c r="BV594" s="305"/>
      <c r="BW594" s="305"/>
      <c r="BX594" s="305"/>
      <c r="BY594" s="305"/>
      <c r="BZ594" s="305"/>
      <c r="CA594" s="305"/>
      <c r="CB594" s="305"/>
      <c r="CC594" s="305"/>
      <c r="CD594" s="305"/>
      <c r="CE594" s="305"/>
      <c r="CF594" s="305"/>
      <c r="CG594" s="305"/>
      <c r="CH594" s="305"/>
      <c r="CI594" s="305"/>
      <c r="CJ594" s="305"/>
      <c r="CK594" s="305"/>
      <c r="CL594" s="305"/>
      <c r="CM594" s="305"/>
      <c r="CN594" s="305"/>
      <c r="CO594" s="305"/>
      <c r="CP594" s="305"/>
      <c r="CQ594" s="305"/>
      <c r="CR594" s="305"/>
      <c r="CS594" s="305"/>
      <c r="CT594" s="305"/>
      <c r="CU594" s="305"/>
      <c r="CV594" s="305"/>
      <c r="CW594" s="305"/>
      <c r="CX594" s="305"/>
      <c r="CY594" s="305"/>
      <c r="CZ594" s="305"/>
      <c r="DA594" s="305"/>
      <c r="DB594" s="305"/>
      <c r="DC594" s="305"/>
      <c r="DD594" s="305"/>
      <c r="DE594" s="305"/>
      <c r="DF594" s="305"/>
      <c r="DG594" s="305"/>
      <c r="DH594" s="305"/>
      <c r="DI594" s="305"/>
      <c r="DJ594" s="305"/>
      <c r="DK594" s="305"/>
      <c r="DL594" s="305"/>
      <c r="DM594" s="305"/>
      <c r="DN594" s="305"/>
      <c r="DO594" s="305"/>
      <c r="DP594" s="305"/>
      <c r="DQ594" s="305"/>
      <c r="DR594" s="305"/>
      <c r="DS594" s="305"/>
      <c r="DT594" s="305"/>
      <c r="DU594" s="305"/>
      <c r="DV594" s="305"/>
      <c r="DW594" s="305"/>
      <c r="DX594" s="305"/>
      <c r="DY594" s="305"/>
      <c r="DZ594" s="305"/>
      <c r="EA594" s="305"/>
      <c r="EB594" s="305"/>
      <c r="EC594" s="305"/>
      <c r="ED594" s="305"/>
      <c r="EE594" s="305"/>
      <c r="EF594" s="305"/>
      <c r="EG594" s="305"/>
      <c r="EH594" s="305"/>
      <c r="EI594" s="305"/>
      <c r="EJ594" s="305"/>
      <c r="EK594" s="305"/>
      <c r="EL594" s="305"/>
      <c r="EM594" s="305"/>
      <c r="EN594" s="305"/>
      <c r="EO594" s="305"/>
      <c r="EP594" s="305"/>
      <c r="EQ594" s="305"/>
      <c r="ER594" s="305"/>
      <c r="ES594" s="305"/>
      <c r="ET594" s="305"/>
      <c r="EU594" s="305"/>
      <c r="EV594" s="305"/>
      <c r="EW594" s="305"/>
      <c r="EX594" s="305"/>
      <c r="EY594" s="305"/>
      <c r="EZ594" s="305"/>
      <c r="FA594" s="305"/>
      <c r="FB594" s="305"/>
      <c r="FC594" s="305"/>
      <c r="FD594" s="305"/>
      <c r="FE594" s="305"/>
      <c r="FF594" s="305"/>
      <c r="FG594" s="305"/>
      <c r="FH594" s="305"/>
      <c r="FI594" s="305"/>
      <c r="FJ594" s="305"/>
      <c r="FK594" s="305"/>
      <c r="FL594" s="305"/>
      <c r="FM594" s="305"/>
      <c r="FN594" s="305"/>
      <c r="FO594" s="305"/>
      <c r="FP594" s="305"/>
      <c r="FQ594" s="305"/>
      <c r="FR594" s="305"/>
      <c r="FS594" s="305"/>
      <c r="FT594" s="305"/>
      <c r="FU594" s="305"/>
      <c r="FV594" s="305"/>
      <c r="FW594" s="305"/>
      <c r="FX594" s="305"/>
      <c r="FY594" s="305"/>
      <c r="FZ594" s="305"/>
      <c r="GA594" s="305"/>
      <c r="GB594" s="305"/>
      <c r="GC594" s="305"/>
      <c r="GD594" s="305"/>
      <c r="GE594" s="305"/>
      <c r="GF594" s="305"/>
      <c r="GG594" s="305"/>
      <c r="GH594" s="305"/>
      <c r="GI594" s="305"/>
      <c r="GJ594" s="305"/>
      <c r="GK594" s="305"/>
      <c r="GL594" s="305"/>
      <c r="GM594" s="305"/>
      <c r="GN594" s="305"/>
      <c r="GO594" s="305"/>
      <c r="GP594" s="305"/>
      <c r="GQ594" s="305"/>
      <c r="GR594" s="305"/>
    </row>
    <row r="595" spans="3:200" s="318" customFormat="1" ht="12.75" customHeight="1" x14ac:dyDescent="0.2">
      <c r="C595" s="367"/>
      <c r="D595" s="403"/>
      <c r="E595" s="369"/>
      <c r="F595" s="369"/>
      <c r="G595" s="369"/>
      <c r="H595" s="369"/>
      <c r="I595" s="370"/>
      <c r="J595"/>
      <c r="K595" s="371"/>
      <c r="L595" s="371"/>
      <c r="M595" s="371"/>
      <c r="N595" s="371"/>
      <c r="O595" s="305"/>
      <c r="P595" s="305"/>
      <c r="Q595" s="305"/>
      <c r="R595" s="305"/>
      <c r="S595" s="305"/>
      <c r="T595" s="305"/>
      <c r="U595" s="305"/>
      <c r="V595" s="305"/>
      <c r="W595" s="305"/>
      <c r="X595" s="305"/>
      <c r="Y595" s="305"/>
      <c r="Z595" s="305"/>
      <c r="AA595" s="305"/>
      <c r="AB595" s="305"/>
      <c r="AC595" s="305"/>
      <c r="AD595" s="305"/>
      <c r="AE595" s="305"/>
      <c r="AF595" s="305"/>
      <c r="AG595" s="305"/>
      <c r="AH595" s="305"/>
      <c r="AI595" s="305"/>
      <c r="AJ595" s="305"/>
      <c r="AK595" s="305"/>
      <c r="AL595" s="305"/>
      <c r="AM595" s="305"/>
      <c r="AN595" s="305"/>
      <c r="AO595" s="305"/>
      <c r="AP595" s="305"/>
      <c r="AQ595" s="305"/>
      <c r="AR595" s="305"/>
      <c r="AS595" s="305"/>
      <c r="AT595" s="305"/>
      <c r="AU595" s="305"/>
      <c r="AV595" s="305"/>
      <c r="AW595" s="305"/>
      <c r="AX595" s="305"/>
      <c r="AY595" s="305"/>
      <c r="AZ595" s="305"/>
      <c r="BA595" s="305"/>
      <c r="BB595" s="305"/>
      <c r="BC595" s="305"/>
      <c r="BD595" s="305"/>
      <c r="BE595" s="305"/>
      <c r="BF595" s="305"/>
      <c r="BG595" s="305"/>
      <c r="BH595" s="305"/>
      <c r="BI595" s="305"/>
      <c r="BJ595" s="305"/>
      <c r="BK595" s="305"/>
      <c r="BL595" s="305"/>
      <c r="BM595" s="305"/>
      <c r="BN595" s="305"/>
      <c r="BO595" s="305"/>
      <c r="BP595" s="305"/>
      <c r="BQ595" s="305"/>
      <c r="BR595" s="305"/>
      <c r="BS595" s="305"/>
      <c r="BT595" s="305"/>
      <c r="BU595" s="305"/>
      <c r="BV595" s="305"/>
      <c r="BW595" s="305"/>
      <c r="BX595" s="305"/>
      <c r="BY595" s="305"/>
      <c r="BZ595" s="305"/>
      <c r="CA595" s="305"/>
      <c r="CB595" s="305"/>
      <c r="CC595" s="305"/>
      <c r="CD595" s="305"/>
      <c r="CE595" s="305"/>
      <c r="CF595" s="305"/>
      <c r="CG595" s="305"/>
      <c r="CH595" s="305"/>
      <c r="CI595" s="305"/>
      <c r="CJ595" s="305"/>
      <c r="CK595" s="305"/>
      <c r="CL595" s="305"/>
      <c r="CM595" s="305"/>
      <c r="CN595" s="305"/>
      <c r="CO595" s="305"/>
      <c r="CP595" s="305"/>
      <c r="CQ595" s="305"/>
      <c r="CR595" s="305"/>
      <c r="CS595" s="305"/>
      <c r="CT595" s="305"/>
      <c r="CU595" s="305"/>
      <c r="CV595" s="305"/>
      <c r="CW595" s="305"/>
      <c r="CX595" s="305"/>
      <c r="CY595" s="305"/>
      <c r="CZ595" s="305"/>
      <c r="DA595" s="305"/>
      <c r="DB595" s="305"/>
      <c r="DC595" s="305"/>
      <c r="DD595" s="305"/>
      <c r="DE595" s="305"/>
      <c r="DF595" s="305"/>
      <c r="DG595" s="305"/>
      <c r="DH595" s="305"/>
      <c r="DI595" s="305"/>
      <c r="DJ595" s="305"/>
      <c r="DK595" s="305"/>
      <c r="DL595" s="305"/>
      <c r="DM595" s="305"/>
      <c r="DN595" s="305"/>
      <c r="DO595" s="305"/>
      <c r="DP595" s="305"/>
      <c r="DQ595" s="305"/>
      <c r="DR595" s="305"/>
      <c r="DS595" s="305"/>
      <c r="DT595" s="305"/>
      <c r="DU595" s="305"/>
      <c r="DV595" s="305"/>
      <c r="DW595" s="305"/>
      <c r="DX595" s="305"/>
      <c r="DY595" s="305"/>
      <c r="DZ595" s="305"/>
      <c r="EA595" s="305"/>
      <c r="EB595" s="305"/>
      <c r="EC595" s="305"/>
      <c r="ED595" s="305"/>
      <c r="EE595" s="305"/>
      <c r="EF595" s="305"/>
      <c r="EG595" s="305"/>
      <c r="EH595" s="305"/>
      <c r="EI595" s="305"/>
      <c r="EJ595" s="305"/>
      <c r="EK595" s="305"/>
      <c r="EL595" s="305"/>
      <c r="EM595" s="305"/>
      <c r="EN595" s="305"/>
      <c r="EO595" s="305"/>
      <c r="EP595" s="305"/>
      <c r="EQ595" s="305"/>
      <c r="ER595" s="305"/>
      <c r="ES595" s="305"/>
      <c r="ET595" s="305"/>
      <c r="EU595" s="305"/>
      <c r="EV595" s="305"/>
      <c r="EW595" s="305"/>
      <c r="EX595" s="305"/>
      <c r="EY595" s="305"/>
      <c r="EZ595" s="305"/>
      <c r="FA595" s="305"/>
      <c r="FB595" s="305"/>
      <c r="FC595" s="305"/>
      <c r="FD595" s="305"/>
      <c r="FE595" s="305"/>
      <c r="FF595" s="305"/>
      <c r="FG595" s="305"/>
      <c r="FH595" s="305"/>
      <c r="FI595" s="305"/>
      <c r="FJ595" s="305"/>
      <c r="FK595" s="305"/>
      <c r="FL595" s="305"/>
      <c r="FM595" s="305"/>
      <c r="FN595" s="305"/>
      <c r="FO595" s="305"/>
      <c r="FP595" s="305"/>
      <c r="FQ595" s="305"/>
      <c r="FR595" s="305"/>
      <c r="FS595" s="305"/>
      <c r="FT595" s="305"/>
      <c r="FU595" s="305"/>
      <c r="FV595" s="305"/>
      <c r="FW595" s="305"/>
      <c r="FX595" s="305"/>
      <c r="FY595" s="305"/>
      <c r="FZ595" s="305"/>
      <c r="GA595" s="305"/>
      <c r="GB595" s="305"/>
      <c r="GC595" s="305"/>
      <c r="GD595" s="305"/>
      <c r="GE595" s="305"/>
      <c r="GF595" s="305"/>
      <c r="GG595" s="305"/>
      <c r="GH595" s="305"/>
      <c r="GI595" s="305"/>
      <c r="GJ595" s="305"/>
      <c r="GK595" s="305"/>
      <c r="GL595" s="305"/>
      <c r="GM595" s="305"/>
      <c r="GN595" s="305"/>
      <c r="GO595" s="305"/>
      <c r="GP595" s="305"/>
      <c r="GQ595" s="305"/>
      <c r="GR595" s="305"/>
    </row>
    <row r="596" spans="3:200" s="318" customFormat="1" ht="12.75" customHeight="1" x14ac:dyDescent="0.2">
      <c r="C596" s="367"/>
      <c r="D596" s="403"/>
      <c r="E596" s="369"/>
      <c r="F596" s="369"/>
      <c r="G596" s="369"/>
      <c r="H596" s="369"/>
      <c r="I596" s="370"/>
      <c r="J596"/>
      <c r="K596" s="371"/>
      <c r="L596" s="371"/>
      <c r="M596" s="371"/>
      <c r="N596" s="371"/>
      <c r="O596" s="305"/>
      <c r="P596" s="305"/>
      <c r="Q596" s="305"/>
      <c r="R596" s="305"/>
      <c r="S596" s="305"/>
      <c r="T596" s="305"/>
      <c r="U596" s="305"/>
      <c r="V596" s="305"/>
      <c r="W596" s="305"/>
      <c r="X596" s="305"/>
      <c r="Y596" s="305"/>
      <c r="Z596" s="305"/>
      <c r="AA596" s="305"/>
      <c r="AB596" s="305"/>
      <c r="AC596" s="305"/>
      <c r="AD596" s="305"/>
      <c r="AE596" s="305"/>
      <c r="AF596" s="305"/>
      <c r="AG596" s="305"/>
      <c r="AH596" s="305"/>
      <c r="AI596" s="305"/>
      <c r="AJ596" s="305"/>
      <c r="AK596" s="305"/>
      <c r="AL596" s="305"/>
      <c r="AM596" s="305"/>
      <c r="AN596" s="305"/>
      <c r="AO596" s="305"/>
      <c r="AP596" s="305"/>
      <c r="AQ596" s="305"/>
      <c r="AR596" s="305"/>
      <c r="AS596" s="305"/>
      <c r="AT596" s="305"/>
      <c r="AU596" s="305"/>
      <c r="AV596" s="305"/>
      <c r="AW596" s="305"/>
      <c r="AX596" s="305"/>
      <c r="AY596" s="305"/>
      <c r="AZ596" s="305"/>
      <c r="BA596" s="305"/>
      <c r="BB596" s="305"/>
      <c r="BC596" s="305"/>
      <c r="BD596" s="305"/>
      <c r="BE596" s="305"/>
      <c r="BF596" s="305"/>
      <c r="BG596" s="305"/>
      <c r="BH596" s="305"/>
      <c r="BI596" s="305"/>
      <c r="BJ596" s="305"/>
      <c r="BK596" s="305"/>
      <c r="BL596" s="305"/>
      <c r="BM596" s="305"/>
      <c r="BN596" s="305"/>
      <c r="BO596" s="305"/>
      <c r="BP596" s="305"/>
      <c r="BQ596" s="305"/>
      <c r="BR596" s="305"/>
      <c r="BS596" s="305"/>
      <c r="BT596" s="305"/>
      <c r="BU596" s="305"/>
      <c r="BV596" s="305"/>
      <c r="BW596" s="305"/>
      <c r="BX596" s="305"/>
      <c r="BY596" s="305"/>
      <c r="BZ596" s="305"/>
      <c r="CA596" s="305"/>
      <c r="CB596" s="305"/>
      <c r="CC596" s="305"/>
      <c r="CD596" s="305"/>
      <c r="CE596" s="305"/>
      <c r="CF596" s="305"/>
      <c r="CG596" s="305"/>
      <c r="CH596" s="305"/>
      <c r="CI596" s="305"/>
      <c r="CJ596" s="305"/>
      <c r="CK596" s="305"/>
      <c r="CL596" s="305"/>
      <c r="CM596" s="305"/>
      <c r="CN596" s="305"/>
      <c r="CO596" s="305"/>
      <c r="CP596" s="305"/>
      <c r="CQ596" s="305"/>
      <c r="CR596" s="305"/>
      <c r="CS596" s="305"/>
      <c r="CT596" s="305"/>
      <c r="CU596" s="305"/>
      <c r="CV596" s="305"/>
      <c r="CW596" s="305"/>
      <c r="CX596" s="305"/>
      <c r="CY596" s="305"/>
      <c r="CZ596" s="305"/>
      <c r="DA596" s="305"/>
      <c r="DB596" s="305"/>
      <c r="DC596" s="305"/>
      <c r="DD596" s="305"/>
      <c r="DE596" s="305"/>
      <c r="DF596" s="305"/>
      <c r="DG596" s="305"/>
      <c r="DH596" s="305"/>
      <c r="DI596" s="305"/>
      <c r="DJ596" s="305"/>
      <c r="DK596" s="305"/>
      <c r="DL596" s="305"/>
      <c r="DM596" s="305"/>
      <c r="DN596" s="305"/>
      <c r="DO596" s="305"/>
      <c r="DP596" s="305"/>
      <c r="DQ596" s="305"/>
      <c r="DR596" s="305"/>
      <c r="DS596" s="305"/>
      <c r="DT596" s="305"/>
      <c r="DU596" s="305"/>
      <c r="DV596" s="305"/>
      <c r="DW596" s="305"/>
      <c r="DX596" s="305"/>
      <c r="DY596" s="305"/>
      <c r="DZ596" s="305"/>
      <c r="EA596" s="305"/>
      <c r="EB596" s="305"/>
      <c r="EC596" s="305"/>
      <c r="ED596" s="305"/>
      <c r="EE596" s="305"/>
      <c r="EF596" s="305"/>
      <c r="EG596" s="305"/>
      <c r="EH596" s="305"/>
      <c r="EI596" s="305"/>
      <c r="EJ596" s="305"/>
      <c r="EK596" s="305"/>
      <c r="EL596" s="305"/>
      <c r="EM596" s="305"/>
      <c r="EN596" s="305"/>
      <c r="EO596" s="305"/>
      <c r="EP596" s="305"/>
      <c r="EQ596" s="305"/>
      <c r="ER596" s="305"/>
      <c r="ES596" s="305"/>
      <c r="ET596" s="305"/>
      <c r="EU596" s="305"/>
      <c r="EV596" s="305"/>
      <c r="EW596" s="305"/>
      <c r="EX596" s="305"/>
      <c r="EY596" s="305"/>
      <c r="EZ596" s="305"/>
      <c r="FA596" s="305"/>
      <c r="FB596" s="305"/>
      <c r="FC596" s="305"/>
      <c r="FD596" s="305"/>
      <c r="FE596" s="305"/>
      <c r="FF596" s="305"/>
      <c r="FG596" s="305"/>
      <c r="FH596" s="305"/>
      <c r="FI596" s="305"/>
      <c r="FJ596" s="305"/>
      <c r="FK596" s="305"/>
      <c r="FL596" s="305"/>
      <c r="FM596" s="305"/>
      <c r="FN596" s="305"/>
      <c r="FO596" s="305"/>
      <c r="FP596" s="305"/>
      <c r="FQ596" s="305"/>
      <c r="FR596" s="305"/>
      <c r="FS596" s="305"/>
      <c r="FT596" s="305"/>
      <c r="FU596" s="305"/>
      <c r="FV596" s="305"/>
      <c r="FW596" s="305"/>
      <c r="FX596" s="305"/>
      <c r="FY596" s="305"/>
      <c r="FZ596" s="305"/>
      <c r="GA596" s="305"/>
      <c r="GB596" s="305"/>
      <c r="GC596" s="305"/>
      <c r="GD596" s="305"/>
      <c r="GE596" s="305"/>
      <c r="GF596" s="305"/>
      <c r="GG596" s="305"/>
      <c r="GH596" s="305"/>
      <c r="GI596" s="305"/>
      <c r="GJ596" s="305"/>
      <c r="GK596" s="305"/>
      <c r="GL596" s="305"/>
      <c r="GM596" s="305"/>
      <c r="GN596" s="305"/>
      <c r="GO596" s="305"/>
      <c r="GP596" s="305"/>
      <c r="GQ596" s="305"/>
      <c r="GR596" s="305"/>
    </row>
    <row r="597" spans="3:200" s="318" customFormat="1" ht="12.75" customHeight="1" x14ac:dyDescent="0.2">
      <c r="C597" s="367"/>
      <c r="D597" s="403"/>
      <c r="E597" s="369"/>
      <c r="F597" s="369"/>
      <c r="G597" s="369"/>
      <c r="H597" s="369"/>
      <c r="I597" s="370"/>
      <c r="J597"/>
      <c r="K597" s="371"/>
      <c r="L597" s="371"/>
      <c r="M597" s="371"/>
      <c r="N597" s="371"/>
      <c r="O597" s="305"/>
      <c r="P597" s="305"/>
      <c r="Q597" s="305"/>
      <c r="R597" s="305"/>
      <c r="S597" s="305"/>
      <c r="T597" s="305"/>
      <c r="U597" s="305"/>
      <c r="V597" s="305"/>
      <c r="W597" s="305"/>
      <c r="X597" s="305"/>
      <c r="Y597" s="305"/>
      <c r="Z597" s="305"/>
      <c r="AA597" s="305"/>
      <c r="AB597" s="305"/>
      <c r="AC597" s="305"/>
      <c r="AD597" s="305"/>
      <c r="AE597" s="305"/>
      <c r="AF597" s="305"/>
      <c r="AG597" s="305"/>
      <c r="AH597" s="305"/>
      <c r="AI597" s="305"/>
      <c r="AJ597" s="305"/>
      <c r="AK597" s="305"/>
      <c r="AL597" s="305"/>
      <c r="AM597" s="305"/>
      <c r="AN597" s="305"/>
      <c r="AO597" s="305"/>
      <c r="AP597" s="305"/>
      <c r="AQ597" s="305"/>
      <c r="AR597" s="305"/>
      <c r="AS597" s="305"/>
      <c r="AT597" s="305"/>
      <c r="AU597" s="305"/>
      <c r="AV597" s="305"/>
      <c r="AW597" s="305"/>
      <c r="AX597" s="305"/>
      <c r="AY597" s="305"/>
      <c r="AZ597" s="305"/>
      <c r="BA597" s="305"/>
      <c r="BB597" s="305"/>
      <c r="BC597" s="305"/>
      <c r="BD597" s="305"/>
      <c r="BE597" s="305"/>
      <c r="BF597" s="305"/>
      <c r="BG597" s="305"/>
      <c r="BH597" s="305"/>
      <c r="BI597" s="305"/>
      <c r="BJ597" s="305"/>
      <c r="BK597" s="305"/>
      <c r="BL597" s="305"/>
      <c r="BM597" s="305"/>
      <c r="BN597" s="305"/>
      <c r="BO597" s="305"/>
      <c r="BP597" s="305"/>
      <c r="BQ597" s="305"/>
      <c r="BR597" s="305"/>
      <c r="BS597" s="305"/>
      <c r="BT597" s="305"/>
      <c r="BU597" s="305"/>
      <c r="BV597" s="305"/>
      <c r="BW597" s="305"/>
      <c r="BX597" s="305"/>
      <c r="BY597" s="305"/>
      <c r="BZ597" s="305"/>
      <c r="CA597" s="305"/>
      <c r="CB597" s="305"/>
      <c r="CC597" s="305"/>
      <c r="CD597" s="305"/>
      <c r="CE597" s="305"/>
      <c r="CF597" s="305"/>
      <c r="CG597" s="305"/>
      <c r="CH597" s="305"/>
      <c r="CI597" s="305"/>
      <c r="CJ597" s="305"/>
      <c r="CK597" s="305"/>
      <c r="CL597" s="305"/>
      <c r="CM597" s="305"/>
      <c r="CN597" s="305"/>
      <c r="CO597" s="305"/>
      <c r="CP597" s="305"/>
      <c r="CQ597" s="305"/>
      <c r="CR597" s="305"/>
      <c r="CS597" s="305"/>
      <c r="CT597" s="305"/>
      <c r="CU597" s="305"/>
      <c r="CV597" s="305"/>
      <c r="CW597" s="305"/>
      <c r="CX597" s="305"/>
      <c r="CY597" s="305"/>
      <c r="CZ597" s="305"/>
      <c r="DA597" s="305"/>
      <c r="DB597" s="305"/>
      <c r="DC597" s="305"/>
      <c r="DD597" s="305"/>
      <c r="DE597" s="305"/>
      <c r="DF597" s="305"/>
      <c r="DG597" s="305"/>
      <c r="DH597" s="305"/>
      <c r="DI597" s="305"/>
      <c r="DJ597" s="305"/>
      <c r="DK597" s="305"/>
      <c r="DL597" s="305"/>
      <c r="DM597" s="305"/>
      <c r="DN597" s="305"/>
      <c r="DO597" s="305"/>
      <c r="DP597" s="305"/>
      <c r="DQ597" s="305"/>
      <c r="DR597" s="305"/>
      <c r="DS597" s="305"/>
      <c r="DT597" s="305"/>
      <c r="DU597" s="305"/>
      <c r="DV597" s="305"/>
      <c r="DW597" s="305"/>
      <c r="DX597" s="305"/>
      <c r="DY597" s="305"/>
      <c r="DZ597" s="305"/>
      <c r="EA597" s="305"/>
      <c r="EB597" s="305"/>
      <c r="EC597" s="305"/>
      <c r="ED597" s="305"/>
      <c r="EE597" s="305"/>
      <c r="EF597" s="305"/>
      <c r="EG597" s="305"/>
      <c r="EH597" s="305"/>
      <c r="EI597" s="305"/>
      <c r="EJ597" s="305"/>
      <c r="EK597" s="305"/>
      <c r="EL597" s="305"/>
      <c r="EM597" s="305"/>
      <c r="EN597" s="305"/>
      <c r="EO597" s="305"/>
      <c r="EP597" s="305"/>
      <c r="EQ597" s="305"/>
      <c r="ER597" s="305"/>
      <c r="ES597" s="305"/>
      <c r="ET597" s="305"/>
      <c r="EU597" s="305"/>
      <c r="EV597" s="305"/>
      <c r="EW597" s="305"/>
      <c r="EX597" s="305"/>
      <c r="EY597" s="305"/>
      <c r="EZ597" s="305"/>
      <c r="FA597" s="305"/>
      <c r="FB597" s="305"/>
      <c r="FC597" s="305"/>
      <c r="FD597" s="305"/>
      <c r="FE597" s="305"/>
      <c r="FF597" s="305"/>
      <c r="FG597" s="305"/>
      <c r="FH597" s="305"/>
      <c r="FI597" s="305"/>
      <c r="FJ597" s="305"/>
      <c r="FK597" s="305"/>
      <c r="FL597" s="305"/>
      <c r="FM597" s="305"/>
      <c r="FN597" s="305"/>
      <c r="FO597" s="305"/>
      <c r="FP597" s="305"/>
      <c r="FQ597" s="305"/>
      <c r="FR597" s="305"/>
      <c r="FS597" s="305"/>
      <c r="FT597" s="305"/>
      <c r="FU597" s="305"/>
      <c r="FV597" s="305"/>
      <c r="FW597" s="305"/>
      <c r="FX597" s="305"/>
      <c r="FY597" s="305"/>
      <c r="FZ597" s="305"/>
      <c r="GA597" s="305"/>
      <c r="GB597" s="305"/>
      <c r="GC597" s="305"/>
      <c r="GD597" s="305"/>
      <c r="GE597" s="305"/>
      <c r="GF597" s="305"/>
      <c r="GG597" s="305"/>
      <c r="GH597" s="305"/>
      <c r="GI597" s="305"/>
      <c r="GJ597" s="305"/>
      <c r="GK597" s="305"/>
      <c r="GL597" s="305"/>
      <c r="GM597" s="305"/>
      <c r="GN597" s="305"/>
      <c r="GO597" s="305"/>
      <c r="GP597" s="305"/>
      <c r="GQ597" s="305"/>
      <c r="GR597" s="305"/>
    </row>
    <row r="598" spans="3:200" s="318" customFormat="1" ht="12.75" customHeight="1" x14ac:dyDescent="0.2">
      <c r="C598" s="367"/>
      <c r="D598" s="403"/>
      <c r="E598" s="369"/>
      <c r="F598" s="369"/>
      <c r="G598" s="369"/>
      <c r="H598" s="369"/>
      <c r="I598" s="370"/>
      <c r="J598"/>
      <c r="K598" s="371"/>
      <c r="L598" s="371"/>
      <c r="M598" s="371"/>
      <c r="N598" s="371"/>
      <c r="O598" s="305"/>
      <c r="P598" s="305"/>
      <c r="Q598" s="305"/>
      <c r="R598" s="305"/>
      <c r="S598" s="305"/>
      <c r="T598" s="305"/>
      <c r="U598" s="305"/>
      <c r="V598" s="305"/>
      <c r="W598" s="305"/>
      <c r="X598" s="305"/>
      <c r="Y598" s="305"/>
      <c r="Z598" s="305"/>
      <c r="AA598" s="305"/>
      <c r="AB598" s="305"/>
      <c r="AC598" s="305"/>
      <c r="AD598" s="305"/>
      <c r="AE598" s="305"/>
      <c r="AF598" s="305"/>
      <c r="AG598" s="305"/>
      <c r="AH598" s="305"/>
      <c r="AI598" s="305"/>
      <c r="AJ598" s="305"/>
      <c r="AK598" s="305"/>
      <c r="AL598" s="305"/>
      <c r="AM598" s="305"/>
      <c r="AN598" s="305"/>
      <c r="AO598" s="305"/>
      <c r="AP598" s="305"/>
      <c r="AQ598" s="305"/>
      <c r="AR598" s="305"/>
      <c r="AS598" s="305"/>
      <c r="AT598" s="305"/>
      <c r="AU598" s="305"/>
      <c r="AV598" s="305"/>
      <c r="AW598" s="305"/>
      <c r="AX598" s="305"/>
      <c r="AY598" s="305"/>
      <c r="AZ598" s="305"/>
      <c r="BA598" s="305"/>
      <c r="BB598" s="305"/>
      <c r="BC598" s="305"/>
      <c r="BD598" s="305"/>
      <c r="BE598" s="305"/>
      <c r="BF598" s="305"/>
      <c r="BG598" s="305"/>
      <c r="BH598" s="305"/>
      <c r="BI598" s="305"/>
      <c r="BJ598" s="305"/>
      <c r="BK598" s="305"/>
      <c r="BL598" s="305"/>
      <c r="BM598" s="305"/>
      <c r="BN598" s="305"/>
      <c r="BO598" s="305"/>
      <c r="BP598" s="305"/>
      <c r="BQ598" s="305"/>
      <c r="BR598" s="305"/>
      <c r="BS598" s="305"/>
      <c r="BT598" s="305"/>
      <c r="BU598" s="305"/>
      <c r="BV598" s="305"/>
      <c r="BW598" s="305"/>
      <c r="BX598" s="305"/>
      <c r="BY598" s="305"/>
      <c r="BZ598" s="305"/>
      <c r="CA598" s="305"/>
      <c r="CB598" s="305"/>
      <c r="CC598" s="305"/>
      <c r="CD598" s="305"/>
      <c r="CE598" s="305"/>
      <c r="CF598" s="305"/>
      <c r="CG598" s="305"/>
      <c r="CH598" s="305"/>
      <c r="CI598" s="305"/>
      <c r="CJ598" s="305"/>
      <c r="CK598" s="305"/>
      <c r="CL598" s="305"/>
      <c r="CM598" s="305"/>
      <c r="CN598" s="305"/>
      <c r="CO598" s="305"/>
      <c r="CP598" s="305"/>
      <c r="CQ598" s="305"/>
      <c r="CR598" s="305"/>
      <c r="CS598" s="305"/>
      <c r="CT598" s="305"/>
      <c r="CU598" s="305"/>
      <c r="CV598" s="305"/>
      <c r="CW598" s="305"/>
      <c r="CX598" s="305"/>
      <c r="CY598" s="305"/>
      <c r="CZ598" s="305"/>
      <c r="DA598" s="305"/>
      <c r="DB598" s="305"/>
      <c r="DC598" s="305"/>
      <c r="DD598" s="305"/>
      <c r="DE598" s="305"/>
      <c r="DF598" s="305"/>
      <c r="DG598" s="305"/>
      <c r="DH598" s="305"/>
      <c r="DI598" s="305"/>
      <c r="DJ598" s="305"/>
      <c r="DK598" s="305"/>
      <c r="DL598" s="305"/>
      <c r="DM598" s="305"/>
      <c r="DN598" s="305"/>
      <c r="DO598" s="305"/>
      <c r="DP598" s="305"/>
      <c r="DQ598" s="305"/>
      <c r="DR598" s="305"/>
      <c r="DS598" s="305"/>
      <c r="DT598" s="305"/>
      <c r="DU598" s="305"/>
      <c r="DV598" s="305"/>
      <c r="DW598" s="305"/>
      <c r="DX598" s="305"/>
      <c r="DY598" s="305"/>
      <c r="DZ598" s="305"/>
      <c r="EA598" s="305"/>
      <c r="EB598" s="305"/>
      <c r="EC598" s="305"/>
      <c r="ED598" s="305"/>
      <c r="EE598" s="305"/>
      <c r="EF598" s="305"/>
      <c r="EG598" s="305"/>
      <c r="EH598" s="305"/>
      <c r="EI598" s="305"/>
      <c r="EJ598" s="305"/>
      <c r="EK598" s="305"/>
      <c r="EL598" s="305"/>
      <c r="EM598" s="305"/>
      <c r="EN598" s="305"/>
      <c r="EO598" s="305"/>
      <c r="EP598" s="305"/>
      <c r="EQ598" s="305"/>
      <c r="ER598" s="305"/>
      <c r="ES598" s="305"/>
      <c r="ET598" s="305"/>
      <c r="EU598" s="305"/>
      <c r="EV598" s="305"/>
      <c r="EW598" s="305"/>
      <c r="EX598" s="305"/>
      <c r="EY598" s="305"/>
      <c r="EZ598" s="305"/>
      <c r="FA598" s="305"/>
      <c r="FB598" s="305"/>
      <c r="FC598" s="305"/>
      <c r="FD598" s="305"/>
      <c r="FE598" s="305"/>
      <c r="FF598" s="305"/>
      <c r="FG598" s="305"/>
      <c r="FH598" s="305"/>
      <c r="FI598" s="305"/>
      <c r="FJ598" s="305"/>
      <c r="FK598" s="305"/>
      <c r="FL598" s="305"/>
      <c r="FM598" s="305"/>
      <c r="FN598" s="305"/>
      <c r="FO598" s="305"/>
      <c r="FP598" s="305"/>
      <c r="FQ598" s="305"/>
      <c r="FR598" s="305"/>
      <c r="FS598" s="305"/>
      <c r="FT598" s="305"/>
      <c r="FU598" s="305"/>
      <c r="FV598" s="305"/>
      <c r="FW598" s="305"/>
      <c r="FX598" s="305"/>
      <c r="FY598" s="305"/>
      <c r="FZ598" s="305"/>
      <c r="GA598" s="305"/>
      <c r="GB598" s="305"/>
      <c r="GC598" s="305"/>
      <c r="GD598" s="305"/>
      <c r="GE598" s="305"/>
      <c r="GF598" s="305"/>
      <c r="GG598" s="305"/>
      <c r="GH598" s="305"/>
      <c r="GI598" s="305"/>
      <c r="GJ598" s="305"/>
      <c r="GK598" s="305"/>
      <c r="GL598" s="305"/>
      <c r="GM598" s="305"/>
      <c r="GN598" s="305"/>
      <c r="GO598" s="305"/>
      <c r="GP598" s="305"/>
      <c r="GQ598" s="305"/>
      <c r="GR598" s="305"/>
    </row>
    <row r="599" spans="3:200" s="318" customFormat="1" ht="12.75" customHeight="1" x14ac:dyDescent="0.2">
      <c r="C599" s="367"/>
      <c r="D599" s="403"/>
      <c r="E599" s="369"/>
      <c r="F599" s="369"/>
      <c r="G599" s="369"/>
      <c r="H599" s="369"/>
      <c r="I599" s="370"/>
      <c r="J599"/>
      <c r="K599" s="371"/>
      <c r="L599" s="371"/>
      <c r="M599" s="371"/>
      <c r="N599" s="371"/>
      <c r="O599" s="305"/>
      <c r="P599" s="305"/>
      <c r="Q599" s="305"/>
      <c r="R599" s="305"/>
      <c r="S599" s="305"/>
      <c r="T599" s="305"/>
      <c r="U599" s="305"/>
      <c r="V599" s="305"/>
      <c r="W599" s="305"/>
      <c r="X599" s="305"/>
      <c r="Y599" s="305"/>
      <c r="Z599" s="305"/>
      <c r="AA599" s="305"/>
      <c r="AB599" s="305"/>
      <c r="AC599" s="305"/>
      <c r="AD599" s="305"/>
      <c r="AE599" s="305"/>
      <c r="AF599" s="305"/>
      <c r="AG599" s="305"/>
      <c r="AH599" s="305"/>
      <c r="AI599" s="305"/>
      <c r="AJ599" s="305"/>
      <c r="AK599" s="305"/>
      <c r="AL599" s="305"/>
      <c r="AM599" s="305"/>
      <c r="AN599" s="305"/>
      <c r="AO599" s="305"/>
      <c r="AP599" s="305"/>
      <c r="AQ599" s="305"/>
      <c r="AR599" s="305"/>
      <c r="AS599" s="305"/>
      <c r="AT599" s="305"/>
      <c r="AU599" s="305"/>
      <c r="AV599" s="305"/>
      <c r="AW599" s="305"/>
      <c r="AX599" s="305"/>
      <c r="AY599" s="305"/>
      <c r="AZ599" s="305"/>
      <c r="BA599" s="305"/>
      <c r="BB599" s="305"/>
      <c r="BC599" s="305"/>
      <c r="BD599" s="305"/>
      <c r="BE599" s="305"/>
      <c r="BF599" s="305"/>
      <c r="BG599" s="305"/>
      <c r="BH599" s="305"/>
      <c r="BI599" s="305"/>
      <c r="BJ599" s="305"/>
      <c r="BK599" s="305"/>
      <c r="BL599" s="305"/>
      <c r="BM599" s="305"/>
      <c r="BN599" s="305"/>
      <c r="BO599" s="305"/>
      <c r="BP599" s="305"/>
      <c r="BQ599" s="305"/>
      <c r="BR599" s="305"/>
      <c r="BS599" s="305"/>
      <c r="BT599" s="305"/>
      <c r="BU599" s="305"/>
      <c r="BV599" s="305"/>
      <c r="BW599" s="305"/>
      <c r="BX599" s="305"/>
      <c r="BY599" s="305"/>
      <c r="BZ599" s="305"/>
      <c r="CA599" s="305"/>
      <c r="CB599" s="305"/>
      <c r="CC599" s="305"/>
      <c r="CD599" s="305"/>
      <c r="CE599" s="305"/>
      <c r="CF599" s="305"/>
      <c r="CG599" s="305"/>
      <c r="CH599" s="305"/>
      <c r="CI599" s="305"/>
      <c r="CJ599" s="305"/>
      <c r="CK599" s="305"/>
      <c r="CL599" s="305"/>
      <c r="CM599" s="305"/>
      <c r="CN599" s="305"/>
      <c r="CO599" s="305"/>
      <c r="CP599" s="305"/>
      <c r="CQ599" s="305"/>
      <c r="CR599" s="305"/>
      <c r="CS599" s="305"/>
      <c r="CT599" s="305"/>
      <c r="CU599" s="305"/>
      <c r="CV599" s="305"/>
      <c r="CW599" s="305"/>
      <c r="CX599" s="305"/>
      <c r="CY599" s="305"/>
      <c r="CZ599" s="305"/>
      <c r="DA599" s="305"/>
      <c r="DB599" s="305"/>
      <c r="DC599" s="305"/>
      <c r="DD599" s="305"/>
      <c r="DE599" s="305"/>
      <c r="DF599" s="305"/>
      <c r="DG599" s="305"/>
      <c r="DH599" s="305"/>
      <c r="DI599" s="305"/>
      <c r="DJ599" s="305"/>
      <c r="DK599" s="305"/>
      <c r="DL599" s="305"/>
      <c r="DM599" s="305"/>
      <c r="DN599" s="305"/>
      <c r="DO599" s="305"/>
      <c r="DP599" s="305"/>
      <c r="DQ599" s="305"/>
      <c r="DR599" s="305"/>
      <c r="DS599" s="305"/>
      <c r="DT599" s="305"/>
      <c r="DU599" s="305"/>
      <c r="DV599" s="305"/>
      <c r="DW599" s="305"/>
      <c r="DX599" s="305"/>
      <c r="DY599" s="305"/>
      <c r="DZ599" s="305"/>
      <c r="EA599" s="305"/>
      <c r="EB599" s="305"/>
      <c r="EC599" s="305"/>
      <c r="ED599" s="305"/>
      <c r="EE599" s="305"/>
      <c r="EF599" s="305"/>
      <c r="EG599" s="305"/>
      <c r="EH599" s="305"/>
      <c r="EI599" s="305"/>
      <c r="EJ599" s="305"/>
      <c r="EK599" s="305"/>
      <c r="EL599" s="305"/>
      <c r="EM599" s="305"/>
      <c r="EN599" s="305"/>
      <c r="EO599" s="305"/>
      <c r="EP599" s="305"/>
      <c r="EQ599" s="305"/>
      <c r="ER599" s="305"/>
      <c r="ES599" s="305"/>
      <c r="ET599" s="305"/>
      <c r="EU599" s="305"/>
      <c r="EV599" s="305"/>
      <c r="EW599" s="305"/>
      <c r="EX599" s="305"/>
      <c r="EY599" s="305"/>
      <c r="EZ599" s="305"/>
      <c r="FA599" s="305"/>
      <c r="FB599" s="305"/>
      <c r="FC599" s="305"/>
      <c r="FD599" s="305"/>
      <c r="FE599" s="305"/>
      <c r="FF599" s="305"/>
      <c r="FG599" s="305"/>
      <c r="FH599" s="305"/>
      <c r="FI599" s="305"/>
      <c r="FJ599" s="305"/>
      <c r="FK599" s="305"/>
      <c r="FL599" s="305"/>
      <c r="FM599" s="305"/>
      <c r="FN599" s="305"/>
      <c r="FO599" s="305"/>
      <c r="FP599" s="305"/>
      <c r="FQ599" s="305"/>
      <c r="FR599" s="305"/>
      <c r="FS599" s="305"/>
      <c r="FT599" s="305"/>
      <c r="FU599" s="305"/>
      <c r="FV599" s="305"/>
      <c r="FW599" s="305"/>
      <c r="FX599" s="305"/>
      <c r="FY599" s="305"/>
      <c r="FZ599" s="305"/>
      <c r="GA599" s="305"/>
      <c r="GB599" s="305"/>
      <c r="GC599" s="305"/>
      <c r="GD599" s="305"/>
      <c r="GE599" s="305"/>
      <c r="GF599" s="305"/>
      <c r="GG599" s="305"/>
      <c r="GH599" s="305"/>
      <c r="GI599" s="305"/>
      <c r="GJ599" s="305"/>
      <c r="GK599" s="305"/>
      <c r="GL599" s="305"/>
      <c r="GM599" s="305"/>
      <c r="GN599" s="305"/>
      <c r="GO599" s="305"/>
      <c r="GP599" s="305"/>
      <c r="GQ599" s="305"/>
      <c r="GR599" s="305"/>
    </row>
    <row r="600" spans="3:200" s="318" customFormat="1" ht="12.75" customHeight="1" x14ac:dyDescent="0.2">
      <c r="C600" s="367"/>
      <c r="D600" s="403"/>
      <c r="E600" s="369"/>
      <c r="F600" s="369"/>
      <c r="G600" s="369"/>
      <c r="H600" s="369"/>
      <c r="I600" s="370"/>
      <c r="J600"/>
      <c r="K600" s="371"/>
      <c r="L600" s="371"/>
      <c r="M600" s="371"/>
      <c r="N600" s="371"/>
      <c r="O600" s="305"/>
      <c r="P600" s="305"/>
      <c r="Q600" s="305"/>
      <c r="R600" s="305"/>
      <c r="S600" s="305"/>
      <c r="T600" s="305"/>
      <c r="U600" s="305"/>
      <c r="V600" s="305"/>
      <c r="W600" s="305"/>
      <c r="X600" s="305"/>
      <c r="Y600" s="305"/>
      <c r="Z600" s="305"/>
      <c r="AA600" s="305"/>
      <c r="AB600" s="305"/>
      <c r="AC600" s="305"/>
      <c r="AD600" s="305"/>
      <c r="AE600" s="305"/>
      <c r="AF600" s="305"/>
      <c r="AG600" s="305"/>
      <c r="AH600" s="305"/>
      <c r="AI600" s="305"/>
      <c r="AJ600" s="305"/>
      <c r="AK600" s="305"/>
      <c r="AL600" s="305"/>
      <c r="AM600" s="305"/>
      <c r="AN600" s="305"/>
      <c r="AO600" s="305"/>
      <c r="AP600" s="305"/>
      <c r="AQ600" s="305"/>
      <c r="AR600" s="305"/>
      <c r="AS600" s="305"/>
      <c r="AT600" s="305"/>
      <c r="AU600" s="305"/>
      <c r="AV600" s="305"/>
      <c r="AW600" s="305"/>
      <c r="AX600" s="305"/>
      <c r="AY600" s="305"/>
      <c r="AZ600" s="305"/>
      <c r="BA600" s="305"/>
      <c r="BB600" s="305"/>
      <c r="BC600" s="305"/>
      <c r="BD600" s="305"/>
      <c r="BE600" s="305"/>
      <c r="BF600" s="305"/>
      <c r="BG600" s="305"/>
      <c r="BH600" s="305"/>
      <c r="BI600" s="305"/>
      <c r="BJ600" s="305"/>
      <c r="BK600" s="305"/>
      <c r="BL600" s="305"/>
      <c r="BM600" s="305"/>
      <c r="BN600" s="305"/>
      <c r="BO600" s="305"/>
      <c r="BP600" s="305"/>
      <c r="BQ600" s="305"/>
      <c r="BR600" s="305"/>
      <c r="BS600" s="305"/>
      <c r="BT600" s="305"/>
      <c r="BU600" s="305"/>
      <c r="BV600" s="305"/>
      <c r="BW600" s="305"/>
      <c r="BX600" s="305"/>
      <c r="BY600" s="305"/>
      <c r="BZ600" s="305"/>
      <c r="CA600" s="305"/>
      <c r="CB600" s="305"/>
      <c r="CC600" s="305"/>
      <c r="CD600" s="305"/>
      <c r="CE600" s="305"/>
      <c r="CF600" s="305"/>
      <c r="CG600" s="305"/>
      <c r="CH600" s="305"/>
      <c r="CI600" s="305"/>
      <c r="CJ600" s="305"/>
      <c r="CK600" s="305"/>
      <c r="CL600" s="305"/>
      <c r="CM600" s="305"/>
      <c r="CN600" s="305"/>
      <c r="CO600" s="305"/>
      <c r="CP600" s="305"/>
      <c r="CQ600" s="305"/>
      <c r="CR600" s="305"/>
      <c r="CS600" s="305"/>
      <c r="CT600" s="305"/>
      <c r="CU600" s="305"/>
      <c r="CV600" s="305"/>
      <c r="CW600" s="305"/>
      <c r="CX600" s="305"/>
      <c r="CY600" s="305"/>
      <c r="CZ600" s="305"/>
      <c r="DA600" s="305"/>
      <c r="DB600" s="305"/>
      <c r="DC600" s="305"/>
      <c r="DD600" s="305"/>
      <c r="DE600" s="305"/>
      <c r="DF600" s="305"/>
      <c r="DG600" s="305"/>
      <c r="DH600" s="305"/>
      <c r="DI600" s="305"/>
      <c r="DJ600" s="305"/>
      <c r="DK600" s="305"/>
      <c r="DL600" s="305"/>
      <c r="DM600" s="305"/>
      <c r="DN600" s="305"/>
      <c r="DO600" s="305"/>
      <c r="DP600" s="305"/>
      <c r="DQ600" s="305"/>
      <c r="DR600" s="305"/>
      <c r="DS600" s="305"/>
      <c r="DT600" s="305"/>
      <c r="DU600" s="305"/>
      <c r="DV600" s="305"/>
      <c r="DW600" s="305"/>
      <c r="DX600" s="305"/>
      <c r="DY600" s="305"/>
      <c r="DZ600" s="305"/>
      <c r="EA600" s="305"/>
      <c r="EB600" s="305"/>
      <c r="EC600" s="305"/>
      <c r="ED600" s="305"/>
      <c r="EE600" s="305"/>
      <c r="EF600" s="305"/>
      <c r="EG600" s="305"/>
      <c r="EH600" s="305"/>
      <c r="EI600" s="305"/>
      <c r="EJ600" s="305"/>
      <c r="EK600" s="305"/>
      <c r="EL600" s="305"/>
      <c r="EM600" s="305"/>
      <c r="EN600" s="305"/>
      <c r="EO600" s="305"/>
      <c r="EP600" s="305"/>
      <c r="EQ600" s="305"/>
      <c r="ER600" s="305"/>
      <c r="ES600" s="305"/>
      <c r="ET600" s="305"/>
      <c r="EU600" s="305"/>
      <c r="EV600" s="305"/>
      <c r="EW600" s="305"/>
      <c r="EX600" s="305"/>
      <c r="EY600" s="305"/>
      <c r="EZ600" s="305"/>
      <c r="FA600" s="305"/>
      <c r="FB600" s="305"/>
      <c r="FC600" s="305"/>
      <c r="FD600" s="305"/>
      <c r="FE600" s="305"/>
      <c r="FF600" s="305"/>
      <c r="FG600" s="305"/>
      <c r="FH600" s="305"/>
      <c r="FI600" s="305"/>
      <c r="FJ600" s="305"/>
      <c r="FK600" s="305"/>
      <c r="FL600" s="305"/>
      <c r="FM600" s="305"/>
      <c r="FN600" s="305"/>
      <c r="FO600" s="305"/>
      <c r="FP600" s="305"/>
      <c r="FQ600" s="305"/>
      <c r="FR600" s="305"/>
      <c r="FS600" s="305"/>
      <c r="FT600" s="305"/>
      <c r="FU600" s="305"/>
      <c r="FV600" s="305"/>
      <c r="FW600" s="305"/>
      <c r="FX600" s="305"/>
      <c r="FY600" s="305"/>
      <c r="FZ600" s="305"/>
      <c r="GA600" s="305"/>
      <c r="GB600" s="305"/>
      <c r="GC600" s="305"/>
      <c r="GD600" s="305"/>
      <c r="GE600" s="305"/>
      <c r="GF600" s="305"/>
      <c r="GG600" s="305"/>
      <c r="GH600" s="305"/>
      <c r="GI600" s="305"/>
      <c r="GJ600" s="305"/>
      <c r="GK600" s="305"/>
      <c r="GL600" s="305"/>
      <c r="GM600" s="305"/>
      <c r="GN600" s="305"/>
      <c r="GO600" s="305"/>
      <c r="GP600" s="305"/>
      <c r="GQ600" s="305"/>
      <c r="GR600" s="305"/>
    </row>
    <row r="601" spans="3:200" s="318" customFormat="1" ht="12.75" customHeight="1" x14ac:dyDescent="0.2">
      <c r="C601" s="367"/>
      <c r="D601" s="403"/>
      <c r="E601" s="369"/>
      <c r="F601" s="369"/>
      <c r="G601" s="369"/>
      <c r="H601" s="369"/>
      <c r="I601" s="370"/>
      <c r="J601"/>
      <c r="K601" s="371"/>
      <c r="L601" s="371"/>
      <c r="M601" s="371"/>
      <c r="N601" s="371"/>
      <c r="O601" s="305"/>
      <c r="P601" s="305"/>
      <c r="Q601" s="305"/>
      <c r="R601" s="305"/>
      <c r="S601" s="305"/>
      <c r="T601" s="305"/>
      <c r="U601" s="305"/>
      <c r="V601" s="305"/>
      <c r="W601" s="305"/>
      <c r="X601" s="305"/>
      <c r="Y601" s="305"/>
      <c r="Z601" s="305"/>
      <c r="AA601" s="305"/>
      <c r="AB601" s="305"/>
      <c r="AC601" s="305"/>
      <c r="AD601" s="305"/>
      <c r="AE601" s="305"/>
      <c r="AF601" s="305"/>
      <c r="AG601" s="305"/>
      <c r="AH601" s="305"/>
      <c r="AI601" s="305"/>
      <c r="AJ601" s="305"/>
      <c r="AK601" s="305"/>
      <c r="AL601" s="305"/>
      <c r="AM601" s="305"/>
      <c r="AN601" s="305"/>
      <c r="AO601" s="305"/>
      <c r="AP601" s="305"/>
      <c r="AQ601" s="305"/>
      <c r="AR601" s="305"/>
      <c r="AS601" s="305"/>
      <c r="AT601" s="305"/>
      <c r="AU601" s="305"/>
      <c r="AV601" s="305"/>
      <c r="AW601" s="305"/>
      <c r="AX601" s="305"/>
      <c r="AY601" s="305"/>
      <c r="AZ601" s="305"/>
      <c r="BA601" s="305"/>
      <c r="BB601" s="305"/>
      <c r="BC601" s="305"/>
      <c r="BD601" s="305"/>
      <c r="BE601" s="305"/>
      <c r="BF601" s="305"/>
      <c r="BG601" s="305"/>
      <c r="BH601" s="305"/>
      <c r="BI601" s="305"/>
      <c r="BJ601" s="305"/>
      <c r="BK601" s="305"/>
      <c r="BL601" s="305"/>
      <c r="BM601" s="305"/>
      <c r="BN601" s="305"/>
      <c r="BO601" s="305"/>
      <c r="BP601" s="305"/>
      <c r="BQ601" s="305"/>
      <c r="BR601" s="305"/>
      <c r="BS601" s="305"/>
      <c r="BT601" s="305"/>
      <c r="BU601" s="305"/>
      <c r="BV601" s="305"/>
      <c r="BW601" s="305"/>
      <c r="BX601" s="305"/>
      <c r="BY601" s="305"/>
      <c r="BZ601" s="305"/>
      <c r="CA601" s="305"/>
      <c r="CB601" s="305"/>
      <c r="CC601" s="305"/>
      <c r="CD601" s="305"/>
      <c r="CE601" s="305"/>
      <c r="CF601" s="305"/>
      <c r="CG601" s="305"/>
      <c r="CH601" s="305"/>
      <c r="CI601" s="305"/>
      <c r="CJ601" s="305"/>
      <c r="CK601" s="305"/>
      <c r="CL601" s="305"/>
      <c r="CM601" s="305"/>
      <c r="CN601" s="305"/>
      <c r="CO601" s="305"/>
      <c r="CP601" s="305"/>
      <c r="CQ601" s="305"/>
      <c r="CR601" s="305"/>
      <c r="CS601" s="305"/>
      <c r="CT601" s="305"/>
      <c r="CU601" s="305"/>
      <c r="CV601" s="305"/>
      <c r="CW601" s="305"/>
      <c r="CX601" s="305"/>
      <c r="CY601" s="305"/>
      <c r="CZ601" s="305"/>
      <c r="DA601" s="305"/>
      <c r="DB601" s="305"/>
      <c r="DC601" s="305"/>
      <c r="DD601" s="305"/>
      <c r="DE601" s="305"/>
      <c r="DF601" s="305"/>
      <c r="DG601" s="305"/>
      <c r="DH601" s="305"/>
      <c r="DI601" s="305"/>
      <c r="DJ601" s="305"/>
      <c r="DK601" s="305"/>
      <c r="DL601" s="305"/>
      <c r="DM601" s="305"/>
      <c r="DN601" s="305"/>
      <c r="DO601" s="305"/>
      <c r="DP601" s="305"/>
      <c r="DQ601" s="305"/>
      <c r="DR601" s="305"/>
      <c r="DS601" s="305"/>
      <c r="DT601" s="305"/>
      <c r="DU601" s="305"/>
      <c r="DV601" s="305"/>
      <c r="DW601" s="305"/>
      <c r="DX601" s="305"/>
      <c r="DY601" s="305"/>
      <c r="DZ601" s="305"/>
      <c r="EA601" s="305"/>
      <c r="EB601" s="305"/>
      <c r="EC601" s="305"/>
      <c r="ED601" s="305"/>
      <c r="EE601" s="305"/>
      <c r="EF601" s="305"/>
      <c r="EG601" s="305"/>
      <c r="EH601" s="305"/>
      <c r="EI601" s="305"/>
      <c r="EJ601" s="305"/>
      <c r="EK601" s="305"/>
      <c r="EL601" s="305"/>
      <c r="EM601" s="305"/>
      <c r="EN601" s="305"/>
      <c r="EO601" s="305"/>
      <c r="EP601" s="305"/>
      <c r="EQ601" s="305"/>
      <c r="ER601" s="305"/>
      <c r="ES601" s="305"/>
      <c r="ET601" s="305"/>
      <c r="EU601" s="305"/>
      <c r="EV601" s="305"/>
      <c r="EW601" s="305"/>
      <c r="EX601" s="305"/>
      <c r="EY601" s="305"/>
      <c r="EZ601" s="305"/>
      <c r="FA601" s="305"/>
      <c r="FB601" s="305"/>
      <c r="FC601" s="305"/>
      <c r="FD601" s="305"/>
      <c r="FE601" s="305"/>
      <c r="FF601" s="305"/>
      <c r="FG601" s="305"/>
      <c r="FH601" s="305"/>
      <c r="FI601" s="305"/>
      <c r="FJ601" s="305"/>
      <c r="FK601" s="305"/>
      <c r="FL601" s="305"/>
      <c r="FM601" s="305"/>
      <c r="FN601" s="305"/>
      <c r="FO601" s="305"/>
      <c r="FP601" s="305"/>
      <c r="FQ601" s="305"/>
      <c r="FR601" s="305"/>
      <c r="FS601" s="305"/>
      <c r="FT601" s="305"/>
      <c r="FU601" s="305"/>
      <c r="FV601" s="305"/>
      <c r="FW601" s="305"/>
      <c r="FX601" s="305"/>
      <c r="FY601" s="305"/>
      <c r="FZ601" s="305"/>
      <c r="GA601" s="305"/>
      <c r="GB601" s="305"/>
      <c r="GC601" s="305"/>
      <c r="GD601" s="305"/>
      <c r="GE601" s="305"/>
      <c r="GF601" s="305"/>
      <c r="GG601" s="305"/>
      <c r="GH601" s="305"/>
      <c r="GI601" s="305"/>
      <c r="GJ601" s="305"/>
      <c r="GK601" s="305"/>
      <c r="GL601" s="305"/>
      <c r="GM601" s="305"/>
      <c r="GN601" s="305"/>
      <c r="GO601" s="305"/>
      <c r="GP601" s="305"/>
      <c r="GQ601" s="305"/>
      <c r="GR601" s="305"/>
    </row>
    <row r="602" spans="3:200" s="318" customFormat="1" ht="12.75" customHeight="1" x14ac:dyDescent="0.2">
      <c r="C602" s="367"/>
      <c r="D602" s="403"/>
      <c r="E602" s="369"/>
      <c r="F602" s="369"/>
      <c r="G602" s="369"/>
      <c r="H602" s="369"/>
      <c r="I602" s="370"/>
      <c r="J602"/>
      <c r="K602" s="371"/>
      <c r="L602" s="371"/>
      <c r="M602" s="371"/>
      <c r="N602" s="371"/>
      <c r="O602" s="305"/>
      <c r="P602" s="305"/>
      <c r="Q602" s="305"/>
      <c r="R602" s="305"/>
      <c r="S602" s="305"/>
      <c r="T602" s="305"/>
      <c r="U602" s="305"/>
      <c r="V602" s="305"/>
      <c r="W602" s="305"/>
      <c r="X602" s="305"/>
      <c r="Y602" s="305"/>
      <c r="Z602" s="305"/>
      <c r="AA602" s="305"/>
      <c r="AB602" s="305"/>
      <c r="AC602" s="305"/>
      <c r="AD602" s="305"/>
      <c r="AE602" s="305"/>
      <c r="AF602" s="305"/>
      <c r="AG602" s="305"/>
      <c r="AH602" s="305"/>
      <c r="AI602" s="305"/>
      <c r="AJ602" s="305"/>
      <c r="AK602" s="305"/>
      <c r="AL602" s="305"/>
      <c r="AM602" s="305"/>
      <c r="AN602" s="305"/>
      <c r="AO602" s="305"/>
      <c r="AP602" s="305"/>
      <c r="AQ602" s="305"/>
      <c r="AR602" s="305"/>
      <c r="AS602" s="305"/>
      <c r="AT602" s="305"/>
      <c r="AU602" s="305"/>
      <c r="AV602" s="305"/>
      <c r="AW602" s="305"/>
      <c r="AX602" s="305"/>
      <c r="AY602" s="305"/>
      <c r="AZ602" s="305"/>
      <c r="BA602" s="305"/>
      <c r="BB602" s="305"/>
      <c r="BC602" s="305"/>
      <c r="BD602" s="305"/>
      <c r="BE602" s="305"/>
      <c r="BF602" s="305"/>
      <c r="BG602" s="305"/>
      <c r="BH602" s="305"/>
      <c r="BI602" s="305"/>
      <c r="BJ602" s="305"/>
      <c r="BK602" s="305"/>
      <c r="BL602" s="305"/>
      <c r="BM602" s="305"/>
      <c r="BN602" s="305"/>
      <c r="BO602" s="305"/>
      <c r="BP602" s="305"/>
      <c r="BQ602" s="305"/>
      <c r="BR602" s="305"/>
      <c r="BS602" s="305"/>
      <c r="BT602" s="305"/>
      <c r="BU602" s="305"/>
      <c r="BV602" s="305"/>
      <c r="BW602" s="305"/>
      <c r="BX602" s="305"/>
      <c r="BY602" s="305"/>
      <c r="BZ602" s="305"/>
      <c r="CA602" s="305"/>
      <c r="CB602" s="305"/>
      <c r="CC602" s="305"/>
      <c r="CD602" s="305"/>
      <c r="CE602" s="305"/>
      <c r="CF602" s="305"/>
      <c r="CG602" s="305"/>
      <c r="CH602" s="305"/>
      <c r="CI602" s="305"/>
      <c r="CJ602" s="305"/>
      <c r="CK602" s="305"/>
      <c r="CL602" s="305"/>
      <c r="CM602" s="305"/>
      <c r="CN602" s="305"/>
      <c r="CO602" s="305"/>
      <c r="CP602" s="305"/>
      <c r="CQ602" s="305"/>
      <c r="CR602" s="305"/>
      <c r="CS602" s="305"/>
      <c r="CT602" s="305"/>
      <c r="CU602" s="305"/>
      <c r="CV602" s="305"/>
      <c r="CW602" s="305"/>
      <c r="CX602" s="305"/>
      <c r="CY602" s="305"/>
      <c r="CZ602" s="305"/>
      <c r="DA602" s="305"/>
      <c r="DB602" s="305"/>
      <c r="DC602" s="305"/>
      <c r="DD602" s="305"/>
      <c r="DE602" s="305"/>
      <c r="DF602" s="305"/>
      <c r="DG602" s="305"/>
      <c r="DH602" s="305"/>
      <c r="DI602" s="305"/>
      <c r="DJ602" s="305"/>
      <c r="DK602" s="305"/>
      <c r="DL602" s="305"/>
      <c r="DM602" s="305"/>
      <c r="DN602" s="305"/>
      <c r="DO602" s="305"/>
      <c r="DP602" s="305"/>
      <c r="DQ602" s="305"/>
      <c r="DR602" s="305"/>
      <c r="DS602" s="305"/>
      <c r="DT602" s="305"/>
      <c r="DU602" s="305"/>
      <c r="DV602" s="305"/>
      <c r="DW602" s="305"/>
      <c r="DX602" s="305"/>
      <c r="DY602" s="305"/>
      <c r="DZ602" s="305"/>
      <c r="EA602" s="305"/>
      <c r="EB602" s="305"/>
      <c r="EC602" s="305"/>
      <c r="ED602" s="305"/>
      <c r="EE602" s="305"/>
      <c r="EF602" s="305"/>
      <c r="EG602" s="305"/>
      <c r="EH602" s="305"/>
      <c r="EI602" s="305"/>
      <c r="EJ602" s="305"/>
      <c r="EK602" s="305"/>
      <c r="EL602" s="305"/>
      <c r="EM602" s="305"/>
      <c r="EN602" s="305"/>
      <c r="EO602" s="305"/>
      <c r="EP602" s="305"/>
      <c r="EQ602" s="305"/>
      <c r="ER602" s="305"/>
      <c r="ES602" s="305"/>
      <c r="ET602" s="305"/>
      <c r="EU602" s="305"/>
      <c r="EV602" s="305"/>
      <c r="EW602" s="305"/>
      <c r="EX602" s="305"/>
      <c r="EY602" s="305"/>
      <c r="EZ602" s="305"/>
      <c r="FA602" s="305"/>
      <c r="FB602" s="305"/>
      <c r="FC602" s="305"/>
      <c r="FD602" s="305"/>
      <c r="FE602" s="305"/>
      <c r="FF602" s="305"/>
      <c r="FG602" s="305"/>
      <c r="FH602" s="305"/>
      <c r="FI602" s="305"/>
      <c r="FJ602" s="305"/>
      <c r="FK602" s="305"/>
      <c r="FL602" s="305"/>
      <c r="FM602" s="305"/>
      <c r="FN602" s="305"/>
      <c r="FO602" s="305"/>
      <c r="FP602" s="305"/>
      <c r="FQ602" s="305"/>
      <c r="FR602" s="305"/>
      <c r="FS602" s="305"/>
      <c r="FT602" s="305"/>
      <c r="FU602" s="305"/>
      <c r="FV602" s="305"/>
      <c r="FW602" s="305"/>
      <c r="FX602" s="305"/>
      <c r="FY602" s="305"/>
      <c r="FZ602" s="305"/>
      <c r="GA602" s="305"/>
      <c r="GB602" s="305"/>
      <c r="GC602" s="305"/>
      <c r="GD602" s="305"/>
      <c r="GE602" s="305"/>
      <c r="GF602" s="305"/>
      <c r="GG602" s="305"/>
      <c r="GH602" s="305"/>
      <c r="GI602" s="305"/>
      <c r="GJ602" s="305"/>
      <c r="GK602" s="305"/>
      <c r="GL602" s="305"/>
      <c r="GM602" s="305"/>
      <c r="GN602" s="305"/>
      <c r="GO602" s="305"/>
      <c r="GP602" s="305"/>
      <c r="GQ602" s="305"/>
      <c r="GR602" s="305"/>
    </row>
    <row r="603" spans="3:200" s="318" customFormat="1" ht="12.75" customHeight="1" x14ac:dyDescent="0.2">
      <c r="C603" s="367"/>
      <c r="D603" s="403"/>
      <c r="E603" s="369"/>
      <c r="F603" s="369"/>
      <c r="G603" s="369"/>
      <c r="H603" s="369"/>
      <c r="I603" s="370"/>
      <c r="J603"/>
      <c r="K603" s="371"/>
      <c r="L603" s="371"/>
      <c r="M603" s="371"/>
      <c r="N603" s="371"/>
      <c r="O603" s="305"/>
      <c r="P603" s="305"/>
      <c r="Q603" s="305"/>
      <c r="R603" s="305"/>
      <c r="S603" s="305"/>
      <c r="T603" s="305"/>
      <c r="U603" s="305"/>
      <c r="V603" s="305"/>
      <c r="W603" s="305"/>
      <c r="X603" s="305"/>
      <c r="Y603" s="305"/>
      <c r="Z603" s="305"/>
      <c r="AA603" s="305"/>
      <c r="AB603" s="305"/>
      <c r="AC603" s="305"/>
      <c r="AD603" s="305"/>
      <c r="AE603" s="305"/>
      <c r="AF603" s="305"/>
      <c r="AG603" s="305"/>
      <c r="AH603" s="305"/>
      <c r="AI603" s="305"/>
      <c r="AJ603" s="305"/>
      <c r="AK603" s="305"/>
      <c r="AL603" s="305"/>
      <c r="AM603" s="305"/>
      <c r="AN603" s="305"/>
      <c r="AO603" s="305"/>
      <c r="AP603" s="305"/>
      <c r="AQ603" s="305"/>
      <c r="AR603" s="305"/>
      <c r="AS603" s="305"/>
      <c r="AT603" s="305"/>
      <c r="AU603" s="305"/>
      <c r="AV603" s="305"/>
      <c r="AW603" s="305"/>
      <c r="AX603" s="305"/>
      <c r="AY603" s="305"/>
      <c r="AZ603" s="305"/>
      <c r="BA603" s="305"/>
      <c r="BB603" s="305"/>
      <c r="BC603" s="305"/>
      <c r="BD603" s="305"/>
      <c r="BE603" s="305"/>
      <c r="BF603" s="305"/>
      <c r="BG603" s="305"/>
      <c r="BH603" s="305"/>
      <c r="BI603" s="305"/>
      <c r="BJ603" s="305"/>
      <c r="BK603" s="305"/>
      <c r="BL603" s="305"/>
      <c r="BM603" s="305"/>
      <c r="BN603" s="305"/>
      <c r="BO603" s="305"/>
      <c r="BP603" s="305"/>
      <c r="BQ603" s="305"/>
      <c r="BR603" s="305"/>
      <c r="BS603" s="305"/>
      <c r="BT603" s="305"/>
      <c r="BU603" s="305"/>
      <c r="BV603" s="305"/>
      <c r="BW603" s="305"/>
      <c r="BX603" s="305"/>
      <c r="BY603" s="305"/>
      <c r="BZ603" s="305"/>
      <c r="CA603" s="305"/>
      <c r="CB603" s="305"/>
      <c r="CC603" s="305"/>
      <c r="CD603" s="305"/>
      <c r="CE603" s="305"/>
      <c r="CF603" s="305"/>
      <c r="CG603" s="305"/>
      <c r="CH603" s="305"/>
      <c r="CI603" s="305"/>
      <c r="CJ603" s="305"/>
      <c r="CK603" s="305"/>
      <c r="CL603" s="305"/>
      <c r="CM603" s="305"/>
      <c r="CN603" s="305"/>
      <c r="CO603" s="305"/>
      <c r="CP603" s="305"/>
      <c r="CQ603" s="305"/>
      <c r="CR603" s="305"/>
      <c r="CS603" s="305"/>
      <c r="CT603" s="305"/>
      <c r="CU603" s="305"/>
      <c r="CV603" s="305"/>
      <c r="CW603" s="305"/>
      <c r="CX603" s="305"/>
      <c r="CY603" s="305"/>
      <c r="CZ603" s="305"/>
      <c r="DA603" s="305"/>
      <c r="DB603" s="305"/>
      <c r="DC603" s="305"/>
      <c r="DD603" s="305"/>
      <c r="DE603" s="305"/>
      <c r="DF603" s="305"/>
      <c r="DG603" s="305"/>
      <c r="DH603" s="305"/>
      <c r="DI603" s="305"/>
      <c r="DJ603" s="305"/>
      <c r="DK603" s="305"/>
      <c r="DL603" s="305"/>
      <c r="DM603" s="305"/>
      <c r="DN603" s="305"/>
      <c r="DO603" s="305"/>
      <c r="DP603" s="305"/>
      <c r="DQ603" s="305"/>
      <c r="DR603" s="305"/>
      <c r="DS603" s="305"/>
      <c r="DT603" s="305"/>
      <c r="DU603" s="305"/>
      <c r="DV603" s="305"/>
      <c r="DW603" s="305"/>
      <c r="DX603" s="305"/>
      <c r="DY603" s="305"/>
      <c r="DZ603" s="305"/>
      <c r="EA603" s="305"/>
      <c r="EB603" s="305"/>
      <c r="EC603" s="305"/>
      <c r="ED603" s="305"/>
      <c r="EE603" s="305"/>
      <c r="EF603" s="305"/>
      <c r="EG603" s="305"/>
      <c r="EH603" s="305"/>
      <c r="EI603" s="305"/>
      <c r="EJ603" s="305"/>
      <c r="EK603" s="305"/>
      <c r="EL603" s="305"/>
      <c r="EM603" s="305"/>
      <c r="EN603" s="305"/>
      <c r="EO603" s="305"/>
      <c r="EP603" s="305"/>
      <c r="EQ603" s="305"/>
      <c r="ER603" s="305"/>
      <c r="ES603" s="305"/>
      <c r="ET603" s="305"/>
      <c r="EU603" s="305"/>
      <c r="EV603" s="305"/>
      <c r="EW603" s="305"/>
      <c r="EX603" s="305"/>
      <c r="EY603" s="305"/>
      <c r="EZ603" s="305"/>
      <c r="FA603" s="305"/>
      <c r="FB603" s="305"/>
      <c r="FC603" s="305"/>
      <c r="FD603" s="305"/>
      <c r="FE603" s="305"/>
      <c r="FF603" s="305"/>
      <c r="FG603" s="305"/>
      <c r="FH603" s="305"/>
      <c r="FI603" s="305"/>
      <c r="FJ603" s="305"/>
      <c r="FK603" s="305"/>
      <c r="FL603" s="305"/>
      <c r="FM603" s="305"/>
      <c r="FN603" s="305"/>
      <c r="FO603" s="305"/>
      <c r="FP603" s="305"/>
      <c r="FQ603" s="305"/>
      <c r="FR603" s="305"/>
      <c r="FS603" s="305"/>
      <c r="FT603" s="305"/>
      <c r="FU603" s="305"/>
      <c r="FV603" s="305"/>
      <c r="FW603" s="305"/>
      <c r="FX603" s="305"/>
      <c r="FY603" s="305"/>
      <c r="FZ603" s="305"/>
      <c r="GA603" s="305"/>
      <c r="GB603" s="305"/>
      <c r="GC603" s="305"/>
      <c r="GD603" s="305"/>
      <c r="GE603" s="305"/>
      <c r="GF603" s="305"/>
      <c r="GG603" s="305"/>
      <c r="GH603" s="305"/>
      <c r="GI603" s="305"/>
      <c r="GJ603" s="305"/>
      <c r="GK603" s="305"/>
      <c r="GL603" s="305"/>
      <c r="GM603" s="305"/>
      <c r="GN603" s="305"/>
      <c r="GO603" s="305"/>
      <c r="GP603" s="305"/>
      <c r="GQ603" s="305"/>
      <c r="GR603" s="305"/>
    </row>
    <row r="604" spans="3:200" s="318" customFormat="1" ht="12.75" customHeight="1" x14ac:dyDescent="0.2">
      <c r="C604" s="367"/>
      <c r="D604" s="403"/>
      <c r="E604" s="369"/>
      <c r="F604" s="369"/>
      <c r="G604" s="369"/>
      <c r="H604" s="369"/>
      <c r="I604" s="370"/>
      <c r="J604"/>
      <c r="K604" s="371"/>
      <c r="L604" s="371"/>
      <c r="M604" s="371"/>
      <c r="N604" s="371"/>
      <c r="O604" s="305"/>
      <c r="P604" s="305"/>
      <c r="Q604" s="305"/>
      <c r="R604" s="305"/>
      <c r="S604" s="305"/>
      <c r="T604" s="305"/>
      <c r="U604" s="305"/>
      <c r="V604" s="305"/>
      <c r="W604" s="305"/>
      <c r="X604" s="305"/>
      <c r="Y604" s="305"/>
      <c r="Z604" s="305"/>
      <c r="AA604" s="305"/>
      <c r="AB604" s="305"/>
      <c r="AC604" s="305"/>
      <c r="AD604" s="305"/>
      <c r="AE604" s="305"/>
      <c r="AF604" s="305"/>
      <c r="AG604" s="305"/>
      <c r="AH604" s="305"/>
      <c r="AI604" s="305"/>
      <c r="AJ604" s="305"/>
      <c r="AK604" s="305"/>
      <c r="AL604" s="305"/>
      <c r="AM604" s="305"/>
      <c r="AN604" s="305"/>
      <c r="AO604" s="305"/>
      <c r="AP604" s="305"/>
      <c r="AQ604" s="305"/>
      <c r="AR604" s="305"/>
      <c r="AS604" s="305"/>
      <c r="AT604" s="305"/>
      <c r="AU604" s="305"/>
      <c r="AV604" s="305"/>
      <c r="AW604" s="305"/>
      <c r="AX604" s="305"/>
      <c r="AY604" s="305"/>
      <c r="AZ604" s="305"/>
      <c r="BA604" s="305"/>
      <c r="BB604" s="305"/>
      <c r="BC604" s="305"/>
      <c r="BD604" s="305"/>
      <c r="BE604" s="305"/>
      <c r="BF604" s="305"/>
      <c r="BG604" s="305"/>
      <c r="BH604" s="305"/>
      <c r="BI604" s="305"/>
      <c r="BJ604" s="305"/>
      <c r="BK604" s="305"/>
      <c r="BL604" s="305"/>
      <c r="BM604" s="305"/>
      <c r="BN604" s="305"/>
      <c r="BO604" s="305"/>
      <c r="BP604" s="305"/>
      <c r="BQ604" s="305"/>
      <c r="BR604" s="305"/>
      <c r="BS604" s="305"/>
      <c r="BT604" s="305"/>
      <c r="BU604" s="305"/>
      <c r="BV604" s="305"/>
      <c r="BW604" s="305"/>
      <c r="BX604" s="305"/>
      <c r="BY604" s="305"/>
      <c r="BZ604" s="305"/>
      <c r="CA604" s="305"/>
      <c r="CB604" s="305"/>
      <c r="CC604" s="305"/>
      <c r="CD604" s="305"/>
      <c r="CE604" s="305"/>
      <c r="CF604" s="305"/>
      <c r="CG604" s="305"/>
      <c r="CH604" s="305"/>
      <c r="CI604" s="305"/>
      <c r="CJ604" s="305"/>
      <c r="CK604" s="305"/>
      <c r="CL604" s="305"/>
      <c r="CM604" s="305"/>
      <c r="CN604" s="305"/>
      <c r="CO604" s="305"/>
      <c r="CP604" s="305"/>
      <c r="CQ604" s="305"/>
      <c r="CR604" s="305"/>
      <c r="CS604" s="305"/>
      <c r="CT604" s="305"/>
      <c r="CU604" s="305"/>
      <c r="CV604" s="305"/>
      <c r="CW604" s="305"/>
      <c r="CX604" s="305"/>
      <c r="CY604" s="305"/>
      <c r="CZ604" s="305"/>
      <c r="DA604" s="305"/>
      <c r="DB604" s="305"/>
      <c r="DC604" s="305"/>
      <c r="DD604" s="305"/>
      <c r="DE604" s="305"/>
      <c r="DF604" s="305"/>
      <c r="DG604" s="305"/>
      <c r="DH604" s="305"/>
      <c r="DI604" s="305"/>
      <c r="DJ604" s="305"/>
      <c r="DK604" s="305"/>
      <c r="DL604" s="305"/>
      <c r="DM604" s="305"/>
      <c r="DN604" s="305"/>
      <c r="DO604" s="305"/>
      <c r="DP604" s="305"/>
      <c r="DQ604" s="305"/>
      <c r="DR604" s="305"/>
      <c r="DS604" s="305"/>
      <c r="DT604" s="305"/>
      <c r="DU604" s="305"/>
      <c r="DV604" s="305"/>
      <c r="DW604" s="305"/>
      <c r="DX604" s="305"/>
      <c r="DY604" s="305"/>
      <c r="DZ604" s="305"/>
      <c r="EA604" s="305"/>
      <c r="EB604" s="305"/>
      <c r="EC604" s="305"/>
      <c r="ED604" s="305"/>
      <c r="EE604" s="305"/>
      <c r="EF604" s="305"/>
      <c r="EG604" s="305"/>
      <c r="EH604" s="305"/>
      <c r="EI604" s="305"/>
      <c r="EJ604" s="305"/>
      <c r="EK604" s="305"/>
      <c r="EL604" s="305"/>
      <c r="EM604" s="305"/>
      <c r="EN604" s="305"/>
      <c r="EO604" s="305"/>
      <c r="EP604" s="305"/>
      <c r="EQ604" s="305"/>
      <c r="ER604" s="305"/>
      <c r="ES604" s="305"/>
      <c r="ET604" s="305"/>
      <c r="EU604" s="305"/>
      <c r="EV604" s="305"/>
      <c r="EW604" s="305"/>
      <c r="EX604" s="305"/>
      <c r="EY604" s="305"/>
      <c r="EZ604" s="305"/>
      <c r="FA604" s="305"/>
      <c r="FB604" s="305"/>
      <c r="FC604" s="305"/>
      <c r="FD604" s="305"/>
      <c r="FE604" s="305"/>
      <c r="FF604" s="305"/>
      <c r="FG604" s="305"/>
      <c r="FH604" s="305"/>
      <c r="FI604" s="305"/>
      <c r="FJ604" s="305"/>
      <c r="FK604" s="305"/>
      <c r="FL604" s="305"/>
      <c r="FM604" s="305"/>
      <c r="FN604" s="305"/>
      <c r="FO604" s="305"/>
      <c r="FP604" s="305"/>
      <c r="FQ604" s="305"/>
      <c r="FR604" s="305"/>
      <c r="FS604" s="305"/>
      <c r="FT604" s="305"/>
      <c r="FU604" s="305"/>
      <c r="FV604" s="305"/>
      <c r="FW604" s="305"/>
      <c r="FX604" s="305"/>
      <c r="FY604" s="305"/>
      <c r="FZ604" s="305"/>
      <c r="GA604" s="305"/>
      <c r="GB604" s="305"/>
      <c r="GC604" s="305"/>
      <c r="GD604" s="305"/>
      <c r="GE604" s="305"/>
      <c r="GF604" s="305"/>
      <c r="GG604" s="305"/>
      <c r="GH604" s="305"/>
      <c r="GI604" s="305"/>
      <c r="GJ604" s="305"/>
      <c r="GK604" s="305"/>
      <c r="GL604" s="305"/>
      <c r="GM604" s="305"/>
      <c r="GN604" s="305"/>
      <c r="GO604" s="305"/>
      <c r="GP604" s="305"/>
      <c r="GQ604" s="305"/>
      <c r="GR604" s="305"/>
    </row>
    <row r="605" spans="3:200" s="318" customFormat="1" ht="12.75" customHeight="1" x14ac:dyDescent="0.2">
      <c r="C605" s="367"/>
      <c r="D605" s="403"/>
      <c r="E605" s="369"/>
      <c r="F605" s="369"/>
      <c r="G605" s="369"/>
      <c r="H605" s="369"/>
      <c r="I605" s="370"/>
      <c r="J605"/>
      <c r="K605" s="371"/>
      <c r="L605" s="371"/>
      <c r="M605" s="371"/>
      <c r="N605" s="371"/>
      <c r="O605" s="305"/>
      <c r="P605" s="305"/>
      <c r="Q605" s="305"/>
      <c r="R605" s="305"/>
      <c r="S605" s="305"/>
      <c r="T605" s="305"/>
      <c r="U605" s="305"/>
      <c r="V605" s="305"/>
      <c r="W605" s="305"/>
      <c r="X605" s="305"/>
      <c r="Y605" s="305"/>
      <c r="Z605" s="305"/>
      <c r="AA605" s="305"/>
      <c r="AB605" s="305"/>
      <c r="AC605" s="305"/>
      <c r="AD605" s="305"/>
      <c r="AE605" s="305"/>
      <c r="AF605" s="305"/>
      <c r="AG605" s="305"/>
      <c r="AH605" s="305"/>
      <c r="AI605" s="305"/>
      <c r="AJ605" s="305"/>
      <c r="AK605" s="305"/>
      <c r="AL605" s="305"/>
      <c r="AM605" s="305"/>
      <c r="AN605" s="305"/>
      <c r="AO605" s="305"/>
      <c r="AP605" s="305"/>
      <c r="AQ605" s="305"/>
      <c r="AR605" s="305"/>
      <c r="AS605" s="305"/>
      <c r="AT605" s="305"/>
      <c r="AU605" s="305"/>
      <c r="AV605" s="305"/>
      <c r="AW605" s="305"/>
      <c r="AX605" s="305"/>
      <c r="AY605" s="305"/>
      <c r="AZ605" s="305"/>
      <c r="BA605" s="305"/>
      <c r="BB605" s="305"/>
      <c r="BC605" s="305"/>
      <c r="BD605" s="305"/>
      <c r="BE605" s="305"/>
      <c r="BF605" s="305"/>
      <c r="BG605" s="305"/>
      <c r="BH605" s="305"/>
      <c r="BI605" s="305"/>
      <c r="BJ605" s="305"/>
      <c r="BK605" s="305"/>
      <c r="BL605" s="305"/>
      <c r="BM605" s="305"/>
      <c r="BN605" s="305"/>
      <c r="BO605" s="305"/>
      <c r="BP605" s="305"/>
      <c r="BQ605" s="305"/>
      <c r="BR605" s="305"/>
      <c r="BS605" s="305"/>
      <c r="BT605" s="305"/>
      <c r="BU605" s="305"/>
      <c r="BV605" s="305"/>
      <c r="BW605" s="305"/>
      <c r="BX605" s="305"/>
      <c r="BY605" s="305"/>
      <c r="BZ605" s="305"/>
      <c r="CA605" s="305"/>
      <c r="CB605" s="305"/>
      <c r="CC605" s="305"/>
      <c r="CD605" s="305"/>
      <c r="CE605" s="305"/>
      <c r="CF605" s="305"/>
      <c r="CG605" s="305"/>
      <c r="CH605" s="305"/>
      <c r="CI605" s="305"/>
      <c r="CJ605" s="305"/>
      <c r="CK605" s="305"/>
      <c r="CL605" s="305"/>
      <c r="CM605" s="305"/>
      <c r="CN605" s="305"/>
      <c r="CO605" s="305"/>
      <c r="CP605" s="305"/>
      <c r="CQ605" s="305"/>
      <c r="CR605" s="305"/>
      <c r="CS605" s="305"/>
      <c r="CT605" s="305"/>
      <c r="CU605" s="305"/>
      <c r="CV605" s="305"/>
      <c r="CW605" s="305"/>
      <c r="CX605" s="305"/>
      <c r="CY605" s="305"/>
      <c r="CZ605" s="305"/>
      <c r="DA605" s="305"/>
      <c r="DB605" s="305"/>
      <c r="DC605" s="305"/>
      <c r="DD605" s="305"/>
      <c r="DE605" s="305"/>
      <c r="DF605" s="305"/>
      <c r="DG605" s="305"/>
      <c r="DH605" s="305"/>
      <c r="DI605" s="305"/>
      <c r="DJ605" s="305"/>
      <c r="DK605" s="305"/>
      <c r="DL605" s="305"/>
      <c r="DM605" s="305"/>
      <c r="DN605" s="305"/>
      <c r="DO605" s="305"/>
      <c r="DP605" s="305"/>
      <c r="DQ605" s="305"/>
      <c r="DR605" s="305"/>
      <c r="DS605" s="305"/>
      <c r="DT605" s="305"/>
      <c r="DU605" s="305"/>
      <c r="DV605" s="305"/>
      <c r="DW605" s="305"/>
      <c r="DX605" s="305"/>
      <c r="DY605" s="305"/>
      <c r="DZ605" s="305"/>
      <c r="EA605" s="305"/>
      <c r="EB605" s="305"/>
      <c r="EC605" s="305"/>
      <c r="ED605" s="305"/>
      <c r="EE605" s="305"/>
      <c r="EF605" s="305"/>
      <c r="EG605" s="305"/>
      <c r="EH605" s="305"/>
      <c r="EI605" s="305"/>
      <c r="EJ605" s="305"/>
      <c r="EK605" s="305"/>
      <c r="EL605" s="305"/>
      <c r="EM605" s="305"/>
      <c r="EN605" s="305"/>
      <c r="EO605" s="305"/>
      <c r="EP605" s="305"/>
      <c r="EQ605" s="305"/>
      <c r="ER605" s="305"/>
      <c r="ES605" s="305"/>
      <c r="ET605" s="305"/>
      <c r="EU605" s="305"/>
      <c r="EV605" s="305"/>
      <c r="EW605" s="305"/>
      <c r="EX605" s="305"/>
      <c r="EY605" s="305"/>
      <c r="EZ605" s="305"/>
      <c r="FA605" s="305"/>
      <c r="FB605" s="305"/>
      <c r="FC605" s="305"/>
      <c r="FD605" s="305"/>
      <c r="FE605" s="305"/>
      <c r="FF605" s="305"/>
      <c r="FG605" s="305"/>
      <c r="FH605" s="305"/>
      <c r="FI605" s="305"/>
      <c r="FJ605" s="305"/>
      <c r="FK605" s="305"/>
      <c r="FL605" s="305"/>
      <c r="FM605" s="305"/>
      <c r="FN605" s="305"/>
      <c r="FO605" s="305"/>
      <c r="FP605" s="305"/>
      <c r="FQ605" s="305"/>
      <c r="FR605" s="305"/>
      <c r="FS605" s="305"/>
      <c r="FT605" s="305"/>
      <c r="FU605" s="305"/>
      <c r="FV605" s="305"/>
      <c r="FW605" s="305"/>
      <c r="FX605" s="305"/>
      <c r="FY605" s="305"/>
      <c r="FZ605" s="305"/>
      <c r="GA605" s="305"/>
      <c r="GB605" s="305"/>
      <c r="GC605" s="305"/>
      <c r="GD605" s="305"/>
      <c r="GE605" s="305"/>
      <c r="GF605" s="305"/>
      <c r="GG605" s="305"/>
      <c r="GH605" s="305"/>
      <c r="GI605" s="305"/>
      <c r="GJ605" s="305"/>
      <c r="GK605" s="305"/>
      <c r="GL605" s="305"/>
      <c r="GM605" s="305"/>
      <c r="GN605" s="305"/>
      <c r="GO605" s="305"/>
      <c r="GP605" s="305"/>
      <c r="GQ605" s="305"/>
      <c r="GR605" s="305"/>
    </row>
    <row r="606" spans="3:200" s="318" customFormat="1" ht="12.75" customHeight="1" x14ac:dyDescent="0.2">
      <c r="C606" s="367"/>
      <c r="D606" s="403"/>
      <c r="E606" s="369"/>
      <c r="F606" s="369"/>
      <c r="G606" s="369"/>
      <c r="H606" s="369"/>
      <c r="I606" s="370"/>
      <c r="J606"/>
      <c r="K606" s="371"/>
      <c r="L606" s="371"/>
      <c r="M606" s="371"/>
      <c r="N606" s="371"/>
      <c r="O606" s="305"/>
      <c r="P606" s="305"/>
      <c r="Q606" s="305"/>
      <c r="R606" s="305"/>
      <c r="S606" s="305"/>
      <c r="T606" s="305"/>
      <c r="U606" s="305"/>
      <c r="V606" s="305"/>
      <c r="W606" s="305"/>
      <c r="X606" s="305"/>
      <c r="Y606" s="305"/>
      <c r="Z606" s="305"/>
      <c r="AA606" s="305"/>
      <c r="AB606" s="305"/>
      <c r="AC606" s="305"/>
      <c r="AD606" s="305"/>
      <c r="AE606" s="305"/>
      <c r="AF606" s="305"/>
      <c r="AG606" s="305"/>
      <c r="AH606" s="305"/>
      <c r="AI606" s="305"/>
      <c r="AJ606" s="305"/>
      <c r="AK606" s="305"/>
      <c r="AL606" s="305"/>
      <c r="AM606" s="305"/>
      <c r="AN606" s="305"/>
      <c r="AO606" s="305"/>
      <c r="AP606" s="305"/>
      <c r="AQ606" s="305"/>
      <c r="AR606" s="305"/>
      <c r="AS606" s="305"/>
      <c r="AT606" s="305"/>
      <c r="AU606" s="305"/>
      <c r="AV606" s="305"/>
      <c r="AW606" s="305"/>
      <c r="AX606" s="305"/>
      <c r="AY606" s="305"/>
      <c r="AZ606" s="305"/>
      <c r="BA606" s="305"/>
      <c r="BB606" s="305"/>
      <c r="BC606" s="305"/>
      <c r="BD606" s="305"/>
      <c r="BE606" s="305"/>
      <c r="BF606" s="305"/>
      <c r="BG606" s="305"/>
      <c r="BH606" s="305"/>
      <c r="BI606" s="305"/>
      <c r="BJ606" s="305"/>
      <c r="BK606" s="305"/>
      <c r="BL606" s="305"/>
      <c r="BM606" s="305"/>
      <c r="BN606" s="305"/>
      <c r="BO606" s="305"/>
      <c r="BP606" s="305"/>
      <c r="BQ606" s="305"/>
      <c r="BR606" s="305"/>
      <c r="BS606" s="305"/>
      <c r="BT606" s="305"/>
      <c r="BU606" s="305"/>
      <c r="BV606" s="305"/>
      <c r="BW606" s="305"/>
      <c r="BX606" s="305"/>
      <c r="BY606" s="305"/>
      <c r="BZ606" s="305"/>
      <c r="CA606" s="305"/>
      <c r="CB606" s="305"/>
      <c r="CC606" s="305"/>
      <c r="CD606" s="305"/>
      <c r="CE606" s="305"/>
      <c r="CF606" s="305"/>
      <c r="CG606" s="305"/>
      <c r="CH606" s="305"/>
      <c r="CI606" s="305"/>
      <c r="CJ606" s="305"/>
      <c r="CK606" s="305"/>
      <c r="CL606" s="305"/>
      <c r="CM606" s="305"/>
      <c r="CN606" s="305"/>
      <c r="CO606" s="305"/>
      <c r="CP606" s="305"/>
      <c r="CQ606" s="305"/>
      <c r="CR606" s="305"/>
      <c r="CS606" s="305"/>
      <c r="CT606" s="305"/>
      <c r="CU606" s="305"/>
      <c r="CV606" s="305"/>
      <c r="CW606" s="305"/>
      <c r="CX606" s="305"/>
      <c r="CY606" s="305"/>
      <c r="CZ606" s="305"/>
      <c r="DA606" s="305"/>
      <c r="DB606" s="305"/>
      <c r="DC606" s="305"/>
      <c r="DD606" s="305"/>
      <c r="DE606" s="305"/>
      <c r="DF606" s="305"/>
      <c r="DG606" s="305"/>
      <c r="DH606" s="305"/>
      <c r="DI606" s="305"/>
      <c r="DJ606" s="305"/>
      <c r="DK606" s="305"/>
      <c r="DL606" s="305"/>
      <c r="DM606" s="305"/>
      <c r="DN606" s="305"/>
      <c r="DO606" s="305"/>
      <c r="DP606" s="305"/>
      <c r="DQ606" s="305"/>
      <c r="DR606" s="305"/>
      <c r="DS606" s="305"/>
      <c r="DT606" s="305"/>
      <c r="DU606" s="305"/>
      <c r="DV606" s="305"/>
      <c r="DW606" s="305"/>
      <c r="DX606" s="305"/>
      <c r="DY606" s="305"/>
      <c r="DZ606" s="305"/>
      <c r="EA606" s="305"/>
      <c r="EB606" s="305"/>
      <c r="EC606" s="305"/>
      <c r="ED606" s="305"/>
      <c r="EE606" s="305"/>
      <c r="EF606" s="305"/>
      <c r="EG606" s="305"/>
      <c r="EH606" s="305"/>
      <c r="EI606" s="305"/>
      <c r="EJ606" s="305"/>
      <c r="EK606" s="305"/>
      <c r="EL606" s="305"/>
      <c r="EM606" s="305"/>
      <c r="EN606" s="305"/>
      <c r="EO606" s="305"/>
      <c r="EP606" s="305"/>
      <c r="EQ606" s="305"/>
      <c r="ER606" s="305"/>
      <c r="ES606" s="305"/>
      <c r="ET606" s="305"/>
      <c r="EU606" s="305"/>
      <c r="EV606" s="305"/>
      <c r="EW606" s="305"/>
      <c r="EX606" s="305"/>
      <c r="EY606" s="305"/>
      <c r="EZ606" s="305"/>
      <c r="FA606" s="305"/>
      <c r="FB606" s="305"/>
      <c r="FC606" s="305"/>
      <c r="FD606" s="305"/>
      <c r="FE606" s="305"/>
      <c r="FF606" s="305"/>
      <c r="FG606" s="305"/>
      <c r="FH606" s="305"/>
      <c r="FI606" s="305"/>
      <c r="FJ606" s="305"/>
      <c r="FK606" s="305"/>
      <c r="FL606" s="305"/>
      <c r="FM606" s="305"/>
      <c r="FN606" s="305"/>
      <c r="FO606" s="305"/>
      <c r="FP606" s="305"/>
      <c r="FQ606" s="305"/>
      <c r="FR606" s="305"/>
      <c r="FS606" s="305"/>
      <c r="FT606" s="305"/>
      <c r="FU606" s="305"/>
      <c r="FV606" s="305"/>
      <c r="FW606" s="305"/>
      <c r="FX606" s="305"/>
      <c r="FY606" s="305"/>
      <c r="FZ606" s="305"/>
      <c r="GA606" s="305"/>
      <c r="GB606" s="305"/>
      <c r="GC606" s="305"/>
      <c r="GD606" s="305"/>
      <c r="GE606" s="305"/>
      <c r="GF606" s="305"/>
      <c r="GG606" s="305"/>
      <c r="GH606" s="305"/>
      <c r="GI606" s="305"/>
      <c r="GJ606" s="305"/>
      <c r="GK606" s="305"/>
      <c r="GL606" s="305"/>
      <c r="GM606" s="305"/>
      <c r="GN606" s="305"/>
      <c r="GO606" s="305"/>
      <c r="GP606" s="305"/>
      <c r="GQ606" s="305"/>
      <c r="GR606" s="305"/>
    </row>
    <row r="607" spans="3:200" s="318" customFormat="1" ht="12.75" customHeight="1" x14ac:dyDescent="0.2">
      <c r="C607" s="367"/>
      <c r="D607" s="403"/>
      <c r="E607" s="369"/>
      <c r="F607" s="369"/>
      <c r="G607" s="369"/>
      <c r="H607" s="369"/>
      <c r="I607" s="370"/>
      <c r="J607"/>
      <c r="K607" s="371"/>
      <c r="L607" s="371"/>
      <c r="M607" s="371"/>
      <c r="N607" s="371"/>
      <c r="O607" s="305"/>
      <c r="P607" s="305"/>
      <c r="Q607" s="305"/>
      <c r="R607" s="305"/>
      <c r="S607" s="305"/>
      <c r="T607" s="305"/>
      <c r="U607" s="305"/>
      <c r="V607" s="305"/>
      <c r="W607" s="305"/>
      <c r="X607" s="305"/>
      <c r="Y607" s="305"/>
      <c r="Z607" s="305"/>
      <c r="AA607" s="305"/>
      <c r="AB607" s="305"/>
      <c r="AC607" s="305"/>
      <c r="AD607" s="305"/>
      <c r="AE607" s="305"/>
      <c r="AF607" s="305"/>
      <c r="AG607" s="305"/>
      <c r="AH607" s="305"/>
      <c r="AI607" s="305"/>
      <c r="AJ607" s="305"/>
      <c r="AK607" s="305"/>
      <c r="AL607" s="305"/>
      <c r="AM607" s="305"/>
      <c r="AN607" s="305"/>
      <c r="AO607" s="305"/>
      <c r="AP607" s="305"/>
      <c r="AQ607" s="305"/>
      <c r="AR607" s="305"/>
      <c r="AS607" s="305"/>
      <c r="AT607" s="305"/>
      <c r="AU607" s="305"/>
      <c r="AV607" s="305"/>
      <c r="AW607" s="305"/>
      <c r="AX607" s="305"/>
      <c r="AY607" s="305"/>
      <c r="AZ607" s="305"/>
      <c r="BA607" s="305"/>
      <c r="BB607" s="305"/>
      <c r="BC607" s="305"/>
      <c r="BD607" s="305"/>
      <c r="BE607" s="305"/>
      <c r="BF607" s="305"/>
      <c r="BG607" s="305"/>
      <c r="BH607" s="305"/>
      <c r="BI607" s="305"/>
      <c r="BJ607" s="305"/>
      <c r="BK607" s="305"/>
      <c r="BL607" s="305"/>
      <c r="BM607" s="305"/>
      <c r="BN607" s="305"/>
      <c r="BO607" s="305"/>
      <c r="BP607" s="305"/>
      <c r="BQ607" s="305"/>
      <c r="BR607" s="305"/>
      <c r="BS607" s="305"/>
      <c r="BT607" s="305"/>
      <c r="BU607" s="305"/>
      <c r="BV607" s="305"/>
      <c r="BW607" s="305"/>
      <c r="BX607" s="305"/>
      <c r="BY607" s="305"/>
      <c r="BZ607" s="305"/>
      <c r="CA607" s="305"/>
      <c r="CB607" s="305"/>
      <c r="CC607" s="305"/>
      <c r="CD607" s="305"/>
      <c r="CE607" s="305"/>
      <c r="CF607" s="305"/>
      <c r="CG607" s="305"/>
      <c r="CH607" s="305"/>
      <c r="CI607" s="305"/>
      <c r="CJ607" s="305"/>
      <c r="CK607" s="305"/>
      <c r="CL607" s="305"/>
      <c r="CM607" s="305"/>
      <c r="CN607" s="305"/>
      <c r="CO607" s="305"/>
      <c r="CP607" s="305"/>
      <c r="CQ607" s="305"/>
      <c r="CR607" s="305"/>
      <c r="CS607" s="305"/>
      <c r="CT607" s="305"/>
      <c r="CU607" s="305"/>
      <c r="CV607" s="305"/>
      <c r="CW607" s="305"/>
      <c r="CX607" s="305"/>
      <c r="CY607" s="305"/>
      <c r="CZ607" s="305"/>
      <c r="DA607" s="305"/>
      <c r="DB607" s="305"/>
      <c r="DC607" s="305"/>
      <c r="DD607" s="305"/>
      <c r="DE607" s="305"/>
      <c r="DF607" s="305"/>
      <c r="DG607" s="305"/>
      <c r="DH607" s="305"/>
      <c r="DI607" s="305"/>
      <c r="DJ607" s="305"/>
      <c r="DK607" s="305"/>
      <c r="DL607" s="305"/>
      <c r="DM607" s="305"/>
      <c r="DN607" s="305"/>
      <c r="DO607" s="305"/>
      <c r="DP607" s="305"/>
      <c r="DQ607" s="305"/>
      <c r="DR607" s="305"/>
      <c r="DS607" s="305"/>
      <c r="DT607" s="305"/>
      <c r="DU607" s="305"/>
      <c r="DV607" s="305"/>
      <c r="DW607" s="305"/>
      <c r="DX607" s="305"/>
      <c r="DY607" s="305"/>
      <c r="DZ607" s="305"/>
      <c r="EA607" s="305"/>
      <c r="EB607" s="305"/>
      <c r="EC607" s="305"/>
      <c r="ED607" s="305"/>
      <c r="EE607" s="305"/>
      <c r="EF607" s="305"/>
      <c r="EG607" s="305"/>
      <c r="EH607" s="305"/>
      <c r="EI607" s="305"/>
      <c r="EJ607" s="305"/>
      <c r="EK607" s="305"/>
      <c r="EL607" s="305"/>
      <c r="EM607" s="305"/>
      <c r="EN607" s="305"/>
      <c r="EO607" s="305"/>
      <c r="EP607" s="305"/>
      <c r="EQ607" s="305"/>
      <c r="ER607" s="305"/>
      <c r="ES607" s="305"/>
      <c r="ET607" s="305"/>
      <c r="EU607" s="305"/>
      <c r="EV607" s="305"/>
      <c r="EW607" s="305"/>
      <c r="EX607" s="305"/>
      <c r="EY607" s="305"/>
      <c r="EZ607" s="305"/>
      <c r="FA607" s="305"/>
      <c r="FB607" s="305"/>
      <c r="FC607" s="305"/>
      <c r="FD607" s="305"/>
      <c r="FE607" s="305"/>
      <c r="FF607" s="305"/>
      <c r="FG607" s="305"/>
      <c r="FH607" s="305"/>
      <c r="FI607" s="305"/>
      <c r="FJ607" s="305"/>
      <c r="FK607" s="305"/>
      <c r="FL607" s="305"/>
      <c r="FM607" s="305"/>
      <c r="FN607" s="305"/>
      <c r="FO607" s="305"/>
      <c r="FP607" s="305"/>
      <c r="FQ607" s="305"/>
      <c r="FR607" s="305"/>
      <c r="FS607" s="305"/>
      <c r="FT607" s="305"/>
      <c r="FU607" s="305"/>
      <c r="FV607" s="305"/>
      <c r="FW607" s="305"/>
      <c r="FX607" s="305"/>
      <c r="FY607" s="305"/>
      <c r="FZ607" s="305"/>
      <c r="GA607" s="305"/>
      <c r="GB607" s="305"/>
      <c r="GC607" s="305"/>
      <c r="GD607" s="305"/>
      <c r="GE607" s="305"/>
      <c r="GF607" s="305"/>
      <c r="GG607" s="305"/>
      <c r="GH607" s="305"/>
      <c r="GI607" s="305"/>
      <c r="GJ607" s="305"/>
      <c r="GK607" s="305"/>
      <c r="GL607" s="305"/>
      <c r="GM607" s="305"/>
      <c r="GN607" s="305"/>
      <c r="GO607" s="305"/>
      <c r="GP607" s="305"/>
      <c r="GQ607" s="305"/>
      <c r="GR607" s="305"/>
    </row>
    <row r="608" spans="3:200" s="318" customFormat="1" ht="12.75" customHeight="1" x14ac:dyDescent="0.2">
      <c r="C608" s="367"/>
      <c r="D608" s="403"/>
      <c r="E608" s="369"/>
      <c r="F608" s="369"/>
      <c r="G608" s="369"/>
      <c r="H608" s="369"/>
      <c r="I608" s="370"/>
      <c r="J608"/>
      <c r="K608" s="371"/>
      <c r="L608" s="371"/>
      <c r="M608" s="371"/>
      <c r="N608" s="371"/>
      <c r="O608" s="305"/>
      <c r="P608" s="305"/>
      <c r="Q608" s="305"/>
      <c r="R608" s="305"/>
      <c r="S608" s="305"/>
      <c r="T608" s="305"/>
      <c r="U608" s="305"/>
      <c r="V608" s="305"/>
      <c r="W608" s="305"/>
      <c r="X608" s="305"/>
      <c r="Y608" s="305"/>
      <c r="Z608" s="305"/>
      <c r="AA608" s="305"/>
      <c r="AB608" s="305"/>
      <c r="AC608" s="305"/>
      <c r="AD608" s="305"/>
      <c r="AE608" s="305"/>
      <c r="AF608" s="305"/>
      <c r="AG608" s="305"/>
      <c r="AH608" s="305"/>
      <c r="AI608" s="305"/>
      <c r="AJ608" s="305"/>
      <c r="AK608" s="305"/>
      <c r="AL608" s="305"/>
      <c r="AM608" s="305"/>
      <c r="AN608" s="305"/>
      <c r="AO608" s="305"/>
      <c r="AP608" s="305"/>
      <c r="AQ608" s="305"/>
      <c r="AR608" s="305"/>
      <c r="AS608" s="305"/>
      <c r="AT608" s="305"/>
      <c r="AU608" s="305"/>
      <c r="AV608" s="305"/>
      <c r="AW608" s="305"/>
      <c r="AX608" s="305"/>
      <c r="AY608" s="305"/>
      <c r="AZ608" s="305"/>
      <c r="BA608" s="305"/>
      <c r="BB608" s="305"/>
      <c r="BC608" s="305"/>
      <c r="BD608" s="305"/>
      <c r="BE608" s="305"/>
      <c r="BF608" s="305"/>
      <c r="BG608" s="305"/>
      <c r="BH608" s="305"/>
      <c r="BI608" s="305"/>
      <c r="BJ608" s="305"/>
      <c r="BK608" s="305"/>
      <c r="BL608" s="305"/>
      <c r="BM608" s="305"/>
      <c r="BN608" s="305"/>
      <c r="BO608" s="305"/>
      <c r="BP608" s="305"/>
      <c r="BQ608" s="305"/>
      <c r="BR608" s="305"/>
      <c r="BS608" s="305"/>
      <c r="BT608" s="305"/>
      <c r="BU608" s="305"/>
      <c r="BV608" s="305"/>
      <c r="BW608" s="305"/>
      <c r="BX608" s="305"/>
      <c r="BY608" s="305"/>
      <c r="BZ608" s="305"/>
      <c r="CA608" s="305"/>
      <c r="CB608" s="305"/>
      <c r="CC608" s="305"/>
      <c r="CD608" s="305"/>
      <c r="CE608" s="305"/>
      <c r="CF608" s="305"/>
      <c r="CG608" s="305"/>
      <c r="CH608" s="305"/>
      <c r="CI608" s="305"/>
      <c r="CJ608" s="305"/>
      <c r="CK608" s="305"/>
      <c r="CL608" s="305"/>
      <c r="CM608" s="305"/>
      <c r="CN608" s="305"/>
      <c r="CO608" s="305"/>
      <c r="CP608" s="305"/>
      <c r="CQ608" s="305"/>
      <c r="CR608" s="305"/>
      <c r="CS608" s="305"/>
      <c r="CT608" s="305"/>
      <c r="CU608" s="305"/>
      <c r="CV608" s="305"/>
      <c r="CW608" s="305"/>
      <c r="CX608" s="305"/>
      <c r="CY608" s="305"/>
      <c r="CZ608" s="305"/>
      <c r="DA608" s="305"/>
      <c r="DB608" s="305"/>
      <c r="DC608" s="305"/>
      <c r="DD608" s="305"/>
      <c r="DE608" s="305"/>
      <c r="DF608" s="305"/>
      <c r="DG608" s="305"/>
      <c r="DH608" s="305"/>
      <c r="DI608" s="305"/>
      <c r="DJ608" s="305"/>
      <c r="DK608" s="305"/>
      <c r="DL608" s="305"/>
      <c r="DM608" s="305"/>
      <c r="DN608" s="305"/>
      <c r="DO608" s="305"/>
      <c r="DP608" s="305"/>
      <c r="DQ608" s="305"/>
      <c r="DR608" s="305"/>
      <c r="DS608" s="305"/>
      <c r="DT608" s="305"/>
      <c r="DU608" s="305"/>
      <c r="DV608" s="305"/>
      <c r="DW608" s="305"/>
      <c r="DX608" s="305"/>
      <c r="DY608" s="305"/>
      <c r="DZ608" s="305"/>
      <c r="EA608" s="305"/>
      <c r="EB608" s="305"/>
      <c r="EC608" s="305"/>
      <c r="ED608" s="305"/>
      <c r="EE608" s="305"/>
      <c r="EF608" s="305"/>
      <c r="EG608" s="305"/>
      <c r="EH608" s="305"/>
      <c r="EI608" s="305"/>
      <c r="EJ608" s="305"/>
      <c r="EK608" s="305"/>
      <c r="EL608" s="305"/>
      <c r="EM608" s="305"/>
      <c r="EN608" s="305"/>
      <c r="EO608" s="305"/>
      <c r="EP608" s="305"/>
      <c r="EQ608" s="305"/>
      <c r="ER608" s="305"/>
      <c r="ES608" s="305"/>
      <c r="ET608" s="305"/>
      <c r="EU608" s="305"/>
      <c r="EV608" s="305"/>
      <c r="EW608" s="305"/>
      <c r="EX608" s="305"/>
      <c r="EY608" s="305"/>
      <c r="EZ608" s="305"/>
      <c r="FA608" s="305"/>
      <c r="FB608" s="305"/>
      <c r="FC608" s="305"/>
      <c r="FD608" s="305"/>
      <c r="FE608" s="305"/>
      <c r="FF608" s="305"/>
      <c r="FG608" s="305"/>
      <c r="FH608" s="305"/>
      <c r="FI608" s="305"/>
      <c r="FJ608" s="305"/>
      <c r="FK608" s="305"/>
      <c r="FL608" s="305"/>
      <c r="FM608" s="305"/>
      <c r="FN608" s="305"/>
      <c r="FO608" s="305"/>
      <c r="FP608" s="305"/>
      <c r="FQ608" s="305"/>
      <c r="FR608" s="305"/>
      <c r="FS608" s="305"/>
      <c r="FT608" s="305"/>
      <c r="FU608" s="305"/>
      <c r="FV608" s="305"/>
      <c r="FW608" s="305"/>
      <c r="FX608" s="305"/>
      <c r="FY608" s="305"/>
      <c r="FZ608" s="305"/>
      <c r="GA608" s="305"/>
      <c r="GB608" s="305"/>
      <c r="GC608" s="305"/>
      <c r="GD608" s="305"/>
      <c r="GE608" s="305"/>
      <c r="GF608" s="305"/>
      <c r="GG608" s="305"/>
      <c r="GH608" s="305"/>
      <c r="GI608" s="305"/>
      <c r="GJ608" s="305"/>
      <c r="GK608" s="305"/>
      <c r="GL608" s="305"/>
      <c r="GM608" s="305"/>
      <c r="GN608" s="305"/>
      <c r="GO608" s="305"/>
      <c r="GP608" s="305"/>
      <c r="GQ608" s="305"/>
      <c r="GR608" s="305"/>
    </row>
    <row r="609" spans="3:200" s="318" customFormat="1" ht="12.75" customHeight="1" x14ac:dyDescent="0.2">
      <c r="C609" s="367"/>
      <c r="D609" s="403"/>
      <c r="E609" s="369"/>
      <c r="F609" s="369"/>
      <c r="G609" s="369"/>
      <c r="H609" s="369"/>
      <c r="I609" s="370"/>
      <c r="J609"/>
      <c r="K609" s="371"/>
      <c r="L609" s="371"/>
      <c r="M609" s="371"/>
      <c r="N609" s="371"/>
      <c r="O609" s="305"/>
      <c r="P609" s="305"/>
      <c r="Q609" s="305"/>
      <c r="R609" s="305"/>
      <c r="S609" s="305"/>
      <c r="T609" s="305"/>
      <c r="U609" s="305"/>
      <c r="V609" s="305"/>
      <c r="W609" s="305"/>
      <c r="X609" s="305"/>
      <c r="Y609" s="305"/>
      <c r="Z609" s="305"/>
      <c r="AA609" s="305"/>
      <c r="AB609" s="305"/>
      <c r="AC609" s="305"/>
      <c r="AD609" s="305"/>
      <c r="AE609" s="305"/>
      <c r="AF609" s="305"/>
      <c r="AG609" s="305"/>
      <c r="AH609" s="305"/>
      <c r="AI609" s="305"/>
      <c r="AJ609" s="305"/>
      <c r="AK609" s="305"/>
      <c r="AL609" s="305"/>
      <c r="AM609" s="305"/>
      <c r="AN609" s="305"/>
      <c r="AO609" s="305"/>
      <c r="AP609" s="305"/>
      <c r="AQ609" s="305"/>
      <c r="AR609" s="305"/>
      <c r="AS609" s="305"/>
      <c r="AT609" s="305"/>
      <c r="AU609" s="305"/>
      <c r="AV609" s="305"/>
      <c r="AW609" s="305"/>
      <c r="AX609" s="305"/>
      <c r="AY609" s="305"/>
      <c r="AZ609" s="305"/>
      <c r="BA609" s="305"/>
      <c r="BB609" s="305"/>
      <c r="BC609" s="305"/>
      <c r="BD609" s="305"/>
      <c r="BE609" s="305"/>
      <c r="BF609" s="305"/>
      <c r="BG609" s="305"/>
      <c r="BH609" s="305"/>
      <c r="BI609" s="305"/>
      <c r="BJ609" s="305"/>
      <c r="BK609" s="305"/>
      <c r="BL609" s="305"/>
      <c r="BM609" s="305"/>
      <c r="BN609" s="305"/>
      <c r="BO609" s="305"/>
      <c r="BP609" s="305"/>
      <c r="BQ609" s="305"/>
      <c r="BR609" s="305"/>
      <c r="BS609" s="305"/>
      <c r="BT609" s="305"/>
      <c r="BU609" s="305"/>
      <c r="BV609" s="305"/>
      <c r="BW609" s="305"/>
      <c r="BX609" s="305"/>
      <c r="BY609" s="305"/>
      <c r="BZ609" s="305"/>
      <c r="CA609" s="305"/>
      <c r="CB609" s="305"/>
      <c r="CC609" s="305"/>
      <c r="CD609" s="305"/>
      <c r="CE609" s="305"/>
      <c r="CF609" s="305"/>
      <c r="CG609" s="305"/>
      <c r="CH609" s="305"/>
      <c r="CI609" s="305"/>
      <c r="CJ609" s="305"/>
      <c r="CK609" s="305"/>
      <c r="CL609" s="305"/>
      <c r="CM609" s="305"/>
      <c r="CN609" s="305"/>
      <c r="CO609" s="305"/>
      <c r="CP609" s="305"/>
      <c r="CQ609" s="305"/>
      <c r="CR609" s="305"/>
      <c r="CS609" s="305"/>
      <c r="CT609" s="305"/>
      <c r="CU609" s="305"/>
      <c r="CV609" s="305"/>
      <c r="CW609" s="305"/>
      <c r="CX609" s="305"/>
      <c r="CY609" s="305"/>
      <c r="CZ609" s="305"/>
      <c r="DA609" s="305"/>
      <c r="DB609" s="305"/>
      <c r="DC609" s="305"/>
      <c r="DD609" s="305"/>
      <c r="DE609" s="305"/>
      <c r="DF609" s="305"/>
      <c r="DG609" s="305"/>
      <c r="DH609" s="305"/>
      <c r="DI609" s="305"/>
      <c r="DJ609" s="305"/>
      <c r="DK609" s="305"/>
      <c r="DL609" s="305"/>
      <c r="DM609" s="305"/>
      <c r="DN609" s="305"/>
      <c r="DO609" s="305"/>
      <c r="DP609" s="305"/>
      <c r="DQ609" s="305"/>
      <c r="DR609" s="305"/>
      <c r="DS609" s="305"/>
      <c r="DT609" s="305"/>
      <c r="DU609" s="305"/>
      <c r="DV609" s="305"/>
      <c r="DW609" s="305"/>
      <c r="DX609" s="305"/>
      <c r="DY609" s="305"/>
      <c r="DZ609" s="305"/>
      <c r="EA609" s="305"/>
      <c r="EB609" s="305"/>
      <c r="EC609" s="305"/>
      <c r="ED609" s="305"/>
      <c r="EE609" s="305"/>
      <c r="EF609" s="305"/>
      <c r="EG609" s="305"/>
      <c r="EH609" s="305"/>
      <c r="EI609" s="305"/>
      <c r="EJ609" s="305"/>
      <c r="EK609" s="305"/>
      <c r="EL609" s="305"/>
      <c r="EM609" s="305"/>
      <c r="EN609" s="305"/>
      <c r="EO609" s="305"/>
      <c r="EP609" s="305"/>
      <c r="EQ609" s="305"/>
      <c r="ER609" s="305"/>
      <c r="ES609" s="305"/>
      <c r="ET609" s="305"/>
      <c r="EU609" s="305"/>
      <c r="EV609" s="305"/>
      <c r="EW609" s="305"/>
      <c r="EX609" s="305"/>
      <c r="EY609" s="305"/>
      <c r="EZ609" s="305"/>
      <c r="FA609" s="305"/>
      <c r="FB609" s="305"/>
      <c r="FC609" s="305"/>
      <c r="FD609" s="305"/>
      <c r="FE609" s="305"/>
      <c r="FF609" s="305"/>
      <c r="FG609" s="305"/>
      <c r="FH609" s="305"/>
      <c r="FI609" s="305"/>
      <c r="FJ609" s="305"/>
      <c r="FK609" s="305"/>
      <c r="FL609" s="305"/>
      <c r="FM609" s="305"/>
      <c r="FN609" s="305"/>
      <c r="FO609" s="305"/>
      <c r="FP609" s="305"/>
      <c r="FQ609" s="305"/>
      <c r="FR609" s="305"/>
      <c r="FS609" s="305"/>
      <c r="FT609" s="305"/>
      <c r="FU609" s="305"/>
      <c r="FV609" s="305"/>
      <c r="FW609" s="305"/>
      <c r="FX609" s="305"/>
      <c r="FY609" s="305"/>
      <c r="FZ609" s="305"/>
      <c r="GA609" s="305"/>
      <c r="GB609" s="305"/>
      <c r="GC609" s="305"/>
      <c r="GD609" s="305"/>
      <c r="GE609" s="305"/>
      <c r="GF609" s="305"/>
      <c r="GG609" s="305"/>
      <c r="GH609" s="305"/>
      <c r="GI609" s="305"/>
      <c r="GJ609" s="305"/>
      <c r="GK609" s="305"/>
      <c r="GL609" s="305"/>
      <c r="GM609" s="305"/>
      <c r="GN609" s="305"/>
      <c r="GO609" s="305"/>
      <c r="GP609" s="305"/>
      <c r="GQ609" s="305"/>
      <c r="GR609" s="305"/>
    </row>
    <row r="610" spans="3:200" s="318" customFormat="1" ht="12.75" customHeight="1" x14ac:dyDescent="0.2">
      <c r="C610" s="367"/>
      <c r="D610" s="403"/>
      <c r="E610" s="369"/>
      <c r="F610" s="369"/>
      <c r="G610" s="369"/>
      <c r="H610" s="369"/>
      <c r="I610" s="370"/>
      <c r="J610"/>
      <c r="K610" s="371"/>
      <c r="L610" s="371"/>
      <c r="M610" s="371"/>
      <c r="N610" s="371"/>
      <c r="O610" s="305"/>
      <c r="P610" s="305"/>
      <c r="Q610" s="305"/>
      <c r="R610" s="305"/>
      <c r="S610" s="305"/>
      <c r="T610" s="305"/>
      <c r="U610" s="305"/>
      <c r="V610" s="305"/>
      <c r="W610" s="305"/>
      <c r="X610" s="305"/>
      <c r="Y610" s="305"/>
      <c r="Z610" s="305"/>
      <c r="AA610" s="305"/>
      <c r="AB610" s="305"/>
      <c r="AC610" s="305"/>
      <c r="AD610" s="305"/>
      <c r="AE610" s="305"/>
      <c r="AF610" s="305"/>
      <c r="AG610" s="305"/>
      <c r="AH610" s="305"/>
      <c r="AI610" s="305"/>
      <c r="AJ610" s="305"/>
      <c r="AK610" s="305"/>
      <c r="AL610" s="305"/>
      <c r="AM610" s="305"/>
      <c r="AN610" s="305"/>
      <c r="AO610" s="305"/>
      <c r="AP610" s="305"/>
      <c r="AQ610" s="305"/>
      <c r="AR610" s="305"/>
      <c r="AS610" s="305"/>
      <c r="AT610" s="305"/>
      <c r="AU610" s="305"/>
      <c r="AV610" s="305"/>
      <c r="AW610" s="305"/>
      <c r="AX610" s="305"/>
      <c r="AY610" s="305"/>
      <c r="AZ610" s="305"/>
      <c r="BA610" s="305"/>
      <c r="BB610" s="305"/>
      <c r="BC610" s="305"/>
      <c r="BD610" s="305"/>
      <c r="BE610" s="305"/>
      <c r="BF610" s="305"/>
      <c r="BG610" s="305"/>
      <c r="BH610" s="305"/>
      <c r="BI610" s="305"/>
      <c r="BJ610" s="305"/>
      <c r="BK610" s="305"/>
      <c r="BL610" s="305"/>
      <c r="BM610" s="305"/>
      <c r="BN610" s="305"/>
      <c r="BO610" s="305"/>
      <c r="BP610" s="305"/>
      <c r="BQ610" s="305"/>
      <c r="BR610" s="305"/>
      <c r="BS610" s="305"/>
      <c r="BT610" s="305"/>
      <c r="BU610" s="305"/>
      <c r="BV610" s="305"/>
      <c r="BW610" s="305"/>
      <c r="BX610" s="305"/>
      <c r="BY610" s="305"/>
      <c r="BZ610" s="305"/>
      <c r="CA610" s="305"/>
      <c r="CB610" s="305"/>
      <c r="CC610" s="305"/>
      <c r="CD610" s="305"/>
      <c r="CE610" s="305"/>
      <c r="CF610" s="305"/>
      <c r="CG610" s="305"/>
      <c r="CH610" s="305"/>
      <c r="CI610" s="305"/>
      <c r="CJ610" s="305"/>
      <c r="CK610" s="305"/>
      <c r="CL610" s="305"/>
      <c r="CM610" s="305"/>
      <c r="CN610" s="305"/>
      <c r="CO610" s="305"/>
      <c r="CP610" s="305"/>
      <c r="CQ610" s="305"/>
      <c r="CR610" s="305"/>
      <c r="CS610" s="305"/>
      <c r="CT610" s="305"/>
      <c r="CU610" s="305"/>
      <c r="CV610" s="305"/>
      <c r="CW610" s="305"/>
      <c r="CX610" s="305"/>
      <c r="CY610" s="305"/>
      <c r="CZ610" s="305"/>
      <c r="DA610" s="305"/>
      <c r="DB610" s="305"/>
      <c r="DC610" s="305"/>
      <c r="DD610" s="305"/>
      <c r="DE610" s="305"/>
      <c r="DF610" s="305"/>
      <c r="DG610" s="305"/>
      <c r="DH610" s="305"/>
      <c r="DI610" s="305"/>
      <c r="DJ610" s="305"/>
      <c r="DK610" s="305"/>
      <c r="DL610" s="305"/>
      <c r="DM610" s="305"/>
      <c r="DN610" s="305"/>
      <c r="DO610" s="305"/>
      <c r="DP610" s="305"/>
      <c r="DQ610" s="305"/>
      <c r="DR610" s="305"/>
      <c r="DS610" s="305"/>
      <c r="DT610" s="305"/>
      <c r="DU610" s="305"/>
      <c r="DV610" s="305"/>
      <c r="DW610" s="305"/>
      <c r="DX610" s="305"/>
      <c r="DY610" s="305"/>
      <c r="DZ610" s="305"/>
      <c r="EA610" s="305"/>
      <c r="EB610" s="305"/>
      <c r="EC610" s="305"/>
      <c r="ED610" s="305"/>
      <c r="EE610" s="305"/>
      <c r="EF610" s="305"/>
      <c r="EG610" s="305"/>
      <c r="EH610" s="305"/>
      <c r="EI610" s="305"/>
      <c r="EJ610" s="305"/>
      <c r="EK610" s="305"/>
      <c r="EL610" s="305"/>
      <c r="EM610" s="305"/>
      <c r="EN610" s="305"/>
      <c r="EO610" s="305"/>
      <c r="EP610" s="305"/>
      <c r="EQ610" s="305"/>
      <c r="ER610" s="305"/>
      <c r="ES610" s="305"/>
      <c r="ET610" s="305"/>
      <c r="EU610" s="305"/>
      <c r="EV610" s="305"/>
      <c r="EW610" s="305"/>
      <c r="EX610" s="305"/>
      <c r="EY610" s="305"/>
      <c r="EZ610" s="305"/>
      <c r="FA610" s="305"/>
      <c r="FB610" s="305"/>
      <c r="FC610" s="305"/>
      <c r="FD610" s="305"/>
      <c r="FE610" s="305"/>
      <c r="FF610" s="305"/>
      <c r="FG610" s="305"/>
      <c r="FH610" s="305"/>
      <c r="FI610" s="305"/>
      <c r="FJ610" s="305"/>
      <c r="FK610" s="305"/>
      <c r="FL610" s="305"/>
      <c r="FM610" s="305"/>
      <c r="FN610" s="305"/>
      <c r="FO610" s="305"/>
      <c r="FP610" s="305"/>
      <c r="FQ610" s="305"/>
      <c r="FR610" s="305"/>
      <c r="FS610" s="305"/>
      <c r="FT610" s="305"/>
      <c r="FU610" s="305"/>
      <c r="FV610" s="305"/>
      <c r="FW610" s="305"/>
      <c r="FX610" s="305"/>
      <c r="FY610" s="305"/>
      <c r="FZ610" s="305"/>
      <c r="GA610" s="305"/>
      <c r="GB610" s="305"/>
      <c r="GC610" s="305"/>
      <c r="GD610" s="305"/>
      <c r="GE610" s="305"/>
      <c r="GF610" s="305"/>
      <c r="GG610" s="305"/>
      <c r="GH610" s="305"/>
      <c r="GI610" s="305"/>
      <c r="GJ610" s="305"/>
      <c r="GK610" s="305"/>
      <c r="GL610" s="305"/>
      <c r="GM610" s="305"/>
      <c r="GN610" s="305"/>
      <c r="GO610" s="305"/>
      <c r="GP610" s="305"/>
      <c r="GQ610" s="305"/>
      <c r="GR610" s="305"/>
    </row>
    <row r="611" spans="3:200" s="318" customFormat="1" ht="12.75" customHeight="1" x14ac:dyDescent="0.2">
      <c r="C611" s="367"/>
      <c r="D611" s="403"/>
      <c r="E611" s="369"/>
      <c r="F611" s="369"/>
      <c r="G611" s="369"/>
      <c r="H611" s="369"/>
      <c r="I611" s="370"/>
      <c r="J611"/>
      <c r="K611" s="371"/>
      <c r="L611" s="371"/>
      <c r="M611" s="371"/>
      <c r="N611" s="371"/>
      <c r="O611" s="305"/>
      <c r="P611" s="305"/>
      <c r="Q611" s="305"/>
      <c r="R611" s="305"/>
      <c r="S611" s="305"/>
      <c r="T611" s="305"/>
      <c r="U611" s="305"/>
      <c r="V611" s="305"/>
      <c r="W611" s="305"/>
      <c r="X611" s="305"/>
      <c r="Y611" s="305"/>
      <c r="Z611" s="305"/>
      <c r="AA611" s="305"/>
      <c r="AB611" s="305"/>
      <c r="AC611" s="305"/>
      <c r="AD611" s="305"/>
      <c r="AE611" s="305"/>
      <c r="AF611" s="305"/>
      <c r="AG611" s="305"/>
      <c r="AH611" s="305"/>
      <c r="AI611" s="305"/>
      <c r="AJ611" s="305"/>
      <c r="AK611" s="305"/>
      <c r="AL611" s="305"/>
      <c r="AM611" s="305"/>
      <c r="AN611" s="305"/>
      <c r="AO611" s="305"/>
      <c r="AP611" s="305"/>
      <c r="AQ611" s="305"/>
      <c r="AR611" s="305"/>
      <c r="AS611" s="305"/>
      <c r="AT611" s="305"/>
      <c r="AU611" s="305"/>
      <c r="AV611" s="305"/>
      <c r="AW611" s="305"/>
      <c r="AX611" s="305"/>
      <c r="AY611" s="305"/>
      <c r="AZ611" s="305"/>
      <c r="BA611" s="305"/>
      <c r="BB611" s="305"/>
      <c r="BC611" s="305"/>
      <c r="BD611" s="305"/>
      <c r="BE611" s="305"/>
      <c r="BF611" s="305"/>
      <c r="BG611" s="305"/>
      <c r="BH611" s="305"/>
      <c r="BI611" s="305"/>
      <c r="BJ611" s="305"/>
      <c r="BK611" s="305"/>
      <c r="BL611" s="305"/>
      <c r="BM611" s="305"/>
      <c r="BN611" s="305"/>
      <c r="BO611" s="305"/>
      <c r="BP611" s="305"/>
      <c r="BQ611" s="305"/>
      <c r="BR611" s="305"/>
      <c r="BS611" s="305"/>
      <c r="BT611" s="305"/>
      <c r="BU611" s="305"/>
      <c r="BV611" s="305"/>
      <c r="BW611" s="305"/>
      <c r="BX611" s="305"/>
      <c r="BY611" s="305"/>
      <c r="BZ611" s="305"/>
      <c r="CA611" s="305"/>
      <c r="CB611" s="305"/>
      <c r="CC611" s="305"/>
      <c r="CD611" s="305"/>
      <c r="CE611" s="305"/>
      <c r="CF611" s="305"/>
      <c r="CG611" s="305"/>
      <c r="CH611" s="305"/>
      <c r="CI611" s="305"/>
      <c r="CJ611" s="305"/>
      <c r="CK611" s="305"/>
      <c r="CL611" s="305"/>
      <c r="CM611" s="305"/>
      <c r="CN611" s="305"/>
      <c r="CO611" s="305"/>
      <c r="CP611" s="305"/>
      <c r="CQ611" s="305"/>
      <c r="CR611" s="305"/>
      <c r="CS611" s="305"/>
      <c r="CT611" s="305"/>
      <c r="CU611" s="305"/>
      <c r="CV611" s="305"/>
      <c r="CW611" s="305"/>
      <c r="CX611" s="305"/>
      <c r="CY611" s="305"/>
      <c r="CZ611" s="305"/>
      <c r="DA611" s="305"/>
      <c r="DB611" s="305"/>
      <c r="DC611" s="305"/>
      <c r="DD611" s="305"/>
      <c r="DE611" s="305"/>
      <c r="DF611" s="305"/>
      <c r="DG611" s="305"/>
      <c r="DH611" s="305"/>
      <c r="DI611" s="305"/>
      <c r="DJ611" s="305"/>
      <c r="DK611" s="305"/>
      <c r="DL611" s="305"/>
      <c r="DM611" s="305"/>
      <c r="DN611" s="305"/>
      <c r="DO611" s="305"/>
      <c r="DP611" s="305"/>
      <c r="DQ611" s="305"/>
      <c r="DR611" s="305"/>
      <c r="DS611" s="305"/>
      <c r="DT611" s="305"/>
      <c r="DU611" s="305"/>
      <c r="DV611" s="305"/>
      <c r="DW611" s="305"/>
      <c r="DX611" s="305"/>
      <c r="DY611" s="305"/>
      <c r="DZ611" s="305"/>
      <c r="EA611" s="305"/>
      <c r="EB611" s="305"/>
      <c r="EC611" s="305"/>
      <c r="ED611" s="305"/>
      <c r="EE611" s="305"/>
      <c r="EF611" s="305"/>
      <c r="EG611" s="305"/>
      <c r="EH611" s="305"/>
      <c r="EI611" s="305"/>
      <c r="EJ611" s="305"/>
      <c r="EK611" s="305"/>
      <c r="EL611" s="305"/>
      <c r="EM611" s="305"/>
      <c r="EN611" s="305"/>
      <c r="EO611" s="305"/>
      <c r="EP611" s="305"/>
      <c r="EQ611" s="305"/>
      <c r="ER611" s="305"/>
      <c r="ES611" s="305"/>
      <c r="ET611" s="305"/>
      <c r="EU611" s="305"/>
      <c r="EV611" s="305"/>
      <c r="EW611" s="305"/>
      <c r="EX611" s="305"/>
      <c r="EY611" s="305"/>
      <c r="EZ611" s="305"/>
      <c r="FA611" s="305"/>
      <c r="FB611" s="305"/>
      <c r="FC611" s="305"/>
      <c r="FD611" s="305"/>
      <c r="FE611" s="305"/>
      <c r="FF611" s="305"/>
      <c r="FG611" s="305"/>
      <c r="FH611" s="305"/>
      <c r="FI611" s="305"/>
      <c r="FJ611" s="305"/>
      <c r="FK611" s="305"/>
      <c r="FL611" s="305"/>
      <c r="FM611" s="305"/>
      <c r="FN611" s="305"/>
      <c r="FO611" s="305"/>
      <c r="FP611" s="305"/>
      <c r="FQ611" s="305"/>
      <c r="FR611" s="305"/>
      <c r="FS611" s="305"/>
      <c r="FT611" s="305"/>
      <c r="FU611" s="305"/>
      <c r="FV611" s="305"/>
      <c r="FW611" s="305"/>
      <c r="FX611" s="305"/>
      <c r="FY611" s="305"/>
      <c r="FZ611" s="305"/>
      <c r="GA611" s="305"/>
      <c r="GB611" s="305"/>
      <c r="GC611" s="305"/>
      <c r="GD611" s="305"/>
      <c r="GE611" s="305"/>
      <c r="GF611" s="305"/>
      <c r="GG611" s="305"/>
      <c r="GH611" s="305"/>
      <c r="GI611" s="305"/>
      <c r="GJ611" s="305"/>
      <c r="GK611" s="305"/>
      <c r="GL611" s="305"/>
      <c r="GM611" s="305"/>
      <c r="GN611" s="305"/>
      <c r="GO611" s="305"/>
      <c r="GP611" s="305"/>
      <c r="GQ611" s="305"/>
      <c r="GR611" s="305"/>
    </row>
    <row r="612" spans="3:200" s="318" customFormat="1" ht="12.75" customHeight="1" x14ac:dyDescent="0.2">
      <c r="C612" s="367"/>
      <c r="D612" s="403"/>
      <c r="E612" s="369"/>
      <c r="F612" s="369"/>
      <c r="G612" s="369"/>
      <c r="H612" s="369"/>
      <c r="I612" s="370"/>
      <c r="J612"/>
      <c r="K612" s="371"/>
      <c r="L612" s="371"/>
      <c r="M612" s="371"/>
      <c r="N612" s="371"/>
      <c r="O612" s="305"/>
      <c r="P612" s="305"/>
      <c r="Q612" s="305"/>
      <c r="R612" s="305"/>
      <c r="S612" s="305"/>
      <c r="T612" s="305"/>
      <c r="U612" s="305"/>
      <c r="V612" s="305"/>
      <c r="W612" s="305"/>
      <c r="X612" s="305"/>
      <c r="Y612" s="305"/>
      <c r="Z612" s="305"/>
      <c r="AA612" s="305"/>
      <c r="AB612" s="305"/>
      <c r="AC612" s="305"/>
      <c r="AD612" s="305"/>
      <c r="AE612" s="305"/>
      <c r="AF612" s="305"/>
      <c r="AG612" s="305"/>
      <c r="AH612" s="305"/>
      <c r="AI612" s="305"/>
      <c r="AJ612" s="305"/>
      <c r="AK612" s="305"/>
      <c r="AL612" s="305"/>
      <c r="AM612" s="305"/>
      <c r="AN612" s="305"/>
      <c r="AO612" s="305"/>
      <c r="AP612" s="305"/>
      <c r="AQ612" s="305"/>
      <c r="AR612" s="305"/>
      <c r="AS612" s="305"/>
      <c r="AT612" s="305"/>
      <c r="AU612" s="305"/>
      <c r="AV612" s="305"/>
      <c r="AW612" s="305"/>
      <c r="AX612" s="305"/>
      <c r="AY612" s="305"/>
      <c r="AZ612" s="305"/>
      <c r="BA612" s="305"/>
      <c r="BB612" s="305"/>
      <c r="BC612" s="305"/>
      <c r="BD612" s="305"/>
      <c r="BE612" s="305"/>
      <c r="BF612" s="305"/>
      <c r="BG612" s="305"/>
      <c r="BH612" s="305"/>
      <c r="BI612" s="305"/>
      <c r="BJ612" s="305"/>
      <c r="BK612" s="305"/>
      <c r="BL612" s="305"/>
      <c r="BM612" s="305"/>
      <c r="BN612" s="305"/>
      <c r="BO612" s="305"/>
      <c r="BP612" s="305"/>
      <c r="BQ612" s="305"/>
      <c r="BR612" s="305"/>
      <c r="BS612" s="305"/>
      <c r="BT612" s="305"/>
      <c r="BU612" s="305"/>
      <c r="BV612" s="305"/>
      <c r="BW612" s="305"/>
      <c r="BX612" s="305"/>
      <c r="BY612" s="305"/>
      <c r="BZ612" s="305"/>
      <c r="CA612" s="305"/>
      <c r="CB612" s="305"/>
      <c r="CC612" s="305"/>
      <c r="CD612" s="305"/>
      <c r="CE612" s="305"/>
      <c r="CF612" s="305"/>
      <c r="CG612" s="305"/>
      <c r="CH612" s="305"/>
      <c r="CI612" s="305"/>
      <c r="CJ612" s="305"/>
      <c r="CK612" s="305"/>
      <c r="CL612" s="305"/>
      <c r="CM612" s="305"/>
      <c r="CN612" s="305"/>
      <c r="CO612" s="305"/>
      <c r="CP612" s="305"/>
      <c r="CQ612" s="305"/>
      <c r="CR612" s="305"/>
      <c r="CS612" s="305"/>
      <c r="CT612" s="305"/>
      <c r="CU612" s="305"/>
      <c r="CV612" s="305"/>
      <c r="CW612" s="305"/>
      <c r="CX612" s="305"/>
      <c r="CY612" s="305"/>
      <c r="CZ612" s="305"/>
      <c r="DA612" s="305"/>
      <c r="DB612" s="305"/>
      <c r="DC612" s="305"/>
      <c r="DD612" s="305"/>
      <c r="DE612" s="305"/>
      <c r="DF612" s="305"/>
      <c r="DG612" s="305"/>
      <c r="DH612" s="305"/>
      <c r="DI612" s="305"/>
      <c r="DJ612" s="305"/>
      <c r="DK612" s="305"/>
      <c r="DL612" s="305"/>
      <c r="DM612" s="305"/>
      <c r="DN612" s="305"/>
      <c r="DO612" s="305"/>
      <c r="DP612" s="305"/>
      <c r="DQ612" s="305"/>
      <c r="DR612" s="305"/>
      <c r="DS612" s="305"/>
      <c r="DT612" s="305"/>
      <c r="DU612" s="305"/>
      <c r="DV612" s="305"/>
      <c r="DW612" s="305"/>
      <c r="DX612" s="305"/>
      <c r="DY612" s="305"/>
      <c r="DZ612" s="305"/>
      <c r="EA612" s="305"/>
      <c r="EB612" s="305"/>
      <c r="EC612" s="305"/>
      <c r="ED612" s="305"/>
      <c r="EE612" s="305"/>
      <c r="EF612" s="305"/>
      <c r="EG612" s="305"/>
      <c r="EH612" s="305"/>
      <c r="EI612" s="305"/>
      <c r="EJ612" s="305"/>
      <c r="EK612" s="305"/>
      <c r="EL612" s="305"/>
      <c r="EM612" s="305"/>
      <c r="EN612" s="305"/>
      <c r="EO612" s="305"/>
      <c r="EP612" s="305"/>
      <c r="EQ612" s="305"/>
      <c r="ER612" s="305"/>
      <c r="ES612" s="305"/>
      <c r="ET612" s="305"/>
      <c r="EU612" s="305"/>
      <c r="EV612" s="305"/>
      <c r="EW612" s="305"/>
      <c r="EX612" s="305"/>
      <c r="EY612" s="305"/>
      <c r="EZ612" s="305"/>
      <c r="FA612" s="305"/>
      <c r="FB612" s="305"/>
      <c r="FC612" s="305"/>
      <c r="FD612" s="305"/>
      <c r="FE612" s="305"/>
      <c r="FF612" s="305"/>
      <c r="FG612" s="305"/>
      <c r="FH612" s="305"/>
      <c r="FI612" s="305"/>
      <c r="FJ612" s="305"/>
      <c r="FK612" s="305"/>
      <c r="FL612" s="305"/>
      <c r="FM612" s="305"/>
      <c r="FN612" s="305"/>
      <c r="FO612" s="305"/>
      <c r="FP612" s="305"/>
      <c r="FQ612" s="305"/>
      <c r="FR612" s="305"/>
      <c r="FS612" s="305"/>
      <c r="FT612" s="305"/>
      <c r="FU612" s="305"/>
      <c r="FV612" s="305"/>
      <c r="FW612" s="305"/>
      <c r="FX612" s="305"/>
      <c r="FY612" s="305"/>
      <c r="FZ612" s="305"/>
      <c r="GA612" s="305"/>
      <c r="GB612" s="305"/>
      <c r="GC612" s="305"/>
      <c r="GD612" s="305"/>
      <c r="GE612" s="305"/>
      <c r="GF612" s="305"/>
      <c r="GG612" s="305"/>
      <c r="GH612" s="305"/>
      <c r="GI612" s="305"/>
      <c r="GJ612" s="305"/>
      <c r="GK612" s="305"/>
      <c r="GL612" s="305"/>
      <c r="GM612" s="305"/>
      <c r="GN612" s="305"/>
      <c r="GO612" s="305"/>
      <c r="GP612" s="305"/>
      <c r="GQ612" s="305"/>
      <c r="GR612" s="305"/>
    </row>
    <row r="613" spans="3:200" s="318" customFormat="1" ht="12.75" customHeight="1" x14ac:dyDescent="0.2">
      <c r="C613" s="367"/>
      <c r="D613" s="403"/>
      <c r="E613" s="369"/>
      <c r="F613" s="369"/>
      <c r="G613" s="369"/>
      <c r="H613" s="369"/>
      <c r="I613" s="370"/>
      <c r="J613"/>
      <c r="K613" s="371"/>
      <c r="L613" s="371"/>
      <c r="M613" s="371"/>
      <c r="N613" s="371"/>
      <c r="O613" s="305"/>
      <c r="P613" s="305"/>
      <c r="Q613" s="305"/>
      <c r="R613" s="305"/>
      <c r="S613" s="305"/>
      <c r="T613" s="305"/>
      <c r="U613" s="305"/>
      <c r="V613" s="305"/>
      <c r="W613" s="305"/>
      <c r="X613" s="305"/>
      <c r="Y613" s="305"/>
      <c r="Z613" s="305"/>
      <c r="AA613" s="305"/>
      <c r="AB613" s="305"/>
      <c r="AC613" s="305"/>
      <c r="AD613" s="305"/>
      <c r="AE613" s="305"/>
      <c r="AF613" s="305"/>
      <c r="AG613" s="305"/>
      <c r="AH613" s="305"/>
      <c r="AI613" s="305"/>
      <c r="AJ613" s="305"/>
      <c r="AK613" s="305"/>
      <c r="AL613" s="305"/>
      <c r="AM613" s="305"/>
      <c r="AN613" s="305"/>
      <c r="AO613" s="305"/>
      <c r="AP613" s="305"/>
      <c r="AQ613" s="305"/>
      <c r="AR613" s="305"/>
      <c r="AS613" s="305"/>
      <c r="AT613" s="305"/>
      <c r="AU613" s="305"/>
      <c r="AV613" s="305"/>
      <c r="AW613" s="305"/>
      <c r="AX613" s="305"/>
      <c r="AY613" s="305"/>
      <c r="AZ613" s="305"/>
      <c r="BA613" s="305"/>
      <c r="BB613" s="305"/>
      <c r="BC613" s="305"/>
      <c r="BD613" s="305"/>
      <c r="BE613" s="305"/>
      <c r="BF613" s="305"/>
      <c r="BG613" s="305"/>
      <c r="BH613" s="305"/>
      <c r="BI613" s="305"/>
      <c r="BJ613" s="305"/>
      <c r="BK613" s="305"/>
      <c r="BL613" s="305"/>
      <c r="BM613" s="305"/>
      <c r="BN613" s="305"/>
      <c r="BO613" s="305"/>
      <c r="BP613" s="305"/>
      <c r="BQ613" s="305"/>
      <c r="BR613" s="305"/>
      <c r="BS613" s="305"/>
      <c r="BT613" s="305"/>
      <c r="BU613" s="305"/>
      <c r="BV613" s="305"/>
      <c r="BW613" s="305"/>
      <c r="BX613" s="305"/>
      <c r="BY613" s="305"/>
      <c r="BZ613" s="305"/>
      <c r="CA613" s="305"/>
      <c r="CB613" s="305"/>
      <c r="CC613" s="305"/>
      <c r="CD613" s="305"/>
      <c r="CE613" s="305"/>
      <c r="CF613" s="305"/>
      <c r="CG613" s="305"/>
      <c r="CH613" s="305"/>
      <c r="CI613" s="305"/>
      <c r="CJ613" s="305"/>
      <c r="CK613" s="305"/>
      <c r="CL613" s="305"/>
      <c r="CM613" s="305"/>
      <c r="CN613" s="305"/>
      <c r="CO613" s="305"/>
      <c r="CP613" s="305"/>
      <c r="CQ613" s="305"/>
      <c r="CR613" s="305"/>
      <c r="CS613" s="305"/>
      <c r="CT613" s="305"/>
      <c r="CU613" s="305"/>
      <c r="CV613" s="305"/>
      <c r="CW613" s="305"/>
      <c r="CX613" s="305"/>
      <c r="CY613" s="305"/>
      <c r="CZ613" s="305"/>
      <c r="DA613" s="305"/>
      <c r="DB613" s="305"/>
      <c r="DC613" s="305"/>
      <c r="DD613" s="305"/>
      <c r="DE613" s="305"/>
      <c r="DF613" s="305"/>
      <c r="DG613" s="305"/>
      <c r="DH613" s="305"/>
      <c r="DI613" s="305"/>
      <c r="DJ613" s="305"/>
      <c r="DK613" s="305"/>
      <c r="DL613" s="305"/>
      <c r="DM613" s="305"/>
      <c r="DN613" s="305"/>
      <c r="DO613" s="305"/>
      <c r="DP613" s="305"/>
      <c r="DQ613" s="305"/>
      <c r="DR613" s="305"/>
      <c r="DS613" s="305"/>
      <c r="DT613" s="305"/>
      <c r="DU613" s="305"/>
      <c r="DV613" s="305"/>
      <c r="DW613" s="305"/>
      <c r="DX613" s="305"/>
      <c r="DY613" s="305"/>
      <c r="DZ613" s="305"/>
      <c r="EA613" s="305"/>
      <c r="EB613" s="305"/>
      <c r="EC613" s="305"/>
      <c r="ED613" s="305"/>
      <c r="EE613" s="305"/>
      <c r="EF613" s="305"/>
      <c r="EG613" s="305"/>
      <c r="EH613" s="305"/>
      <c r="EI613" s="305"/>
      <c r="EJ613" s="305"/>
      <c r="EK613" s="305"/>
      <c r="EL613" s="305"/>
      <c r="EM613" s="305"/>
      <c r="EN613" s="305"/>
      <c r="EO613" s="305"/>
      <c r="EP613" s="305"/>
      <c r="EQ613" s="305"/>
      <c r="ER613" s="305"/>
      <c r="ES613" s="305"/>
      <c r="ET613" s="305"/>
      <c r="EU613" s="305"/>
      <c r="EV613" s="305"/>
      <c r="EW613" s="305"/>
      <c r="EX613" s="305"/>
      <c r="EY613" s="305"/>
      <c r="EZ613" s="305"/>
      <c r="FA613" s="305"/>
      <c r="FB613" s="305"/>
      <c r="FC613" s="305"/>
      <c r="FD613" s="305"/>
      <c r="FE613" s="305"/>
      <c r="FF613" s="305"/>
      <c r="FG613" s="305"/>
      <c r="FH613" s="305"/>
      <c r="FI613" s="305"/>
      <c r="FJ613" s="305"/>
      <c r="FK613" s="305"/>
      <c r="FL613" s="305"/>
      <c r="FM613" s="305"/>
      <c r="FN613" s="305"/>
      <c r="FO613" s="305"/>
      <c r="FP613" s="305"/>
      <c r="FQ613" s="305"/>
      <c r="FR613" s="305"/>
      <c r="FS613" s="305"/>
      <c r="FT613" s="305"/>
      <c r="FU613" s="305"/>
      <c r="FV613" s="305"/>
      <c r="FW613" s="305"/>
      <c r="FX613" s="305"/>
      <c r="FY613" s="305"/>
      <c r="FZ613" s="305"/>
      <c r="GA613" s="305"/>
      <c r="GB613" s="305"/>
      <c r="GC613" s="305"/>
      <c r="GD613" s="305"/>
      <c r="GE613" s="305"/>
      <c r="GF613" s="305"/>
      <c r="GG613" s="305"/>
      <c r="GH613" s="305"/>
      <c r="GI613" s="305"/>
      <c r="GJ613" s="305"/>
      <c r="GK613" s="305"/>
      <c r="GL613" s="305"/>
      <c r="GM613" s="305"/>
      <c r="GN613" s="305"/>
      <c r="GO613" s="305"/>
      <c r="GP613" s="305"/>
      <c r="GQ613" s="305"/>
      <c r="GR613" s="305"/>
    </row>
    <row r="614" spans="3:200" s="318" customFormat="1" ht="12.75" customHeight="1" x14ac:dyDescent="0.2">
      <c r="C614" s="367"/>
      <c r="D614" s="403"/>
      <c r="E614" s="369"/>
      <c r="F614" s="369"/>
      <c r="G614" s="369"/>
      <c r="H614" s="369"/>
      <c r="I614" s="370"/>
      <c r="J614"/>
      <c r="K614" s="371"/>
      <c r="L614" s="371"/>
      <c r="M614" s="371"/>
      <c r="N614" s="371"/>
      <c r="O614" s="305"/>
      <c r="P614" s="305"/>
      <c r="Q614" s="305"/>
      <c r="R614" s="305"/>
      <c r="S614" s="305"/>
      <c r="T614" s="305"/>
      <c r="U614" s="305"/>
      <c r="V614" s="305"/>
      <c r="W614" s="305"/>
      <c r="X614" s="305"/>
      <c r="Y614" s="305"/>
      <c r="Z614" s="305"/>
      <c r="AA614" s="305"/>
      <c r="AB614" s="305"/>
      <c r="AC614" s="305"/>
      <c r="AD614" s="305"/>
      <c r="AE614" s="305"/>
      <c r="AF614" s="305"/>
      <c r="AG614" s="305"/>
      <c r="AH614" s="305"/>
      <c r="AI614" s="305"/>
      <c r="AJ614" s="305"/>
      <c r="AK614" s="305"/>
      <c r="AL614" s="305"/>
      <c r="AM614" s="305"/>
      <c r="AN614" s="305"/>
      <c r="AO614" s="305"/>
      <c r="AP614" s="305"/>
      <c r="AQ614" s="305"/>
      <c r="AR614" s="305"/>
      <c r="AS614" s="305"/>
      <c r="AT614" s="305"/>
      <c r="AU614" s="305"/>
      <c r="AV614" s="305"/>
      <c r="AW614" s="305"/>
      <c r="AX614" s="305"/>
      <c r="AY614" s="305"/>
      <c r="AZ614" s="305"/>
      <c r="BA614" s="305"/>
      <c r="BB614" s="305"/>
      <c r="BC614" s="305"/>
      <c r="BD614" s="305"/>
      <c r="BE614" s="305"/>
      <c r="BF614" s="305"/>
      <c r="BG614" s="305"/>
      <c r="BH614" s="305"/>
      <c r="BI614" s="305"/>
      <c r="BJ614" s="305"/>
      <c r="BK614" s="305"/>
      <c r="BL614" s="305"/>
      <c r="BM614" s="305"/>
      <c r="BN614" s="305"/>
      <c r="BO614" s="305"/>
      <c r="BP614" s="305"/>
      <c r="BQ614" s="305"/>
      <c r="BR614" s="305"/>
      <c r="BS614" s="305"/>
      <c r="BT614" s="305"/>
      <c r="BU614" s="305"/>
      <c r="BV614" s="305"/>
      <c r="BW614" s="305"/>
      <c r="BX614" s="305"/>
      <c r="BY614" s="305"/>
      <c r="BZ614" s="305"/>
      <c r="CA614" s="305"/>
      <c r="CB614" s="305"/>
      <c r="CC614" s="305"/>
      <c r="CD614" s="305"/>
      <c r="CE614" s="305"/>
      <c r="CF614" s="305"/>
      <c r="CG614" s="305"/>
      <c r="CH614" s="305"/>
      <c r="CI614" s="305"/>
      <c r="CJ614" s="305"/>
      <c r="CK614" s="305"/>
      <c r="CL614" s="305"/>
      <c r="CM614" s="305"/>
      <c r="CN614" s="305"/>
      <c r="CO614" s="305"/>
      <c r="CP614" s="305"/>
      <c r="CQ614" s="305"/>
      <c r="CR614" s="305"/>
      <c r="CS614" s="305"/>
      <c r="CT614" s="305"/>
      <c r="CU614" s="305"/>
      <c r="CV614" s="305"/>
      <c r="CW614" s="305"/>
      <c r="CX614" s="305"/>
      <c r="CY614" s="305"/>
      <c r="CZ614" s="305"/>
      <c r="DA614" s="305"/>
      <c r="DB614" s="305"/>
      <c r="DC614" s="305"/>
      <c r="DD614" s="305"/>
      <c r="DE614" s="305"/>
      <c r="DF614" s="305"/>
      <c r="DG614" s="305"/>
      <c r="DH614" s="305"/>
      <c r="DI614" s="305"/>
      <c r="DJ614" s="305"/>
      <c r="DK614" s="305"/>
      <c r="DL614" s="305"/>
      <c r="DM614" s="305"/>
      <c r="DN614" s="305"/>
      <c r="DO614" s="305"/>
      <c r="DP614" s="305"/>
      <c r="DQ614" s="305"/>
      <c r="DR614" s="305"/>
      <c r="DS614" s="305"/>
      <c r="DT614" s="305"/>
      <c r="DU614" s="305"/>
      <c r="DV614" s="305"/>
      <c r="DW614" s="305"/>
      <c r="DX614" s="305"/>
      <c r="DY614" s="305"/>
      <c r="DZ614" s="305"/>
      <c r="EA614" s="305"/>
      <c r="EB614" s="305"/>
      <c r="EC614" s="305"/>
      <c r="ED614" s="305"/>
      <c r="EE614" s="305"/>
      <c r="EF614" s="305"/>
      <c r="EG614" s="305"/>
      <c r="EH614" s="305"/>
      <c r="EI614" s="305"/>
      <c r="EJ614" s="305"/>
      <c r="EK614" s="305"/>
      <c r="EL614" s="305"/>
      <c r="EM614" s="305"/>
      <c r="EN614" s="305"/>
      <c r="EO614" s="305"/>
      <c r="EP614" s="305"/>
      <c r="EQ614" s="305"/>
      <c r="ER614" s="305"/>
      <c r="ES614" s="305"/>
      <c r="ET614" s="305"/>
      <c r="EU614" s="305"/>
      <c r="EV614" s="305"/>
      <c r="EW614" s="305"/>
      <c r="EX614" s="305"/>
      <c r="EY614" s="305"/>
      <c r="EZ614" s="305"/>
      <c r="FA614" s="305"/>
      <c r="FB614" s="305"/>
      <c r="FC614" s="305"/>
      <c r="FD614" s="305"/>
      <c r="FE614" s="305"/>
      <c r="FF614" s="305"/>
      <c r="FG614" s="305"/>
      <c r="FH614" s="305"/>
      <c r="FI614" s="305"/>
      <c r="FJ614" s="305"/>
      <c r="FK614" s="305"/>
      <c r="FL614" s="305"/>
      <c r="FM614" s="305"/>
      <c r="FN614" s="305"/>
      <c r="FO614" s="305"/>
      <c r="FP614" s="305"/>
      <c r="FQ614" s="305"/>
      <c r="FR614" s="305"/>
      <c r="FS614" s="305"/>
      <c r="FT614" s="305"/>
      <c r="FU614" s="305"/>
      <c r="FV614" s="305"/>
      <c r="FW614" s="305"/>
      <c r="FX614" s="305"/>
      <c r="FY614" s="305"/>
      <c r="FZ614" s="305"/>
      <c r="GA614" s="305"/>
      <c r="GB614" s="305"/>
      <c r="GC614" s="305"/>
      <c r="GD614" s="305"/>
      <c r="GE614" s="305"/>
      <c r="GF614" s="305"/>
      <c r="GG614" s="305"/>
      <c r="GH614" s="305"/>
      <c r="GI614" s="305"/>
      <c r="GJ614" s="305"/>
      <c r="GK614" s="305"/>
      <c r="GL614" s="305"/>
      <c r="GM614" s="305"/>
      <c r="GN614" s="305"/>
      <c r="GO614" s="305"/>
      <c r="GP614" s="305"/>
      <c r="GQ614" s="305"/>
      <c r="GR614" s="305"/>
    </row>
    <row r="615" spans="3:200" s="318" customFormat="1" ht="12.75" customHeight="1" x14ac:dyDescent="0.2">
      <c r="C615" s="367"/>
      <c r="D615" s="403"/>
      <c r="E615" s="369"/>
      <c r="F615" s="369"/>
      <c r="G615" s="369"/>
      <c r="H615" s="369"/>
      <c r="I615" s="370"/>
      <c r="J615"/>
      <c r="K615" s="371"/>
      <c r="L615" s="371"/>
      <c r="M615" s="371"/>
      <c r="N615" s="371"/>
      <c r="O615" s="305"/>
      <c r="P615" s="305"/>
      <c r="Q615" s="305"/>
      <c r="R615" s="305"/>
      <c r="S615" s="305"/>
      <c r="T615" s="305"/>
      <c r="U615" s="305"/>
      <c r="V615" s="305"/>
      <c r="W615" s="305"/>
      <c r="X615" s="305"/>
      <c r="Y615" s="305"/>
      <c r="Z615" s="305"/>
      <c r="AA615" s="305"/>
      <c r="AB615" s="305"/>
      <c r="AC615" s="305"/>
      <c r="AD615" s="305"/>
      <c r="AE615" s="305"/>
      <c r="AF615" s="305"/>
      <c r="AG615" s="305"/>
      <c r="AH615" s="305"/>
      <c r="AI615" s="305"/>
      <c r="AJ615" s="305"/>
      <c r="AK615" s="305"/>
      <c r="AL615" s="305"/>
      <c r="AM615" s="305"/>
      <c r="AN615" s="305"/>
      <c r="AO615" s="305"/>
      <c r="AP615" s="305"/>
      <c r="AQ615" s="305"/>
      <c r="AR615" s="305"/>
      <c r="AS615" s="305"/>
      <c r="AT615" s="305"/>
      <c r="AU615" s="305"/>
      <c r="AV615" s="305"/>
      <c r="AW615" s="305"/>
      <c r="AX615" s="305"/>
      <c r="AY615" s="305"/>
      <c r="AZ615" s="305"/>
      <c r="BA615" s="305"/>
      <c r="BB615" s="305"/>
      <c r="BC615" s="305"/>
      <c r="BD615" s="305"/>
      <c r="BE615" s="305"/>
      <c r="BF615" s="305"/>
      <c r="BG615" s="305"/>
      <c r="BH615" s="305"/>
      <c r="BI615" s="305"/>
      <c r="BJ615" s="305"/>
      <c r="BK615" s="305"/>
      <c r="BL615" s="305"/>
      <c r="BM615" s="305"/>
      <c r="BN615" s="305"/>
      <c r="BO615" s="305"/>
      <c r="BP615" s="305"/>
      <c r="BQ615" s="305"/>
      <c r="BR615" s="305"/>
      <c r="BS615" s="305"/>
      <c r="BT615" s="305"/>
      <c r="BU615" s="305"/>
      <c r="BV615" s="305"/>
      <c r="BW615" s="305"/>
      <c r="BX615" s="305"/>
      <c r="BY615" s="305"/>
      <c r="BZ615" s="305"/>
      <c r="CA615" s="305"/>
      <c r="CB615" s="305"/>
      <c r="CC615" s="305"/>
      <c r="CD615" s="305"/>
      <c r="CE615" s="305"/>
      <c r="CF615" s="305"/>
      <c r="CG615" s="305"/>
      <c r="CH615" s="305"/>
      <c r="CI615" s="305"/>
      <c r="CJ615" s="305"/>
      <c r="CK615" s="305"/>
      <c r="CL615" s="305"/>
      <c r="CM615" s="305"/>
      <c r="CN615" s="305"/>
      <c r="CO615" s="305"/>
      <c r="CP615" s="305"/>
      <c r="CQ615" s="305"/>
      <c r="CR615" s="305"/>
      <c r="CS615" s="305"/>
      <c r="CT615" s="305"/>
      <c r="CU615" s="305"/>
      <c r="CV615" s="305"/>
      <c r="CW615" s="305"/>
      <c r="CX615" s="305"/>
      <c r="CY615" s="305"/>
      <c r="CZ615" s="305"/>
      <c r="DA615" s="305"/>
      <c r="DB615" s="305"/>
      <c r="DC615" s="305"/>
      <c r="DD615" s="305"/>
      <c r="DE615" s="305"/>
      <c r="DF615" s="305"/>
      <c r="DG615" s="305"/>
      <c r="DH615" s="305"/>
      <c r="DI615" s="305"/>
      <c r="DJ615" s="305"/>
      <c r="DK615" s="305"/>
      <c r="DL615" s="305"/>
      <c r="DM615" s="305"/>
      <c r="DN615" s="305"/>
      <c r="DO615" s="305"/>
      <c r="DP615" s="305"/>
      <c r="DQ615" s="305"/>
      <c r="DR615" s="305"/>
      <c r="DS615" s="305"/>
      <c r="DT615" s="305"/>
      <c r="DU615" s="305"/>
      <c r="DV615" s="305"/>
      <c r="DW615" s="305"/>
      <c r="DX615" s="305"/>
      <c r="DY615" s="305"/>
      <c r="DZ615" s="305"/>
      <c r="EA615" s="305"/>
      <c r="EB615" s="305"/>
      <c r="EC615" s="305"/>
      <c r="ED615" s="305"/>
      <c r="EE615" s="305"/>
      <c r="EF615" s="305"/>
      <c r="EG615" s="305"/>
      <c r="EH615" s="305"/>
      <c r="EI615" s="305"/>
      <c r="EJ615" s="305"/>
      <c r="EK615" s="305"/>
      <c r="EL615" s="305"/>
      <c r="EM615" s="305"/>
      <c r="EN615" s="305"/>
      <c r="EO615" s="305"/>
      <c r="EP615" s="305"/>
      <c r="EQ615" s="305"/>
      <c r="ER615" s="305"/>
      <c r="ES615" s="305"/>
      <c r="ET615" s="305"/>
      <c r="EU615" s="305"/>
      <c r="EV615" s="305"/>
      <c r="EW615" s="305"/>
      <c r="EX615" s="305"/>
      <c r="EY615" s="305"/>
      <c r="EZ615" s="305"/>
      <c r="FA615" s="305"/>
      <c r="FB615" s="305"/>
      <c r="FC615" s="305"/>
      <c r="FD615" s="305"/>
      <c r="FE615" s="305"/>
      <c r="FF615" s="305"/>
      <c r="FG615" s="305"/>
      <c r="FH615" s="305"/>
      <c r="FI615" s="305"/>
      <c r="FJ615" s="305"/>
      <c r="FK615" s="305"/>
      <c r="FL615" s="305"/>
      <c r="FM615" s="305"/>
      <c r="FN615" s="305"/>
      <c r="FO615" s="305"/>
      <c r="FP615" s="305"/>
      <c r="FQ615" s="305"/>
      <c r="FR615" s="305"/>
      <c r="FS615" s="305"/>
      <c r="FT615" s="305"/>
      <c r="FU615" s="305"/>
      <c r="FV615" s="305"/>
      <c r="FW615" s="305"/>
      <c r="FX615" s="305"/>
      <c r="FY615" s="305"/>
      <c r="FZ615" s="305"/>
      <c r="GA615" s="305"/>
      <c r="GB615" s="305"/>
      <c r="GC615" s="305"/>
      <c r="GD615" s="305"/>
      <c r="GE615" s="305"/>
      <c r="GF615" s="305"/>
      <c r="GG615" s="305"/>
      <c r="GH615" s="305"/>
      <c r="GI615" s="305"/>
      <c r="GJ615" s="305"/>
      <c r="GK615" s="305"/>
      <c r="GL615" s="305"/>
      <c r="GM615" s="305"/>
      <c r="GN615" s="305"/>
      <c r="GO615" s="305"/>
      <c r="GP615" s="305"/>
      <c r="GQ615" s="305"/>
      <c r="GR615" s="305"/>
    </row>
    <row r="616" spans="3:200" s="318" customFormat="1" ht="12.75" customHeight="1" x14ac:dyDescent="0.2">
      <c r="C616" s="367"/>
      <c r="D616" s="403"/>
      <c r="E616" s="369"/>
      <c r="F616" s="369"/>
      <c r="G616" s="369"/>
      <c r="H616" s="369"/>
      <c r="I616" s="370"/>
      <c r="J616"/>
      <c r="K616" s="371"/>
      <c r="L616" s="371"/>
      <c r="M616" s="371"/>
      <c r="N616" s="371"/>
      <c r="O616" s="305"/>
      <c r="P616" s="305"/>
      <c r="Q616" s="305"/>
      <c r="R616" s="305"/>
      <c r="S616" s="305"/>
      <c r="T616" s="305"/>
      <c r="U616" s="305"/>
      <c r="V616" s="305"/>
      <c r="W616" s="305"/>
      <c r="X616" s="305"/>
      <c r="Y616" s="305"/>
      <c r="Z616" s="305"/>
      <c r="AA616" s="305"/>
      <c r="AB616" s="305"/>
      <c r="AC616" s="305"/>
      <c r="AD616" s="305"/>
      <c r="AE616" s="305"/>
      <c r="AF616" s="305"/>
      <c r="AG616" s="305"/>
      <c r="AH616" s="305"/>
      <c r="AI616" s="305"/>
      <c r="AJ616" s="305"/>
      <c r="AK616" s="305"/>
      <c r="AL616" s="305"/>
      <c r="AM616" s="305"/>
      <c r="AN616" s="305"/>
      <c r="AO616" s="305"/>
      <c r="AP616" s="305"/>
      <c r="AQ616" s="305"/>
      <c r="AR616" s="305"/>
      <c r="AS616" s="305"/>
      <c r="AT616" s="305"/>
      <c r="AU616" s="305"/>
      <c r="AV616" s="305"/>
      <c r="AW616" s="305"/>
      <c r="AX616" s="305"/>
      <c r="AY616" s="305"/>
      <c r="AZ616" s="305"/>
      <c r="BA616" s="305"/>
      <c r="BB616" s="305"/>
      <c r="BC616" s="305"/>
      <c r="BD616" s="305"/>
      <c r="BE616" s="305"/>
      <c r="BF616" s="305"/>
      <c r="BG616" s="305"/>
      <c r="BH616" s="305"/>
      <c r="BI616" s="305"/>
      <c r="BJ616" s="305"/>
      <c r="BK616" s="305"/>
      <c r="BL616" s="305"/>
      <c r="BM616" s="305"/>
      <c r="BN616" s="305"/>
      <c r="BO616" s="305"/>
      <c r="BP616" s="305"/>
      <c r="BQ616" s="305"/>
      <c r="BR616" s="305"/>
      <c r="BS616" s="305"/>
      <c r="BT616" s="305"/>
      <c r="BU616" s="305"/>
      <c r="BV616" s="305"/>
      <c r="BW616" s="305"/>
      <c r="BX616" s="305"/>
      <c r="BY616" s="305"/>
      <c r="BZ616" s="305"/>
      <c r="CA616" s="305"/>
      <c r="CB616" s="305"/>
      <c r="CC616" s="305"/>
      <c r="CD616" s="305"/>
      <c r="CE616" s="305"/>
      <c r="CF616" s="305"/>
      <c r="CG616" s="305"/>
      <c r="CH616" s="305"/>
      <c r="CI616" s="305"/>
      <c r="CJ616" s="305"/>
      <c r="CK616" s="305"/>
      <c r="CL616" s="305"/>
      <c r="CM616" s="305"/>
      <c r="CN616" s="305"/>
      <c r="CO616" s="305"/>
      <c r="CP616" s="305"/>
      <c r="CQ616" s="305"/>
      <c r="CR616" s="305"/>
      <c r="CS616" s="305"/>
      <c r="CT616" s="305"/>
      <c r="CU616" s="305"/>
      <c r="CV616" s="305"/>
      <c r="CW616" s="305"/>
      <c r="CX616" s="305"/>
      <c r="CY616" s="305"/>
      <c r="CZ616" s="305"/>
      <c r="DA616" s="305"/>
      <c r="DB616" s="305"/>
      <c r="DC616" s="305"/>
      <c r="DD616" s="305"/>
      <c r="DE616" s="305"/>
      <c r="DF616" s="305"/>
      <c r="DG616" s="305"/>
      <c r="DH616" s="305"/>
      <c r="DI616" s="305"/>
      <c r="DJ616" s="305"/>
      <c r="DK616" s="305"/>
      <c r="DL616" s="305"/>
      <c r="DM616" s="305"/>
      <c r="DN616" s="305"/>
      <c r="DO616" s="305"/>
      <c r="DP616" s="305"/>
      <c r="DQ616" s="305"/>
      <c r="DR616" s="305"/>
      <c r="DS616" s="305"/>
      <c r="DT616" s="305"/>
      <c r="DU616" s="305"/>
      <c r="DV616" s="305"/>
      <c r="DW616" s="305"/>
      <c r="DX616" s="305"/>
      <c r="DY616" s="305"/>
      <c r="DZ616" s="305"/>
      <c r="EA616" s="305"/>
      <c r="EB616" s="305"/>
      <c r="EC616" s="305"/>
      <c r="ED616" s="305"/>
      <c r="EE616" s="305"/>
      <c r="EF616" s="305"/>
      <c r="EG616" s="305"/>
      <c r="EH616" s="305"/>
      <c r="EI616" s="305"/>
      <c r="EJ616" s="305"/>
      <c r="EK616" s="305"/>
      <c r="EL616" s="305"/>
      <c r="EM616" s="305"/>
      <c r="EN616" s="305"/>
      <c r="EO616" s="305"/>
      <c r="EP616" s="305"/>
      <c r="EQ616" s="305"/>
      <c r="ER616" s="305"/>
      <c r="ES616" s="305"/>
      <c r="ET616" s="305"/>
      <c r="EU616" s="305"/>
      <c r="EV616" s="305"/>
      <c r="EW616" s="305"/>
      <c r="EX616" s="305"/>
      <c r="EY616" s="305"/>
      <c r="EZ616" s="305"/>
      <c r="FA616" s="305"/>
      <c r="FB616" s="305"/>
      <c r="FC616" s="305"/>
      <c r="FD616" s="305"/>
      <c r="FE616" s="305"/>
      <c r="FF616" s="305"/>
      <c r="FG616" s="305"/>
      <c r="FH616" s="305"/>
      <c r="FI616" s="305"/>
      <c r="FJ616" s="305"/>
      <c r="FK616" s="305"/>
      <c r="FL616" s="305"/>
      <c r="FM616" s="305"/>
      <c r="FN616" s="305"/>
      <c r="FO616" s="305"/>
      <c r="FP616" s="305"/>
      <c r="FQ616" s="305"/>
      <c r="FR616" s="305"/>
      <c r="FS616" s="305"/>
      <c r="FT616" s="305"/>
      <c r="FU616" s="305"/>
      <c r="FV616" s="305"/>
      <c r="FW616" s="305"/>
      <c r="FX616" s="305"/>
      <c r="FY616" s="305"/>
      <c r="FZ616" s="305"/>
      <c r="GA616" s="305"/>
      <c r="GB616" s="305"/>
      <c r="GC616" s="305"/>
      <c r="GD616" s="305"/>
      <c r="GE616" s="305"/>
      <c r="GF616" s="305"/>
      <c r="GG616" s="305"/>
      <c r="GH616" s="305"/>
      <c r="GI616" s="305"/>
      <c r="GJ616" s="305"/>
      <c r="GK616" s="305"/>
      <c r="GL616" s="305"/>
      <c r="GM616" s="305"/>
      <c r="GN616" s="305"/>
      <c r="GO616" s="305"/>
      <c r="GP616" s="305"/>
      <c r="GQ616" s="305"/>
      <c r="GR616" s="305"/>
    </row>
    <row r="617" spans="3:200" s="318" customFormat="1" ht="12.75" customHeight="1" x14ac:dyDescent="0.2">
      <c r="C617" s="367"/>
      <c r="D617" s="403"/>
      <c r="E617" s="369"/>
      <c r="F617" s="369"/>
      <c r="G617" s="369"/>
      <c r="H617" s="369"/>
      <c r="I617" s="370"/>
      <c r="J617"/>
      <c r="K617" s="371"/>
      <c r="L617" s="371"/>
      <c r="M617" s="371"/>
      <c r="N617" s="371"/>
      <c r="O617" s="305"/>
      <c r="P617" s="305"/>
      <c r="Q617" s="305"/>
      <c r="R617" s="305"/>
      <c r="S617" s="305"/>
      <c r="T617" s="305"/>
      <c r="U617" s="305"/>
      <c r="V617" s="305"/>
      <c r="W617" s="305"/>
      <c r="X617" s="305"/>
      <c r="Y617" s="305"/>
      <c r="Z617" s="305"/>
      <c r="AA617" s="305"/>
      <c r="AB617" s="305"/>
      <c r="AC617" s="305"/>
      <c r="AD617" s="305"/>
      <c r="AE617" s="305"/>
      <c r="AF617" s="305"/>
      <c r="AG617" s="305"/>
      <c r="AH617" s="305"/>
      <c r="AI617" s="305"/>
      <c r="AJ617" s="305"/>
      <c r="AK617" s="305"/>
      <c r="AL617" s="305"/>
      <c r="AM617" s="305"/>
      <c r="AN617" s="305"/>
      <c r="AO617" s="305"/>
      <c r="AP617" s="305"/>
      <c r="AQ617" s="305"/>
      <c r="AR617" s="305"/>
      <c r="AS617" s="305"/>
      <c r="AT617" s="305"/>
      <c r="AU617" s="305"/>
      <c r="AV617" s="305"/>
      <c r="AW617" s="305"/>
      <c r="AX617" s="305"/>
      <c r="AY617" s="305"/>
      <c r="AZ617" s="305"/>
      <c r="BA617" s="305"/>
      <c r="BB617" s="305"/>
      <c r="BC617" s="305"/>
      <c r="BD617" s="305"/>
      <c r="BE617" s="305"/>
      <c r="BF617" s="305"/>
      <c r="BG617" s="305"/>
      <c r="BH617" s="305"/>
      <c r="BI617" s="305"/>
      <c r="BJ617" s="305"/>
      <c r="BK617" s="305"/>
      <c r="BL617" s="305"/>
      <c r="BM617" s="305"/>
      <c r="BN617" s="305"/>
      <c r="BO617" s="305"/>
      <c r="BP617" s="305"/>
      <c r="BQ617" s="305"/>
      <c r="BR617" s="305"/>
      <c r="BS617" s="305"/>
      <c r="BT617" s="305"/>
      <c r="BU617" s="305"/>
      <c r="BV617" s="305"/>
      <c r="BW617" s="305"/>
      <c r="BX617" s="305"/>
      <c r="BY617" s="305"/>
      <c r="BZ617" s="305"/>
      <c r="CA617" s="305"/>
      <c r="CB617" s="305"/>
      <c r="CC617" s="305"/>
      <c r="CD617" s="305"/>
      <c r="CE617" s="305"/>
      <c r="CF617" s="305"/>
      <c r="CG617" s="305"/>
      <c r="CH617" s="305"/>
      <c r="CI617" s="305"/>
      <c r="CJ617" s="305"/>
      <c r="CK617" s="305"/>
      <c r="CL617" s="305"/>
      <c r="CM617" s="305"/>
      <c r="CN617" s="305"/>
      <c r="CO617" s="305"/>
      <c r="CP617" s="305"/>
      <c r="CQ617" s="305"/>
      <c r="CR617" s="305"/>
      <c r="CS617" s="305"/>
      <c r="CT617" s="305"/>
      <c r="CU617" s="305"/>
      <c r="CV617" s="305"/>
      <c r="CW617" s="305"/>
      <c r="CX617" s="305"/>
      <c r="CY617" s="305"/>
      <c r="CZ617" s="305"/>
      <c r="DA617" s="305"/>
      <c r="DB617" s="305"/>
      <c r="DC617" s="305"/>
      <c r="DD617" s="305"/>
      <c r="DE617" s="305"/>
      <c r="DF617" s="305"/>
      <c r="DG617" s="305"/>
      <c r="DH617" s="305"/>
      <c r="DI617" s="305"/>
      <c r="DJ617" s="305"/>
      <c r="DK617" s="305"/>
      <c r="DL617" s="305"/>
      <c r="DM617" s="305"/>
      <c r="DN617" s="305"/>
      <c r="DO617" s="305"/>
      <c r="DP617" s="305"/>
      <c r="DQ617" s="305"/>
      <c r="DR617" s="305"/>
      <c r="DS617" s="305"/>
      <c r="DT617" s="305"/>
      <c r="DU617" s="305"/>
      <c r="DV617" s="305"/>
      <c r="DW617" s="305"/>
      <c r="DX617" s="305"/>
      <c r="DY617" s="305"/>
      <c r="DZ617" s="305"/>
      <c r="EA617" s="305"/>
      <c r="EB617" s="305"/>
      <c r="EC617" s="305"/>
      <c r="ED617" s="305"/>
      <c r="EE617" s="305"/>
      <c r="EF617" s="305"/>
      <c r="EG617" s="305"/>
      <c r="EH617" s="305"/>
      <c r="EI617" s="305"/>
      <c r="EJ617" s="305"/>
      <c r="EK617" s="305"/>
      <c r="EL617" s="305"/>
      <c r="EM617" s="305"/>
      <c r="EN617" s="305"/>
      <c r="EO617" s="305"/>
      <c r="EP617" s="305"/>
      <c r="EQ617" s="305"/>
      <c r="ER617" s="305"/>
      <c r="ES617" s="305"/>
      <c r="ET617" s="305"/>
      <c r="EU617" s="305"/>
      <c r="EV617" s="305"/>
      <c r="EW617" s="305"/>
      <c r="EX617" s="305"/>
      <c r="EY617" s="305"/>
      <c r="EZ617" s="305"/>
      <c r="FA617" s="305"/>
      <c r="FB617" s="305"/>
      <c r="FC617" s="305"/>
      <c r="FD617" s="305"/>
      <c r="FE617" s="305"/>
      <c r="FF617" s="305"/>
      <c r="FG617" s="305"/>
      <c r="FH617" s="305"/>
      <c r="FI617" s="305"/>
      <c r="FJ617" s="305"/>
      <c r="FK617" s="305"/>
      <c r="FL617" s="305"/>
      <c r="FM617" s="305"/>
      <c r="FN617" s="305"/>
      <c r="FO617" s="305"/>
      <c r="FP617" s="305"/>
      <c r="FQ617" s="305"/>
      <c r="FR617" s="305"/>
      <c r="FS617" s="305"/>
      <c r="FT617" s="305"/>
      <c r="FU617" s="305"/>
      <c r="FV617" s="305"/>
      <c r="FW617" s="305"/>
      <c r="FX617" s="305"/>
      <c r="FY617" s="305"/>
      <c r="FZ617" s="305"/>
      <c r="GA617" s="305"/>
      <c r="GB617" s="305"/>
      <c r="GC617" s="305"/>
      <c r="GD617" s="305"/>
      <c r="GE617" s="305"/>
      <c r="GF617" s="305"/>
      <c r="GG617" s="305"/>
      <c r="GH617" s="305"/>
      <c r="GI617" s="305"/>
      <c r="GJ617" s="305"/>
      <c r="GK617" s="305"/>
      <c r="GL617" s="305"/>
      <c r="GM617" s="305"/>
      <c r="GN617" s="305"/>
      <c r="GO617" s="305"/>
      <c r="GP617" s="305"/>
      <c r="GQ617" s="305"/>
      <c r="GR617" s="305"/>
    </row>
    <row r="618" spans="3:200" s="318" customFormat="1" ht="12.75" customHeight="1" x14ac:dyDescent="0.2">
      <c r="C618" s="367"/>
      <c r="D618" s="403"/>
      <c r="E618" s="369"/>
      <c r="F618" s="369"/>
      <c r="G618" s="369"/>
      <c r="H618" s="369"/>
      <c r="I618" s="370"/>
      <c r="J618"/>
      <c r="K618" s="371"/>
      <c r="L618" s="371"/>
      <c r="M618" s="371"/>
      <c r="N618" s="371"/>
      <c r="O618" s="305"/>
      <c r="P618" s="305"/>
      <c r="Q618" s="305"/>
      <c r="R618" s="305"/>
      <c r="S618" s="305"/>
      <c r="T618" s="305"/>
      <c r="U618" s="305"/>
      <c r="V618" s="305"/>
      <c r="W618" s="305"/>
      <c r="X618" s="305"/>
      <c r="Y618" s="305"/>
      <c r="Z618" s="305"/>
      <c r="AA618" s="305"/>
      <c r="AB618" s="305"/>
      <c r="AC618" s="305"/>
      <c r="AD618" s="305"/>
      <c r="AE618" s="305"/>
      <c r="AF618" s="305"/>
      <c r="AG618" s="305"/>
      <c r="AH618" s="305"/>
      <c r="AI618" s="305"/>
      <c r="AJ618" s="305"/>
      <c r="AK618" s="305"/>
      <c r="AL618" s="305"/>
      <c r="AM618" s="305"/>
      <c r="AN618" s="305"/>
      <c r="AO618" s="305"/>
      <c r="AP618" s="305"/>
      <c r="AQ618" s="305"/>
      <c r="AR618" s="305"/>
      <c r="AS618" s="305"/>
      <c r="AT618" s="305"/>
      <c r="AU618" s="305"/>
      <c r="AV618" s="305"/>
      <c r="AW618" s="305"/>
      <c r="AX618" s="305"/>
      <c r="AY618" s="305"/>
      <c r="AZ618" s="305"/>
      <c r="BA618" s="305"/>
      <c r="BB618" s="305"/>
      <c r="BC618" s="305"/>
      <c r="BD618" s="305"/>
      <c r="BE618" s="305"/>
      <c r="BF618" s="305"/>
      <c r="BG618" s="305"/>
      <c r="BH618" s="305"/>
      <c r="BI618" s="305"/>
      <c r="BJ618" s="305"/>
      <c r="BK618" s="305"/>
      <c r="BL618" s="305"/>
      <c r="BM618" s="305"/>
      <c r="BN618" s="305"/>
      <c r="BO618" s="305"/>
      <c r="BP618" s="305"/>
      <c r="BQ618" s="305"/>
      <c r="BR618" s="305"/>
      <c r="BS618" s="305"/>
      <c r="BT618" s="305"/>
      <c r="BU618" s="305"/>
      <c r="BV618" s="305"/>
      <c r="BW618" s="305"/>
      <c r="BX618" s="305"/>
      <c r="BY618" s="305"/>
      <c r="BZ618" s="305"/>
      <c r="CA618" s="305"/>
      <c r="CB618" s="305"/>
      <c r="CC618" s="305"/>
      <c r="CD618" s="305"/>
      <c r="CE618" s="305"/>
      <c r="CF618" s="305"/>
      <c r="CG618" s="305"/>
      <c r="CH618" s="305"/>
      <c r="CI618" s="305"/>
      <c r="CJ618" s="305"/>
      <c r="CK618" s="305"/>
      <c r="CL618" s="305"/>
      <c r="CM618" s="305"/>
      <c r="CN618" s="305"/>
      <c r="CO618" s="305"/>
      <c r="CP618" s="305"/>
      <c r="CQ618" s="305"/>
      <c r="CR618" s="305"/>
      <c r="CS618" s="305"/>
      <c r="CT618" s="305"/>
      <c r="CU618" s="305"/>
      <c r="CV618" s="305"/>
      <c r="CW618" s="305"/>
      <c r="CX618" s="305"/>
      <c r="CY618" s="305"/>
      <c r="CZ618" s="305"/>
      <c r="DA618" s="305"/>
      <c r="DB618" s="305"/>
      <c r="DC618" s="305"/>
      <c r="DD618" s="305"/>
      <c r="DE618" s="305"/>
      <c r="DF618" s="305"/>
      <c r="DG618" s="305"/>
      <c r="DH618" s="305"/>
      <c r="DI618" s="305"/>
      <c r="DJ618" s="305"/>
      <c r="DK618" s="305"/>
      <c r="DL618" s="305"/>
      <c r="DM618" s="305"/>
      <c r="DN618" s="305"/>
      <c r="DO618" s="305"/>
      <c r="DP618" s="305"/>
      <c r="DQ618" s="305"/>
      <c r="DR618" s="305"/>
      <c r="DS618" s="305"/>
      <c r="DT618" s="305"/>
      <c r="DU618" s="305"/>
      <c r="DV618" s="305"/>
      <c r="DW618" s="305"/>
      <c r="DX618" s="305"/>
      <c r="DY618" s="305"/>
      <c r="DZ618" s="305"/>
      <c r="EA618" s="305"/>
      <c r="EB618" s="305"/>
      <c r="EC618" s="305"/>
      <c r="ED618" s="305"/>
      <c r="EE618" s="305"/>
      <c r="EF618" s="305"/>
      <c r="EG618" s="305"/>
      <c r="EH618" s="305"/>
      <c r="EI618" s="305"/>
      <c r="EJ618" s="305"/>
      <c r="EK618" s="305"/>
      <c r="EL618" s="305"/>
      <c r="EM618" s="305"/>
      <c r="EN618" s="305"/>
      <c r="EO618" s="305"/>
      <c r="EP618" s="305"/>
      <c r="EQ618" s="305"/>
      <c r="ER618" s="305"/>
      <c r="ES618" s="305"/>
      <c r="ET618" s="305"/>
      <c r="EU618" s="305"/>
      <c r="EV618" s="305"/>
      <c r="EW618" s="305"/>
      <c r="EX618" s="305"/>
      <c r="EY618" s="305"/>
      <c r="EZ618" s="305"/>
      <c r="FA618" s="305"/>
      <c r="FB618" s="305"/>
      <c r="FC618" s="305"/>
      <c r="FD618" s="305"/>
      <c r="FE618" s="305"/>
      <c r="FF618" s="305"/>
      <c r="FG618" s="305"/>
      <c r="FH618" s="305"/>
      <c r="FI618" s="305"/>
      <c r="FJ618" s="305"/>
      <c r="FK618" s="305"/>
      <c r="FL618" s="305"/>
      <c r="FM618" s="305"/>
      <c r="FN618" s="305"/>
      <c r="FO618" s="305"/>
      <c r="FP618" s="305"/>
      <c r="FQ618" s="305"/>
      <c r="FR618" s="305"/>
      <c r="FS618" s="305"/>
      <c r="FT618" s="305"/>
      <c r="FU618" s="305"/>
      <c r="FV618" s="305"/>
      <c r="FW618" s="305"/>
      <c r="FX618" s="305"/>
      <c r="FY618" s="305"/>
      <c r="FZ618" s="305"/>
      <c r="GA618" s="305"/>
      <c r="GB618" s="305"/>
      <c r="GC618" s="305"/>
      <c r="GD618" s="305"/>
      <c r="GE618" s="305"/>
      <c r="GF618" s="305"/>
      <c r="GG618" s="305"/>
      <c r="GH618" s="305"/>
      <c r="GI618" s="305"/>
      <c r="GJ618" s="305"/>
      <c r="GK618" s="305"/>
      <c r="GL618" s="305"/>
      <c r="GM618" s="305"/>
      <c r="GN618" s="305"/>
      <c r="GO618" s="305"/>
      <c r="GP618" s="305"/>
      <c r="GQ618" s="305"/>
      <c r="GR618" s="305"/>
    </row>
    <row r="619" spans="3:200" s="318" customFormat="1" ht="12.75" customHeight="1" x14ac:dyDescent="0.2">
      <c r="C619" s="367"/>
      <c r="D619" s="403"/>
      <c r="E619" s="369"/>
      <c r="F619" s="369"/>
      <c r="G619" s="369"/>
      <c r="H619" s="369"/>
      <c r="I619" s="370"/>
      <c r="J619"/>
      <c r="K619" s="371"/>
      <c r="L619" s="371"/>
      <c r="M619" s="371"/>
      <c r="N619" s="371"/>
      <c r="O619" s="305"/>
      <c r="P619" s="305"/>
      <c r="Q619" s="305"/>
      <c r="R619" s="305"/>
      <c r="S619" s="305"/>
      <c r="T619" s="305"/>
      <c r="U619" s="305"/>
      <c r="V619" s="305"/>
      <c r="W619" s="305"/>
      <c r="X619" s="305"/>
      <c r="Y619" s="305"/>
      <c r="Z619" s="305"/>
      <c r="AA619" s="305"/>
      <c r="AB619" s="305"/>
      <c r="AC619" s="305"/>
      <c r="AD619" s="305"/>
      <c r="AE619" s="305"/>
      <c r="AF619" s="305"/>
      <c r="AG619" s="305"/>
      <c r="AH619" s="305"/>
      <c r="AI619" s="305"/>
      <c r="AJ619" s="305"/>
      <c r="AK619" s="305"/>
      <c r="AL619" s="305"/>
      <c r="AM619" s="305"/>
      <c r="AN619" s="305"/>
      <c r="AO619" s="305"/>
      <c r="AP619" s="305"/>
      <c r="AQ619" s="305"/>
      <c r="AR619" s="305"/>
      <c r="AS619" s="305"/>
      <c r="AT619" s="305"/>
      <c r="AU619" s="305"/>
      <c r="AV619" s="305"/>
      <c r="AW619" s="305"/>
      <c r="AX619" s="305"/>
      <c r="AY619" s="305"/>
      <c r="AZ619" s="305"/>
      <c r="BA619" s="305"/>
      <c r="BB619" s="305"/>
      <c r="BC619" s="305"/>
      <c r="BD619" s="305"/>
      <c r="BE619" s="305"/>
      <c r="BF619" s="305"/>
      <c r="BG619" s="305"/>
      <c r="BH619" s="305"/>
      <c r="BI619" s="305"/>
      <c r="BJ619" s="305"/>
      <c r="BK619" s="305"/>
      <c r="BL619" s="305"/>
      <c r="BM619" s="305"/>
      <c r="BN619" s="305"/>
      <c r="BO619" s="305"/>
      <c r="BP619" s="305"/>
      <c r="BQ619" s="305"/>
      <c r="BR619" s="305"/>
      <c r="BS619" s="305"/>
      <c r="BT619" s="305"/>
      <c r="BU619" s="305"/>
      <c r="BV619" s="305"/>
      <c r="BW619" s="305"/>
      <c r="BX619" s="305"/>
      <c r="BY619" s="305"/>
      <c r="BZ619" s="305"/>
      <c r="CA619" s="305"/>
      <c r="CB619" s="305"/>
      <c r="CC619" s="305"/>
      <c r="CD619" s="305"/>
      <c r="CE619" s="305"/>
      <c r="CF619" s="305"/>
      <c r="CG619" s="305"/>
      <c r="CH619" s="305"/>
      <c r="CI619" s="305"/>
      <c r="CJ619" s="305"/>
      <c r="CK619" s="305"/>
      <c r="CL619" s="305"/>
      <c r="CM619" s="305"/>
      <c r="CN619" s="305"/>
      <c r="CO619" s="305"/>
      <c r="CP619" s="305"/>
      <c r="CQ619" s="305"/>
      <c r="CR619" s="305"/>
      <c r="CS619" s="305"/>
      <c r="CT619" s="305"/>
      <c r="CU619" s="305"/>
      <c r="CV619" s="305"/>
      <c r="CW619" s="305"/>
      <c r="CX619" s="305"/>
      <c r="CY619" s="305"/>
      <c r="CZ619" s="305"/>
      <c r="DA619" s="305"/>
      <c r="DB619" s="305"/>
      <c r="DC619" s="305"/>
      <c r="DD619" s="305"/>
      <c r="DE619" s="305"/>
      <c r="DF619" s="305"/>
      <c r="DG619" s="305"/>
      <c r="DH619" s="305"/>
      <c r="DI619" s="305"/>
      <c r="DJ619" s="305"/>
      <c r="DK619" s="305"/>
      <c r="DL619" s="305"/>
      <c r="DM619" s="305"/>
      <c r="DN619" s="305"/>
      <c r="DO619" s="305"/>
      <c r="DP619" s="305"/>
      <c r="DQ619" s="305"/>
      <c r="DR619" s="305"/>
      <c r="DS619" s="305"/>
      <c r="DT619" s="305"/>
      <c r="DU619" s="305"/>
      <c r="DV619" s="305"/>
      <c r="DW619" s="305"/>
      <c r="DX619" s="305"/>
      <c r="DY619" s="305"/>
      <c r="DZ619" s="305"/>
      <c r="EA619" s="305"/>
      <c r="EB619" s="305"/>
      <c r="EC619" s="305"/>
      <c r="ED619" s="305"/>
      <c r="EE619" s="305"/>
      <c r="EF619" s="305"/>
      <c r="EG619" s="305"/>
      <c r="EH619" s="305"/>
      <c r="EI619" s="305"/>
      <c r="EJ619" s="305"/>
      <c r="EK619" s="305"/>
      <c r="EL619" s="305"/>
      <c r="EM619" s="305"/>
      <c r="EN619" s="305"/>
      <c r="EO619" s="305"/>
      <c r="EP619" s="305"/>
      <c r="EQ619" s="305"/>
      <c r="ER619" s="305"/>
      <c r="ES619" s="305"/>
      <c r="ET619" s="305"/>
      <c r="EU619" s="305"/>
      <c r="EV619" s="305"/>
      <c r="EW619" s="305"/>
      <c r="EX619" s="305"/>
      <c r="EY619" s="305"/>
      <c r="EZ619" s="305"/>
      <c r="FA619" s="305"/>
      <c r="FB619" s="305"/>
      <c r="FC619" s="305"/>
      <c r="FD619" s="305"/>
      <c r="FE619" s="305"/>
      <c r="FF619" s="305"/>
      <c r="FG619" s="305"/>
      <c r="FH619" s="305"/>
      <c r="FI619" s="305"/>
      <c r="FJ619" s="305"/>
      <c r="FK619" s="305"/>
      <c r="FL619" s="305"/>
      <c r="FM619" s="305"/>
      <c r="FN619" s="305"/>
      <c r="FO619" s="305"/>
      <c r="FP619" s="305"/>
      <c r="FQ619" s="305"/>
      <c r="FR619" s="305"/>
      <c r="FS619" s="305"/>
      <c r="FT619" s="305"/>
      <c r="FU619" s="305"/>
      <c r="FV619" s="305"/>
      <c r="FW619" s="305"/>
      <c r="FX619" s="305"/>
      <c r="FY619" s="305"/>
      <c r="FZ619" s="305"/>
      <c r="GA619" s="305"/>
      <c r="GB619" s="305"/>
      <c r="GC619" s="305"/>
      <c r="GD619" s="305"/>
      <c r="GE619" s="305"/>
      <c r="GF619" s="305"/>
      <c r="GG619" s="305"/>
      <c r="GH619" s="305"/>
      <c r="GI619" s="305"/>
      <c r="GJ619" s="305"/>
      <c r="GK619" s="305"/>
      <c r="GL619" s="305"/>
      <c r="GM619" s="305"/>
      <c r="GN619" s="305"/>
      <c r="GO619" s="305"/>
      <c r="GP619" s="305"/>
      <c r="GQ619" s="305"/>
      <c r="GR619" s="305"/>
    </row>
    <row r="620" spans="3:200" s="318" customFormat="1" ht="12.75" customHeight="1" x14ac:dyDescent="0.2">
      <c r="C620" s="367"/>
      <c r="D620" s="403"/>
      <c r="E620" s="369"/>
      <c r="F620" s="369"/>
      <c r="G620" s="369"/>
      <c r="H620" s="369"/>
      <c r="I620" s="370"/>
      <c r="J620"/>
      <c r="K620" s="371"/>
      <c r="L620" s="371"/>
      <c r="M620" s="371"/>
      <c r="N620" s="371"/>
      <c r="O620" s="305"/>
      <c r="P620" s="305"/>
      <c r="Q620" s="305"/>
      <c r="R620" s="305"/>
      <c r="S620" s="305"/>
      <c r="T620" s="305"/>
      <c r="U620" s="305"/>
      <c r="V620" s="305"/>
      <c r="W620" s="305"/>
      <c r="X620" s="305"/>
      <c r="Y620" s="305"/>
      <c r="Z620" s="305"/>
      <c r="AA620" s="305"/>
      <c r="AB620" s="305"/>
      <c r="AC620" s="305"/>
      <c r="AD620" s="305"/>
      <c r="AE620" s="305"/>
      <c r="AF620" s="305"/>
      <c r="AG620" s="305"/>
      <c r="AH620" s="305"/>
      <c r="AI620" s="305"/>
      <c r="AJ620" s="305"/>
      <c r="AK620" s="305"/>
      <c r="AL620" s="305"/>
      <c r="AM620" s="305"/>
      <c r="AN620" s="305"/>
      <c r="AO620" s="305"/>
      <c r="AP620" s="305"/>
      <c r="AQ620" s="305"/>
      <c r="AR620" s="305"/>
      <c r="AS620" s="305"/>
      <c r="AT620" s="305"/>
      <c r="AU620" s="305"/>
      <c r="AV620" s="305"/>
      <c r="AW620" s="305"/>
      <c r="AX620" s="305"/>
      <c r="AY620" s="305"/>
      <c r="AZ620" s="305"/>
      <c r="BA620" s="305"/>
      <c r="BB620" s="305"/>
      <c r="BC620" s="305"/>
      <c r="BD620" s="305"/>
      <c r="BE620" s="305"/>
      <c r="BF620" s="305"/>
      <c r="BG620" s="305"/>
      <c r="BH620" s="305"/>
      <c r="BI620" s="305"/>
      <c r="BJ620" s="305"/>
      <c r="BK620" s="305"/>
      <c r="BL620" s="305"/>
      <c r="BM620" s="305"/>
      <c r="BN620" s="305"/>
      <c r="BO620" s="305"/>
      <c r="BP620" s="305"/>
      <c r="BQ620" s="305"/>
      <c r="BR620" s="305"/>
      <c r="BS620" s="305"/>
      <c r="BT620" s="305"/>
      <c r="BU620" s="305"/>
      <c r="BV620" s="305"/>
      <c r="BW620" s="305"/>
      <c r="BX620" s="305"/>
      <c r="BY620" s="305"/>
      <c r="BZ620" s="305"/>
      <c r="CA620" s="305"/>
      <c r="CB620" s="305"/>
      <c r="CC620" s="305"/>
      <c r="CD620" s="305"/>
      <c r="CE620" s="305"/>
      <c r="CF620" s="305"/>
      <c r="CG620" s="305"/>
      <c r="CH620" s="305"/>
      <c r="CI620" s="305"/>
      <c r="CJ620" s="305"/>
      <c r="CK620" s="305"/>
      <c r="CL620" s="305"/>
      <c r="CM620" s="305"/>
      <c r="CN620" s="305"/>
      <c r="CO620" s="305"/>
      <c r="CP620" s="305"/>
      <c r="CQ620" s="305"/>
      <c r="CR620" s="305"/>
      <c r="CS620" s="305"/>
      <c r="CT620" s="305"/>
      <c r="CU620" s="305"/>
      <c r="CV620" s="305"/>
      <c r="CW620" s="305"/>
      <c r="CX620" s="305"/>
      <c r="CY620" s="305"/>
      <c r="CZ620" s="305"/>
      <c r="DA620" s="305"/>
      <c r="DB620" s="305"/>
      <c r="DC620" s="305"/>
      <c r="DD620" s="305"/>
      <c r="DE620" s="305"/>
      <c r="DF620" s="305"/>
      <c r="DG620" s="305"/>
      <c r="DH620" s="305"/>
      <c r="DI620" s="305"/>
      <c r="DJ620" s="305"/>
      <c r="DK620" s="305"/>
      <c r="DL620" s="305"/>
      <c r="DM620" s="305"/>
      <c r="DN620" s="305"/>
      <c r="DO620" s="305"/>
      <c r="DP620" s="305"/>
      <c r="DQ620" s="305"/>
      <c r="DR620" s="305"/>
      <c r="DS620" s="305"/>
      <c r="DT620" s="305"/>
      <c r="DU620" s="305"/>
      <c r="DV620" s="305"/>
      <c r="DW620" s="305"/>
      <c r="DX620" s="305"/>
      <c r="DY620" s="305"/>
      <c r="DZ620" s="305"/>
      <c r="EA620" s="305"/>
      <c r="EB620" s="305"/>
      <c r="EC620" s="305"/>
      <c r="ED620" s="305"/>
      <c r="EE620" s="305"/>
      <c r="EF620" s="305"/>
      <c r="EG620" s="305"/>
      <c r="EH620" s="305"/>
      <c r="EI620" s="305"/>
      <c r="EJ620" s="305"/>
      <c r="EK620" s="305"/>
      <c r="EL620" s="305"/>
      <c r="EM620" s="305"/>
      <c r="EN620" s="305"/>
      <c r="EO620" s="305"/>
      <c r="EP620" s="305"/>
      <c r="EQ620" s="305"/>
      <c r="ER620" s="305"/>
      <c r="ES620" s="305"/>
      <c r="ET620" s="305"/>
      <c r="EU620" s="305"/>
      <c r="EV620" s="305"/>
      <c r="EW620" s="305"/>
      <c r="EX620" s="305"/>
      <c r="EY620" s="305"/>
      <c r="EZ620" s="305"/>
      <c r="FA620" s="305"/>
      <c r="FB620" s="305"/>
      <c r="FC620" s="305"/>
      <c r="FD620" s="305"/>
      <c r="FE620" s="305"/>
      <c r="FF620" s="305"/>
      <c r="FG620" s="305"/>
      <c r="FH620" s="305"/>
      <c r="FI620" s="305"/>
      <c r="FJ620" s="305"/>
      <c r="FK620" s="305"/>
      <c r="FL620" s="305"/>
      <c r="FM620" s="305"/>
      <c r="FN620" s="305"/>
      <c r="FO620" s="305"/>
      <c r="FP620" s="305"/>
      <c r="FQ620" s="305"/>
      <c r="FR620" s="305"/>
      <c r="FS620" s="305"/>
      <c r="FT620" s="305"/>
      <c r="FU620" s="305"/>
      <c r="FV620" s="305"/>
      <c r="FW620" s="305"/>
      <c r="FX620" s="305"/>
      <c r="FY620" s="305"/>
      <c r="FZ620" s="305"/>
      <c r="GA620" s="305"/>
      <c r="GB620" s="305"/>
      <c r="GC620" s="305"/>
      <c r="GD620" s="305"/>
      <c r="GE620" s="305"/>
      <c r="GF620" s="305"/>
      <c r="GG620" s="305"/>
      <c r="GH620" s="305"/>
      <c r="GI620" s="305"/>
      <c r="GJ620" s="305"/>
      <c r="GK620" s="305"/>
      <c r="GL620" s="305"/>
      <c r="GM620" s="305"/>
      <c r="GN620" s="305"/>
      <c r="GO620" s="305"/>
      <c r="GP620" s="305"/>
      <c r="GQ620" s="305"/>
      <c r="GR620" s="305"/>
    </row>
    <row r="621" spans="3:200" s="318" customFormat="1" ht="12.75" customHeight="1" x14ac:dyDescent="0.2">
      <c r="C621" s="367"/>
      <c r="D621" s="403"/>
      <c r="E621" s="369"/>
      <c r="F621" s="369"/>
      <c r="G621" s="369"/>
      <c r="H621" s="369"/>
      <c r="I621" s="370"/>
      <c r="J621"/>
      <c r="K621" s="371"/>
      <c r="L621" s="371"/>
      <c r="M621" s="371"/>
      <c r="N621" s="371"/>
      <c r="O621" s="305"/>
      <c r="P621" s="305"/>
      <c r="Q621" s="305"/>
      <c r="R621" s="305"/>
      <c r="S621" s="305"/>
      <c r="T621" s="305"/>
      <c r="U621" s="305"/>
      <c r="V621" s="305"/>
      <c r="W621" s="305"/>
      <c r="X621" s="305"/>
      <c r="Y621" s="305"/>
      <c r="Z621" s="305"/>
      <c r="AA621" s="305"/>
      <c r="AB621" s="305"/>
      <c r="AC621" s="305"/>
      <c r="AD621" s="305"/>
      <c r="AE621" s="305"/>
      <c r="AF621" s="305"/>
      <c r="AG621" s="305"/>
      <c r="AH621" s="305"/>
      <c r="AI621" s="305"/>
      <c r="AJ621" s="305"/>
      <c r="AK621" s="305"/>
      <c r="AL621" s="305"/>
      <c r="AM621" s="305"/>
      <c r="AN621" s="305"/>
      <c r="AO621" s="305"/>
      <c r="AP621" s="305"/>
      <c r="AQ621" s="305"/>
      <c r="AR621" s="305"/>
      <c r="AS621" s="305"/>
      <c r="AT621" s="305"/>
      <c r="AU621" s="305"/>
      <c r="AV621" s="305"/>
      <c r="AW621" s="305"/>
      <c r="AX621" s="305"/>
      <c r="AY621" s="305"/>
      <c r="AZ621" s="305"/>
      <c r="BA621" s="305"/>
      <c r="BB621" s="305"/>
      <c r="BC621" s="305"/>
      <c r="BD621" s="305"/>
      <c r="BE621" s="305"/>
      <c r="BF621" s="305"/>
      <c r="BG621" s="305"/>
      <c r="BH621" s="305"/>
      <c r="BI621" s="305"/>
      <c r="BJ621" s="305"/>
      <c r="BK621" s="305"/>
      <c r="BL621" s="305"/>
      <c r="BM621" s="305"/>
      <c r="BN621" s="305"/>
      <c r="BO621" s="305"/>
      <c r="BP621" s="305"/>
      <c r="BQ621" s="305"/>
      <c r="BR621" s="305"/>
      <c r="BS621" s="305"/>
      <c r="BT621" s="305"/>
      <c r="BU621" s="305"/>
      <c r="BV621" s="305"/>
      <c r="BW621" s="305"/>
      <c r="BX621" s="305"/>
      <c r="BY621" s="305"/>
      <c r="BZ621" s="305"/>
      <c r="CA621" s="305"/>
      <c r="CB621" s="305"/>
      <c r="CC621" s="305"/>
      <c r="CD621" s="305"/>
      <c r="CE621" s="305"/>
      <c r="CF621" s="305"/>
      <c r="CG621" s="305"/>
      <c r="CH621" s="305"/>
      <c r="CI621" s="305"/>
      <c r="CJ621" s="305"/>
      <c r="CK621" s="305"/>
      <c r="CL621" s="305"/>
      <c r="CM621" s="305"/>
      <c r="CN621" s="305"/>
      <c r="CO621" s="305"/>
      <c r="CP621" s="305"/>
      <c r="CQ621" s="305"/>
      <c r="CR621" s="305"/>
      <c r="CS621" s="305"/>
      <c r="CT621" s="305"/>
      <c r="CU621" s="305"/>
      <c r="CV621" s="305"/>
      <c r="CW621" s="305"/>
      <c r="CX621" s="305"/>
      <c r="CY621" s="305"/>
      <c r="CZ621" s="305"/>
      <c r="DA621" s="305"/>
      <c r="DB621" s="305"/>
      <c r="DC621" s="305"/>
      <c r="DD621" s="305"/>
      <c r="DE621" s="305"/>
      <c r="DF621" s="305"/>
      <c r="DG621" s="305"/>
      <c r="DH621" s="305"/>
      <c r="DI621" s="305"/>
      <c r="DJ621" s="305"/>
      <c r="DK621" s="305"/>
      <c r="DL621" s="305"/>
      <c r="DM621" s="305"/>
      <c r="DN621" s="305"/>
      <c r="DO621" s="305"/>
      <c r="DP621" s="305"/>
      <c r="DQ621" s="305"/>
      <c r="DR621" s="305"/>
      <c r="DS621" s="305"/>
      <c r="DT621" s="305"/>
      <c r="DU621" s="305"/>
      <c r="DV621" s="305"/>
      <c r="DW621" s="305"/>
      <c r="DX621" s="305"/>
      <c r="DY621" s="305"/>
      <c r="DZ621" s="305"/>
      <c r="EA621" s="305"/>
      <c r="EB621" s="305"/>
      <c r="EC621" s="305"/>
      <c r="ED621" s="305"/>
      <c r="EE621" s="305"/>
      <c r="EF621" s="305"/>
      <c r="EG621" s="305"/>
      <c r="EH621" s="305"/>
      <c r="EI621" s="305"/>
      <c r="EJ621" s="305"/>
      <c r="EK621" s="305"/>
      <c r="EL621" s="305"/>
      <c r="EM621" s="305"/>
      <c r="EN621" s="305"/>
      <c r="EO621" s="305"/>
      <c r="EP621" s="305"/>
      <c r="EQ621" s="305"/>
      <c r="ER621" s="305"/>
      <c r="ES621" s="305"/>
      <c r="ET621" s="305"/>
      <c r="EU621" s="305"/>
      <c r="EV621" s="305"/>
      <c r="EW621" s="305"/>
      <c r="EX621" s="305"/>
      <c r="EY621" s="305"/>
      <c r="EZ621" s="305"/>
      <c r="FA621" s="305"/>
      <c r="FB621" s="305"/>
      <c r="FC621" s="305"/>
      <c r="FD621" s="305"/>
      <c r="FE621" s="305"/>
      <c r="FF621" s="305"/>
      <c r="FG621" s="305"/>
      <c r="FH621" s="305"/>
      <c r="FI621" s="305"/>
      <c r="FJ621" s="305"/>
      <c r="FK621" s="305"/>
      <c r="FL621" s="305"/>
      <c r="FM621" s="305"/>
      <c r="FN621" s="305"/>
      <c r="FO621" s="305"/>
      <c r="FP621" s="305"/>
      <c r="FQ621" s="305"/>
      <c r="FR621" s="305"/>
      <c r="FS621" s="305"/>
      <c r="FT621" s="305"/>
      <c r="FU621" s="305"/>
      <c r="FV621" s="305"/>
      <c r="FW621" s="305"/>
      <c r="FX621" s="305"/>
      <c r="FY621" s="305"/>
      <c r="FZ621" s="305"/>
      <c r="GA621" s="305"/>
      <c r="GB621" s="305"/>
      <c r="GC621" s="305"/>
      <c r="GD621" s="305"/>
      <c r="GE621" s="305"/>
      <c r="GF621" s="305"/>
      <c r="GG621" s="305"/>
      <c r="GH621" s="305"/>
      <c r="GI621" s="305"/>
      <c r="GJ621" s="305"/>
      <c r="GK621" s="305"/>
      <c r="GL621" s="305"/>
      <c r="GM621" s="305"/>
      <c r="GN621" s="305"/>
      <c r="GO621" s="305"/>
      <c r="GP621" s="305"/>
      <c r="GQ621" s="305"/>
      <c r="GR621" s="305"/>
    </row>
    <row r="622" spans="3:200" s="318" customFormat="1" ht="12.75" customHeight="1" x14ac:dyDescent="0.2">
      <c r="C622" s="367"/>
      <c r="D622" s="403"/>
      <c r="E622" s="369"/>
      <c r="F622" s="369"/>
      <c r="G622" s="369"/>
      <c r="H622" s="369"/>
      <c r="I622" s="370"/>
      <c r="J622"/>
      <c r="K622" s="371"/>
      <c r="L622" s="371"/>
      <c r="M622" s="371"/>
      <c r="N622" s="371"/>
      <c r="O622" s="305"/>
      <c r="P622" s="305"/>
      <c r="Q622" s="305"/>
      <c r="R622" s="305"/>
      <c r="S622" s="305"/>
      <c r="T622" s="305"/>
      <c r="U622" s="305"/>
      <c r="V622" s="305"/>
      <c r="W622" s="305"/>
      <c r="X622" s="305"/>
      <c r="Y622" s="305"/>
      <c r="Z622" s="305"/>
      <c r="AA622" s="305"/>
      <c r="AB622" s="305"/>
      <c r="AC622" s="305"/>
      <c r="AD622" s="305"/>
      <c r="AE622" s="305"/>
      <c r="AF622" s="305"/>
      <c r="AG622" s="305"/>
      <c r="AH622" s="305"/>
      <c r="AI622" s="305"/>
      <c r="AJ622" s="305"/>
      <c r="AK622" s="305"/>
      <c r="AL622" s="305"/>
      <c r="AM622" s="305"/>
      <c r="AN622" s="305"/>
      <c r="AO622" s="305"/>
      <c r="AP622" s="305"/>
      <c r="AQ622" s="305"/>
      <c r="AR622" s="305"/>
      <c r="AS622" s="305"/>
      <c r="AT622" s="305"/>
      <c r="AU622" s="305"/>
      <c r="AV622" s="305"/>
      <c r="AW622" s="305"/>
      <c r="AX622" s="305"/>
      <c r="AY622" s="305"/>
      <c r="AZ622" s="305"/>
      <c r="BA622" s="305"/>
      <c r="BB622" s="305"/>
      <c r="BC622" s="305"/>
      <c r="BD622" s="305"/>
      <c r="BE622" s="305"/>
      <c r="BF622" s="305"/>
      <c r="BG622" s="305"/>
      <c r="BH622" s="305"/>
      <c r="BI622" s="305"/>
      <c r="BJ622" s="305"/>
      <c r="BK622" s="305"/>
      <c r="BL622" s="305"/>
      <c r="BM622" s="305"/>
      <c r="BN622" s="305"/>
      <c r="BO622" s="305"/>
      <c r="BP622" s="305"/>
      <c r="BQ622" s="305"/>
      <c r="BR622" s="305"/>
      <c r="BS622" s="305"/>
      <c r="BT622" s="305"/>
      <c r="BU622" s="305"/>
      <c r="BV622" s="305"/>
      <c r="BW622" s="305"/>
      <c r="BX622" s="305"/>
      <c r="BY622" s="305"/>
      <c r="BZ622" s="305"/>
      <c r="CA622" s="305"/>
      <c r="CB622" s="305"/>
      <c r="CC622" s="305"/>
      <c r="CD622" s="305"/>
      <c r="CE622" s="305"/>
      <c r="CF622" s="305"/>
      <c r="CG622" s="305"/>
      <c r="CH622" s="305"/>
      <c r="CI622" s="305"/>
      <c r="CJ622" s="305"/>
      <c r="CK622" s="305"/>
      <c r="CL622" s="305"/>
      <c r="CM622" s="305"/>
      <c r="CN622" s="305"/>
      <c r="CO622" s="305"/>
      <c r="CP622" s="305"/>
      <c r="CQ622" s="305"/>
      <c r="CR622" s="305"/>
      <c r="CS622" s="305"/>
      <c r="CT622" s="305"/>
      <c r="CU622" s="305"/>
      <c r="CV622" s="305"/>
      <c r="CW622" s="305"/>
      <c r="CX622" s="305"/>
      <c r="CY622" s="305"/>
      <c r="CZ622" s="305"/>
      <c r="DA622" s="305"/>
      <c r="DB622" s="305"/>
      <c r="DC622" s="305"/>
      <c r="DD622" s="305"/>
      <c r="DE622" s="305"/>
      <c r="DF622" s="305"/>
      <c r="DG622" s="305"/>
      <c r="DH622" s="305"/>
      <c r="DI622" s="305"/>
      <c r="DJ622" s="305"/>
      <c r="DK622" s="305"/>
      <c r="DL622" s="305"/>
      <c r="DM622" s="305"/>
      <c r="DN622" s="305"/>
      <c r="DO622" s="305"/>
      <c r="DP622" s="305"/>
      <c r="DQ622" s="305"/>
      <c r="DR622" s="305"/>
      <c r="DS622" s="305"/>
      <c r="DT622" s="305"/>
      <c r="DU622" s="305"/>
      <c r="DV622" s="305"/>
      <c r="DW622" s="305"/>
      <c r="DX622" s="305"/>
      <c r="DY622" s="305"/>
      <c r="DZ622" s="305"/>
      <c r="EA622" s="305"/>
      <c r="EB622" s="305"/>
      <c r="EC622" s="305"/>
      <c r="ED622" s="305"/>
      <c r="EE622" s="305"/>
      <c r="EF622" s="305"/>
      <c r="EG622" s="305"/>
      <c r="EH622" s="305"/>
      <c r="EI622" s="305"/>
      <c r="EJ622" s="305"/>
      <c r="EK622" s="305"/>
      <c r="EL622" s="305"/>
      <c r="EM622" s="305"/>
      <c r="EN622" s="305"/>
      <c r="EO622" s="305"/>
      <c r="EP622" s="305"/>
      <c r="EQ622" s="305"/>
      <c r="ER622" s="305"/>
      <c r="ES622" s="305"/>
      <c r="ET622" s="305"/>
      <c r="EU622" s="305"/>
      <c r="EV622" s="305"/>
      <c r="EW622" s="305"/>
      <c r="EX622" s="305"/>
      <c r="EY622" s="305"/>
      <c r="EZ622" s="305"/>
      <c r="FA622" s="305"/>
      <c r="FB622" s="305"/>
      <c r="FC622" s="305"/>
      <c r="FD622" s="305"/>
      <c r="FE622" s="305"/>
      <c r="FF622" s="305"/>
      <c r="FG622" s="305"/>
      <c r="FH622" s="305"/>
      <c r="FI622" s="305"/>
      <c r="FJ622" s="305"/>
      <c r="FK622" s="305"/>
      <c r="FL622" s="305"/>
      <c r="FM622" s="305"/>
      <c r="FN622" s="305"/>
      <c r="FO622" s="305"/>
      <c r="FP622" s="305"/>
      <c r="FQ622" s="305"/>
      <c r="FR622" s="305"/>
      <c r="FS622" s="305"/>
      <c r="FT622" s="305"/>
      <c r="FU622" s="305"/>
      <c r="FV622" s="305"/>
      <c r="FW622" s="305"/>
      <c r="FX622" s="305"/>
      <c r="FY622" s="305"/>
      <c r="FZ622" s="305"/>
      <c r="GA622" s="305"/>
      <c r="GB622" s="305"/>
      <c r="GC622" s="305"/>
      <c r="GD622" s="305"/>
      <c r="GE622" s="305"/>
      <c r="GF622" s="305"/>
      <c r="GG622" s="305"/>
      <c r="GH622" s="305"/>
      <c r="GI622" s="305"/>
      <c r="GJ622" s="305"/>
      <c r="GK622" s="305"/>
      <c r="GL622" s="305"/>
      <c r="GM622" s="305"/>
      <c r="GN622" s="305"/>
      <c r="GO622" s="305"/>
      <c r="GP622" s="305"/>
      <c r="GQ622" s="305"/>
      <c r="GR622" s="305"/>
    </row>
    <row r="623" spans="3:200" s="318" customFormat="1" ht="12.75" customHeight="1" x14ac:dyDescent="0.2">
      <c r="C623" s="367"/>
      <c r="D623" s="403"/>
      <c r="E623" s="369"/>
      <c r="F623" s="369"/>
      <c r="G623" s="369"/>
      <c r="H623" s="369"/>
      <c r="I623" s="370"/>
      <c r="J623"/>
      <c r="K623" s="371"/>
      <c r="L623" s="371"/>
      <c r="M623" s="371"/>
      <c r="N623" s="371"/>
      <c r="O623" s="305"/>
      <c r="P623" s="305"/>
      <c r="Q623" s="305"/>
      <c r="R623" s="305"/>
      <c r="S623" s="305"/>
      <c r="T623" s="305"/>
      <c r="U623" s="305"/>
      <c r="V623" s="305"/>
      <c r="W623" s="305"/>
      <c r="X623" s="305"/>
      <c r="Y623" s="305"/>
      <c r="Z623" s="305"/>
      <c r="AA623" s="305"/>
      <c r="AB623" s="305"/>
      <c r="AC623" s="305"/>
      <c r="AD623" s="305"/>
      <c r="AE623" s="305"/>
      <c r="AF623" s="305"/>
      <c r="AG623" s="305"/>
      <c r="AH623" s="305"/>
      <c r="AI623" s="305"/>
      <c r="AJ623" s="305"/>
      <c r="AK623" s="305"/>
      <c r="AL623" s="305"/>
      <c r="AM623" s="305"/>
      <c r="AN623" s="305"/>
      <c r="AO623" s="305"/>
      <c r="AP623" s="305"/>
      <c r="AQ623" s="305"/>
      <c r="AR623" s="305"/>
      <c r="AS623" s="305"/>
      <c r="AT623" s="305"/>
      <c r="AU623" s="305"/>
      <c r="AV623" s="305"/>
      <c r="AW623" s="305"/>
      <c r="AX623" s="305"/>
      <c r="AY623" s="305"/>
      <c r="AZ623" s="305"/>
      <c r="BA623" s="305"/>
      <c r="BB623" s="305"/>
      <c r="BC623" s="305"/>
      <c r="BD623" s="305"/>
      <c r="BE623" s="305"/>
      <c r="BF623" s="305"/>
      <c r="BG623" s="305"/>
      <c r="BH623" s="305"/>
      <c r="BI623" s="305"/>
      <c r="BJ623" s="305"/>
      <c r="BK623" s="305"/>
      <c r="BL623" s="305"/>
      <c r="BM623" s="305"/>
      <c r="BN623" s="305"/>
      <c r="BO623" s="305"/>
      <c r="BP623" s="305"/>
      <c r="BQ623" s="305"/>
      <c r="BR623" s="305"/>
      <c r="BS623" s="305"/>
      <c r="BT623" s="305"/>
      <c r="BU623" s="305"/>
      <c r="BV623" s="305"/>
      <c r="BW623" s="305"/>
      <c r="BX623" s="305"/>
      <c r="BY623" s="305"/>
      <c r="BZ623" s="305"/>
      <c r="CA623" s="305"/>
      <c r="CB623" s="305"/>
      <c r="CC623" s="305"/>
      <c r="CD623" s="305"/>
      <c r="CE623" s="305"/>
      <c r="CF623" s="305"/>
      <c r="CG623" s="305"/>
      <c r="CH623" s="305"/>
      <c r="CI623" s="305"/>
      <c r="CJ623" s="305"/>
      <c r="CK623" s="305"/>
      <c r="CL623" s="305"/>
      <c r="CM623" s="305"/>
      <c r="CN623" s="305"/>
      <c r="CO623" s="305"/>
      <c r="CP623" s="305"/>
      <c r="CQ623" s="305"/>
      <c r="CR623" s="305"/>
      <c r="CS623" s="305"/>
      <c r="CT623" s="305"/>
      <c r="CU623" s="305"/>
      <c r="CV623" s="305"/>
      <c r="CW623" s="305"/>
      <c r="CX623" s="305"/>
      <c r="CY623" s="305"/>
      <c r="CZ623" s="305"/>
      <c r="DA623" s="305"/>
      <c r="DB623" s="305"/>
      <c r="DC623" s="305"/>
      <c r="DD623" s="305"/>
      <c r="DE623" s="305"/>
      <c r="DF623" s="305"/>
      <c r="DG623" s="305"/>
      <c r="DH623" s="305"/>
      <c r="DI623" s="305"/>
      <c r="DJ623" s="305"/>
      <c r="DK623" s="305"/>
      <c r="DL623" s="305"/>
      <c r="DM623" s="305"/>
      <c r="DN623" s="305"/>
      <c r="DO623" s="305"/>
      <c r="DP623" s="305"/>
      <c r="DQ623" s="305"/>
      <c r="DR623" s="305"/>
      <c r="DS623" s="305"/>
      <c r="DT623" s="305"/>
      <c r="DU623" s="305"/>
      <c r="DV623" s="305"/>
      <c r="DW623" s="305"/>
      <c r="DX623" s="305"/>
      <c r="DY623" s="305"/>
      <c r="DZ623" s="305"/>
      <c r="EA623" s="305"/>
      <c r="EB623" s="305"/>
      <c r="EC623" s="305"/>
      <c r="ED623" s="305"/>
      <c r="EE623" s="305"/>
      <c r="EF623" s="305"/>
      <c r="EG623" s="305"/>
      <c r="EH623" s="305"/>
      <c r="EI623" s="305"/>
      <c r="EJ623" s="305"/>
      <c r="EK623" s="305"/>
      <c r="EL623" s="305"/>
      <c r="EM623" s="305"/>
      <c r="EN623" s="305"/>
      <c r="EO623" s="305"/>
      <c r="EP623" s="305"/>
      <c r="EQ623" s="305"/>
      <c r="ER623" s="305"/>
      <c r="ES623" s="305"/>
      <c r="ET623" s="305"/>
      <c r="EU623" s="305"/>
      <c r="EV623" s="305"/>
      <c r="EW623" s="305"/>
      <c r="EX623" s="305"/>
      <c r="EY623" s="305"/>
      <c r="EZ623" s="305"/>
      <c r="FA623" s="305"/>
      <c r="FB623" s="305"/>
      <c r="FC623" s="305"/>
      <c r="FD623" s="305"/>
      <c r="FE623" s="305"/>
      <c r="FF623" s="305"/>
      <c r="FG623" s="305"/>
      <c r="FH623" s="305"/>
      <c r="FI623" s="305"/>
      <c r="FJ623" s="305"/>
      <c r="FK623" s="305"/>
      <c r="FL623" s="305"/>
      <c r="FM623" s="305"/>
      <c r="FN623" s="305"/>
      <c r="FO623" s="305"/>
      <c r="FP623" s="305"/>
      <c r="FQ623" s="305"/>
      <c r="FR623" s="305"/>
      <c r="FS623" s="305"/>
      <c r="FT623" s="305"/>
      <c r="FU623" s="305"/>
      <c r="FV623" s="305"/>
      <c r="FW623" s="305"/>
      <c r="FX623" s="305"/>
      <c r="FY623" s="305"/>
      <c r="FZ623" s="305"/>
      <c r="GA623" s="305"/>
      <c r="GB623" s="305"/>
      <c r="GC623" s="305"/>
      <c r="GD623" s="305"/>
      <c r="GE623" s="305"/>
      <c r="GF623" s="305"/>
      <c r="GG623" s="305"/>
      <c r="GH623" s="305"/>
      <c r="GI623" s="305"/>
      <c r="GJ623" s="305"/>
      <c r="GK623" s="305"/>
      <c r="GL623" s="305"/>
      <c r="GM623" s="305"/>
      <c r="GN623" s="305"/>
      <c r="GO623" s="305"/>
      <c r="GP623" s="305"/>
      <c r="GQ623" s="305"/>
      <c r="GR623" s="305"/>
    </row>
    <row r="624" spans="3:200" s="318" customFormat="1" ht="12.75" customHeight="1" x14ac:dyDescent="0.2">
      <c r="C624" s="367"/>
      <c r="D624" s="403"/>
      <c r="E624" s="369"/>
      <c r="F624" s="369"/>
      <c r="G624" s="369"/>
      <c r="H624" s="369"/>
      <c r="I624" s="370"/>
      <c r="J624"/>
      <c r="K624" s="371"/>
      <c r="L624" s="371"/>
      <c r="M624" s="371"/>
      <c r="N624" s="371"/>
      <c r="O624" s="305"/>
      <c r="P624" s="305"/>
      <c r="Q624" s="305"/>
      <c r="R624" s="305"/>
      <c r="S624" s="305"/>
      <c r="T624" s="305"/>
      <c r="U624" s="305"/>
      <c r="V624" s="305"/>
      <c r="W624" s="305"/>
      <c r="X624" s="305"/>
      <c r="Y624" s="305"/>
      <c r="Z624" s="305"/>
      <c r="AA624" s="305"/>
      <c r="AB624" s="305"/>
      <c r="AC624" s="305"/>
      <c r="AD624" s="305"/>
      <c r="AE624" s="305"/>
      <c r="AF624" s="305"/>
      <c r="AG624" s="305"/>
      <c r="AH624" s="305"/>
      <c r="AI624" s="305"/>
      <c r="AJ624" s="305"/>
      <c r="AK624" s="305"/>
      <c r="AL624" s="305"/>
      <c r="AM624" s="305"/>
      <c r="AN624" s="305"/>
      <c r="AO624" s="305"/>
      <c r="AP624" s="305"/>
      <c r="AQ624" s="305"/>
      <c r="AR624" s="305"/>
      <c r="AS624" s="305"/>
      <c r="AT624" s="305"/>
      <c r="AU624" s="305"/>
      <c r="AV624" s="305"/>
      <c r="AW624" s="305"/>
      <c r="AX624" s="305"/>
      <c r="AY624" s="305"/>
      <c r="AZ624" s="305"/>
      <c r="BA624" s="305"/>
      <c r="BB624" s="305"/>
      <c r="BC624" s="305"/>
      <c r="BD624" s="305"/>
      <c r="BE624" s="305"/>
      <c r="BF624" s="305"/>
      <c r="BG624" s="305"/>
      <c r="BH624" s="305"/>
      <c r="BI624" s="305"/>
      <c r="BJ624" s="305"/>
      <c r="BK624" s="305"/>
      <c r="BL624" s="305"/>
      <c r="BM624" s="305"/>
      <c r="BN624" s="305"/>
      <c r="BO624" s="305"/>
      <c r="BP624" s="305"/>
      <c r="BQ624" s="305"/>
      <c r="BR624" s="305"/>
      <c r="BS624" s="305"/>
      <c r="BT624" s="305"/>
      <c r="BU624" s="305"/>
      <c r="BV624" s="305"/>
      <c r="BW624" s="305"/>
      <c r="BX624" s="305"/>
      <c r="BY624" s="305"/>
      <c r="BZ624" s="305"/>
      <c r="CA624" s="305"/>
      <c r="CB624" s="305"/>
      <c r="CC624" s="305"/>
      <c r="CD624" s="305"/>
      <c r="CE624" s="305"/>
      <c r="CF624" s="305"/>
      <c r="CG624" s="305"/>
      <c r="CH624" s="305"/>
      <c r="CI624" s="305"/>
      <c r="CJ624" s="305"/>
      <c r="CK624" s="305"/>
      <c r="CL624" s="305"/>
      <c r="CM624" s="305"/>
      <c r="CN624" s="305"/>
      <c r="CO624" s="305"/>
      <c r="CP624" s="305"/>
      <c r="CQ624" s="305"/>
      <c r="CR624" s="305"/>
      <c r="CS624" s="305"/>
      <c r="CT624" s="305"/>
      <c r="CU624" s="305"/>
      <c r="CV624" s="305"/>
      <c r="CW624" s="305"/>
      <c r="CX624" s="305"/>
      <c r="CY624" s="305"/>
      <c r="CZ624" s="305"/>
      <c r="DA624" s="305"/>
      <c r="DB624" s="305"/>
      <c r="DC624" s="305"/>
      <c r="DD624" s="305"/>
      <c r="DE624" s="305"/>
      <c r="DF624" s="305"/>
      <c r="DG624" s="305"/>
      <c r="DH624" s="305"/>
      <c r="DI624" s="305"/>
      <c r="DJ624" s="305"/>
      <c r="DK624" s="305"/>
      <c r="DL624" s="305"/>
      <c r="DM624" s="305"/>
      <c r="DN624" s="305"/>
      <c r="DO624" s="305"/>
      <c r="DP624" s="305"/>
      <c r="DQ624" s="305"/>
      <c r="DR624" s="305"/>
      <c r="DS624" s="305"/>
      <c r="DT624" s="305"/>
      <c r="DU624" s="305"/>
      <c r="DV624" s="305"/>
      <c r="DW624" s="305"/>
      <c r="DX624" s="305"/>
      <c r="DY624" s="305"/>
      <c r="DZ624" s="305"/>
      <c r="EA624" s="305"/>
      <c r="EB624" s="305"/>
      <c r="EC624" s="305"/>
      <c r="ED624" s="305"/>
      <c r="EE624" s="305"/>
      <c r="EF624" s="305"/>
      <c r="EG624" s="305"/>
      <c r="EH624" s="305"/>
      <c r="EI624" s="305"/>
      <c r="EJ624" s="305"/>
      <c r="EK624" s="305"/>
      <c r="EL624" s="305"/>
      <c r="EM624" s="305"/>
      <c r="EN624" s="305"/>
      <c r="EO624" s="305"/>
      <c r="EP624" s="305"/>
      <c r="EQ624" s="305"/>
      <c r="ER624" s="305"/>
      <c r="ES624" s="305"/>
      <c r="ET624" s="305"/>
      <c r="EU624" s="305"/>
      <c r="EV624" s="305"/>
      <c r="EW624" s="305"/>
      <c r="EX624" s="305"/>
      <c r="EY624" s="305"/>
      <c r="EZ624" s="305"/>
      <c r="FA624" s="305"/>
      <c r="FB624" s="305"/>
      <c r="FC624" s="305"/>
      <c r="FD624" s="305"/>
      <c r="FE624" s="305"/>
      <c r="FF624" s="305"/>
      <c r="FG624" s="305"/>
      <c r="FH624" s="305"/>
      <c r="FI624" s="305"/>
      <c r="FJ624" s="305"/>
      <c r="FK624" s="305"/>
      <c r="FL624" s="305"/>
      <c r="FM624" s="305"/>
      <c r="FN624" s="305"/>
      <c r="FO624" s="305"/>
      <c r="FP624" s="305"/>
      <c r="FQ624" s="305"/>
      <c r="FR624" s="305"/>
      <c r="FS624" s="305"/>
      <c r="FT624" s="305"/>
      <c r="FU624" s="305"/>
      <c r="FV624" s="305"/>
      <c r="FW624" s="305"/>
      <c r="FX624" s="305"/>
      <c r="FY624" s="305"/>
      <c r="FZ624" s="305"/>
      <c r="GA624" s="305"/>
      <c r="GB624" s="305"/>
      <c r="GC624" s="305"/>
      <c r="GD624" s="305"/>
      <c r="GE624" s="305"/>
      <c r="GF624" s="305"/>
      <c r="GG624" s="305"/>
      <c r="GH624" s="305"/>
      <c r="GI624" s="305"/>
      <c r="GJ624" s="305"/>
      <c r="GK624" s="305"/>
      <c r="GL624" s="305"/>
      <c r="GM624" s="305"/>
      <c r="GN624" s="305"/>
      <c r="GO624" s="305"/>
      <c r="GP624" s="305"/>
      <c r="GQ624" s="305"/>
      <c r="GR624" s="305"/>
    </row>
    <row r="625" spans="3:200" s="318" customFormat="1" ht="12.75" customHeight="1" x14ac:dyDescent="0.2">
      <c r="C625" s="367"/>
      <c r="D625" s="403"/>
      <c r="E625" s="369"/>
      <c r="F625" s="369"/>
      <c r="G625" s="369"/>
      <c r="H625" s="369"/>
      <c r="I625" s="370"/>
      <c r="J625"/>
      <c r="K625" s="371"/>
      <c r="L625" s="371"/>
      <c r="M625" s="371"/>
      <c r="N625" s="371"/>
      <c r="O625" s="305"/>
      <c r="P625" s="305"/>
      <c r="Q625" s="305"/>
      <c r="R625" s="305"/>
      <c r="S625" s="305"/>
      <c r="T625" s="305"/>
      <c r="U625" s="305"/>
      <c r="V625" s="305"/>
      <c r="W625" s="305"/>
      <c r="X625" s="305"/>
      <c r="Y625" s="305"/>
      <c r="Z625" s="305"/>
      <c r="AA625" s="305"/>
      <c r="AB625" s="305"/>
      <c r="AC625" s="305"/>
      <c r="AD625" s="305"/>
      <c r="AE625" s="305"/>
      <c r="AF625" s="305"/>
      <c r="AG625" s="305"/>
      <c r="AH625" s="305"/>
      <c r="AI625" s="305"/>
      <c r="AJ625" s="305"/>
      <c r="AK625" s="305"/>
      <c r="AL625" s="305"/>
      <c r="AM625" s="305"/>
      <c r="AN625" s="305"/>
      <c r="AO625" s="305"/>
      <c r="AP625" s="305"/>
      <c r="AQ625" s="305"/>
      <c r="AR625" s="305"/>
      <c r="AS625" s="305"/>
      <c r="AT625" s="305"/>
      <c r="AU625" s="305"/>
      <c r="AV625" s="305"/>
      <c r="AW625" s="305"/>
      <c r="AX625" s="305"/>
      <c r="AY625" s="305"/>
      <c r="AZ625" s="305"/>
      <c r="BA625" s="305"/>
      <c r="BB625" s="305"/>
      <c r="BC625" s="305"/>
      <c r="BD625" s="305"/>
      <c r="BE625" s="305"/>
      <c r="BF625" s="305"/>
      <c r="BG625" s="305"/>
      <c r="BH625" s="305"/>
      <c r="BI625" s="305"/>
      <c r="BJ625" s="305"/>
      <c r="BK625" s="305"/>
      <c r="BL625" s="305"/>
      <c r="BM625" s="305"/>
      <c r="BN625" s="305"/>
      <c r="BO625" s="305"/>
      <c r="BP625" s="305"/>
      <c r="BQ625" s="305"/>
      <c r="BR625" s="305"/>
      <c r="BS625" s="305"/>
      <c r="BT625" s="305"/>
      <c r="BU625" s="305"/>
      <c r="BV625" s="305"/>
      <c r="BW625" s="305"/>
      <c r="BX625" s="305"/>
      <c r="BY625" s="305"/>
      <c r="BZ625" s="305"/>
      <c r="CA625" s="305"/>
      <c r="CB625" s="305"/>
      <c r="CC625" s="305"/>
      <c r="CD625" s="305"/>
      <c r="CE625" s="305"/>
      <c r="CF625" s="305"/>
      <c r="CG625" s="305"/>
      <c r="CH625" s="305"/>
      <c r="CI625" s="305"/>
      <c r="CJ625" s="305"/>
      <c r="CK625" s="305"/>
      <c r="CL625" s="305"/>
      <c r="CM625" s="305"/>
      <c r="CN625" s="305"/>
      <c r="CO625" s="305"/>
      <c r="CP625" s="305"/>
      <c r="CQ625" s="305"/>
      <c r="CR625" s="305"/>
      <c r="CS625" s="305"/>
      <c r="CT625" s="305"/>
      <c r="CU625" s="305"/>
      <c r="CV625" s="305"/>
      <c r="CW625" s="305"/>
      <c r="CX625" s="305"/>
      <c r="CY625" s="305"/>
      <c r="CZ625" s="305"/>
      <c r="DA625" s="305"/>
      <c r="DB625" s="305"/>
      <c r="DC625" s="305"/>
      <c r="DD625" s="305"/>
      <c r="DE625" s="305"/>
      <c r="DF625" s="305"/>
      <c r="DG625" s="305"/>
      <c r="DH625" s="305"/>
      <c r="DI625" s="305"/>
      <c r="DJ625" s="305"/>
      <c r="DK625" s="305"/>
      <c r="DL625" s="305"/>
      <c r="DM625" s="305"/>
      <c r="DN625" s="305"/>
      <c r="DO625" s="305"/>
      <c r="DP625" s="305"/>
      <c r="DQ625" s="305"/>
      <c r="DR625" s="305"/>
      <c r="DS625" s="305"/>
      <c r="DT625" s="305"/>
      <c r="DU625" s="305"/>
      <c r="DV625" s="305"/>
      <c r="DW625" s="305"/>
      <c r="DX625" s="305"/>
      <c r="DY625" s="305"/>
      <c r="DZ625" s="305"/>
      <c r="EA625" s="305"/>
      <c r="EB625" s="305"/>
      <c r="EC625" s="305"/>
      <c r="ED625" s="305"/>
      <c r="EE625" s="305"/>
      <c r="EF625" s="305"/>
      <c r="EG625" s="305"/>
      <c r="EH625" s="305"/>
      <c r="EI625" s="305"/>
      <c r="EJ625" s="305"/>
      <c r="EK625" s="305"/>
      <c r="EL625" s="305"/>
      <c r="EM625" s="305"/>
      <c r="EN625" s="305"/>
      <c r="EO625" s="305"/>
      <c r="EP625" s="305"/>
      <c r="EQ625" s="305"/>
      <c r="ER625" s="305"/>
      <c r="ES625" s="305"/>
      <c r="ET625" s="305"/>
      <c r="EU625" s="305"/>
      <c r="EV625" s="305"/>
      <c r="EW625" s="305"/>
      <c r="EX625" s="305"/>
      <c r="EY625" s="305"/>
      <c r="EZ625" s="305"/>
      <c r="FA625" s="305"/>
      <c r="FB625" s="305"/>
      <c r="FC625" s="305"/>
      <c r="FD625" s="305"/>
      <c r="FE625" s="305"/>
      <c r="FF625" s="305"/>
      <c r="FG625" s="305"/>
      <c r="FH625" s="305"/>
      <c r="FI625" s="305"/>
      <c r="FJ625" s="305"/>
      <c r="FK625" s="305"/>
      <c r="FL625" s="305"/>
      <c r="FM625" s="305"/>
      <c r="FN625" s="305"/>
      <c r="FO625" s="305"/>
      <c r="FP625" s="305"/>
      <c r="FQ625" s="305"/>
      <c r="FR625" s="305"/>
      <c r="FS625" s="305"/>
      <c r="FT625" s="305"/>
      <c r="FU625" s="305"/>
      <c r="FV625" s="305"/>
      <c r="FW625" s="305"/>
      <c r="FX625" s="305"/>
      <c r="FY625" s="305"/>
      <c r="FZ625" s="305"/>
      <c r="GA625" s="305"/>
      <c r="GB625" s="305"/>
      <c r="GC625" s="305"/>
      <c r="GD625" s="305"/>
      <c r="GE625" s="305"/>
      <c r="GF625" s="305"/>
      <c r="GG625" s="305"/>
      <c r="GH625" s="305"/>
      <c r="GI625" s="305"/>
      <c r="GJ625" s="305"/>
      <c r="GK625" s="305"/>
      <c r="GL625" s="305"/>
      <c r="GM625" s="305"/>
      <c r="GN625" s="305"/>
      <c r="GO625" s="305"/>
      <c r="GP625" s="305"/>
      <c r="GQ625" s="305"/>
      <c r="GR625" s="305"/>
    </row>
    <row r="626" spans="3:200" s="318" customFormat="1" ht="12.75" customHeight="1" x14ac:dyDescent="0.2">
      <c r="C626" s="367"/>
      <c r="D626" s="403"/>
      <c r="E626" s="369"/>
      <c r="F626" s="369"/>
      <c r="G626" s="369"/>
      <c r="H626" s="369"/>
      <c r="I626" s="370"/>
      <c r="J626"/>
      <c r="K626" s="371"/>
      <c r="L626" s="371"/>
      <c r="M626" s="371"/>
      <c r="N626" s="371"/>
      <c r="O626" s="305"/>
      <c r="P626" s="305"/>
      <c r="Q626" s="305"/>
      <c r="R626" s="305"/>
      <c r="S626" s="305"/>
      <c r="T626" s="305"/>
      <c r="U626" s="305"/>
      <c r="V626" s="305"/>
      <c r="W626" s="305"/>
      <c r="X626" s="305"/>
      <c r="Y626" s="305"/>
      <c r="Z626" s="305"/>
      <c r="AA626" s="305"/>
      <c r="AB626" s="305"/>
      <c r="AC626" s="305"/>
      <c r="AD626" s="305"/>
      <c r="AE626" s="305"/>
      <c r="AF626" s="305"/>
      <c r="AG626" s="305"/>
      <c r="AH626" s="305"/>
      <c r="AI626" s="305"/>
      <c r="AJ626" s="305"/>
      <c r="AK626" s="305"/>
      <c r="AL626" s="305"/>
      <c r="AM626" s="305"/>
      <c r="AN626" s="305"/>
      <c r="AO626" s="305"/>
      <c r="AP626" s="305"/>
      <c r="AQ626" s="305"/>
      <c r="AR626" s="305"/>
      <c r="AS626" s="305"/>
      <c r="AT626" s="305"/>
      <c r="AU626" s="305"/>
      <c r="AV626" s="305"/>
      <c r="AW626" s="305"/>
      <c r="AX626" s="305"/>
      <c r="AY626" s="305"/>
      <c r="AZ626" s="305"/>
      <c r="BA626" s="305"/>
      <c r="BB626" s="305"/>
      <c r="BC626" s="305"/>
      <c r="BD626" s="305"/>
      <c r="BE626" s="305"/>
      <c r="BF626" s="305"/>
      <c r="BG626" s="305"/>
      <c r="BH626" s="305"/>
      <c r="BI626" s="305"/>
      <c r="BJ626" s="305"/>
      <c r="BK626" s="305"/>
      <c r="BL626" s="305"/>
      <c r="BM626" s="305"/>
      <c r="BN626" s="305"/>
      <c r="BO626" s="305"/>
      <c r="BP626" s="305"/>
      <c r="BQ626" s="305"/>
      <c r="BR626" s="305"/>
      <c r="BS626" s="305"/>
      <c r="BT626" s="305"/>
      <c r="BU626" s="305"/>
      <c r="BV626" s="305"/>
      <c r="BW626" s="305"/>
      <c r="BX626" s="305"/>
      <c r="BY626" s="305"/>
      <c r="BZ626" s="305"/>
      <c r="CA626" s="305"/>
      <c r="CB626" s="305"/>
      <c r="CC626" s="305"/>
      <c r="CD626" s="305"/>
      <c r="CE626" s="305"/>
      <c r="CF626" s="305"/>
      <c r="CG626" s="305"/>
      <c r="CH626" s="305"/>
      <c r="CI626" s="305"/>
      <c r="CJ626" s="305"/>
      <c r="CK626" s="305"/>
      <c r="CL626" s="305"/>
      <c r="CM626" s="305"/>
      <c r="CN626" s="305"/>
      <c r="CO626" s="305"/>
      <c r="CP626" s="305"/>
      <c r="CQ626" s="305"/>
      <c r="CR626" s="305"/>
      <c r="CS626" s="305"/>
      <c r="CT626" s="305"/>
      <c r="CU626" s="305"/>
      <c r="CV626" s="305"/>
      <c r="CW626" s="305"/>
      <c r="CX626" s="305"/>
      <c r="CY626" s="305"/>
      <c r="CZ626" s="305"/>
      <c r="DA626" s="305"/>
      <c r="DB626" s="305"/>
      <c r="DC626" s="305"/>
      <c r="DD626" s="305"/>
      <c r="DE626" s="305"/>
      <c r="DF626" s="305"/>
      <c r="DG626" s="305"/>
      <c r="DH626" s="305"/>
      <c r="DI626" s="305"/>
      <c r="DJ626" s="305"/>
      <c r="DK626" s="305"/>
      <c r="DL626" s="305"/>
      <c r="DM626" s="305"/>
      <c r="DN626" s="305"/>
      <c r="DO626" s="305"/>
      <c r="DP626" s="305"/>
      <c r="DQ626" s="305"/>
      <c r="DR626" s="305"/>
      <c r="DS626" s="305"/>
      <c r="DT626" s="305"/>
      <c r="DU626" s="305"/>
      <c r="DV626" s="305"/>
      <c r="DW626" s="305"/>
      <c r="DX626" s="305"/>
      <c r="DY626" s="305"/>
      <c r="DZ626" s="305"/>
      <c r="EA626" s="305"/>
      <c r="EB626" s="305"/>
      <c r="EC626" s="305"/>
      <c r="ED626" s="305"/>
      <c r="EE626" s="305"/>
      <c r="EF626" s="305"/>
      <c r="EG626" s="305"/>
      <c r="EH626" s="305"/>
      <c r="EI626" s="305"/>
      <c r="EJ626" s="305"/>
      <c r="EK626" s="305"/>
      <c r="EL626" s="305"/>
      <c r="EM626" s="305"/>
      <c r="EN626" s="305"/>
      <c r="EO626" s="305"/>
      <c r="EP626" s="305"/>
      <c r="EQ626" s="305"/>
      <c r="ER626" s="305"/>
      <c r="ES626" s="305"/>
      <c r="ET626" s="305"/>
      <c r="EU626" s="305"/>
      <c r="EV626" s="305"/>
      <c r="EW626" s="305"/>
      <c r="EX626" s="305"/>
      <c r="EY626" s="305"/>
      <c r="EZ626" s="305"/>
      <c r="FA626" s="305"/>
      <c r="FB626" s="305"/>
      <c r="FC626" s="305"/>
      <c r="FD626" s="305"/>
      <c r="FE626" s="305"/>
      <c r="FF626" s="305"/>
      <c r="FG626" s="305"/>
      <c r="FH626" s="305"/>
      <c r="FI626" s="305"/>
      <c r="FJ626" s="305"/>
      <c r="FK626" s="305"/>
      <c r="FL626" s="305"/>
      <c r="FM626" s="305"/>
      <c r="FN626" s="305"/>
      <c r="FO626" s="305"/>
      <c r="FP626" s="305"/>
      <c r="FQ626" s="305"/>
      <c r="FR626" s="305"/>
      <c r="FS626" s="305"/>
      <c r="FT626" s="305"/>
      <c r="FU626" s="305"/>
      <c r="FV626" s="305"/>
      <c r="FW626" s="305"/>
      <c r="FX626" s="305"/>
      <c r="FY626" s="305"/>
      <c r="FZ626" s="305"/>
      <c r="GA626" s="305"/>
      <c r="GB626" s="305"/>
      <c r="GC626" s="305"/>
      <c r="GD626" s="305"/>
      <c r="GE626" s="305"/>
      <c r="GF626" s="305"/>
      <c r="GG626" s="305"/>
      <c r="GH626" s="305"/>
      <c r="GI626" s="305"/>
      <c r="GJ626" s="305"/>
      <c r="GK626" s="305"/>
      <c r="GL626" s="305"/>
      <c r="GM626" s="305"/>
      <c r="GN626" s="305"/>
      <c r="GO626" s="305"/>
      <c r="GP626" s="305"/>
      <c r="GQ626" s="305"/>
      <c r="GR626" s="305"/>
    </row>
    <row r="627" spans="3:200" s="318" customFormat="1" ht="12.75" customHeight="1" x14ac:dyDescent="0.2">
      <c r="C627" s="367"/>
      <c r="D627" s="403"/>
      <c r="E627" s="369"/>
      <c r="F627" s="369"/>
      <c r="G627" s="369"/>
      <c r="H627" s="369"/>
      <c r="I627" s="370"/>
      <c r="J627"/>
      <c r="K627" s="371"/>
      <c r="L627" s="371"/>
      <c r="M627" s="371"/>
      <c r="N627" s="371"/>
      <c r="O627" s="305"/>
      <c r="P627" s="305"/>
      <c r="Q627" s="305"/>
      <c r="R627" s="305"/>
      <c r="S627" s="305"/>
      <c r="T627" s="305"/>
      <c r="U627" s="305"/>
      <c r="V627" s="305"/>
      <c r="W627" s="305"/>
      <c r="X627" s="305"/>
      <c r="Y627" s="305"/>
      <c r="Z627" s="305"/>
      <c r="AA627" s="305"/>
      <c r="AB627" s="305"/>
      <c r="AC627" s="305"/>
      <c r="AD627" s="305"/>
      <c r="AE627" s="305"/>
      <c r="AF627" s="305"/>
      <c r="AG627" s="305"/>
      <c r="AH627" s="305"/>
      <c r="AI627" s="305"/>
      <c r="AJ627" s="305"/>
      <c r="AK627" s="305"/>
      <c r="AL627" s="305"/>
      <c r="AM627" s="305"/>
      <c r="AN627" s="305"/>
      <c r="AO627" s="305"/>
      <c r="AP627" s="305"/>
      <c r="AQ627" s="305"/>
      <c r="AR627" s="305"/>
      <c r="AS627" s="305"/>
      <c r="AT627" s="305"/>
      <c r="AU627" s="305"/>
      <c r="AV627" s="305"/>
      <c r="AW627" s="305"/>
      <c r="AX627" s="305"/>
      <c r="AY627" s="305"/>
      <c r="AZ627" s="305"/>
      <c r="BA627" s="305"/>
      <c r="BB627" s="305"/>
      <c r="BC627" s="305"/>
      <c r="BD627" s="305"/>
      <c r="BE627" s="305"/>
      <c r="BF627" s="305"/>
      <c r="BG627" s="305"/>
      <c r="BH627" s="305"/>
      <c r="BI627" s="305"/>
      <c r="BJ627" s="305"/>
      <c r="BK627" s="305"/>
      <c r="BL627" s="305"/>
      <c r="BM627" s="305"/>
      <c r="BN627" s="305"/>
      <c r="BO627" s="305"/>
      <c r="BP627" s="305"/>
      <c r="BQ627" s="305"/>
      <c r="BR627" s="305"/>
      <c r="BS627" s="305"/>
      <c r="BT627" s="305"/>
      <c r="BU627" s="305"/>
      <c r="BV627" s="305"/>
      <c r="BW627" s="305"/>
      <c r="BX627" s="305"/>
      <c r="BY627" s="305"/>
      <c r="BZ627" s="305"/>
      <c r="CA627" s="305"/>
      <c r="CB627" s="305"/>
      <c r="CC627" s="305"/>
      <c r="CD627" s="305"/>
      <c r="CE627" s="305"/>
      <c r="CF627" s="305"/>
      <c r="CG627" s="305"/>
      <c r="CH627" s="305"/>
      <c r="CI627" s="305"/>
      <c r="CJ627" s="305"/>
      <c r="CK627" s="305"/>
      <c r="CL627" s="305"/>
      <c r="CM627" s="305"/>
      <c r="CN627" s="305"/>
      <c r="CO627" s="305"/>
      <c r="CP627" s="305"/>
      <c r="CQ627" s="305"/>
      <c r="CR627" s="305"/>
      <c r="CS627" s="305"/>
      <c r="CT627" s="305"/>
      <c r="CU627" s="305"/>
      <c r="CV627" s="305"/>
      <c r="CW627" s="305"/>
      <c r="CX627" s="305"/>
      <c r="CY627" s="305"/>
      <c r="CZ627" s="305"/>
      <c r="DA627" s="305"/>
      <c r="DB627" s="305"/>
      <c r="DC627" s="305"/>
      <c r="DD627" s="305"/>
      <c r="DE627" s="305"/>
      <c r="DF627" s="305"/>
      <c r="DG627" s="305"/>
      <c r="DH627" s="305"/>
      <c r="DI627" s="305"/>
      <c r="DJ627" s="305"/>
      <c r="DK627" s="305"/>
      <c r="DL627" s="305"/>
      <c r="DM627" s="305"/>
      <c r="DN627" s="305"/>
      <c r="DO627" s="305"/>
      <c r="DP627" s="305"/>
      <c r="DQ627" s="305"/>
      <c r="DR627" s="305"/>
      <c r="DS627" s="305"/>
      <c r="DT627" s="305"/>
      <c r="DU627" s="305"/>
      <c r="DV627" s="305"/>
      <c r="DW627" s="305"/>
      <c r="DX627" s="305"/>
      <c r="DY627" s="305"/>
      <c r="DZ627" s="305"/>
      <c r="EA627" s="305"/>
      <c r="EB627" s="305"/>
      <c r="EC627" s="305"/>
      <c r="ED627" s="305"/>
      <c r="EE627" s="305"/>
      <c r="EF627" s="305"/>
      <c r="EG627" s="305"/>
      <c r="EH627" s="305"/>
      <c r="EI627" s="305"/>
      <c r="EJ627" s="305"/>
      <c r="EK627" s="305"/>
      <c r="EL627" s="305"/>
      <c r="EM627" s="305"/>
      <c r="EN627" s="305"/>
      <c r="EO627" s="305"/>
      <c r="EP627" s="305"/>
      <c r="EQ627" s="305"/>
      <c r="ER627" s="305"/>
      <c r="ES627" s="305"/>
      <c r="ET627" s="305"/>
      <c r="EU627" s="305"/>
      <c r="EV627" s="305"/>
      <c r="EW627" s="305"/>
      <c r="EX627" s="305"/>
      <c r="EY627" s="305"/>
      <c r="EZ627" s="305"/>
      <c r="FA627" s="305"/>
      <c r="FB627" s="305"/>
      <c r="FC627" s="305"/>
      <c r="FD627" s="305"/>
      <c r="FE627" s="305"/>
      <c r="FF627" s="305"/>
      <c r="FG627" s="305"/>
      <c r="FH627" s="305"/>
      <c r="FI627" s="305"/>
      <c r="FJ627" s="305"/>
      <c r="FK627" s="305"/>
      <c r="FL627" s="305"/>
      <c r="FM627" s="305"/>
      <c r="FN627" s="305"/>
      <c r="FO627" s="305"/>
      <c r="FP627" s="305"/>
      <c r="FQ627" s="305"/>
      <c r="FR627" s="305"/>
      <c r="FS627" s="305"/>
      <c r="FT627" s="305"/>
      <c r="FU627" s="305"/>
      <c r="FV627" s="305"/>
      <c r="FW627" s="305"/>
      <c r="FX627" s="305"/>
      <c r="FY627" s="305"/>
      <c r="FZ627" s="305"/>
      <c r="GA627" s="305"/>
      <c r="GB627" s="305"/>
      <c r="GC627" s="305"/>
      <c r="GD627" s="305"/>
      <c r="GE627" s="305"/>
      <c r="GF627" s="305"/>
      <c r="GG627" s="305"/>
      <c r="GH627" s="305"/>
      <c r="GI627" s="305"/>
      <c r="GJ627" s="305"/>
      <c r="GK627" s="305"/>
      <c r="GL627" s="305"/>
      <c r="GM627" s="305"/>
      <c r="GN627" s="305"/>
      <c r="GO627" s="305"/>
      <c r="GP627" s="305"/>
      <c r="GQ627" s="305"/>
      <c r="GR627" s="305"/>
    </row>
    <row r="628" spans="3:200" s="318" customFormat="1" ht="12.75" customHeight="1" x14ac:dyDescent="0.2">
      <c r="C628" s="367"/>
      <c r="D628" s="403"/>
      <c r="E628" s="369"/>
      <c r="F628" s="369"/>
      <c r="G628" s="369"/>
      <c r="H628" s="369"/>
      <c r="I628" s="370"/>
      <c r="J628"/>
      <c r="K628" s="371"/>
      <c r="L628" s="371"/>
      <c r="M628" s="371"/>
      <c r="N628" s="371"/>
      <c r="O628" s="305"/>
      <c r="P628" s="305"/>
      <c r="Q628" s="305"/>
      <c r="R628" s="305"/>
      <c r="S628" s="305"/>
      <c r="T628" s="305"/>
      <c r="U628" s="305"/>
      <c r="V628" s="305"/>
      <c r="W628" s="305"/>
      <c r="X628" s="305"/>
      <c r="Y628" s="305"/>
      <c r="Z628" s="305"/>
      <c r="AA628" s="305"/>
      <c r="AB628" s="305"/>
      <c r="AC628" s="305"/>
      <c r="AD628" s="305"/>
      <c r="AE628" s="305"/>
      <c r="AF628" s="305"/>
      <c r="AG628" s="305"/>
      <c r="AH628" s="305"/>
      <c r="AI628" s="305"/>
      <c r="AJ628" s="305"/>
      <c r="AK628" s="305"/>
      <c r="AL628" s="305"/>
      <c r="AM628" s="305"/>
      <c r="AN628" s="305"/>
      <c r="AO628" s="305"/>
      <c r="AP628" s="305"/>
      <c r="AQ628" s="305"/>
      <c r="AR628" s="305"/>
      <c r="AS628" s="305"/>
      <c r="AT628" s="305"/>
      <c r="AU628" s="305"/>
      <c r="AV628" s="305"/>
      <c r="AW628" s="305"/>
      <c r="AX628" s="305"/>
      <c r="AY628" s="305"/>
      <c r="AZ628" s="305"/>
      <c r="BA628" s="305"/>
      <c r="BB628" s="305"/>
      <c r="BC628" s="305"/>
      <c r="BD628" s="305"/>
      <c r="BE628" s="305"/>
      <c r="BF628" s="305"/>
      <c r="BG628" s="305"/>
      <c r="BH628" s="305"/>
      <c r="BI628" s="305"/>
      <c r="BJ628" s="305"/>
      <c r="BK628" s="305"/>
      <c r="BL628" s="305"/>
      <c r="BM628" s="305"/>
      <c r="BN628" s="305"/>
      <c r="BO628" s="305"/>
      <c r="BP628" s="305"/>
      <c r="BQ628" s="305"/>
      <c r="BR628" s="305"/>
      <c r="BS628" s="305"/>
      <c r="BT628" s="305"/>
      <c r="BU628" s="305"/>
      <c r="BV628" s="305"/>
      <c r="BW628" s="305"/>
      <c r="BX628" s="305"/>
      <c r="BY628" s="305"/>
      <c r="BZ628" s="305"/>
      <c r="CA628" s="305"/>
      <c r="CB628" s="305"/>
      <c r="CC628" s="305"/>
      <c r="CD628" s="305"/>
      <c r="CE628" s="305"/>
      <c r="CF628" s="305"/>
      <c r="CG628" s="305"/>
      <c r="CH628" s="305"/>
      <c r="CI628" s="305"/>
      <c r="CJ628" s="305"/>
      <c r="CK628" s="305"/>
      <c r="CL628" s="305"/>
      <c r="CM628" s="305"/>
      <c r="CN628" s="305"/>
      <c r="CO628" s="305"/>
      <c r="CP628" s="305"/>
      <c r="CQ628" s="305"/>
      <c r="CR628" s="305"/>
      <c r="CS628" s="305"/>
      <c r="CT628" s="305"/>
      <c r="CU628" s="305"/>
      <c r="CV628" s="305"/>
      <c r="CW628" s="305"/>
      <c r="CX628" s="305"/>
      <c r="CY628" s="305"/>
      <c r="CZ628" s="305"/>
      <c r="DA628" s="305"/>
      <c r="DB628" s="305"/>
      <c r="DC628" s="305"/>
      <c r="DD628" s="305"/>
      <c r="DE628" s="305"/>
      <c r="DF628" s="305"/>
      <c r="DG628" s="305"/>
      <c r="DH628" s="305"/>
      <c r="DI628" s="305"/>
      <c r="DJ628" s="305"/>
      <c r="DK628" s="305"/>
      <c r="DL628" s="305"/>
      <c r="DM628" s="305"/>
      <c r="DN628" s="305"/>
      <c r="DO628" s="305"/>
      <c r="DP628" s="305"/>
      <c r="DQ628" s="305"/>
      <c r="DR628" s="305"/>
      <c r="DS628" s="305"/>
      <c r="DT628" s="305"/>
      <c r="DU628" s="305"/>
      <c r="DV628" s="305"/>
      <c r="DW628" s="305"/>
      <c r="DX628" s="305"/>
      <c r="DY628" s="305"/>
      <c r="DZ628" s="305"/>
      <c r="EA628" s="305"/>
      <c r="EB628" s="305"/>
      <c r="EC628" s="305"/>
      <c r="ED628" s="305"/>
      <c r="EE628" s="305"/>
      <c r="EF628" s="305"/>
      <c r="EG628" s="305"/>
      <c r="EH628" s="305"/>
      <c r="EI628" s="305"/>
      <c r="EJ628" s="305"/>
      <c r="EK628" s="305"/>
      <c r="EL628" s="305"/>
      <c r="EM628" s="305"/>
      <c r="EN628" s="305"/>
      <c r="EO628" s="305"/>
      <c r="EP628" s="305"/>
      <c r="EQ628" s="305"/>
      <c r="ER628" s="305"/>
      <c r="ES628" s="305"/>
      <c r="ET628" s="305"/>
      <c r="EU628" s="305"/>
      <c r="EV628" s="305"/>
      <c r="EW628" s="305"/>
      <c r="EX628" s="305"/>
      <c r="EY628" s="305"/>
      <c r="EZ628" s="305"/>
      <c r="FA628" s="305"/>
      <c r="FB628" s="305"/>
      <c r="FC628" s="305"/>
      <c r="FD628" s="305"/>
      <c r="FE628" s="305"/>
      <c r="FF628" s="305"/>
      <c r="FG628" s="305"/>
      <c r="FH628" s="305"/>
      <c r="FI628" s="305"/>
      <c r="FJ628" s="305"/>
      <c r="FK628" s="305"/>
      <c r="FL628" s="305"/>
      <c r="FM628" s="305"/>
      <c r="FN628" s="305"/>
      <c r="FO628" s="305"/>
      <c r="FP628" s="305"/>
      <c r="FQ628" s="305"/>
      <c r="FR628" s="305"/>
      <c r="FS628" s="305"/>
      <c r="FT628" s="305"/>
      <c r="FU628" s="305"/>
      <c r="FV628" s="305"/>
      <c r="FW628" s="305"/>
      <c r="FX628" s="305"/>
      <c r="FY628" s="305"/>
      <c r="FZ628" s="305"/>
      <c r="GA628" s="305"/>
      <c r="GB628" s="305"/>
      <c r="GC628" s="305"/>
      <c r="GD628" s="305"/>
      <c r="GE628" s="305"/>
      <c r="GF628" s="305"/>
      <c r="GG628" s="305"/>
      <c r="GH628" s="305"/>
      <c r="GI628" s="305"/>
      <c r="GJ628" s="305"/>
      <c r="GK628" s="305"/>
      <c r="GL628" s="305"/>
      <c r="GM628" s="305"/>
      <c r="GN628" s="305"/>
      <c r="GO628" s="305"/>
      <c r="GP628" s="305"/>
      <c r="GQ628" s="305"/>
      <c r="GR628" s="305"/>
    </row>
    <row r="629" spans="3:200" s="318" customFormat="1" ht="12.75" customHeight="1" x14ac:dyDescent="0.2">
      <c r="C629" s="367"/>
      <c r="D629" s="403"/>
      <c r="E629" s="369"/>
      <c r="F629" s="369"/>
      <c r="G629" s="369"/>
      <c r="H629" s="369"/>
      <c r="I629" s="370"/>
      <c r="J629"/>
      <c r="K629" s="371"/>
      <c r="L629" s="371"/>
      <c r="M629" s="371"/>
      <c r="N629" s="371"/>
      <c r="O629" s="305"/>
      <c r="P629" s="305"/>
      <c r="Q629" s="305"/>
      <c r="R629" s="305"/>
      <c r="S629" s="305"/>
      <c r="T629" s="305"/>
      <c r="U629" s="305"/>
      <c r="V629" s="305"/>
      <c r="W629" s="305"/>
      <c r="X629" s="305"/>
      <c r="Y629" s="305"/>
      <c r="Z629" s="305"/>
      <c r="AA629" s="305"/>
      <c r="AB629" s="305"/>
      <c r="AC629" s="305"/>
      <c r="AD629" s="305"/>
      <c r="AE629" s="305"/>
      <c r="AF629" s="305"/>
      <c r="AG629" s="305"/>
      <c r="AH629" s="305"/>
      <c r="AI629" s="305"/>
      <c r="AJ629" s="305"/>
      <c r="AK629" s="305"/>
      <c r="AL629" s="305"/>
      <c r="AM629" s="305"/>
      <c r="AN629" s="305"/>
      <c r="AO629" s="305"/>
      <c r="AP629" s="305"/>
      <c r="AQ629" s="305"/>
      <c r="AR629" s="305"/>
      <c r="AS629" s="305"/>
      <c r="AT629" s="305"/>
      <c r="AU629" s="305"/>
      <c r="AV629" s="305"/>
      <c r="AW629" s="305"/>
      <c r="AX629" s="305"/>
      <c r="AY629" s="305"/>
      <c r="AZ629" s="305"/>
      <c r="BA629" s="305"/>
      <c r="BB629" s="305"/>
      <c r="BC629" s="305"/>
      <c r="BD629" s="305"/>
      <c r="BE629" s="305"/>
      <c r="BF629" s="305"/>
      <c r="BG629" s="305"/>
      <c r="BH629" s="305"/>
      <c r="BI629" s="305"/>
      <c r="BJ629" s="305"/>
      <c r="BK629" s="305"/>
      <c r="BL629" s="305"/>
      <c r="BM629" s="305"/>
      <c r="BN629" s="305"/>
      <c r="BO629" s="305"/>
      <c r="BP629" s="305"/>
      <c r="BQ629" s="305"/>
      <c r="BR629" s="305"/>
      <c r="BS629" s="305"/>
      <c r="BT629" s="305"/>
      <c r="BU629" s="305"/>
      <c r="BV629" s="305"/>
      <c r="BW629" s="305"/>
      <c r="BX629" s="305"/>
      <c r="BY629" s="305"/>
      <c r="BZ629" s="305"/>
      <c r="CA629" s="305"/>
      <c r="CB629" s="305"/>
      <c r="CC629" s="305"/>
      <c r="CD629" s="305"/>
      <c r="CE629" s="305"/>
      <c r="CF629" s="305"/>
      <c r="CG629" s="305"/>
      <c r="CH629" s="305"/>
      <c r="CI629" s="305"/>
      <c r="CJ629" s="305"/>
      <c r="CK629" s="305"/>
      <c r="CL629" s="305"/>
      <c r="CM629" s="305"/>
      <c r="CN629" s="305"/>
      <c r="CO629" s="305"/>
      <c r="CP629" s="305"/>
      <c r="CQ629" s="305"/>
      <c r="CR629" s="305"/>
      <c r="CS629" s="305"/>
      <c r="CT629" s="305"/>
      <c r="CU629" s="305"/>
      <c r="CV629" s="305"/>
      <c r="CW629" s="305"/>
      <c r="CX629" s="305"/>
      <c r="CY629" s="305"/>
      <c r="CZ629" s="305"/>
      <c r="DA629" s="305"/>
      <c r="DB629" s="305"/>
      <c r="DC629" s="305"/>
      <c r="DD629" s="305"/>
      <c r="DE629" s="305"/>
      <c r="DF629" s="305"/>
      <c r="DG629" s="305"/>
      <c r="DH629" s="305"/>
      <c r="DI629" s="305"/>
      <c r="DJ629" s="305"/>
      <c r="DK629" s="305"/>
      <c r="DL629" s="305"/>
      <c r="DM629" s="305"/>
      <c r="DN629" s="305"/>
      <c r="DO629" s="305"/>
      <c r="DP629" s="305"/>
      <c r="DQ629" s="305"/>
      <c r="DR629" s="305"/>
      <c r="DS629" s="305"/>
      <c r="DT629" s="305"/>
      <c r="DU629" s="305"/>
      <c r="DV629" s="305"/>
      <c r="DW629" s="305"/>
      <c r="DX629" s="305"/>
      <c r="DY629" s="305"/>
      <c r="DZ629" s="305"/>
      <c r="EA629" s="305"/>
      <c r="EB629" s="305"/>
      <c r="EC629" s="305"/>
      <c r="ED629" s="305"/>
      <c r="EE629" s="305"/>
      <c r="EF629" s="305"/>
      <c r="EG629" s="305"/>
      <c r="EH629" s="305"/>
      <c r="EI629" s="305"/>
      <c r="EJ629" s="305"/>
      <c r="EK629" s="305"/>
      <c r="EL629" s="305"/>
      <c r="EM629" s="305"/>
      <c r="EN629" s="305"/>
      <c r="EO629" s="305"/>
      <c r="EP629" s="305"/>
      <c r="EQ629" s="305"/>
      <c r="ER629" s="305"/>
      <c r="ES629" s="305"/>
      <c r="ET629" s="305"/>
      <c r="EU629" s="305"/>
      <c r="EV629" s="305"/>
      <c r="EW629" s="305"/>
      <c r="EX629" s="305"/>
      <c r="EY629" s="305"/>
      <c r="EZ629" s="305"/>
      <c r="FA629" s="305"/>
      <c r="FB629" s="305"/>
      <c r="FC629" s="305"/>
      <c r="FD629" s="305"/>
      <c r="FE629" s="305"/>
      <c r="FF629" s="305"/>
      <c r="FG629" s="305"/>
      <c r="FH629" s="305"/>
      <c r="FI629" s="305"/>
      <c r="FJ629" s="305"/>
      <c r="FK629" s="305"/>
      <c r="FL629" s="305"/>
      <c r="FM629" s="305"/>
      <c r="FN629" s="305"/>
      <c r="FO629" s="305"/>
      <c r="FP629" s="305"/>
      <c r="FQ629" s="305"/>
      <c r="FR629" s="305"/>
      <c r="FS629" s="305"/>
      <c r="FT629" s="305"/>
      <c r="FU629" s="305"/>
      <c r="FV629" s="305"/>
      <c r="FW629" s="305"/>
      <c r="FX629" s="305"/>
      <c r="FY629" s="305"/>
      <c r="FZ629" s="305"/>
      <c r="GA629" s="305"/>
      <c r="GB629" s="305"/>
      <c r="GC629" s="305"/>
      <c r="GD629" s="305"/>
      <c r="GE629" s="305"/>
      <c r="GF629" s="305"/>
      <c r="GG629" s="305"/>
      <c r="GH629" s="305"/>
      <c r="GI629" s="305"/>
      <c r="GJ629" s="305"/>
      <c r="GK629" s="305"/>
      <c r="GL629" s="305"/>
      <c r="GM629" s="305"/>
      <c r="GN629" s="305"/>
      <c r="GO629" s="305"/>
      <c r="GP629" s="305"/>
      <c r="GQ629" s="305"/>
      <c r="GR629" s="305"/>
    </row>
    <row r="630" spans="3:200" s="318" customFormat="1" ht="12.75" customHeight="1" x14ac:dyDescent="0.2">
      <c r="C630" s="367"/>
      <c r="D630" s="403"/>
      <c r="E630" s="369"/>
      <c r="F630" s="369"/>
      <c r="G630" s="369"/>
      <c r="H630" s="369"/>
      <c r="I630" s="370"/>
      <c r="J630"/>
      <c r="K630" s="371"/>
      <c r="L630" s="371"/>
      <c r="M630" s="371"/>
      <c r="N630" s="371"/>
      <c r="O630" s="305"/>
      <c r="P630" s="305"/>
      <c r="Q630" s="305"/>
      <c r="R630" s="305"/>
      <c r="S630" s="305"/>
      <c r="T630" s="305"/>
      <c r="U630" s="305"/>
      <c r="V630" s="305"/>
      <c r="W630" s="305"/>
      <c r="X630" s="305"/>
      <c r="Y630" s="305"/>
      <c r="Z630" s="305"/>
      <c r="AA630" s="305"/>
      <c r="AB630" s="305"/>
      <c r="AC630" s="305"/>
      <c r="AD630" s="305"/>
      <c r="AE630" s="305"/>
      <c r="AF630" s="305"/>
      <c r="AG630" s="305"/>
      <c r="AH630" s="305"/>
      <c r="AI630" s="305"/>
      <c r="AJ630" s="305"/>
      <c r="AK630" s="305"/>
      <c r="AL630" s="305"/>
      <c r="AM630" s="305"/>
      <c r="AN630" s="305"/>
      <c r="AO630" s="305"/>
      <c r="AP630" s="305"/>
      <c r="AQ630" s="305"/>
      <c r="AR630" s="305"/>
      <c r="AS630" s="305"/>
      <c r="AT630" s="305"/>
      <c r="AU630" s="305"/>
      <c r="AV630" s="305"/>
      <c r="AW630" s="305"/>
      <c r="AX630" s="305"/>
      <c r="AY630" s="305"/>
      <c r="AZ630" s="305"/>
      <c r="BA630" s="305"/>
      <c r="BB630" s="305"/>
      <c r="BC630" s="305"/>
      <c r="BD630" s="305"/>
      <c r="BE630" s="305"/>
      <c r="BF630" s="305"/>
      <c r="BG630" s="305"/>
      <c r="BH630" s="305"/>
      <c r="BI630" s="305"/>
      <c r="BJ630" s="305"/>
      <c r="BK630" s="305"/>
      <c r="BL630" s="305"/>
      <c r="BM630" s="305"/>
      <c r="BN630" s="305"/>
      <c r="BO630" s="305"/>
      <c r="BP630" s="305"/>
      <c r="BQ630" s="305"/>
      <c r="BR630" s="305"/>
      <c r="BS630" s="305"/>
      <c r="BT630" s="305"/>
      <c r="BU630" s="305"/>
      <c r="BV630" s="305"/>
      <c r="BW630" s="305"/>
      <c r="BX630" s="305"/>
      <c r="BY630" s="305"/>
      <c r="BZ630" s="305"/>
      <c r="CA630" s="305"/>
      <c r="CB630" s="305"/>
      <c r="CC630" s="305"/>
      <c r="CD630" s="305"/>
      <c r="CE630" s="305"/>
      <c r="CF630" s="305"/>
      <c r="CG630" s="305"/>
      <c r="CH630" s="305"/>
      <c r="CI630" s="305"/>
      <c r="CJ630" s="305"/>
      <c r="CK630" s="305"/>
      <c r="CL630" s="305"/>
      <c r="CM630" s="305"/>
      <c r="CN630" s="305"/>
      <c r="CO630" s="305"/>
      <c r="CP630" s="305"/>
      <c r="CQ630" s="305"/>
      <c r="CR630" s="305"/>
      <c r="CS630" s="305"/>
      <c r="CT630" s="305"/>
      <c r="CU630" s="305"/>
      <c r="CV630" s="305"/>
      <c r="CW630" s="305"/>
      <c r="CX630" s="305"/>
      <c r="CY630" s="305"/>
      <c r="CZ630" s="305"/>
      <c r="DA630" s="305"/>
      <c r="DB630" s="305"/>
      <c r="DC630" s="305"/>
      <c r="DD630" s="305"/>
      <c r="DE630" s="305"/>
      <c r="DF630" s="305"/>
      <c r="DG630" s="305"/>
      <c r="DH630" s="305"/>
      <c r="DI630" s="305"/>
      <c r="DJ630" s="305"/>
      <c r="DK630" s="305"/>
      <c r="DL630" s="305"/>
      <c r="DM630" s="305"/>
      <c r="DN630" s="305"/>
      <c r="DO630" s="305"/>
      <c r="DP630" s="305"/>
      <c r="DQ630" s="305"/>
      <c r="DR630" s="305"/>
      <c r="DS630" s="305"/>
      <c r="DT630" s="305"/>
      <c r="DU630" s="305"/>
      <c r="DV630" s="305"/>
      <c r="DW630" s="305"/>
      <c r="DX630" s="305"/>
      <c r="DY630" s="305"/>
      <c r="DZ630" s="305"/>
      <c r="EA630" s="305"/>
      <c r="EB630" s="305"/>
      <c r="EC630" s="305"/>
      <c r="ED630" s="305"/>
      <c r="EE630" s="305"/>
      <c r="EF630" s="305"/>
      <c r="EG630" s="305"/>
      <c r="EH630" s="305"/>
      <c r="EI630" s="305"/>
      <c r="EJ630" s="305"/>
      <c r="EK630" s="305"/>
      <c r="EL630" s="305"/>
      <c r="EM630" s="305"/>
      <c r="EN630" s="305"/>
      <c r="EO630" s="305"/>
      <c r="EP630" s="305"/>
      <c r="EQ630" s="305"/>
      <c r="ER630" s="305"/>
      <c r="ES630" s="305"/>
      <c r="ET630" s="305"/>
      <c r="EU630" s="305"/>
      <c r="EV630" s="305"/>
      <c r="EW630" s="305"/>
      <c r="EX630" s="305"/>
      <c r="EY630" s="305"/>
      <c r="EZ630" s="305"/>
      <c r="FA630" s="305"/>
      <c r="FB630" s="305"/>
      <c r="FC630" s="305"/>
      <c r="FD630" s="305"/>
      <c r="FE630" s="305"/>
      <c r="FF630" s="305"/>
      <c r="FG630" s="305"/>
      <c r="FH630" s="305"/>
      <c r="FI630" s="305"/>
      <c r="FJ630" s="305"/>
      <c r="FK630" s="305"/>
      <c r="FL630" s="305"/>
      <c r="FM630" s="305"/>
      <c r="FN630" s="305"/>
      <c r="FO630" s="305"/>
      <c r="FP630" s="305"/>
      <c r="FQ630" s="305"/>
      <c r="FR630" s="305"/>
      <c r="FS630" s="305"/>
      <c r="FT630" s="305"/>
      <c r="FU630" s="305"/>
      <c r="FV630" s="305"/>
      <c r="FW630" s="305"/>
      <c r="FX630" s="305"/>
      <c r="FY630" s="305"/>
      <c r="FZ630" s="305"/>
      <c r="GA630" s="305"/>
      <c r="GB630" s="305"/>
      <c r="GC630" s="305"/>
      <c r="GD630" s="305"/>
      <c r="GE630" s="305"/>
      <c r="GF630" s="305"/>
      <c r="GG630" s="305"/>
      <c r="GH630" s="305"/>
      <c r="GI630" s="305"/>
      <c r="GJ630" s="305"/>
      <c r="GK630" s="305"/>
      <c r="GL630" s="305"/>
      <c r="GM630" s="305"/>
      <c r="GN630" s="305"/>
      <c r="GO630" s="305"/>
      <c r="GP630" s="305"/>
      <c r="GQ630" s="305"/>
      <c r="GR630" s="305"/>
    </row>
    <row r="631" spans="3:200" s="318" customFormat="1" ht="12.75" customHeight="1" x14ac:dyDescent="0.2">
      <c r="C631" s="367"/>
      <c r="D631" s="403"/>
      <c r="E631" s="369"/>
      <c r="F631" s="369"/>
      <c r="G631" s="369"/>
      <c r="H631" s="369"/>
      <c r="I631" s="370"/>
      <c r="J631"/>
      <c r="K631" s="371"/>
      <c r="L631" s="371"/>
      <c r="M631" s="371"/>
      <c r="N631" s="371"/>
      <c r="O631" s="305"/>
      <c r="P631" s="305"/>
      <c r="Q631" s="305"/>
      <c r="R631" s="305"/>
      <c r="S631" s="305"/>
      <c r="T631" s="305"/>
      <c r="U631" s="305"/>
      <c r="V631" s="305"/>
      <c r="W631" s="305"/>
      <c r="X631" s="305"/>
      <c r="Y631" s="305"/>
      <c r="Z631" s="305"/>
      <c r="AA631" s="305"/>
      <c r="AB631" s="305"/>
      <c r="AC631" s="305"/>
      <c r="AD631" s="305"/>
      <c r="AE631" s="305"/>
      <c r="AF631" s="305"/>
      <c r="AG631" s="305"/>
      <c r="AH631" s="305"/>
      <c r="AI631" s="305"/>
      <c r="AJ631" s="305"/>
      <c r="AK631" s="305"/>
      <c r="AL631" s="305"/>
      <c r="AM631" s="305"/>
      <c r="AN631" s="305"/>
      <c r="AO631" s="305"/>
      <c r="AP631" s="305"/>
      <c r="AQ631" s="305"/>
      <c r="AR631" s="305"/>
      <c r="AS631" s="305"/>
      <c r="AT631" s="305"/>
      <c r="AU631" s="305"/>
      <c r="AV631" s="305"/>
      <c r="AW631" s="305"/>
      <c r="AX631" s="305"/>
      <c r="AY631" s="305"/>
      <c r="AZ631" s="305"/>
      <c r="BA631" s="305"/>
      <c r="BB631" s="305"/>
      <c r="BC631" s="305"/>
      <c r="BD631" s="305"/>
      <c r="BE631" s="305"/>
      <c r="BF631" s="305"/>
      <c r="BG631" s="305"/>
      <c r="BH631" s="305"/>
      <c r="BI631" s="305"/>
      <c r="BJ631" s="305"/>
      <c r="BK631" s="305"/>
      <c r="BL631" s="305"/>
      <c r="BM631" s="305"/>
      <c r="BN631" s="305"/>
      <c r="BO631" s="305"/>
      <c r="BP631" s="305"/>
      <c r="BQ631" s="305"/>
      <c r="BR631" s="305"/>
      <c r="BS631" s="305"/>
      <c r="BT631" s="305"/>
      <c r="BU631" s="305"/>
      <c r="BV631" s="305"/>
      <c r="BW631" s="305"/>
      <c r="BX631" s="305"/>
      <c r="BY631" s="305"/>
      <c r="BZ631" s="305"/>
      <c r="CA631" s="305"/>
      <c r="CB631" s="305"/>
      <c r="CC631" s="305"/>
      <c r="CD631" s="305"/>
      <c r="CE631" s="305"/>
      <c r="CF631" s="305"/>
      <c r="CG631" s="305"/>
      <c r="CH631" s="305"/>
      <c r="CI631" s="305"/>
      <c r="CJ631" s="305"/>
      <c r="CK631" s="305"/>
      <c r="CL631" s="305"/>
      <c r="CM631" s="305"/>
      <c r="CN631" s="305"/>
      <c r="CO631" s="305"/>
      <c r="CP631" s="305"/>
      <c r="CQ631" s="305"/>
      <c r="CR631" s="305"/>
      <c r="CS631" s="305"/>
      <c r="CT631" s="305"/>
      <c r="CU631" s="305"/>
      <c r="CV631" s="305"/>
      <c r="CW631" s="305"/>
      <c r="CX631" s="305"/>
      <c r="CY631" s="305"/>
      <c r="CZ631" s="305"/>
      <c r="DA631" s="305"/>
      <c r="DB631" s="305"/>
      <c r="DC631" s="305"/>
      <c r="DD631" s="305"/>
      <c r="DE631" s="305"/>
      <c r="DF631" s="305"/>
      <c r="DG631" s="305"/>
      <c r="DH631" s="305"/>
      <c r="DI631" s="305"/>
      <c r="DJ631" s="305"/>
      <c r="DK631" s="305"/>
      <c r="DL631" s="305"/>
      <c r="DM631" s="305"/>
      <c r="DN631" s="305"/>
      <c r="DO631" s="305"/>
      <c r="DP631" s="305"/>
      <c r="DQ631" s="305"/>
      <c r="DR631" s="305"/>
      <c r="DS631" s="305"/>
      <c r="DT631" s="305"/>
      <c r="DU631" s="305"/>
      <c r="DV631" s="305"/>
      <c r="DW631" s="305"/>
      <c r="DX631" s="305"/>
      <c r="DY631" s="305"/>
      <c r="DZ631" s="305"/>
      <c r="EA631" s="305"/>
      <c r="EB631" s="305"/>
      <c r="EC631" s="305"/>
      <c r="ED631" s="305"/>
      <c r="EE631" s="305"/>
      <c r="EF631" s="305"/>
      <c r="EG631" s="305"/>
      <c r="EH631" s="305"/>
      <c r="EI631" s="305"/>
      <c r="EJ631" s="305"/>
      <c r="EK631" s="305"/>
      <c r="EL631" s="305"/>
      <c r="EM631" s="305"/>
      <c r="EN631" s="305"/>
      <c r="EO631" s="305"/>
      <c r="EP631" s="305"/>
      <c r="EQ631" s="305"/>
      <c r="ER631" s="305"/>
      <c r="ES631" s="305"/>
      <c r="ET631" s="305"/>
      <c r="EU631" s="305"/>
      <c r="EV631" s="305"/>
      <c r="EW631" s="305"/>
      <c r="EX631" s="305"/>
      <c r="EY631" s="305"/>
      <c r="EZ631" s="305"/>
      <c r="FA631" s="305"/>
      <c r="FB631" s="305"/>
      <c r="FC631" s="305"/>
      <c r="FD631" s="305"/>
      <c r="FE631" s="305"/>
      <c r="FF631" s="305"/>
      <c r="FG631" s="305"/>
      <c r="FH631" s="305"/>
      <c r="FI631" s="305"/>
      <c r="FJ631" s="305"/>
      <c r="FK631" s="305"/>
      <c r="FL631" s="305"/>
      <c r="FM631" s="305"/>
      <c r="FN631" s="305"/>
      <c r="FO631" s="305"/>
      <c r="FP631" s="305"/>
      <c r="FQ631" s="305"/>
      <c r="FR631" s="305"/>
      <c r="FS631" s="305"/>
      <c r="FT631" s="305"/>
      <c r="FU631" s="305"/>
      <c r="FV631" s="305"/>
      <c r="FW631" s="305"/>
      <c r="FX631" s="305"/>
      <c r="FY631" s="305"/>
      <c r="FZ631" s="305"/>
      <c r="GA631" s="305"/>
      <c r="GB631" s="305"/>
      <c r="GC631" s="305"/>
      <c r="GD631" s="305"/>
      <c r="GE631" s="305"/>
      <c r="GF631" s="305"/>
      <c r="GG631" s="305"/>
      <c r="GH631" s="305"/>
      <c r="GI631" s="305"/>
      <c r="GJ631" s="305"/>
      <c r="GK631" s="305"/>
      <c r="GL631" s="305"/>
      <c r="GM631" s="305"/>
      <c r="GN631" s="305"/>
      <c r="GO631" s="305"/>
      <c r="GP631" s="305"/>
      <c r="GQ631" s="305"/>
      <c r="GR631" s="305"/>
    </row>
    <row r="632" spans="3:200" s="318" customFormat="1" ht="12.75" customHeight="1" x14ac:dyDescent="0.2">
      <c r="C632" s="367"/>
      <c r="D632" s="403"/>
      <c r="E632" s="369"/>
      <c r="F632" s="369"/>
      <c r="G632" s="369"/>
      <c r="H632" s="369"/>
      <c r="I632" s="370"/>
      <c r="J632"/>
      <c r="K632" s="371"/>
      <c r="L632" s="371"/>
      <c r="M632" s="371"/>
      <c r="N632" s="371"/>
      <c r="O632" s="305"/>
      <c r="P632" s="305"/>
      <c r="Q632" s="305"/>
      <c r="R632" s="305"/>
      <c r="S632" s="305"/>
      <c r="T632" s="305"/>
      <c r="U632" s="305"/>
      <c r="V632" s="305"/>
      <c r="W632" s="305"/>
      <c r="X632" s="305"/>
      <c r="Y632" s="305"/>
      <c r="Z632" s="305"/>
      <c r="AA632" s="305"/>
      <c r="AB632" s="305"/>
      <c r="AC632" s="305"/>
      <c r="AD632" s="305"/>
      <c r="AE632" s="305"/>
      <c r="AF632" s="305"/>
      <c r="AG632" s="305"/>
      <c r="AH632" s="305"/>
      <c r="AI632" s="305"/>
      <c r="AJ632" s="305"/>
      <c r="AK632" s="305"/>
      <c r="AL632" s="305"/>
      <c r="AM632" s="305"/>
      <c r="AN632" s="305"/>
      <c r="AO632" s="305"/>
      <c r="AP632" s="305"/>
      <c r="AQ632" s="305"/>
      <c r="AR632" s="305"/>
      <c r="AS632" s="305"/>
      <c r="AT632" s="305"/>
      <c r="AU632" s="305"/>
      <c r="AV632" s="305"/>
      <c r="AW632" s="305"/>
      <c r="AX632" s="305"/>
      <c r="AY632" s="305"/>
      <c r="AZ632" s="305"/>
      <c r="BA632" s="305"/>
      <c r="BB632" s="305"/>
      <c r="BC632" s="305"/>
      <c r="BD632" s="305"/>
      <c r="BE632" s="305"/>
      <c r="BF632" s="305"/>
      <c r="BG632" s="305"/>
      <c r="BH632" s="305"/>
      <c r="BI632" s="305"/>
      <c r="BJ632" s="305"/>
      <c r="BK632" s="305"/>
      <c r="BL632" s="305"/>
      <c r="BM632" s="305"/>
      <c r="BN632" s="305"/>
      <c r="BO632" s="305"/>
      <c r="BP632" s="305"/>
      <c r="BQ632" s="305"/>
      <c r="BR632" s="305"/>
      <c r="BS632" s="305"/>
      <c r="BT632" s="305"/>
      <c r="BU632" s="305"/>
      <c r="BV632" s="305"/>
      <c r="BW632" s="305"/>
      <c r="BX632" s="305"/>
      <c r="BY632" s="305"/>
      <c r="BZ632" s="305"/>
      <c r="CA632" s="305"/>
      <c r="CB632" s="305"/>
      <c r="CC632" s="305"/>
      <c r="CD632" s="305"/>
      <c r="CE632" s="305"/>
      <c r="CF632" s="305"/>
      <c r="CG632" s="305"/>
      <c r="CH632" s="305"/>
      <c r="CI632" s="305"/>
      <c r="CJ632" s="305"/>
      <c r="CK632" s="305"/>
      <c r="CL632" s="305"/>
      <c r="CM632" s="305"/>
      <c r="CN632" s="305"/>
      <c r="CO632" s="305"/>
      <c r="CP632" s="305"/>
      <c r="CQ632" s="305"/>
      <c r="CR632" s="305"/>
      <c r="CS632" s="305"/>
      <c r="CT632" s="305"/>
      <c r="CU632" s="305"/>
      <c r="CV632" s="305"/>
      <c r="CW632" s="305"/>
      <c r="CX632" s="305"/>
      <c r="CY632" s="305"/>
      <c r="CZ632" s="305"/>
      <c r="DA632" s="305"/>
      <c r="DB632" s="305"/>
      <c r="DC632" s="305"/>
      <c r="DD632" s="305"/>
      <c r="DE632" s="305"/>
      <c r="DF632" s="305"/>
      <c r="DG632" s="305"/>
      <c r="DH632" s="305"/>
      <c r="DI632" s="305"/>
      <c r="DJ632" s="305"/>
      <c r="DK632" s="305"/>
      <c r="DL632" s="305"/>
      <c r="DM632" s="305"/>
      <c r="DN632" s="305"/>
      <c r="DO632" s="305"/>
      <c r="DP632" s="305"/>
      <c r="DQ632" s="305"/>
      <c r="DR632" s="305"/>
      <c r="DS632" s="305"/>
      <c r="DT632" s="305"/>
      <c r="DU632" s="305"/>
      <c r="DV632" s="305"/>
      <c r="DW632" s="305"/>
      <c r="DX632" s="305"/>
      <c r="DY632" s="305"/>
      <c r="DZ632" s="305"/>
      <c r="EA632" s="305"/>
      <c r="EB632" s="305"/>
      <c r="EC632" s="305"/>
      <c r="ED632" s="305"/>
      <c r="EE632" s="305"/>
      <c r="EF632" s="305"/>
      <c r="EG632" s="305"/>
      <c r="EH632" s="305"/>
      <c r="EI632" s="305"/>
      <c r="EJ632" s="305"/>
      <c r="EK632" s="305"/>
      <c r="EL632" s="305"/>
      <c r="EM632" s="305"/>
      <c r="EN632" s="305"/>
      <c r="EO632" s="305"/>
      <c r="EP632" s="305"/>
      <c r="EQ632" s="305"/>
      <c r="ER632" s="305"/>
      <c r="ES632" s="305"/>
      <c r="ET632" s="305"/>
      <c r="EU632" s="305"/>
      <c r="EV632" s="305"/>
      <c r="EW632" s="305"/>
      <c r="EX632" s="305"/>
      <c r="EY632" s="305"/>
      <c r="EZ632" s="305"/>
      <c r="FA632" s="305"/>
      <c r="FB632" s="305"/>
      <c r="FC632" s="305"/>
      <c r="FD632" s="305"/>
      <c r="FE632" s="305"/>
      <c r="FF632" s="305"/>
      <c r="FG632" s="305"/>
      <c r="FH632" s="305"/>
      <c r="FI632" s="305"/>
      <c r="FJ632" s="305"/>
      <c r="FK632" s="305"/>
      <c r="FL632" s="305"/>
      <c r="FM632" s="305"/>
      <c r="FN632" s="305"/>
      <c r="FO632" s="305"/>
      <c r="FP632" s="305"/>
      <c r="FQ632" s="305"/>
      <c r="FR632" s="305"/>
      <c r="FS632" s="305"/>
      <c r="FT632" s="305"/>
      <c r="FU632" s="305"/>
      <c r="FV632" s="305"/>
      <c r="FW632" s="305"/>
      <c r="FX632" s="305"/>
      <c r="FY632" s="305"/>
      <c r="FZ632" s="305"/>
      <c r="GA632" s="305"/>
      <c r="GB632" s="305"/>
      <c r="GC632" s="305"/>
      <c r="GD632" s="305"/>
      <c r="GE632" s="305"/>
      <c r="GF632" s="305"/>
      <c r="GG632" s="305"/>
      <c r="GH632" s="305"/>
      <c r="GI632" s="305"/>
      <c r="GJ632" s="305"/>
      <c r="GK632" s="305"/>
      <c r="GL632" s="305"/>
      <c r="GM632" s="305"/>
      <c r="GN632" s="305"/>
      <c r="GO632" s="305"/>
      <c r="GP632" s="305"/>
      <c r="GQ632" s="305"/>
      <c r="GR632" s="305"/>
    </row>
    <row r="8201" spans="1:200" s="371" customFormat="1" x14ac:dyDescent="0.2">
      <c r="A8201" s="318"/>
      <c r="B8201" s="318"/>
      <c r="C8201" s="367"/>
      <c r="D8201" s="403"/>
      <c r="E8201" s="369"/>
      <c r="F8201" s="369"/>
      <c r="G8201" s="369"/>
      <c r="H8201" s="369"/>
      <c r="I8201" s="370"/>
      <c r="J8201"/>
      <c r="O8201" s="305"/>
      <c r="P8201" s="305"/>
      <c r="Q8201" s="305"/>
      <c r="R8201" s="305"/>
      <c r="S8201" s="305"/>
      <c r="T8201" s="305"/>
      <c r="U8201" s="305"/>
      <c r="V8201" s="305"/>
      <c r="W8201" s="305"/>
      <c r="X8201" s="305"/>
      <c r="Y8201" s="305"/>
      <c r="Z8201" s="305"/>
      <c r="AA8201" s="305"/>
      <c r="AB8201" s="305"/>
      <c r="AC8201" s="305"/>
      <c r="AD8201" s="305"/>
      <c r="AE8201" s="305"/>
      <c r="AF8201" s="305"/>
      <c r="AG8201" s="305"/>
      <c r="AH8201" s="305"/>
      <c r="AI8201" s="305"/>
      <c r="AJ8201" s="305"/>
      <c r="AK8201" s="305"/>
      <c r="AL8201" s="305"/>
      <c r="AM8201" s="305"/>
      <c r="AN8201" s="305"/>
      <c r="AO8201" s="305"/>
      <c r="AP8201" s="305"/>
      <c r="AQ8201" s="305"/>
      <c r="AR8201" s="305"/>
      <c r="AS8201" s="305"/>
      <c r="AT8201" s="305"/>
      <c r="AU8201" s="305"/>
      <c r="AV8201" s="305"/>
      <c r="AW8201" s="305"/>
      <c r="AX8201" s="305"/>
      <c r="AY8201" s="305"/>
      <c r="AZ8201" s="305"/>
      <c r="BA8201" s="305"/>
      <c r="BB8201" s="305"/>
      <c r="BC8201" s="305"/>
      <c r="BD8201" s="305"/>
      <c r="BE8201" s="305"/>
      <c r="BF8201" s="305"/>
      <c r="BG8201" s="305"/>
      <c r="BH8201" s="305"/>
      <c r="BI8201" s="305"/>
      <c r="BJ8201" s="305"/>
      <c r="BK8201" s="305"/>
      <c r="BL8201" s="305"/>
      <c r="BM8201" s="305"/>
      <c r="BN8201" s="305"/>
      <c r="BO8201" s="305"/>
      <c r="BP8201" s="305"/>
      <c r="BQ8201" s="305"/>
      <c r="BR8201" s="305"/>
      <c r="BS8201" s="305"/>
      <c r="BT8201" s="305"/>
      <c r="BU8201" s="305"/>
      <c r="BV8201" s="305"/>
      <c r="BW8201" s="305"/>
      <c r="BX8201" s="305"/>
      <c r="BY8201" s="305"/>
      <c r="BZ8201" s="305"/>
      <c r="CA8201" s="305"/>
      <c r="CB8201" s="305"/>
      <c r="CC8201" s="305"/>
      <c r="CD8201" s="305"/>
      <c r="CE8201" s="305"/>
      <c r="CF8201" s="305"/>
      <c r="CG8201" s="305"/>
      <c r="CH8201" s="305"/>
      <c r="CI8201" s="305"/>
      <c r="CJ8201" s="305"/>
      <c r="CK8201" s="305"/>
      <c r="CL8201" s="305"/>
      <c r="CM8201" s="305"/>
      <c r="CN8201" s="305"/>
      <c r="CO8201" s="305"/>
      <c r="CP8201" s="305"/>
      <c r="CQ8201" s="305"/>
      <c r="CR8201" s="305"/>
      <c r="CS8201" s="305"/>
      <c r="CT8201" s="305"/>
      <c r="CU8201" s="305"/>
      <c r="CV8201" s="305"/>
      <c r="CW8201" s="305"/>
      <c r="CX8201" s="305"/>
      <c r="CY8201" s="305"/>
      <c r="CZ8201" s="305"/>
      <c r="DA8201" s="305"/>
      <c r="DB8201" s="305"/>
      <c r="DC8201" s="305"/>
      <c r="DD8201" s="305"/>
      <c r="DE8201" s="305"/>
      <c r="DF8201" s="305"/>
      <c r="DG8201" s="305"/>
      <c r="DH8201" s="305"/>
      <c r="DI8201" s="305"/>
      <c r="DJ8201" s="305"/>
      <c r="DK8201" s="305"/>
      <c r="DL8201" s="305"/>
      <c r="DM8201" s="305"/>
      <c r="DN8201" s="305"/>
      <c r="DO8201" s="305"/>
      <c r="DP8201" s="305"/>
      <c r="DQ8201" s="305"/>
      <c r="DR8201" s="305"/>
      <c r="DS8201" s="305"/>
      <c r="DT8201" s="305"/>
      <c r="DU8201" s="305"/>
      <c r="DV8201" s="305"/>
      <c r="DW8201" s="305"/>
      <c r="DX8201" s="305"/>
      <c r="DY8201" s="305"/>
      <c r="DZ8201" s="305"/>
      <c r="EA8201" s="305"/>
      <c r="EB8201" s="305"/>
      <c r="EC8201" s="305"/>
      <c r="ED8201" s="305"/>
      <c r="EE8201" s="305"/>
      <c r="EF8201" s="305"/>
      <c r="EG8201" s="305"/>
      <c r="EH8201" s="305"/>
      <c r="EI8201" s="305"/>
      <c r="EJ8201" s="305"/>
      <c r="EK8201" s="305"/>
      <c r="EL8201" s="305"/>
      <c r="EM8201" s="305"/>
      <c r="EN8201" s="305"/>
      <c r="EO8201" s="305"/>
      <c r="EP8201" s="305"/>
      <c r="EQ8201" s="305"/>
      <c r="ER8201" s="305"/>
      <c r="ES8201" s="305"/>
      <c r="ET8201" s="305"/>
      <c r="EU8201" s="305"/>
      <c r="EV8201" s="305"/>
      <c r="EW8201" s="305"/>
      <c r="EX8201" s="305"/>
      <c r="EY8201" s="305"/>
      <c r="EZ8201" s="305"/>
      <c r="FA8201" s="305"/>
      <c r="FB8201" s="305"/>
      <c r="FC8201" s="305"/>
      <c r="FD8201" s="305"/>
      <c r="FE8201" s="305"/>
      <c r="FF8201" s="305"/>
      <c r="FG8201" s="305"/>
      <c r="FH8201" s="305"/>
      <c r="FI8201" s="305"/>
      <c r="FJ8201" s="305"/>
      <c r="FK8201" s="305"/>
      <c r="FL8201" s="305"/>
      <c r="FM8201" s="305"/>
      <c r="FN8201" s="305"/>
      <c r="FO8201" s="305"/>
      <c r="FP8201" s="305"/>
      <c r="FQ8201" s="305"/>
      <c r="FR8201" s="305"/>
      <c r="FS8201" s="305"/>
      <c r="FT8201" s="305"/>
      <c r="FU8201" s="305"/>
      <c r="FV8201" s="305"/>
      <c r="FW8201" s="305"/>
      <c r="FX8201" s="305"/>
      <c r="FY8201" s="305"/>
      <c r="FZ8201" s="305"/>
      <c r="GA8201" s="305"/>
      <c r="GB8201" s="305"/>
      <c r="GC8201" s="305"/>
      <c r="GD8201" s="305"/>
      <c r="GE8201" s="305"/>
      <c r="GF8201" s="305"/>
      <c r="GG8201" s="305"/>
      <c r="GH8201" s="305"/>
      <c r="GI8201" s="305"/>
      <c r="GJ8201" s="305"/>
      <c r="GK8201" s="305"/>
      <c r="GL8201" s="305"/>
      <c r="GM8201" s="305"/>
      <c r="GN8201" s="305"/>
      <c r="GO8201" s="305"/>
      <c r="GP8201" s="305"/>
      <c r="GQ8201" s="305"/>
      <c r="GR8201" s="305"/>
    </row>
    <row r="8203" spans="1:200" x14ac:dyDescent="0.2">
      <c r="J8203" s="371"/>
    </row>
    <row r="8204" spans="1:200" s="371" customFormat="1" x14ac:dyDescent="0.2">
      <c r="A8204" s="318"/>
      <c r="B8204" s="318"/>
      <c r="C8204" s="367"/>
      <c r="D8204" s="403"/>
      <c r="E8204" s="369"/>
      <c r="F8204" s="369"/>
      <c r="G8204" s="369"/>
      <c r="H8204" s="369"/>
      <c r="I8204" s="370"/>
      <c r="J8204"/>
      <c r="O8204" s="305"/>
      <c r="P8204" s="305"/>
      <c r="Q8204" s="305"/>
      <c r="R8204" s="305"/>
      <c r="S8204" s="305"/>
      <c r="T8204" s="305"/>
      <c r="U8204" s="305"/>
      <c r="V8204" s="305"/>
      <c r="W8204" s="305"/>
      <c r="X8204" s="305"/>
      <c r="Y8204" s="305"/>
      <c r="Z8204" s="305"/>
      <c r="AA8204" s="305"/>
      <c r="AB8204" s="305"/>
      <c r="AC8204" s="305"/>
      <c r="AD8204" s="305"/>
      <c r="AE8204" s="305"/>
      <c r="AF8204" s="305"/>
      <c r="AG8204" s="305"/>
      <c r="AH8204" s="305"/>
      <c r="AI8204" s="305"/>
      <c r="AJ8204" s="305"/>
      <c r="AK8204" s="305"/>
      <c r="AL8204" s="305"/>
      <c r="AM8204" s="305"/>
      <c r="AN8204" s="305"/>
      <c r="AO8204" s="305"/>
      <c r="AP8204" s="305"/>
      <c r="AQ8204" s="305"/>
      <c r="AR8204" s="305"/>
      <c r="AS8204" s="305"/>
      <c r="AT8204" s="305"/>
      <c r="AU8204" s="305"/>
      <c r="AV8204" s="305"/>
      <c r="AW8204" s="305"/>
      <c r="AX8204" s="305"/>
      <c r="AY8204" s="305"/>
      <c r="AZ8204" s="305"/>
      <c r="BA8204" s="305"/>
      <c r="BB8204" s="305"/>
      <c r="BC8204" s="305"/>
      <c r="BD8204" s="305"/>
      <c r="BE8204" s="305"/>
      <c r="BF8204" s="305"/>
      <c r="BG8204" s="305"/>
      <c r="BH8204" s="305"/>
      <c r="BI8204" s="305"/>
      <c r="BJ8204" s="305"/>
      <c r="BK8204" s="305"/>
      <c r="BL8204" s="305"/>
      <c r="BM8204" s="305"/>
      <c r="BN8204" s="305"/>
      <c r="BO8204" s="305"/>
      <c r="BP8204" s="305"/>
      <c r="BQ8204" s="305"/>
      <c r="BR8204" s="305"/>
      <c r="BS8204" s="305"/>
      <c r="BT8204" s="305"/>
      <c r="BU8204" s="305"/>
      <c r="BV8204" s="305"/>
      <c r="BW8204" s="305"/>
      <c r="BX8204" s="305"/>
      <c r="BY8204" s="305"/>
      <c r="BZ8204" s="305"/>
      <c r="CA8204" s="305"/>
      <c r="CB8204" s="305"/>
      <c r="CC8204" s="305"/>
      <c r="CD8204" s="305"/>
      <c r="CE8204" s="305"/>
      <c r="CF8204" s="305"/>
      <c r="CG8204" s="305"/>
      <c r="CH8204" s="305"/>
      <c r="CI8204" s="305"/>
      <c r="CJ8204" s="305"/>
      <c r="CK8204" s="305"/>
      <c r="CL8204" s="305"/>
      <c r="CM8204" s="305"/>
      <c r="CN8204" s="305"/>
      <c r="CO8204" s="305"/>
      <c r="CP8204" s="305"/>
      <c r="CQ8204" s="305"/>
      <c r="CR8204" s="305"/>
      <c r="CS8204" s="305"/>
      <c r="CT8204" s="305"/>
      <c r="CU8204" s="305"/>
      <c r="CV8204" s="305"/>
      <c r="CW8204" s="305"/>
      <c r="CX8204" s="305"/>
      <c r="CY8204" s="305"/>
      <c r="CZ8204" s="305"/>
      <c r="DA8204" s="305"/>
      <c r="DB8204" s="305"/>
      <c r="DC8204" s="305"/>
      <c r="DD8204" s="305"/>
      <c r="DE8204" s="305"/>
      <c r="DF8204" s="305"/>
      <c r="DG8204" s="305"/>
      <c r="DH8204" s="305"/>
      <c r="DI8204" s="305"/>
      <c r="DJ8204" s="305"/>
      <c r="DK8204" s="305"/>
      <c r="DL8204" s="305"/>
      <c r="DM8204" s="305"/>
      <c r="DN8204" s="305"/>
      <c r="DO8204" s="305"/>
      <c r="DP8204" s="305"/>
      <c r="DQ8204" s="305"/>
      <c r="DR8204" s="305"/>
      <c r="DS8204" s="305"/>
      <c r="DT8204" s="305"/>
      <c r="DU8204" s="305"/>
      <c r="DV8204" s="305"/>
      <c r="DW8204" s="305"/>
      <c r="DX8204" s="305"/>
      <c r="DY8204" s="305"/>
      <c r="DZ8204" s="305"/>
      <c r="EA8204" s="305"/>
      <c r="EB8204" s="305"/>
      <c r="EC8204" s="305"/>
      <c r="ED8204" s="305"/>
      <c r="EE8204" s="305"/>
      <c r="EF8204" s="305"/>
      <c r="EG8204" s="305"/>
      <c r="EH8204" s="305"/>
      <c r="EI8204" s="305"/>
      <c r="EJ8204" s="305"/>
      <c r="EK8204" s="305"/>
      <c r="EL8204" s="305"/>
      <c r="EM8204" s="305"/>
      <c r="EN8204" s="305"/>
      <c r="EO8204" s="305"/>
      <c r="EP8204" s="305"/>
      <c r="EQ8204" s="305"/>
      <c r="ER8204" s="305"/>
      <c r="ES8204" s="305"/>
      <c r="ET8204" s="305"/>
      <c r="EU8204" s="305"/>
      <c r="EV8204" s="305"/>
      <c r="EW8204" s="305"/>
      <c r="EX8204" s="305"/>
      <c r="EY8204" s="305"/>
      <c r="EZ8204" s="305"/>
      <c r="FA8204" s="305"/>
      <c r="FB8204" s="305"/>
      <c r="FC8204" s="305"/>
      <c r="FD8204" s="305"/>
      <c r="FE8204" s="305"/>
      <c r="FF8204" s="305"/>
      <c r="FG8204" s="305"/>
      <c r="FH8204" s="305"/>
      <c r="FI8204" s="305"/>
      <c r="FJ8204" s="305"/>
      <c r="FK8204" s="305"/>
      <c r="FL8204" s="305"/>
      <c r="FM8204" s="305"/>
      <c r="FN8204" s="305"/>
      <c r="FO8204" s="305"/>
      <c r="FP8204" s="305"/>
      <c r="FQ8204" s="305"/>
      <c r="FR8204" s="305"/>
      <c r="FS8204" s="305"/>
      <c r="FT8204" s="305"/>
      <c r="FU8204" s="305"/>
      <c r="FV8204" s="305"/>
      <c r="FW8204" s="305"/>
      <c r="FX8204" s="305"/>
      <c r="FY8204" s="305"/>
      <c r="FZ8204" s="305"/>
      <c r="GA8204" s="305"/>
      <c r="GB8204" s="305"/>
      <c r="GC8204" s="305"/>
      <c r="GD8204" s="305"/>
      <c r="GE8204" s="305"/>
      <c r="GF8204" s="305"/>
      <c r="GG8204" s="305"/>
      <c r="GH8204" s="305"/>
      <c r="GI8204" s="305"/>
      <c r="GJ8204" s="305"/>
      <c r="GK8204" s="305"/>
      <c r="GL8204" s="305"/>
      <c r="GM8204" s="305"/>
      <c r="GN8204" s="305"/>
      <c r="GO8204" s="305"/>
      <c r="GP8204" s="305"/>
      <c r="GQ8204" s="305"/>
      <c r="GR8204" s="305"/>
    </row>
    <row r="8206" spans="1:200" s="371" customFormat="1" x14ac:dyDescent="0.2">
      <c r="A8206" s="412"/>
      <c r="B8206" s="412"/>
      <c r="C8206" s="367"/>
      <c r="D8206" s="403"/>
      <c r="E8206" s="369"/>
      <c r="F8206" s="369"/>
      <c r="G8206" s="369"/>
      <c r="H8206" s="369"/>
      <c r="I8206" s="370"/>
      <c r="O8206" s="305"/>
      <c r="P8206" s="305"/>
      <c r="Q8206" s="305"/>
      <c r="R8206" s="305"/>
      <c r="S8206" s="305"/>
      <c r="T8206" s="305"/>
      <c r="U8206" s="305"/>
      <c r="V8206" s="305"/>
      <c r="W8206" s="305"/>
      <c r="X8206" s="305"/>
      <c r="Y8206" s="305"/>
      <c r="Z8206" s="305"/>
      <c r="AA8206" s="305"/>
      <c r="AB8206" s="305"/>
      <c r="AC8206" s="305"/>
      <c r="AD8206" s="305"/>
      <c r="AE8206" s="305"/>
      <c r="AF8206" s="305"/>
      <c r="AG8206" s="305"/>
      <c r="AH8206" s="305"/>
      <c r="AI8206" s="305"/>
      <c r="AJ8206" s="305"/>
      <c r="AK8206" s="305"/>
      <c r="AL8206" s="305"/>
      <c r="AM8206" s="305"/>
      <c r="AN8206" s="305"/>
      <c r="AO8206" s="305"/>
      <c r="AP8206" s="305"/>
      <c r="AQ8206" s="305"/>
      <c r="AR8206" s="305"/>
      <c r="AS8206" s="305"/>
      <c r="AT8206" s="305"/>
      <c r="AU8206" s="305"/>
      <c r="AV8206" s="305"/>
      <c r="AW8206" s="305"/>
      <c r="AX8206" s="305"/>
      <c r="AY8206" s="305"/>
      <c r="AZ8206" s="305"/>
      <c r="BA8206" s="305"/>
      <c r="BB8206" s="305"/>
      <c r="BC8206" s="305"/>
      <c r="BD8206" s="305"/>
      <c r="BE8206" s="305"/>
      <c r="BF8206" s="305"/>
      <c r="BG8206" s="305"/>
      <c r="BH8206" s="305"/>
      <c r="BI8206" s="305"/>
      <c r="BJ8206" s="305"/>
      <c r="BK8206" s="305"/>
      <c r="BL8206" s="305"/>
      <c r="BM8206" s="305"/>
      <c r="BN8206" s="305"/>
      <c r="BO8206" s="305"/>
      <c r="BP8206" s="305"/>
      <c r="BQ8206" s="305"/>
      <c r="BR8206" s="305"/>
      <c r="BS8206" s="305"/>
      <c r="BT8206" s="305"/>
      <c r="BU8206" s="305"/>
      <c r="BV8206" s="305"/>
      <c r="BW8206" s="305"/>
      <c r="BX8206" s="305"/>
      <c r="BY8206" s="305"/>
      <c r="BZ8206" s="305"/>
      <c r="CA8206" s="305"/>
      <c r="CB8206" s="305"/>
      <c r="CC8206" s="305"/>
      <c r="CD8206" s="305"/>
      <c r="CE8206" s="305"/>
      <c r="CF8206" s="305"/>
      <c r="CG8206" s="305"/>
      <c r="CH8206" s="305"/>
      <c r="CI8206" s="305"/>
      <c r="CJ8206" s="305"/>
      <c r="CK8206" s="305"/>
      <c r="CL8206" s="305"/>
      <c r="CM8206" s="305"/>
      <c r="CN8206" s="305"/>
      <c r="CO8206" s="305"/>
      <c r="CP8206" s="305"/>
      <c r="CQ8206" s="305"/>
      <c r="CR8206" s="305"/>
      <c r="CS8206" s="305"/>
      <c r="CT8206" s="305"/>
      <c r="CU8206" s="305"/>
      <c r="CV8206" s="305"/>
      <c r="CW8206" s="305"/>
      <c r="CX8206" s="305"/>
      <c r="CY8206" s="305"/>
      <c r="CZ8206" s="305"/>
      <c r="DA8206" s="305"/>
      <c r="DB8206" s="305"/>
      <c r="DC8206" s="305"/>
      <c r="DD8206" s="305"/>
      <c r="DE8206" s="305"/>
      <c r="DF8206" s="305"/>
      <c r="DG8206" s="305"/>
      <c r="DH8206" s="305"/>
      <c r="DI8206" s="305"/>
      <c r="DJ8206" s="305"/>
      <c r="DK8206" s="305"/>
      <c r="DL8206" s="305"/>
      <c r="DM8206" s="305"/>
      <c r="DN8206" s="305"/>
      <c r="DO8206" s="305"/>
      <c r="DP8206" s="305"/>
      <c r="DQ8206" s="305"/>
      <c r="DR8206" s="305"/>
      <c r="DS8206" s="305"/>
      <c r="DT8206" s="305"/>
      <c r="DU8206" s="305"/>
      <c r="DV8206" s="305"/>
      <c r="DW8206" s="305"/>
      <c r="DX8206" s="305"/>
      <c r="DY8206" s="305"/>
      <c r="DZ8206" s="305"/>
      <c r="EA8206" s="305"/>
      <c r="EB8206" s="305"/>
      <c r="EC8206" s="305"/>
      <c r="ED8206" s="305"/>
      <c r="EE8206" s="305"/>
      <c r="EF8206" s="305"/>
      <c r="EG8206" s="305"/>
      <c r="EH8206" s="305"/>
      <c r="EI8206" s="305"/>
      <c r="EJ8206" s="305"/>
      <c r="EK8206" s="305"/>
      <c r="EL8206" s="305"/>
      <c r="EM8206" s="305"/>
      <c r="EN8206" s="305"/>
      <c r="EO8206" s="305"/>
      <c r="EP8206" s="305"/>
      <c r="EQ8206" s="305"/>
      <c r="ER8206" s="305"/>
      <c r="ES8206" s="305"/>
      <c r="ET8206" s="305"/>
      <c r="EU8206" s="305"/>
      <c r="EV8206" s="305"/>
      <c r="EW8206" s="305"/>
      <c r="EX8206" s="305"/>
      <c r="EY8206" s="305"/>
      <c r="EZ8206" s="305"/>
      <c r="FA8206" s="305"/>
      <c r="FB8206" s="305"/>
      <c r="FC8206" s="305"/>
      <c r="FD8206" s="305"/>
      <c r="FE8206" s="305"/>
      <c r="FF8206" s="305"/>
      <c r="FG8206" s="305"/>
      <c r="FH8206" s="305"/>
      <c r="FI8206" s="305"/>
      <c r="FJ8206" s="305"/>
      <c r="FK8206" s="305"/>
      <c r="FL8206" s="305"/>
      <c r="FM8206" s="305"/>
      <c r="FN8206" s="305"/>
      <c r="FO8206" s="305"/>
      <c r="FP8206" s="305"/>
      <c r="FQ8206" s="305"/>
      <c r="FR8206" s="305"/>
      <c r="FS8206" s="305"/>
      <c r="FT8206" s="305"/>
      <c r="FU8206" s="305"/>
      <c r="FV8206" s="305"/>
      <c r="FW8206" s="305"/>
      <c r="FX8206" s="305"/>
      <c r="FY8206" s="305"/>
      <c r="FZ8206" s="305"/>
      <c r="GA8206" s="305"/>
      <c r="GB8206" s="305"/>
      <c r="GC8206" s="305"/>
      <c r="GD8206" s="305"/>
      <c r="GE8206" s="305"/>
      <c r="GF8206" s="305"/>
      <c r="GG8206" s="305"/>
      <c r="GH8206" s="305"/>
      <c r="GI8206" s="305"/>
      <c r="GJ8206" s="305"/>
      <c r="GK8206" s="305"/>
      <c r="GL8206" s="305"/>
      <c r="GM8206" s="305"/>
      <c r="GN8206" s="305"/>
      <c r="GO8206" s="305"/>
      <c r="GP8206" s="305"/>
      <c r="GQ8206" s="305"/>
      <c r="GR8206" s="305"/>
    </row>
  </sheetData>
  <autoFilter ref="A1:N80" xr:uid="{1297FC2B-60ED-45E2-BCDF-FB793D313977}"/>
  <sortState xmlns:xlrd2="http://schemas.microsoft.com/office/spreadsheetml/2017/richdata2" ref="A2:N80">
    <sortCondition ref="C2:C80"/>
  </sortState>
  <printOptions horizontalCentered="1" verticalCentered="1"/>
  <pageMargins left="0" right="0" top="0.78740157480314965" bottom="0.78740157480314965" header="0.19685039370078741" footer="0.19685039370078741"/>
  <pageSetup paperSize="9" scale="88" fitToHeight="0" orientation="landscape" horizontalDpi="300" verticalDpi="300" r:id="rId1"/>
  <headerFooter alignWithMargins="0">
    <oddHeader>&amp;LL/DF 024&amp;C&amp;A&amp;R&amp;D</oddHeader>
    <oddFooter>&amp;CGabriela/Kátia</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5E928-47BB-4C98-AD83-1EDC5BBCB4C2}">
  <sheetPr>
    <pageSetUpPr fitToPage="1"/>
  </sheetPr>
  <dimension ref="A1:AI855"/>
  <sheetViews>
    <sheetView zoomScaleNormal="100" workbookViewId="0">
      <pane xSplit="6" ySplit="1" topLeftCell="J9" activePane="bottomRight" state="frozen"/>
      <selection pane="topRight" activeCell="I1" sqref="I1"/>
      <selection pane="bottomLeft" activeCell="A2" sqref="A2"/>
      <selection pane="bottomRight" activeCell="C26" sqref="C26"/>
    </sheetView>
  </sheetViews>
  <sheetFormatPr defaultColWidth="12.5703125" defaultRowHeight="15" customHeight="1" x14ac:dyDescent="0.2"/>
  <cols>
    <col min="1" max="1" width="10.42578125" style="178" customWidth="1"/>
    <col min="2" max="2" width="43.7109375" style="178" customWidth="1"/>
    <col min="3" max="3" width="30.140625" style="178" customWidth="1"/>
    <col min="4" max="4" width="12.42578125" style="178" customWidth="1"/>
    <col min="5" max="5" width="9.28515625" style="178" customWidth="1"/>
    <col min="6" max="9" width="10" style="178" hidden="1" customWidth="1"/>
    <col min="10" max="10" width="10" style="178" customWidth="1"/>
    <col min="11" max="11" width="8.140625" style="178" customWidth="1"/>
    <col min="12" max="12" width="11.140625" style="178" customWidth="1"/>
    <col min="13" max="13" width="5.28515625" style="178" customWidth="1"/>
    <col min="14" max="14" width="10.140625" style="178" customWidth="1"/>
    <col min="15" max="15" width="12.140625" style="178" customWidth="1"/>
    <col min="16" max="35" width="9.140625" style="178" customWidth="1"/>
    <col min="36" max="16384" width="12.5703125" style="178"/>
  </cols>
  <sheetData>
    <row r="1" spans="1:35" ht="63.75" customHeight="1" x14ac:dyDescent="0.2">
      <c r="A1" s="171"/>
      <c r="B1" s="172" t="s">
        <v>0</v>
      </c>
      <c r="C1" s="172" t="s">
        <v>1</v>
      </c>
      <c r="D1" s="173" t="s">
        <v>108</v>
      </c>
      <c r="E1" s="174" t="s">
        <v>3</v>
      </c>
      <c r="F1" s="172" t="s">
        <v>109</v>
      </c>
      <c r="G1" s="172" t="s">
        <v>110</v>
      </c>
      <c r="H1" s="172" t="s">
        <v>111</v>
      </c>
      <c r="I1" s="172" t="s">
        <v>112</v>
      </c>
      <c r="J1" s="175" t="s">
        <v>8</v>
      </c>
      <c r="K1" s="176" t="s">
        <v>9</v>
      </c>
      <c r="L1" s="176" t="s">
        <v>10</v>
      </c>
      <c r="M1" s="176" t="s">
        <v>113</v>
      </c>
      <c r="N1" s="176" t="s">
        <v>12</v>
      </c>
      <c r="O1" s="176" t="s">
        <v>114</v>
      </c>
      <c r="P1" s="177"/>
      <c r="Q1" s="177"/>
      <c r="R1" s="177"/>
      <c r="S1" s="177"/>
      <c r="T1" s="177"/>
      <c r="U1" s="177"/>
      <c r="V1" s="177"/>
      <c r="W1" s="177"/>
      <c r="X1" s="177"/>
      <c r="Y1" s="177"/>
      <c r="Z1" s="177"/>
      <c r="AA1" s="177"/>
      <c r="AB1" s="177"/>
      <c r="AC1" s="177"/>
      <c r="AD1" s="177"/>
      <c r="AE1" s="177"/>
      <c r="AF1" s="177"/>
      <c r="AG1" s="177"/>
      <c r="AH1" s="177"/>
      <c r="AI1" s="177"/>
    </row>
    <row r="2" spans="1:35" ht="12.75" customHeight="1" x14ac:dyDescent="0.2">
      <c r="A2" s="179" t="s">
        <v>116</v>
      </c>
      <c r="B2" s="196" t="s">
        <v>117</v>
      </c>
      <c r="C2" s="197"/>
      <c r="D2" s="183">
        <v>850</v>
      </c>
      <c r="E2" s="198">
        <v>45898</v>
      </c>
      <c r="F2" s="188">
        <v>995.91</v>
      </c>
      <c r="G2" s="187">
        <v>1</v>
      </c>
      <c r="H2" s="188">
        <f t="shared" ref="H2:H19" si="0">F2*G2</f>
        <v>995.91</v>
      </c>
      <c r="I2" s="188">
        <f>H2-F2</f>
        <v>0</v>
      </c>
      <c r="J2" s="189">
        <f>H2+I2</f>
        <v>995.91</v>
      </c>
      <c r="K2" s="190"/>
      <c r="L2" s="191">
        <f>J2*0.8*0.11</f>
        <v>87.640080000000012</v>
      </c>
      <c r="M2" s="191"/>
      <c r="N2" s="199"/>
      <c r="O2" s="191">
        <f t="shared" ref="O2:O18" si="1">J2-K2-L2-M2-N2</f>
        <v>908.26991999999996</v>
      </c>
      <c r="P2" s="192"/>
      <c r="Q2" s="192"/>
      <c r="R2" s="192"/>
      <c r="S2" s="192"/>
      <c r="T2" s="192"/>
      <c r="U2" s="192"/>
      <c r="V2" s="192"/>
      <c r="W2" s="192"/>
      <c r="X2" s="192"/>
      <c r="Y2" s="192"/>
      <c r="Z2" s="192"/>
      <c r="AA2" s="192"/>
      <c r="AB2" s="192"/>
      <c r="AC2" s="192"/>
      <c r="AD2" s="192"/>
      <c r="AE2" s="192"/>
      <c r="AF2" s="192"/>
      <c r="AG2" s="192"/>
      <c r="AH2" s="192"/>
      <c r="AI2" s="192"/>
    </row>
    <row r="3" spans="1:35" s="213" customFormat="1" ht="12.75" customHeight="1" x14ac:dyDescent="0.2">
      <c r="A3" s="200" t="s">
        <v>118</v>
      </c>
      <c r="B3" s="201" t="s">
        <v>119</v>
      </c>
      <c r="C3" s="202" t="s">
        <v>98</v>
      </c>
      <c r="D3" s="203">
        <v>851</v>
      </c>
      <c r="E3" s="204">
        <v>45880</v>
      </c>
      <c r="F3" s="205">
        <v>5336.1</v>
      </c>
      <c r="G3" s="206">
        <v>1</v>
      </c>
      <c r="H3" s="207">
        <f>F3*G3</f>
        <v>5336.1</v>
      </c>
      <c r="I3" s="208">
        <v>0</v>
      </c>
      <c r="J3" s="209">
        <f>H3+I3</f>
        <v>5336.1</v>
      </c>
      <c r="K3" s="210"/>
      <c r="L3" s="211"/>
      <c r="M3" s="211"/>
      <c r="N3" s="211"/>
      <c r="O3" s="212">
        <f>J3-K3-L3-M3-N3</f>
        <v>5336.1</v>
      </c>
    </row>
    <row r="4" spans="1:35" ht="12.75" customHeight="1" x14ac:dyDescent="0.2">
      <c r="A4" s="179" t="s">
        <v>120</v>
      </c>
      <c r="B4" s="214" t="s">
        <v>121</v>
      </c>
      <c r="C4" s="184"/>
      <c r="D4" s="183">
        <v>852</v>
      </c>
      <c r="E4" s="198">
        <v>45898</v>
      </c>
      <c r="F4" s="186">
        <v>866.85218308499998</v>
      </c>
      <c r="G4" s="187">
        <v>1</v>
      </c>
      <c r="H4" s="188">
        <f t="shared" si="0"/>
        <v>866.85218308499998</v>
      </c>
      <c r="I4" s="188">
        <f>H4-F4</f>
        <v>0</v>
      </c>
      <c r="J4" s="189">
        <f t="shared" ref="J4" si="2">(H4+I4)</f>
        <v>866.85218308499998</v>
      </c>
      <c r="K4" s="190"/>
      <c r="L4" s="191"/>
      <c r="M4" s="191"/>
      <c r="N4" s="191"/>
      <c r="O4" s="191">
        <f t="shared" si="1"/>
        <v>866.85218308499998</v>
      </c>
      <c r="P4" s="192"/>
      <c r="Q4" s="192"/>
      <c r="R4" s="192"/>
      <c r="S4" s="192"/>
      <c r="T4" s="192"/>
      <c r="U4" s="192"/>
      <c r="V4" s="192"/>
      <c r="W4" s="192"/>
      <c r="X4" s="192"/>
      <c r="Y4" s="192"/>
      <c r="Z4" s="192"/>
      <c r="AA4" s="192"/>
      <c r="AB4" s="192"/>
      <c r="AC4" s="192"/>
      <c r="AD4" s="192"/>
      <c r="AE4" s="192"/>
      <c r="AF4" s="192"/>
      <c r="AG4" s="192"/>
      <c r="AH4" s="192"/>
      <c r="AI4" s="192"/>
    </row>
    <row r="5" spans="1:35" ht="12.75" customHeight="1" x14ac:dyDescent="0.2">
      <c r="A5" s="179" t="s">
        <v>46</v>
      </c>
      <c r="B5" s="215" t="s">
        <v>122</v>
      </c>
      <c r="C5" s="216"/>
      <c r="D5" s="217">
        <v>853</v>
      </c>
      <c r="E5" s="198">
        <v>45898</v>
      </c>
      <c r="F5" s="186">
        <v>387.00118565552941</v>
      </c>
      <c r="G5" s="187">
        <v>1</v>
      </c>
      <c r="H5" s="188">
        <f t="shared" si="0"/>
        <v>387.00118565552941</v>
      </c>
      <c r="I5" s="188">
        <f>H5-F5</f>
        <v>0</v>
      </c>
      <c r="J5" s="189">
        <f>H5+I5</f>
        <v>387.00118565552941</v>
      </c>
      <c r="K5" s="190"/>
      <c r="L5" s="191">
        <f t="shared" ref="L5:L13" si="3">J5*0.8*0.11</f>
        <v>34.056104337686591</v>
      </c>
      <c r="M5" s="191"/>
      <c r="N5" s="191">
        <f>J5*C30</f>
        <v>17.802054540154352</v>
      </c>
      <c r="O5" s="191">
        <f t="shared" si="1"/>
        <v>335.14302677768848</v>
      </c>
      <c r="P5" s="192"/>
      <c r="Q5" s="192"/>
      <c r="R5" s="192"/>
      <c r="S5" s="192"/>
      <c r="T5" s="192"/>
      <c r="U5" s="192"/>
      <c r="V5" s="192"/>
      <c r="W5" s="192"/>
      <c r="X5" s="192"/>
      <c r="Y5" s="192"/>
      <c r="Z5" s="192"/>
      <c r="AA5" s="192"/>
      <c r="AB5" s="192"/>
      <c r="AC5" s="192"/>
      <c r="AD5" s="192"/>
      <c r="AE5" s="192"/>
      <c r="AF5" s="192"/>
      <c r="AG5" s="192"/>
      <c r="AH5" s="192"/>
      <c r="AI5" s="192"/>
    </row>
    <row r="6" spans="1:35" ht="12.75" customHeight="1" x14ac:dyDescent="0.2">
      <c r="A6" s="218" t="s">
        <v>123</v>
      </c>
      <c r="B6" s="219" t="s">
        <v>124</v>
      </c>
      <c r="C6" s="220" t="s">
        <v>125</v>
      </c>
      <c r="D6" s="217">
        <v>854</v>
      </c>
      <c r="E6" s="185">
        <v>45920</v>
      </c>
      <c r="F6" s="221">
        <v>35132.977488000004</v>
      </c>
      <c r="G6" s="187">
        <v>1</v>
      </c>
      <c r="H6" s="188">
        <f t="shared" si="0"/>
        <v>35132.977488000004</v>
      </c>
      <c r="I6" s="188">
        <f>(H6-F6)</f>
        <v>0</v>
      </c>
      <c r="J6" s="189">
        <f>(H6+I6)</f>
        <v>35132.977488000004</v>
      </c>
      <c r="K6" s="222"/>
      <c r="L6" s="222">
        <f t="shared" si="3"/>
        <v>3091.7020189440004</v>
      </c>
      <c r="M6" s="221"/>
      <c r="N6" s="191">
        <f>J6*C30</f>
        <v>1616.1169644480001</v>
      </c>
      <c r="O6" s="222">
        <f t="shared" si="1"/>
        <v>30425.158504608004</v>
      </c>
      <c r="P6" s="224"/>
      <c r="Q6" s="224"/>
      <c r="R6" s="224"/>
      <c r="S6" s="224"/>
      <c r="T6" s="224"/>
      <c r="U6" s="224"/>
      <c r="V6" s="224"/>
      <c r="W6" s="224"/>
      <c r="X6" s="224"/>
      <c r="Y6" s="224"/>
      <c r="Z6" s="224"/>
      <c r="AA6" s="224"/>
      <c r="AB6" s="224"/>
      <c r="AC6" s="224"/>
      <c r="AD6" s="224"/>
      <c r="AE6" s="224"/>
      <c r="AF6" s="224"/>
      <c r="AG6" s="224"/>
      <c r="AH6" s="224"/>
      <c r="AI6" s="224"/>
    </row>
    <row r="7" spans="1:35" ht="12.75" customHeight="1" x14ac:dyDescent="0.2">
      <c r="A7" s="179" t="s">
        <v>126</v>
      </c>
      <c r="B7" s="193" t="s">
        <v>127</v>
      </c>
      <c r="C7" s="182" t="s">
        <v>128</v>
      </c>
      <c r="D7" s="183">
        <v>855</v>
      </c>
      <c r="E7" s="185">
        <v>45910</v>
      </c>
      <c r="F7" s="186">
        <v>40432.752784853496</v>
      </c>
      <c r="G7" s="187">
        <v>1</v>
      </c>
      <c r="H7" s="188">
        <f t="shared" si="0"/>
        <v>40432.752784853496</v>
      </c>
      <c r="I7" s="188">
        <f>H7-F7</f>
        <v>0</v>
      </c>
      <c r="J7" s="189">
        <f>(H7+I7)</f>
        <v>40432.752784853496</v>
      </c>
      <c r="K7" s="190"/>
      <c r="L7" s="191">
        <f t="shared" si="3"/>
        <v>3558.0822450671076</v>
      </c>
      <c r="M7" s="191"/>
      <c r="N7" s="191">
        <f>J7*C30</f>
        <v>1859.9066281032608</v>
      </c>
      <c r="O7" s="191">
        <f t="shared" si="1"/>
        <v>35014.763911683127</v>
      </c>
      <c r="P7" s="192"/>
      <c r="Q7" s="192"/>
      <c r="R7" s="192"/>
      <c r="S7" s="192"/>
      <c r="T7" s="192"/>
      <c r="U7" s="192"/>
      <c r="V7" s="192"/>
      <c r="W7" s="192"/>
      <c r="X7" s="192"/>
      <c r="Y7" s="192"/>
      <c r="Z7" s="192"/>
      <c r="AA7" s="192"/>
      <c r="AB7" s="192"/>
      <c r="AC7" s="192"/>
      <c r="AD7" s="192"/>
      <c r="AE7" s="192"/>
      <c r="AF7" s="192"/>
      <c r="AG7" s="192"/>
      <c r="AH7" s="192"/>
      <c r="AI7" s="192"/>
    </row>
    <row r="8" spans="1:35" ht="12.75" customHeight="1" x14ac:dyDescent="0.2">
      <c r="A8" s="225" t="s">
        <v>126</v>
      </c>
      <c r="B8" s="226" t="s">
        <v>127</v>
      </c>
      <c r="C8" s="195" t="s">
        <v>129</v>
      </c>
      <c r="D8" s="228">
        <v>856</v>
      </c>
      <c r="E8" s="204">
        <v>45910</v>
      </c>
      <c r="F8" s="229">
        <v>255</v>
      </c>
      <c r="G8" s="230">
        <v>1</v>
      </c>
      <c r="H8" s="231">
        <f t="shared" si="0"/>
        <v>255</v>
      </c>
      <c r="I8" s="231">
        <f t="shared" ref="I8:I13" si="4">(H8-F8)*0</f>
        <v>0</v>
      </c>
      <c r="J8" s="232">
        <f t="shared" ref="J8:J13" si="5">H8+I8</f>
        <v>255</v>
      </c>
      <c r="K8" s="229"/>
      <c r="L8" s="233">
        <f t="shared" si="3"/>
        <v>22.44</v>
      </c>
      <c r="M8" s="233"/>
      <c r="N8" s="233">
        <f>J8*C30</f>
        <v>11.73</v>
      </c>
      <c r="O8" s="233">
        <f t="shared" si="1"/>
        <v>220.83</v>
      </c>
      <c r="P8" s="192"/>
      <c r="Q8" s="192"/>
      <c r="R8" s="192"/>
      <c r="S8" s="192"/>
      <c r="T8" s="192"/>
      <c r="U8" s="192"/>
      <c r="V8" s="192"/>
      <c r="W8" s="192"/>
      <c r="X8" s="192"/>
      <c r="Y8" s="192"/>
      <c r="Z8" s="192"/>
      <c r="AA8" s="192"/>
      <c r="AB8" s="192"/>
      <c r="AC8" s="192"/>
      <c r="AD8" s="192"/>
      <c r="AE8" s="192"/>
      <c r="AF8" s="192"/>
      <c r="AG8" s="192"/>
      <c r="AH8" s="192"/>
      <c r="AI8" s="192"/>
    </row>
    <row r="9" spans="1:35" ht="12.75" customHeight="1" x14ac:dyDescent="0.2">
      <c r="A9" s="225" t="s">
        <v>126</v>
      </c>
      <c r="B9" s="226" t="s">
        <v>127</v>
      </c>
      <c r="C9" s="195" t="s">
        <v>130</v>
      </c>
      <c r="D9" s="228">
        <v>857</v>
      </c>
      <c r="E9" s="204">
        <v>45910</v>
      </c>
      <c r="F9" s="229">
        <v>320</v>
      </c>
      <c r="G9" s="230">
        <v>1</v>
      </c>
      <c r="H9" s="231">
        <f t="shared" si="0"/>
        <v>320</v>
      </c>
      <c r="I9" s="231">
        <f t="shared" si="4"/>
        <v>0</v>
      </c>
      <c r="J9" s="232">
        <f t="shared" si="5"/>
        <v>320</v>
      </c>
      <c r="K9" s="229"/>
      <c r="L9" s="233">
        <f t="shared" si="3"/>
        <v>28.16</v>
      </c>
      <c r="M9" s="233"/>
      <c r="N9" s="233">
        <f>J9*C30</f>
        <v>14.719999999999999</v>
      </c>
      <c r="O9" s="233">
        <f t="shared" si="1"/>
        <v>277.12</v>
      </c>
      <c r="P9" s="192"/>
      <c r="Q9" s="192"/>
      <c r="R9" s="192"/>
      <c r="S9" s="192"/>
      <c r="T9" s="192"/>
      <c r="U9" s="192"/>
      <c r="V9" s="192"/>
      <c r="W9" s="192"/>
      <c r="X9" s="192"/>
      <c r="Y9" s="192"/>
      <c r="Z9" s="192"/>
      <c r="AA9" s="192"/>
      <c r="AB9" s="192"/>
      <c r="AC9" s="192"/>
      <c r="AD9" s="192"/>
      <c r="AE9" s="192"/>
      <c r="AF9" s="192"/>
      <c r="AG9" s="192"/>
      <c r="AH9" s="192"/>
      <c r="AI9" s="192"/>
    </row>
    <row r="10" spans="1:35" ht="12.75" customHeight="1" x14ac:dyDescent="0.2">
      <c r="A10" s="225" t="s">
        <v>126</v>
      </c>
      <c r="B10" s="226" t="s">
        <v>127</v>
      </c>
      <c r="C10" s="195" t="s">
        <v>131</v>
      </c>
      <c r="D10" s="228">
        <v>858</v>
      </c>
      <c r="E10" s="204">
        <v>45910</v>
      </c>
      <c r="F10" s="229">
        <v>320</v>
      </c>
      <c r="G10" s="230">
        <v>1</v>
      </c>
      <c r="H10" s="231">
        <f t="shared" si="0"/>
        <v>320</v>
      </c>
      <c r="I10" s="231">
        <f t="shared" si="4"/>
        <v>0</v>
      </c>
      <c r="J10" s="232">
        <f t="shared" si="5"/>
        <v>320</v>
      </c>
      <c r="K10" s="229"/>
      <c r="L10" s="233">
        <f t="shared" si="3"/>
        <v>28.16</v>
      </c>
      <c r="M10" s="233"/>
      <c r="N10" s="233">
        <f>J10*C30</f>
        <v>14.719999999999999</v>
      </c>
      <c r="O10" s="233">
        <f t="shared" si="1"/>
        <v>277.12</v>
      </c>
      <c r="P10" s="192"/>
      <c r="Q10" s="192"/>
      <c r="R10" s="192"/>
      <c r="S10" s="192"/>
      <c r="T10" s="192"/>
      <c r="U10" s="192"/>
      <c r="V10" s="192"/>
      <c r="W10" s="192"/>
      <c r="X10" s="192"/>
      <c r="Y10" s="192"/>
      <c r="Z10" s="192"/>
      <c r="AA10" s="192"/>
      <c r="AB10" s="192"/>
      <c r="AC10" s="192"/>
      <c r="AD10" s="192"/>
      <c r="AE10" s="192"/>
      <c r="AF10" s="192"/>
      <c r="AG10" s="192"/>
      <c r="AH10" s="192"/>
      <c r="AI10" s="192"/>
    </row>
    <row r="11" spans="1:35" ht="12.75" customHeight="1" x14ac:dyDescent="0.2">
      <c r="A11" s="225" t="s">
        <v>126</v>
      </c>
      <c r="B11" s="226" t="s">
        <v>127</v>
      </c>
      <c r="C11" s="195" t="s">
        <v>132</v>
      </c>
      <c r="D11" s="228">
        <v>867</v>
      </c>
      <c r="E11" s="204">
        <v>45910</v>
      </c>
      <c r="F11" s="229">
        <v>255</v>
      </c>
      <c r="G11" s="230">
        <v>1</v>
      </c>
      <c r="H11" s="231">
        <f t="shared" si="0"/>
        <v>255</v>
      </c>
      <c r="I11" s="231">
        <f t="shared" si="4"/>
        <v>0</v>
      </c>
      <c r="J11" s="232">
        <f t="shared" si="5"/>
        <v>255</v>
      </c>
      <c r="K11" s="229"/>
      <c r="L11" s="233">
        <f t="shared" si="3"/>
        <v>22.44</v>
      </c>
      <c r="M11" s="233"/>
      <c r="N11" s="233">
        <f>J11*C30</f>
        <v>11.73</v>
      </c>
      <c r="O11" s="233">
        <f t="shared" si="1"/>
        <v>220.83</v>
      </c>
      <c r="P11" s="192"/>
      <c r="Q11" s="192"/>
      <c r="R11" s="192"/>
      <c r="S11" s="192"/>
      <c r="T11" s="192"/>
      <c r="U11" s="192"/>
      <c r="V11" s="192"/>
      <c r="W11" s="192"/>
      <c r="X11" s="192"/>
      <c r="Y11" s="192"/>
      <c r="Z11" s="192"/>
      <c r="AA11" s="192"/>
      <c r="AB11" s="192"/>
      <c r="AC11" s="192"/>
      <c r="AD11" s="192"/>
      <c r="AE11" s="192"/>
      <c r="AF11" s="192"/>
      <c r="AG11" s="192"/>
      <c r="AH11" s="192"/>
      <c r="AI11" s="192"/>
    </row>
    <row r="12" spans="1:35" ht="12.75" customHeight="1" x14ac:dyDescent="0.2">
      <c r="A12" s="225" t="s">
        <v>126</v>
      </c>
      <c r="B12" s="226" t="s">
        <v>127</v>
      </c>
      <c r="C12" s="195" t="s">
        <v>133</v>
      </c>
      <c r="D12" s="228">
        <v>868</v>
      </c>
      <c r="E12" s="204">
        <v>45910</v>
      </c>
      <c r="F12" s="229">
        <v>320</v>
      </c>
      <c r="G12" s="230">
        <v>1</v>
      </c>
      <c r="H12" s="231">
        <f t="shared" si="0"/>
        <v>320</v>
      </c>
      <c r="I12" s="231">
        <f t="shared" si="4"/>
        <v>0</v>
      </c>
      <c r="J12" s="232">
        <f t="shared" si="5"/>
        <v>320</v>
      </c>
      <c r="K12" s="229"/>
      <c r="L12" s="233">
        <f t="shared" si="3"/>
        <v>28.16</v>
      </c>
      <c r="M12" s="233"/>
      <c r="N12" s="233">
        <f>J12*C30</f>
        <v>14.719999999999999</v>
      </c>
      <c r="O12" s="233">
        <f t="shared" si="1"/>
        <v>277.12</v>
      </c>
      <c r="P12" s="192"/>
      <c r="Q12" s="192"/>
      <c r="R12" s="192"/>
      <c r="S12" s="192"/>
      <c r="T12" s="192"/>
      <c r="U12" s="192"/>
      <c r="V12" s="192"/>
      <c r="W12" s="192"/>
      <c r="X12" s="192"/>
      <c r="Y12" s="192"/>
      <c r="Z12" s="192"/>
      <c r="AA12" s="192"/>
      <c r="AB12" s="192"/>
      <c r="AC12" s="192"/>
      <c r="AD12" s="192"/>
      <c r="AE12" s="192"/>
      <c r="AF12" s="192"/>
      <c r="AG12" s="192"/>
      <c r="AH12" s="192"/>
      <c r="AI12" s="192"/>
    </row>
    <row r="13" spans="1:35" ht="12.75" customHeight="1" x14ac:dyDescent="0.2">
      <c r="A13" s="225" t="s">
        <v>126</v>
      </c>
      <c r="B13" s="226" t="s">
        <v>127</v>
      </c>
      <c r="C13" s="195" t="s">
        <v>134</v>
      </c>
      <c r="D13" s="228">
        <v>869</v>
      </c>
      <c r="E13" s="204">
        <v>45910</v>
      </c>
      <c r="F13" s="229">
        <v>320</v>
      </c>
      <c r="G13" s="230">
        <v>1</v>
      </c>
      <c r="H13" s="231">
        <f t="shared" si="0"/>
        <v>320</v>
      </c>
      <c r="I13" s="231">
        <f t="shared" si="4"/>
        <v>0</v>
      </c>
      <c r="J13" s="232">
        <f t="shared" si="5"/>
        <v>320</v>
      </c>
      <c r="K13" s="229"/>
      <c r="L13" s="233">
        <f t="shared" si="3"/>
        <v>28.16</v>
      </c>
      <c r="M13" s="233"/>
      <c r="N13" s="233">
        <f>J13*C30</f>
        <v>14.719999999999999</v>
      </c>
      <c r="O13" s="233">
        <f t="shared" si="1"/>
        <v>277.12</v>
      </c>
      <c r="P13" s="192"/>
      <c r="Q13" s="192"/>
      <c r="R13" s="192"/>
      <c r="S13" s="192"/>
      <c r="T13" s="192"/>
      <c r="U13" s="192"/>
      <c r="V13" s="192"/>
      <c r="W13" s="192"/>
      <c r="X13" s="192"/>
      <c r="Y13" s="192"/>
      <c r="Z13" s="192"/>
      <c r="AA13" s="192"/>
      <c r="AB13" s="192"/>
      <c r="AC13" s="192"/>
      <c r="AD13" s="192"/>
      <c r="AE13" s="192"/>
      <c r="AF13" s="192"/>
      <c r="AG13" s="192"/>
      <c r="AH13" s="192"/>
      <c r="AI13" s="192"/>
    </row>
    <row r="14" spans="1:35" ht="12.75" customHeight="1" x14ac:dyDescent="0.2">
      <c r="A14" s="225" t="s">
        <v>60</v>
      </c>
      <c r="B14" s="235" t="s">
        <v>135</v>
      </c>
      <c r="C14" s="236"/>
      <c r="D14" s="227">
        <v>859</v>
      </c>
      <c r="E14" s="237">
        <v>45877</v>
      </c>
      <c r="F14" s="238">
        <v>6656.37</v>
      </c>
      <c r="G14" s="239">
        <v>1</v>
      </c>
      <c r="H14" s="240">
        <f t="shared" si="0"/>
        <v>6656.37</v>
      </c>
      <c r="I14" s="240">
        <f>H14-F14</f>
        <v>0</v>
      </c>
      <c r="J14" s="232">
        <f>(H14+I14)</f>
        <v>6656.37</v>
      </c>
      <c r="K14" s="241"/>
      <c r="L14" s="242"/>
      <c r="M14" s="242"/>
      <c r="N14" s="242"/>
      <c r="O14" s="242">
        <f t="shared" si="1"/>
        <v>6656.37</v>
      </c>
      <c r="P14" s="192"/>
      <c r="Q14" s="192"/>
      <c r="R14" s="192"/>
      <c r="S14" s="192"/>
      <c r="T14" s="192"/>
      <c r="U14" s="192"/>
      <c r="V14" s="192"/>
      <c r="W14" s="192"/>
      <c r="X14" s="192"/>
      <c r="Y14" s="192"/>
      <c r="Z14" s="192"/>
      <c r="AA14" s="192"/>
      <c r="AB14" s="192"/>
      <c r="AC14" s="192"/>
      <c r="AD14" s="192"/>
      <c r="AE14" s="192"/>
      <c r="AF14" s="192"/>
      <c r="AG14" s="192"/>
      <c r="AH14" s="192"/>
      <c r="AI14" s="192"/>
    </row>
    <row r="15" spans="1:35" ht="12.75" customHeight="1" x14ac:dyDescent="0.2">
      <c r="A15" s="179" t="s">
        <v>136</v>
      </c>
      <c r="B15" s="214" t="s">
        <v>137</v>
      </c>
      <c r="C15" s="182"/>
      <c r="D15" s="183">
        <v>860</v>
      </c>
      <c r="E15" s="198">
        <v>45898</v>
      </c>
      <c r="F15" s="186">
        <v>503.32863245059207</v>
      </c>
      <c r="G15" s="187">
        <v>1</v>
      </c>
      <c r="H15" s="188">
        <f t="shared" si="0"/>
        <v>503.32863245059207</v>
      </c>
      <c r="I15" s="188">
        <f>H15-F15</f>
        <v>0</v>
      </c>
      <c r="J15" s="189">
        <f>(H15+I15)/2</f>
        <v>251.66431622529603</v>
      </c>
      <c r="K15" s="190"/>
      <c r="L15" s="191">
        <f>J15*0.8*0.11</f>
        <v>22.146459827826053</v>
      </c>
      <c r="M15" s="191"/>
      <c r="N15" s="191"/>
      <c r="O15" s="191">
        <f t="shared" si="1"/>
        <v>229.51785639746998</v>
      </c>
      <c r="P15" s="192"/>
      <c r="Q15" s="192"/>
      <c r="R15" s="192"/>
      <c r="S15" s="192"/>
      <c r="T15" s="192"/>
      <c r="U15" s="192"/>
      <c r="V15" s="192"/>
      <c r="W15" s="192"/>
      <c r="X15" s="192"/>
      <c r="Y15" s="192"/>
      <c r="Z15" s="192"/>
      <c r="AA15" s="192"/>
      <c r="AB15" s="192"/>
      <c r="AC15" s="192"/>
      <c r="AD15" s="192"/>
      <c r="AE15" s="192"/>
      <c r="AF15" s="192"/>
      <c r="AG15" s="192"/>
      <c r="AH15" s="192"/>
      <c r="AI15" s="192"/>
    </row>
    <row r="16" spans="1:35" s="213" customFormat="1" ht="12.75" customHeight="1" x14ac:dyDescent="0.2">
      <c r="A16" s="243" t="s">
        <v>115</v>
      </c>
      <c r="B16" s="201" t="s">
        <v>138</v>
      </c>
      <c r="C16" s="194" t="s">
        <v>98</v>
      </c>
      <c r="D16" s="227">
        <v>861</v>
      </c>
      <c r="E16" s="204">
        <v>45868</v>
      </c>
      <c r="F16" s="244">
        <v>180</v>
      </c>
      <c r="G16" s="230">
        <v>1</v>
      </c>
      <c r="H16" s="207">
        <f t="shared" si="0"/>
        <v>180</v>
      </c>
      <c r="I16" s="207">
        <v>0</v>
      </c>
      <c r="J16" s="209">
        <f>(H16+I16)</f>
        <v>180</v>
      </c>
      <c r="K16" s="245"/>
      <c r="L16" s="212"/>
      <c r="M16" s="212"/>
      <c r="N16" s="212"/>
      <c r="O16" s="212">
        <f t="shared" si="1"/>
        <v>180</v>
      </c>
      <c r="P16" s="246"/>
      <c r="Q16" s="246"/>
      <c r="R16" s="246"/>
      <c r="S16" s="246"/>
      <c r="T16" s="246"/>
      <c r="U16" s="246"/>
      <c r="V16" s="246"/>
      <c r="W16" s="246"/>
      <c r="X16" s="246"/>
      <c r="Y16" s="246"/>
      <c r="Z16" s="246"/>
      <c r="AA16" s="246"/>
      <c r="AB16" s="246"/>
      <c r="AC16" s="246"/>
      <c r="AD16" s="246"/>
      <c r="AE16" s="246"/>
      <c r="AF16" s="246"/>
      <c r="AG16" s="246"/>
      <c r="AH16" s="246"/>
      <c r="AI16" s="246"/>
    </row>
    <row r="17" spans="1:35" ht="12.75" customHeight="1" x14ac:dyDescent="0.2">
      <c r="A17" s="225" t="s">
        <v>139</v>
      </c>
      <c r="B17" s="247" t="s">
        <v>140</v>
      </c>
      <c r="C17" s="181"/>
      <c r="D17" s="203">
        <v>870</v>
      </c>
      <c r="E17" s="248">
        <v>45898</v>
      </c>
      <c r="F17" s="249">
        <v>591.05999999999995</v>
      </c>
      <c r="G17" s="239">
        <v>1</v>
      </c>
      <c r="H17" s="231">
        <f>F17*G17</f>
        <v>591.05999999999995</v>
      </c>
      <c r="I17" s="231">
        <f>H17-F17</f>
        <v>0</v>
      </c>
      <c r="J17" s="232">
        <f t="shared" ref="J17" si="6">(H17+I17)</f>
        <v>591.05999999999995</v>
      </c>
      <c r="K17" s="229"/>
      <c r="L17" s="233"/>
      <c r="M17" s="233"/>
      <c r="N17" s="233"/>
      <c r="O17" s="233">
        <f t="shared" si="1"/>
        <v>591.05999999999995</v>
      </c>
      <c r="P17" s="192"/>
      <c r="Q17" s="192"/>
      <c r="R17" s="192"/>
      <c r="S17" s="192"/>
      <c r="T17" s="192"/>
      <c r="U17" s="192"/>
      <c r="V17" s="192"/>
      <c r="W17" s="192"/>
      <c r="X17" s="192"/>
      <c r="Y17" s="192"/>
      <c r="Z17" s="192"/>
      <c r="AA17" s="192"/>
      <c r="AB17" s="192"/>
      <c r="AC17" s="192"/>
      <c r="AD17" s="192"/>
      <c r="AE17" s="192"/>
      <c r="AF17" s="192"/>
      <c r="AG17" s="192"/>
      <c r="AH17" s="192"/>
      <c r="AI17" s="192"/>
    </row>
    <row r="18" spans="1:35" ht="12.75" customHeight="1" x14ac:dyDescent="0.2">
      <c r="A18" s="179" t="s">
        <v>141</v>
      </c>
      <c r="B18" s="196" t="s">
        <v>142</v>
      </c>
      <c r="C18" s="182"/>
      <c r="D18" s="183">
        <v>862</v>
      </c>
      <c r="E18" s="198">
        <v>45898</v>
      </c>
      <c r="F18" s="186">
        <v>1294.4111199041567</v>
      </c>
      <c r="G18" s="187">
        <v>1</v>
      </c>
      <c r="H18" s="188">
        <f t="shared" si="0"/>
        <v>1294.4111199041567</v>
      </c>
      <c r="I18" s="188">
        <f>H18-F18</f>
        <v>0</v>
      </c>
      <c r="J18" s="189">
        <f>(H18+I18)-819.82</f>
        <v>474.5911199041567</v>
      </c>
      <c r="K18" s="190"/>
      <c r="L18" s="191">
        <f>J18*0.8*0.11</f>
        <v>41.76401855156579</v>
      </c>
      <c r="M18" s="191"/>
      <c r="N18" s="191"/>
      <c r="O18" s="191">
        <f t="shared" si="1"/>
        <v>432.82710135259089</v>
      </c>
      <c r="P18" s="192"/>
      <c r="Q18" s="192"/>
      <c r="R18" s="192"/>
      <c r="S18" s="192"/>
      <c r="T18" s="192"/>
      <c r="U18" s="192"/>
      <c r="V18" s="192"/>
      <c r="W18" s="192"/>
      <c r="X18" s="192"/>
      <c r="Y18" s="192"/>
      <c r="Z18" s="192"/>
      <c r="AA18" s="192"/>
      <c r="AB18" s="192"/>
      <c r="AC18" s="192"/>
      <c r="AD18" s="192"/>
      <c r="AE18" s="192"/>
      <c r="AF18" s="192"/>
      <c r="AG18" s="192"/>
      <c r="AH18" s="192"/>
      <c r="AI18" s="192"/>
    </row>
    <row r="19" spans="1:35" ht="12.75" customHeight="1" x14ac:dyDescent="0.2">
      <c r="A19" s="179" t="s">
        <v>115</v>
      </c>
      <c r="B19" s="180" t="s">
        <v>143</v>
      </c>
      <c r="C19" s="182"/>
      <c r="D19" s="250">
        <v>872</v>
      </c>
      <c r="E19" s="185">
        <v>45905</v>
      </c>
      <c r="F19" s="186">
        <v>463.23968001420189</v>
      </c>
      <c r="G19" s="187">
        <v>1</v>
      </c>
      <c r="H19" s="188">
        <f t="shared" si="0"/>
        <v>463.23968001420189</v>
      </c>
      <c r="I19" s="188">
        <v>0</v>
      </c>
      <c r="J19" s="189">
        <f t="shared" ref="J19" si="7">(H19+I19)</f>
        <v>463.23968001420189</v>
      </c>
      <c r="K19" s="190"/>
      <c r="L19" s="191"/>
      <c r="M19" s="191"/>
      <c r="N19" s="191"/>
      <c r="O19" s="191">
        <f t="shared" ref="O19:O20" si="8">J19-K19-L19-M19-N19</f>
        <v>463.23968001420189</v>
      </c>
      <c r="P19" s="192"/>
      <c r="Q19" s="192"/>
      <c r="R19" s="192"/>
      <c r="S19" s="192"/>
      <c r="T19" s="192"/>
      <c r="U19" s="192"/>
      <c r="V19" s="192"/>
      <c r="W19" s="192"/>
      <c r="X19" s="192"/>
      <c r="Y19" s="192"/>
      <c r="Z19" s="192"/>
      <c r="AA19" s="192"/>
      <c r="AB19" s="192"/>
      <c r="AC19" s="192"/>
      <c r="AD19" s="192"/>
      <c r="AE19" s="192"/>
      <c r="AF19" s="192"/>
      <c r="AG19" s="192"/>
      <c r="AH19" s="192"/>
      <c r="AI19" s="192"/>
    </row>
    <row r="20" spans="1:35" ht="12.75" customHeight="1" x14ac:dyDescent="0.2">
      <c r="A20" s="179" t="s">
        <v>144</v>
      </c>
      <c r="B20" s="196" t="s">
        <v>145</v>
      </c>
      <c r="C20" s="184"/>
      <c r="D20" s="183">
        <v>863</v>
      </c>
      <c r="E20" s="198">
        <v>45898</v>
      </c>
      <c r="F20" s="186">
        <v>4722.0146845679037</v>
      </c>
      <c r="G20" s="187">
        <v>1</v>
      </c>
      <c r="H20" s="188">
        <f t="shared" ref="H20:H25" si="9">F20*G20</f>
        <v>4722.0146845679037</v>
      </c>
      <c r="I20" s="188">
        <f>H20-F20</f>
        <v>0</v>
      </c>
      <c r="J20" s="189">
        <f t="shared" ref="J20:J25" si="10">H20+I20</f>
        <v>4722.0146845679037</v>
      </c>
      <c r="K20" s="190"/>
      <c r="L20" s="191">
        <f>J20*0.8*0.11</f>
        <v>415.53729224197554</v>
      </c>
      <c r="M20" s="191"/>
      <c r="N20" s="191"/>
      <c r="O20" s="191">
        <f t="shared" si="8"/>
        <v>4306.4773923259281</v>
      </c>
      <c r="P20" s="192"/>
      <c r="Q20" s="192"/>
      <c r="R20" s="192"/>
      <c r="S20" s="192"/>
      <c r="T20" s="192"/>
      <c r="U20" s="192"/>
      <c r="V20" s="192"/>
      <c r="W20" s="192"/>
      <c r="X20" s="192"/>
      <c r="Y20" s="192"/>
      <c r="Z20" s="192"/>
      <c r="AA20" s="192"/>
      <c r="AB20" s="192"/>
      <c r="AC20" s="192"/>
      <c r="AD20" s="192"/>
      <c r="AE20" s="192"/>
      <c r="AF20" s="192"/>
      <c r="AG20" s="192"/>
      <c r="AH20" s="192"/>
      <c r="AI20" s="192"/>
    </row>
    <row r="21" spans="1:35" s="213" customFormat="1" ht="12.75" customHeight="1" x14ac:dyDescent="0.2">
      <c r="A21" s="200" t="s">
        <v>146</v>
      </c>
      <c r="B21" s="201" t="s">
        <v>147</v>
      </c>
      <c r="C21" s="202" t="s">
        <v>148</v>
      </c>
      <c r="D21" s="203">
        <v>864</v>
      </c>
      <c r="E21" s="204">
        <v>45877</v>
      </c>
      <c r="F21" s="205">
        <v>299</v>
      </c>
      <c r="G21" s="206">
        <v>1</v>
      </c>
      <c r="H21" s="207">
        <f>F21*G21</f>
        <v>299</v>
      </c>
      <c r="I21" s="208">
        <v>0</v>
      </c>
      <c r="J21" s="209">
        <f t="shared" si="10"/>
        <v>299</v>
      </c>
      <c r="K21" s="210"/>
      <c r="L21" s="211"/>
      <c r="M21" s="211"/>
      <c r="N21" s="211"/>
      <c r="O21" s="212">
        <f>J21-K21-L21-M21-N21</f>
        <v>299</v>
      </c>
    </row>
    <row r="22" spans="1:35" s="213" customFormat="1" ht="12.75" customHeight="1" x14ac:dyDescent="0.2">
      <c r="A22" s="200" t="s">
        <v>146</v>
      </c>
      <c r="B22" s="201" t="s">
        <v>147</v>
      </c>
      <c r="C22" s="202" t="s">
        <v>149</v>
      </c>
      <c r="D22" s="203">
        <v>866</v>
      </c>
      <c r="E22" s="204">
        <v>45884</v>
      </c>
      <c r="F22" s="205">
        <v>299</v>
      </c>
      <c r="G22" s="206">
        <v>1</v>
      </c>
      <c r="H22" s="207">
        <f>F22*G22</f>
        <v>299</v>
      </c>
      <c r="I22" s="208">
        <v>0</v>
      </c>
      <c r="J22" s="209">
        <f t="shared" si="10"/>
        <v>299</v>
      </c>
      <c r="K22" s="210"/>
      <c r="L22" s="211"/>
      <c r="M22" s="211"/>
      <c r="N22" s="211"/>
      <c r="O22" s="212">
        <f>J22-K22-L22-M22-N22</f>
        <v>299</v>
      </c>
    </row>
    <row r="23" spans="1:35" s="213" customFormat="1" ht="12.75" customHeight="1" x14ac:dyDescent="0.2">
      <c r="A23" s="200" t="s">
        <v>146</v>
      </c>
      <c r="B23" s="201" t="s">
        <v>147</v>
      </c>
      <c r="C23" s="202" t="s">
        <v>150</v>
      </c>
      <c r="D23" s="203">
        <v>871</v>
      </c>
      <c r="E23" s="204">
        <v>45898</v>
      </c>
      <c r="F23" s="205">
        <v>299</v>
      </c>
      <c r="G23" s="206">
        <v>1</v>
      </c>
      <c r="H23" s="207">
        <f>F23*G23</f>
        <v>299</v>
      </c>
      <c r="I23" s="208">
        <v>0</v>
      </c>
      <c r="J23" s="209">
        <f t="shared" si="10"/>
        <v>299</v>
      </c>
      <c r="K23" s="210"/>
      <c r="L23" s="211"/>
      <c r="M23" s="211"/>
      <c r="N23" s="211"/>
      <c r="O23" s="212">
        <f>J23-K23-L23-M23-N23</f>
        <v>299</v>
      </c>
    </row>
    <row r="24" spans="1:35" ht="12.75" customHeight="1" x14ac:dyDescent="0.2">
      <c r="A24" s="179" t="s">
        <v>151</v>
      </c>
      <c r="B24" s="180" t="s">
        <v>152</v>
      </c>
      <c r="C24" s="182"/>
      <c r="D24" s="183">
        <v>873</v>
      </c>
      <c r="E24" s="185">
        <v>45910</v>
      </c>
      <c r="F24" s="186">
        <v>428.34837429999993</v>
      </c>
      <c r="G24" s="187">
        <v>1</v>
      </c>
      <c r="H24" s="188">
        <f t="shared" si="9"/>
        <v>428.34837429999993</v>
      </c>
      <c r="I24" s="188">
        <v>0</v>
      </c>
      <c r="J24" s="189">
        <f t="shared" si="10"/>
        <v>428.34837429999993</v>
      </c>
      <c r="K24" s="190"/>
      <c r="L24" s="191"/>
      <c r="M24" s="191"/>
      <c r="N24" s="191"/>
      <c r="O24" s="191">
        <f t="shared" ref="O24:O25" si="11">J24-K24-L24-M24-N24</f>
        <v>428.34837429999993</v>
      </c>
      <c r="P24" s="192"/>
      <c r="Q24" s="192"/>
      <c r="R24" s="192"/>
      <c r="S24" s="192"/>
      <c r="T24" s="192"/>
      <c r="U24" s="192"/>
      <c r="V24" s="192"/>
      <c r="W24" s="192"/>
      <c r="X24" s="192"/>
      <c r="Y24" s="192"/>
      <c r="Z24" s="192"/>
      <c r="AA24" s="192"/>
      <c r="AB24" s="192"/>
      <c r="AC24" s="192"/>
      <c r="AD24" s="192"/>
      <c r="AE24" s="192"/>
      <c r="AF24" s="192"/>
      <c r="AG24" s="192"/>
      <c r="AH24" s="192"/>
      <c r="AI24" s="192"/>
    </row>
    <row r="25" spans="1:35" ht="12.75" customHeight="1" x14ac:dyDescent="0.2">
      <c r="A25" s="179" t="s">
        <v>153</v>
      </c>
      <c r="B25" s="180" t="s">
        <v>154</v>
      </c>
      <c r="C25" s="184"/>
      <c r="D25" s="183">
        <v>865</v>
      </c>
      <c r="E25" s="185">
        <v>45910</v>
      </c>
      <c r="F25" s="186">
        <v>180.6215</v>
      </c>
      <c r="G25" s="187">
        <v>1</v>
      </c>
      <c r="H25" s="188">
        <f t="shared" si="9"/>
        <v>180.6215</v>
      </c>
      <c r="I25" s="188">
        <f>H25-F25</f>
        <v>0</v>
      </c>
      <c r="J25" s="189">
        <f t="shared" si="10"/>
        <v>180.6215</v>
      </c>
      <c r="K25" s="190"/>
      <c r="L25" s="191"/>
      <c r="M25" s="191"/>
      <c r="N25" s="191"/>
      <c r="O25" s="191">
        <f t="shared" si="11"/>
        <v>180.6215</v>
      </c>
      <c r="P25" s="192"/>
      <c r="Q25" s="192"/>
      <c r="R25" s="192"/>
      <c r="S25" s="192"/>
      <c r="T25" s="192"/>
      <c r="U25" s="192"/>
      <c r="V25" s="192"/>
      <c r="W25" s="192"/>
      <c r="X25" s="192"/>
      <c r="Y25" s="192"/>
      <c r="Z25" s="192"/>
      <c r="AA25" s="192"/>
      <c r="AB25" s="192"/>
      <c r="AC25" s="192"/>
      <c r="AD25" s="192"/>
      <c r="AE25" s="192"/>
      <c r="AF25" s="192"/>
      <c r="AG25" s="192"/>
      <c r="AH25" s="192"/>
      <c r="AI25" s="192"/>
    </row>
    <row r="26" spans="1:35" ht="12.75" customHeight="1" x14ac:dyDescent="0.2">
      <c r="A26" s="225"/>
      <c r="B26" s="226"/>
      <c r="C26" s="195"/>
      <c r="D26" s="223"/>
      <c r="E26" s="234"/>
      <c r="F26" s="249"/>
      <c r="G26" s="239"/>
      <c r="H26" s="231"/>
      <c r="I26" s="231"/>
      <c r="J26" s="240"/>
      <c r="K26" s="229"/>
      <c r="L26" s="233"/>
      <c r="M26" s="233"/>
      <c r="N26" s="233"/>
      <c r="O26" s="233"/>
      <c r="P26" s="192"/>
      <c r="Q26" s="192"/>
      <c r="R26" s="192"/>
      <c r="S26" s="192"/>
      <c r="T26" s="192"/>
      <c r="U26" s="192"/>
      <c r="V26" s="192"/>
      <c r="W26" s="192"/>
      <c r="X26" s="192"/>
      <c r="Y26" s="192"/>
      <c r="Z26" s="192"/>
      <c r="AA26" s="192"/>
      <c r="AB26" s="192"/>
      <c r="AC26" s="192"/>
      <c r="AD26" s="192"/>
      <c r="AE26" s="192"/>
      <c r="AF26" s="192"/>
      <c r="AG26" s="192"/>
      <c r="AH26" s="192"/>
      <c r="AI26" s="192"/>
    </row>
    <row r="27" spans="1:35" ht="12.75" customHeight="1" x14ac:dyDescent="0.2">
      <c r="A27" s="241"/>
      <c r="B27" s="253" t="s">
        <v>99</v>
      </c>
      <c r="C27" s="253"/>
      <c r="D27" s="223"/>
      <c r="E27" s="254"/>
      <c r="F27" s="255"/>
      <c r="G27" s="187"/>
      <c r="H27" s="188"/>
      <c r="I27" s="188"/>
      <c r="J27" s="256"/>
      <c r="K27" s="257"/>
      <c r="L27" s="257"/>
      <c r="M27" s="257"/>
      <c r="N27" s="257"/>
      <c r="O27" s="222"/>
      <c r="P27" s="251"/>
      <c r="Q27" s="251"/>
      <c r="R27" s="251"/>
      <c r="S27" s="251"/>
      <c r="T27" s="251"/>
      <c r="U27" s="251"/>
      <c r="V27" s="251"/>
      <c r="W27" s="251"/>
      <c r="X27" s="251"/>
      <c r="Y27" s="251"/>
      <c r="Z27" s="251"/>
      <c r="AA27" s="251"/>
      <c r="AB27" s="251"/>
      <c r="AC27" s="251"/>
      <c r="AD27" s="251"/>
      <c r="AE27" s="251"/>
      <c r="AF27" s="251"/>
      <c r="AG27" s="251"/>
      <c r="AH27" s="251"/>
      <c r="AI27" s="251"/>
    </row>
    <row r="28" spans="1:35" ht="12.75" customHeight="1" x14ac:dyDescent="0.2">
      <c r="A28" s="252"/>
      <c r="B28" s="252" t="s">
        <v>100</v>
      </c>
      <c r="C28" s="252"/>
      <c r="D28" s="258"/>
      <c r="E28" s="259"/>
      <c r="F28" s="260">
        <f>SUBTOTAL(9,F2:F27)</f>
        <v>100857.98763283085</v>
      </c>
      <c r="G28" s="261">
        <f>SUBTOTAL(9,G2:G27)</f>
        <v>24</v>
      </c>
      <c r="H28" s="261">
        <f>SUBTOTAL(9,H2:H27)</f>
        <v>100857.98763283085</v>
      </c>
      <c r="I28" s="261">
        <f>SUBTOTAL(9,I2:I27)</f>
        <v>0</v>
      </c>
      <c r="J28" s="261">
        <f>SUBTOTAL(9,J2:J27)</f>
        <v>99786.503316605565</v>
      </c>
      <c r="K28" s="261"/>
      <c r="L28" s="261">
        <f>SUBTOTAL(9,L2:L27)</f>
        <v>7408.4482189701612</v>
      </c>
      <c r="M28" s="261"/>
      <c r="N28" s="261">
        <f>SUBTOTAL(9,N2:N27)</f>
        <v>3576.1656470914145</v>
      </c>
      <c r="O28" s="261">
        <f>SUBTOTAL(9,O2:O27)</f>
        <v>88801.889450543997</v>
      </c>
      <c r="P28" s="262"/>
      <c r="Q28" s="262"/>
      <c r="R28" s="262"/>
      <c r="S28" s="262"/>
      <c r="T28" s="262"/>
      <c r="U28" s="262"/>
      <c r="V28" s="262"/>
      <c r="W28" s="262"/>
      <c r="X28" s="262"/>
      <c r="Y28" s="262"/>
      <c r="Z28" s="262"/>
      <c r="AA28" s="262"/>
      <c r="AB28" s="262"/>
      <c r="AC28" s="262"/>
      <c r="AD28" s="262"/>
      <c r="AE28" s="262"/>
      <c r="AF28" s="262"/>
      <c r="AG28" s="262"/>
      <c r="AH28" s="262"/>
      <c r="AI28" s="262"/>
    </row>
    <row r="29" spans="1:35" ht="12.75" customHeight="1" x14ac:dyDescent="0.2">
      <c r="A29" s="262"/>
      <c r="B29" s="263"/>
      <c r="C29" s="263"/>
      <c r="D29" s="264"/>
      <c r="E29" s="265"/>
      <c r="F29" s="266"/>
      <c r="G29" s="267"/>
      <c r="H29" s="267"/>
      <c r="I29" s="267"/>
      <c r="J29" s="268"/>
      <c r="K29" s="267"/>
      <c r="L29" s="267"/>
      <c r="M29" s="267"/>
      <c r="N29" s="267"/>
      <c r="O29" s="267"/>
      <c r="P29" s="262"/>
      <c r="Q29" s="262"/>
      <c r="R29" s="262"/>
      <c r="S29" s="262"/>
      <c r="T29" s="262"/>
      <c r="U29" s="262"/>
      <c r="V29" s="262"/>
      <c r="W29" s="262"/>
      <c r="X29" s="262"/>
      <c r="Y29" s="262"/>
      <c r="Z29" s="262"/>
      <c r="AA29" s="262"/>
      <c r="AB29" s="262"/>
      <c r="AC29" s="262"/>
      <c r="AD29" s="262"/>
      <c r="AE29" s="262"/>
      <c r="AF29" s="262"/>
      <c r="AG29" s="262"/>
      <c r="AH29" s="262"/>
      <c r="AI29" s="262"/>
    </row>
    <row r="30" spans="1:35" ht="12.75" customHeight="1" x14ac:dyDescent="0.2">
      <c r="A30" s="262"/>
      <c r="B30" s="269" t="s">
        <v>155</v>
      </c>
      <c r="C30" s="270">
        <v>4.5999999999999999E-2</v>
      </c>
      <c r="D30" s="264"/>
      <c r="E30" s="265"/>
      <c r="F30" s="266"/>
      <c r="G30" s="267"/>
      <c r="H30" s="267"/>
      <c r="I30" s="267"/>
      <c r="J30" s="268"/>
      <c r="K30" s="267"/>
      <c r="L30" s="267"/>
      <c r="M30" s="267"/>
      <c r="N30" s="267"/>
      <c r="O30" s="267"/>
      <c r="P30" s="262"/>
      <c r="Q30" s="262"/>
      <c r="R30" s="262"/>
      <c r="S30" s="262"/>
      <c r="T30" s="262"/>
      <c r="U30" s="262"/>
      <c r="V30" s="262"/>
      <c r="W30" s="262"/>
      <c r="X30" s="262"/>
      <c r="Y30" s="262"/>
      <c r="Z30" s="262"/>
      <c r="AA30" s="262"/>
      <c r="AB30" s="262"/>
      <c r="AC30" s="262"/>
      <c r="AD30" s="262"/>
      <c r="AE30" s="262"/>
      <c r="AF30" s="262"/>
      <c r="AG30" s="262"/>
      <c r="AH30" s="262"/>
      <c r="AI30" s="262"/>
    </row>
    <row r="31" spans="1:35" ht="13.5" customHeight="1" thickBot="1" x14ac:dyDescent="0.25">
      <c r="A31" s="262"/>
      <c r="B31" s="263"/>
      <c r="C31" s="263"/>
      <c r="D31" s="264"/>
      <c r="E31" s="265"/>
      <c r="F31" s="266"/>
      <c r="G31" s="267"/>
      <c r="H31" s="267"/>
      <c r="I31" s="267"/>
      <c r="J31" s="268"/>
      <c r="K31" s="267"/>
      <c r="L31" s="267"/>
      <c r="M31" s="267"/>
      <c r="N31" s="267"/>
      <c r="O31" s="267"/>
      <c r="P31" s="262"/>
      <c r="Q31" s="262"/>
      <c r="R31" s="262"/>
      <c r="S31" s="262"/>
      <c r="T31" s="262"/>
      <c r="U31" s="262"/>
      <c r="V31" s="262"/>
      <c r="W31" s="262"/>
      <c r="X31" s="262"/>
      <c r="Y31" s="262"/>
      <c r="Z31" s="262"/>
      <c r="AA31" s="262"/>
      <c r="AB31" s="262"/>
      <c r="AC31" s="262"/>
      <c r="AD31" s="262"/>
      <c r="AE31" s="262"/>
      <c r="AF31" s="262"/>
      <c r="AG31" s="262"/>
      <c r="AH31" s="262"/>
      <c r="AI31" s="262"/>
    </row>
    <row r="32" spans="1:35" ht="13.5" customHeight="1" thickBot="1" x14ac:dyDescent="0.25">
      <c r="A32" s="262"/>
      <c r="B32" s="271" t="s">
        <v>156</v>
      </c>
      <c r="C32" s="272"/>
      <c r="D32" s="273"/>
      <c r="E32" s="265"/>
      <c r="F32" s="266"/>
      <c r="G32" s="267" t="s">
        <v>157</v>
      </c>
      <c r="H32" s="267"/>
      <c r="I32" s="267"/>
      <c r="J32" s="268"/>
      <c r="K32" s="267"/>
      <c r="L32" s="267"/>
      <c r="M32" s="267"/>
      <c r="N32" s="267"/>
      <c r="O32" s="267"/>
      <c r="P32" s="262"/>
      <c r="Q32" s="262"/>
      <c r="R32" s="262"/>
      <c r="S32" s="262"/>
      <c r="T32" s="262"/>
      <c r="U32" s="262"/>
      <c r="V32" s="262"/>
      <c r="W32" s="262"/>
      <c r="X32" s="262"/>
      <c r="Y32" s="262"/>
      <c r="Z32" s="262"/>
      <c r="AA32" s="262"/>
      <c r="AB32" s="262"/>
      <c r="AC32" s="262"/>
      <c r="AD32" s="262"/>
      <c r="AE32" s="262"/>
      <c r="AF32" s="262"/>
      <c r="AG32" s="262"/>
      <c r="AH32" s="262"/>
      <c r="AI32" s="262"/>
    </row>
    <row r="33" spans="1:35" ht="12.75" customHeight="1" x14ac:dyDescent="0.2">
      <c r="A33" s="262"/>
      <c r="B33" s="274" t="s">
        <v>158</v>
      </c>
      <c r="C33" s="275"/>
      <c r="D33" s="273"/>
      <c r="E33" s="265"/>
      <c r="F33" s="266"/>
      <c r="G33" s="267"/>
      <c r="H33" s="267"/>
      <c r="I33" s="267"/>
      <c r="J33" s="268"/>
      <c r="K33" s="267"/>
      <c r="L33" s="267"/>
      <c r="M33" s="267"/>
      <c r="N33" s="267"/>
      <c r="O33" s="267"/>
      <c r="P33" s="262"/>
      <c r="Q33" s="262"/>
      <c r="R33" s="262"/>
      <c r="S33" s="262"/>
      <c r="T33" s="262"/>
      <c r="U33" s="262"/>
      <c r="V33" s="262"/>
      <c r="W33" s="262"/>
      <c r="X33" s="262"/>
      <c r="Y33" s="262"/>
      <c r="Z33" s="262"/>
      <c r="AA33" s="262"/>
      <c r="AB33" s="262"/>
      <c r="AC33" s="262"/>
      <c r="AD33" s="262"/>
      <c r="AE33" s="262"/>
      <c r="AF33" s="262"/>
      <c r="AG33" s="262"/>
      <c r="AH33" s="262"/>
      <c r="AI33" s="262"/>
    </row>
    <row r="34" spans="1:35" ht="12.75" customHeight="1" x14ac:dyDescent="0.2">
      <c r="A34" s="262"/>
      <c r="B34" s="274" t="s">
        <v>159</v>
      </c>
      <c r="C34" s="275"/>
      <c r="D34" s="264"/>
      <c r="E34" s="265"/>
      <c r="F34" s="266"/>
      <c r="G34" s="267"/>
      <c r="H34" s="267"/>
      <c r="I34" s="267"/>
      <c r="J34" s="268"/>
      <c r="K34" s="267"/>
      <c r="L34" s="267"/>
      <c r="M34" s="267"/>
      <c r="N34" s="267"/>
      <c r="O34" s="267"/>
      <c r="P34" s="262"/>
      <c r="Q34" s="262"/>
      <c r="R34" s="262"/>
      <c r="S34" s="262"/>
      <c r="T34" s="262"/>
      <c r="U34" s="262"/>
      <c r="V34" s="262"/>
      <c r="W34" s="262"/>
      <c r="X34" s="262"/>
      <c r="Y34" s="262"/>
      <c r="Z34" s="262"/>
      <c r="AA34" s="262"/>
      <c r="AB34" s="262"/>
      <c r="AC34" s="262"/>
      <c r="AD34" s="262"/>
      <c r="AE34" s="262"/>
      <c r="AF34" s="262"/>
      <c r="AG34" s="262"/>
      <c r="AH34" s="262"/>
      <c r="AI34" s="262"/>
    </row>
    <row r="35" spans="1:35" ht="12.75" customHeight="1" x14ac:dyDescent="0.2">
      <c r="A35" s="262"/>
      <c r="B35" s="274" t="s">
        <v>104</v>
      </c>
      <c r="C35" s="275"/>
      <c r="D35" s="264"/>
      <c r="E35" s="265"/>
      <c r="F35" s="266"/>
      <c r="G35" s="267"/>
      <c r="H35" s="267"/>
      <c r="I35" s="267"/>
      <c r="J35" s="268"/>
      <c r="K35" s="267"/>
      <c r="L35" s="267"/>
      <c r="M35" s="267"/>
      <c r="N35" s="267"/>
      <c r="O35" s="267"/>
      <c r="P35" s="262"/>
      <c r="Q35" s="262"/>
      <c r="R35" s="262"/>
      <c r="S35" s="262"/>
      <c r="T35" s="262"/>
      <c r="U35" s="262"/>
      <c r="V35" s="262"/>
      <c r="W35" s="262"/>
      <c r="X35" s="262"/>
      <c r="Y35" s="262"/>
      <c r="Z35" s="262"/>
      <c r="AA35" s="262"/>
      <c r="AB35" s="262"/>
      <c r="AC35" s="262"/>
      <c r="AD35" s="262"/>
      <c r="AE35" s="262"/>
      <c r="AF35" s="262"/>
      <c r="AG35" s="262"/>
      <c r="AH35" s="262"/>
      <c r="AI35" s="262"/>
    </row>
    <row r="36" spans="1:35" ht="13.5" customHeight="1" thickBot="1" x14ac:dyDescent="0.25">
      <c r="A36" s="262"/>
      <c r="B36" s="276" t="s">
        <v>105</v>
      </c>
      <c r="C36" s="277"/>
      <c r="D36" s="264"/>
      <c r="E36" s="265"/>
      <c r="F36" s="266"/>
      <c r="G36" s="267"/>
      <c r="H36" s="267"/>
      <c r="I36" s="267"/>
      <c r="J36" s="268"/>
      <c r="K36" s="267"/>
      <c r="L36" s="267"/>
      <c r="M36" s="267"/>
      <c r="N36" s="267"/>
      <c r="O36" s="267"/>
      <c r="P36" s="262"/>
      <c r="Q36" s="262"/>
      <c r="R36" s="262"/>
      <c r="S36" s="262"/>
      <c r="T36" s="262"/>
      <c r="U36" s="262"/>
      <c r="V36" s="262"/>
      <c r="W36" s="262"/>
      <c r="X36" s="262"/>
      <c r="Y36" s="262"/>
      <c r="Z36" s="262"/>
      <c r="AA36" s="262"/>
      <c r="AB36" s="262"/>
      <c r="AC36" s="262"/>
      <c r="AD36" s="262"/>
      <c r="AE36" s="262"/>
      <c r="AF36" s="262"/>
      <c r="AG36" s="262"/>
      <c r="AH36" s="262"/>
      <c r="AI36" s="262"/>
    </row>
    <row r="37" spans="1:35" ht="13.5" customHeight="1" thickBot="1" x14ac:dyDescent="0.25">
      <c r="A37" s="262"/>
      <c r="B37" s="278"/>
      <c r="C37" s="279"/>
      <c r="D37" s="264"/>
      <c r="E37" s="265"/>
      <c r="F37" s="266"/>
      <c r="G37" s="267"/>
      <c r="H37" s="267"/>
      <c r="I37" s="267"/>
      <c r="J37" s="268"/>
      <c r="K37" s="267"/>
      <c r="L37" s="267"/>
      <c r="M37" s="267"/>
      <c r="N37" s="267"/>
      <c r="O37" s="267"/>
      <c r="P37" s="262"/>
      <c r="Q37" s="262"/>
      <c r="R37" s="262"/>
      <c r="S37" s="262"/>
      <c r="T37" s="262"/>
      <c r="U37" s="262"/>
      <c r="V37" s="262"/>
      <c r="W37" s="262"/>
      <c r="X37" s="262"/>
      <c r="Y37" s="262"/>
      <c r="Z37" s="262"/>
      <c r="AA37" s="262"/>
      <c r="AB37" s="262"/>
      <c r="AC37" s="262"/>
      <c r="AD37" s="262"/>
      <c r="AE37" s="262"/>
      <c r="AF37" s="262"/>
      <c r="AG37" s="262"/>
      <c r="AH37" s="262"/>
      <c r="AI37" s="262"/>
    </row>
    <row r="38" spans="1:35" ht="13.5" customHeight="1" thickBot="1" x14ac:dyDescent="0.25">
      <c r="A38" s="262"/>
      <c r="B38" s="271" t="s">
        <v>106</v>
      </c>
      <c r="C38" s="272"/>
      <c r="D38" s="264"/>
      <c r="E38" s="265"/>
      <c r="F38" s="266"/>
      <c r="G38" s="267"/>
      <c r="H38" s="267"/>
      <c r="I38" s="267"/>
      <c r="J38" s="268"/>
      <c r="K38" s="267"/>
      <c r="L38" s="267"/>
      <c r="M38" s="267"/>
      <c r="N38" s="267"/>
      <c r="O38" s="267"/>
      <c r="P38" s="262"/>
      <c r="Q38" s="262"/>
      <c r="R38" s="262"/>
      <c r="S38" s="262"/>
      <c r="T38" s="262"/>
      <c r="U38" s="262"/>
      <c r="V38" s="262"/>
      <c r="W38" s="262"/>
      <c r="X38" s="262"/>
      <c r="Y38" s="262"/>
      <c r="Z38" s="262"/>
      <c r="AA38" s="262"/>
      <c r="AB38" s="262"/>
      <c r="AC38" s="262"/>
      <c r="AD38" s="262"/>
      <c r="AE38" s="262"/>
      <c r="AF38" s="262"/>
      <c r="AG38" s="262"/>
      <c r="AH38" s="262"/>
      <c r="AI38" s="262"/>
    </row>
    <row r="39" spans="1:35" ht="12.75" customHeight="1" x14ac:dyDescent="0.2">
      <c r="A39" s="262"/>
      <c r="B39" s="280"/>
      <c r="C39" s="273"/>
      <c r="D39" s="264"/>
      <c r="E39" s="265"/>
      <c r="F39" s="266"/>
      <c r="G39" s="267"/>
      <c r="H39" s="267"/>
      <c r="I39" s="267"/>
      <c r="J39" s="268"/>
      <c r="K39" s="267"/>
      <c r="L39" s="267"/>
      <c r="M39" s="267"/>
      <c r="N39" s="267"/>
      <c r="O39" s="267"/>
      <c r="P39" s="262"/>
      <c r="Q39" s="262"/>
      <c r="R39" s="262"/>
      <c r="S39" s="262"/>
      <c r="T39" s="262"/>
      <c r="U39" s="262"/>
      <c r="V39" s="262"/>
      <c r="W39" s="262"/>
      <c r="X39" s="262"/>
      <c r="Y39" s="262"/>
      <c r="Z39" s="262"/>
      <c r="AA39" s="262"/>
      <c r="AB39" s="262"/>
      <c r="AC39" s="262"/>
      <c r="AD39" s="262"/>
      <c r="AE39" s="262"/>
      <c r="AF39" s="262"/>
      <c r="AG39" s="262"/>
      <c r="AH39" s="262"/>
      <c r="AI39" s="262"/>
    </row>
    <row r="40" spans="1:35" ht="12" customHeight="1" x14ac:dyDescent="0.2">
      <c r="A40" s="262"/>
      <c r="B40" s="280"/>
      <c r="C40" s="278"/>
      <c r="D40" s="264"/>
      <c r="E40" s="265"/>
      <c r="F40" s="266"/>
      <c r="G40" s="267"/>
      <c r="H40" s="267"/>
      <c r="I40" s="267"/>
      <c r="J40" s="268"/>
      <c r="K40" s="267"/>
      <c r="L40" s="267"/>
      <c r="M40" s="267"/>
      <c r="N40" s="267"/>
      <c r="O40" s="267"/>
      <c r="P40" s="262"/>
      <c r="Q40" s="262"/>
      <c r="R40" s="262"/>
      <c r="S40" s="262"/>
      <c r="T40" s="262"/>
      <c r="U40" s="262"/>
      <c r="V40" s="262"/>
      <c r="W40" s="262"/>
      <c r="X40" s="262"/>
      <c r="Y40" s="262"/>
      <c r="Z40" s="262"/>
      <c r="AA40" s="262"/>
      <c r="AB40" s="262"/>
      <c r="AC40" s="262"/>
      <c r="AD40" s="262"/>
      <c r="AE40" s="262"/>
      <c r="AF40" s="262"/>
      <c r="AG40" s="262"/>
      <c r="AH40" s="262"/>
      <c r="AI40" s="262"/>
    </row>
    <row r="41" spans="1:35" ht="14.25" customHeight="1" x14ac:dyDescent="0.2">
      <c r="A41" s="281"/>
      <c r="B41" s="280"/>
      <c r="C41" s="282"/>
      <c r="D41" s="264"/>
      <c r="E41" s="265"/>
      <c r="F41" s="266"/>
      <c r="G41" s="267"/>
      <c r="H41" s="267"/>
      <c r="I41" s="267"/>
      <c r="J41" s="268"/>
      <c r="K41" s="267"/>
      <c r="L41" s="267"/>
      <c r="M41" s="267"/>
      <c r="N41" s="267"/>
      <c r="O41" s="267"/>
      <c r="P41" s="281"/>
      <c r="Q41" s="281"/>
      <c r="R41" s="281"/>
      <c r="S41" s="281"/>
      <c r="T41" s="281"/>
      <c r="U41" s="281"/>
      <c r="V41" s="281"/>
      <c r="W41" s="281"/>
      <c r="X41" s="281"/>
      <c r="Y41" s="281"/>
      <c r="Z41" s="281"/>
      <c r="AA41" s="281"/>
      <c r="AB41" s="281"/>
      <c r="AC41" s="281"/>
      <c r="AD41" s="281"/>
      <c r="AE41" s="281"/>
      <c r="AF41" s="281"/>
      <c r="AG41" s="281"/>
      <c r="AH41" s="281"/>
      <c r="AI41" s="281"/>
    </row>
    <row r="42" spans="1:35" ht="14.25" customHeight="1" x14ac:dyDescent="0.2">
      <c r="A42" s="281"/>
      <c r="B42" s="280"/>
      <c r="C42" s="273"/>
      <c r="D42" s="264"/>
      <c r="E42" s="265"/>
      <c r="F42" s="266"/>
      <c r="G42" s="267"/>
      <c r="H42" s="267"/>
      <c r="I42" s="267"/>
      <c r="J42" s="268"/>
      <c r="K42" s="267"/>
      <c r="L42" s="267"/>
      <c r="M42" s="267"/>
      <c r="N42" s="267"/>
      <c r="O42" s="267"/>
      <c r="P42" s="281"/>
      <c r="Q42" s="281"/>
      <c r="R42" s="281"/>
      <c r="S42" s="281"/>
      <c r="T42" s="281"/>
      <c r="U42" s="281"/>
      <c r="V42" s="281"/>
      <c r="W42" s="281"/>
      <c r="X42" s="281"/>
      <c r="Y42" s="281"/>
      <c r="Z42" s="281"/>
      <c r="AA42" s="281"/>
      <c r="AB42" s="281"/>
      <c r="AC42" s="281"/>
      <c r="AD42" s="281"/>
      <c r="AE42" s="281"/>
      <c r="AF42" s="281"/>
      <c r="AG42" s="281"/>
      <c r="AH42" s="281"/>
      <c r="AI42" s="281"/>
    </row>
    <row r="43" spans="1:35" ht="15" customHeight="1" x14ac:dyDescent="0.25">
      <c r="A43" s="224"/>
      <c r="B43" s="283"/>
      <c r="C43" s="284"/>
      <c r="D43" s="285"/>
      <c r="E43" s="286"/>
      <c r="F43" s="287"/>
      <c r="G43" s="288"/>
      <c r="H43" s="288"/>
      <c r="I43" s="288"/>
      <c r="J43" s="289"/>
      <c r="K43" s="288"/>
      <c r="L43" s="290"/>
      <c r="M43" s="290"/>
      <c r="N43" s="290"/>
      <c r="O43" s="290"/>
      <c r="P43" s="224"/>
      <c r="Q43" s="224"/>
      <c r="R43" s="224"/>
      <c r="S43" s="224"/>
      <c r="T43" s="224"/>
      <c r="U43" s="224"/>
      <c r="V43" s="224"/>
      <c r="W43" s="224"/>
      <c r="X43" s="224"/>
      <c r="Y43" s="224"/>
      <c r="Z43" s="224"/>
      <c r="AA43" s="224"/>
      <c r="AB43" s="224"/>
      <c r="AC43" s="224"/>
      <c r="AD43" s="224"/>
      <c r="AE43" s="224"/>
      <c r="AF43" s="224"/>
      <c r="AG43" s="224"/>
      <c r="AH43" s="224"/>
      <c r="AI43" s="224"/>
    </row>
    <row r="44" spans="1:35" ht="15" customHeight="1" x14ac:dyDescent="0.25">
      <c r="A44" s="224"/>
      <c r="B44" s="283"/>
      <c r="C44" s="284"/>
      <c r="D44" s="285"/>
      <c r="E44" s="286"/>
      <c r="F44" s="287"/>
      <c r="G44" s="288"/>
      <c r="H44" s="288"/>
      <c r="I44" s="288"/>
      <c r="J44" s="289"/>
      <c r="K44" s="288"/>
      <c r="L44" s="290"/>
      <c r="M44" s="290"/>
      <c r="N44" s="290"/>
      <c r="O44" s="290"/>
      <c r="P44" s="224"/>
      <c r="Q44" s="224"/>
      <c r="R44" s="224"/>
      <c r="S44" s="224"/>
      <c r="T44" s="224"/>
      <c r="U44" s="224"/>
      <c r="V44" s="224"/>
      <c r="W44" s="224"/>
      <c r="X44" s="224"/>
      <c r="Y44" s="224"/>
      <c r="Z44" s="224"/>
      <c r="AA44" s="224"/>
      <c r="AB44" s="224"/>
      <c r="AC44" s="224"/>
      <c r="AD44" s="224"/>
      <c r="AE44" s="224"/>
      <c r="AF44" s="224"/>
      <c r="AG44" s="224"/>
      <c r="AH44" s="224"/>
      <c r="AI44" s="224"/>
    </row>
    <row r="45" spans="1:35" ht="12.75" customHeight="1" x14ac:dyDescent="0.2">
      <c r="A45" s="224"/>
      <c r="B45" s="284"/>
      <c r="C45" s="284"/>
      <c r="D45" s="285"/>
      <c r="E45" s="286"/>
      <c r="F45" s="287"/>
      <c r="G45" s="288"/>
      <c r="H45" s="288"/>
      <c r="I45" s="288"/>
      <c r="J45" s="289"/>
      <c r="K45" s="288"/>
      <c r="L45" s="290"/>
      <c r="M45" s="290"/>
      <c r="N45" s="290"/>
      <c r="O45" s="290"/>
      <c r="P45" s="224"/>
      <c r="Q45" s="224"/>
      <c r="R45" s="224"/>
      <c r="S45" s="224"/>
      <c r="T45" s="224"/>
      <c r="U45" s="224"/>
      <c r="V45" s="224"/>
      <c r="W45" s="224"/>
      <c r="X45" s="224"/>
      <c r="Y45" s="224"/>
      <c r="Z45" s="224"/>
      <c r="AA45" s="224"/>
      <c r="AB45" s="224"/>
      <c r="AC45" s="224"/>
      <c r="AD45" s="224"/>
      <c r="AE45" s="224"/>
      <c r="AF45" s="224"/>
      <c r="AG45" s="224"/>
      <c r="AH45" s="224"/>
      <c r="AI45" s="224"/>
    </row>
    <row r="46" spans="1:35" ht="15" customHeight="1" x14ac:dyDescent="0.25">
      <c r="A46" s="224"/>
      <c r="B46" s="283"/>
      <c r="C46" s="263"/>
      <c r="D46" s="285"/>
      <c r="E46" s="286"/>
      <c r="F46" s="287"/>
      <c r="G46" s="288"/>
      <c r="H46" s="288"/>
      <c r="I46" s="288"/>
      <c r="J46" s="289"/>
      <c r="K46" s="288"/>
      <c r="L46" s="290"/>
      <c r="M46" s="290"/>
      <c r="N46" s="290"/>
      <c r="O46" s="290"/>
      <c r="P46" s="224"/>
      <c r="Q46" s="224"/>
      <c r="R46" s="224"/>
      <c r="S46" s="224"/>
      <c r="T46" s="224"/>
      <c r="U46" s="224"/>
      <c r="V46" s="224"/>
      <c r="W46" s="224"/>
      <c r="X46" s="224"/>
      <c r="Y46" s="224"/>
      <c r="Z46" s="224"/>
      <c r="AA46" s="224"/>
      <c r="AB46" s="224"/>
      <c r="AC46" s="224"/>
      <c r="AD46" s="224"/>
      <c r="AE46" s="224"/>
      <c r="AF46" s="224"/>
      <c r="AG46" s="224"/>
      <c r="AH46" s="224"/>
      <c r="AI46" s="224"/>
    </row>
    <row r="47" spans="1:35" ht="12.75" customHeight="1" x14ac:dyDescent="0.2">
      <c r="A47" s="224"/>
      <c r="B47" s="263"/>
      <c r="C47" s="263"/>
      <c r="D47" s="285"/>
      <c r="E47" s="286"/>
      <c r="F47" s="287"/>
      <c r="G47" s="288"/>
      <c r="H47" s="288"/>
      <c r="I47" s="288"/>
      <c r="J47" s="289"/>
      <c r="K47" s="288"/>
      <c r="L47" s="290"/>
      <c r="M47" s="290"/>
      <c r="N47" s="290"/>
      <c r="O47" s="290"/>
      <c r="P47" s="224"/>
      <c r="Q47" s="224"/>
      <c r="R47" s="224"/>
      <c r="S47" s="224"/>
      <c r="T47" s="224"/>
      <c r="U47" s="224"/>
      <c r="V47" s="224"/>
      <c r="W47" s="224"/>
      <c r="X47" s="224"/>
      <c r="Y47" s="224"/>
      <c r="Z47" s="224"/>
      <c r="AA47" s="224"/>
      <c r="AB47" s="224"/>
      <c r="AC47" s="224"/>
      <c r="AD47" s="224"/>
      <c r="AE47" s="224"/>
      <c r="AF47" s="224"/>
      <c r="AG47" s="224"/>
      <c r="AH47" s="224"/>
      <c r="AI47" s="224"/>
    </row>
    <row r="48" spans="1:35" ht="12.75" customHeight="1" x14ac:dyDescent="0.2">
      <c r="A48" s="224"/>
      <c r="B48" s="278"/>
      <c r="C48" s="278"/>
      <c r="D48" s="285"/>
      <c r="E48" s="286"/>
      <c r="F48" s="287"/>
      <c r="G48" s="288"/>
      <c r="H48" s="288"/>
      <c r="I48" s="288"/>
      <c r="J48" s="289"/>
      <c r="K48" s="288"/>
      <c r="L48" s="290"/>
      <c r="M48" s="290"/>
      <c r="N48" s="290"/>
      <c r="O48" s="290"/>
      <c r="P48" s="224"/>
      <c r="Q48" s="224"/>
      <c r="R48" s="224"/>
      <c r="S48" s="224"/>
      <c r="T48" s="224"/>
      <c r="U48" s="224"/>
      <c r="V48" s="224"/>
      <c r="W48" s="224"/>
      <c r="X48" s="224"/>
      <c r="Y48" s="224"/>
      <c r="Z48" s="224"/>
      <c r="AA48" s="224"/>
      <c r="AB48" s="224"/>
      <c r="AC48" s="224"/>
      <c r="AD48" s="224"/>
      <c r="AE48" s="224"/>
      <c r="AF48" s="224"/>
      <c r="AG48" s="224"/>
      <c r="AH48" s="224"/>
      <c r="AI48" s="224"/>
    </row>
    <row r="49" spans="1:35" ht="12.75" customHeight="1" x14ac:dyDescent="0.2">
      <c r="A49" s="224"/>
      <c r="B49" s="278"/>
      <c r="C49" s="278"/>
      <c r="D49" s="285"/>
      <c r="E49" s="286"/>
      <c r="F49" s="287"/>
      <c r="G49" s="288"/>
      <c r="H49" s="288"/>
      <c r="I49" s="288"/>
      <c r="J49" s="289"/>
      <c r="K49" s="288"/>
      <c r="L49" s="290"/>
      <c r="M49" s="290"/>
      <c r="N49" s="290"/>
      <c r="O49" s="290"/>
      <c r="P49" s="224"/>
      <c r="Q49" s="224"/>
      <c r="R49" s="224"/>
      <c r="S49" s="224"/>
      <c r="T49" s="224"/>
      <c r="U49" s="224"/>
      <c r="V49" s="224"/>
      <c r="W49" s="224"/>
      <c r="X49" s="224"/>
      <c r="Y49" s="224"/>
      <c r="Z49" s="224"/>
      <c r="AA49" s="224"/>
      <c r="AB49" s="224"/>
      <c r="AC49" s="224"/>
      <c r="AD49" s="224"/>
      <c r="AE49" s="224"/>
      <c r="AF49" s="224"/>
      <c r="AG49" s="224"/>
      <c r="AH49" s="224"/>
      <c r="AI49" s="224"/>
    </row>
    <row r="50" spans="1:35" ht="12.75" customHeight="1" x14ac:dyDescent="0.2">
      <c r="A50" s="224"/>
      <c r="B50" s="278"/>
      <c r="C50" s="278"/>
      <c r="D50" s="285"/>
      <c r="E50" s="286"/>
      <c r="F50" s="287"/>
      <c r="G50" s="288"/>
      <c r="H50" s="288"/>
      <c r="I50" s="288"/>
      <c r="J50" s="289"/>
      <c r="K50" s="288"/>
      <c r="L50" s="290"/>
      <c r="M50" s="290"/>
      <c r="N50" s="290"/>
      <c r="O50" s="290"/>
      <c r="P50" s="224"/>
      <c r="Q50" s="224"/>
      <c r="R50" s="224"/>
      <c r="S50" s="224"/>
      <c r="T50" s="224"/>
      <c r="U50" s="224"/>
      <c r="V50" s="224"/>
      <c r="W50" s="224"/>
      <c r="X50" s="224"/>
      <c r="Y50" s="224"/>
      <c r="Z50" s="224"/>
      <c r="AA50" s="224"/>
      <c r="AB50" s="224"/>
      <c r="AC50" s="224"/>
      <c r="AD50" s="224"/>
      <c r="AE50" s="224"/>
      <c r="AF50" s="224"/>
      <c r="AG50" s="224"/>
      <c r="AH50" s="224"/>
      <c r="AI50" s="224"/>
    </row>
    <row r="51" spans="1:35" ht="12.75" customHeight="1" x14ac:dyDescent="0.2">
      <c r="A51" s="288"/>
      <c r="B51" s="278"/>
      <c r="C51" s="278"/>
      <c r="D51" s="285"/>
      <c r="E51" s="286"/>
      <c r="F51" s="287"/>
      <c r="G51" s="288"/>
      <c r="H51" s="288"/>
      <c r="I51" s="288"/>
      <c r="J51" s="289"/>
      <c r="K51" s="288"/>
      <c r="L51" s="290"/>
      <c r="M51" s="290"/>
      <c r="N51" s="290"/>
      <c r="O51" s="290"/>
      <c r="P51" s="224"/>
      <c r="Q51" s="224"/>
      <c r="R51" s="224"/>
      <c r="S51" s="224"/>
      <c r="T51" s="224"/>
      <c r="U51" s="224"/>
      <c r="V51" s="224"/>
      <c r="W51" s="224"/>
      <c r="X51" s="224"/>
      <c r="Y51" s="224"/>
      <c r="Z51" s="224"/>
      <c r="AA51" s="224"/>
      <c r="AB51" s="224"/>
      <c r="AC51" s="224"/>
      <c r="AD51" s="224"/>
      <c r="AE51" s="224"/>
      <c r="AF51" s="224"/>
      <c r="AG51" s="224"/>
      <c r="AH51" s="224"/>
      <c r="AI51" s="224"/>
    </row>
    <row r="52" spans="1:35" ht="12.75" customHeight="1" x14ac:dyDescent="0.2">
      <c r="A52" s="288"/>
      <c r="B52" s="278"/>
      <c r="C52" s="278"/>
      <c r="D52" s="285"/>
      <c r="E52" s="286"/>
      <c r="F52" s="287"/>
      <c r="G52" s="288"/>
      <c r="H52" s="288"/>
      <c r="I52" s="288"/>
      <c r="J52" s="289"/>
      <c r="K52" s="288"/>
      <c r="L52" s="290"/>
      <c r="M52" s="290"/>
      <c r="N52" s="290"/>
      <c r="O52" s="290"/>
      <c r="P52" s="224"/>
      <c r="Q52" s="224"/>
      <c r="R52" s="224"/>
      <c r="S52" s="224"/>
      <c r="T52" s="224"/>
      <c r="U52" s="224"/>
      <c r="V52" s="224"/>
      <c r="W52" s="224"/>
      <c r="X52" s="224"/>
      <c r="Y52" s="224"/>
      <c r="Z52" s="224"/>
      <c r="AA52" s="224"/>
      <c r="AB52" s="224"/>
      <c r="AC52" s="224"/>
      <c r="AD52" s="224"/>
      <c r="AE52" s="224"/>
      <c r="AF52" s="224"/>
      <c r="AG52" s="224"/>
      <c r="AH52" s="224"/>
      <c r="AI52" s="224"/>
    </row>
    <row r="53" spans="1:35" ht="12.75" customHeight="1" x14ac:dyDescent="0.2">
      <c r="A53" s="288"/>
      <c r="B53" s="278"/>
      <c r="C53" s="278"/>
      <c r="D53" s="285"/>
      <c r="E53" s="286"/>
      <c r="F53" s="287"/>
      <c r="G53" s="288"/>
      <c r="H53" s="288"/>
      <c r="I53" s="288"/>
      <c r="J53" s="289"/>
      <c r="K53" s="288"/>
      <c r="L53" s="290"/>
      <c r="M53" s="290"/>
      <c r="N53" s="290"/>
      <c r="O53" s="290"/>
      <c r="P53" s="224"/>
      <c r="Q53" s="224"/>
      <c r="R53" s="224"/>
      <c r="S53" s="224"/>
      <c r="T53" s="224"/>
      <c r="U53" s="224"/>
      <c r="V53" s="224"/>
      <c r="W53" s="224"/>
      <c r="X53" s="224"/>
      <c r="Y53" s="224"/>
      <c r="Z53" s="224"/>
      <c r="AA53" s="224"/>
      <c r="AB53" s="224"/>
      <c r="AC53" s="224"/>
      <c r="AD53" s="224"/>
      <c r="AE53" s="224"/>
      <c r="AF53" s="224"/>
      <c r="AG53" s="224"/>
      <c r="AH53" s="224"/>
      <c r="AI53" s="224"/>
    </row>
    <row r="54" spans="1:35" ht="12.75" customHeight="1" x14ac:dyDescent="0.2">
      <c r="A54" s="288"/>
      <c r="B54" s="278"/>
      <c r="C54" s="278"/>
      <c r="D54" s="285"/>
      <c r="E54" s="286"/>
      <c r="F54" s="287"/>
      <c r="G54" s="288"/>
      <c r="H54" s="288"/>
      <c r="I54" s="288"/>
      <c r="J54" s="289"/>
      <c r="K54" s="288"/>
      <c r="L54" s="290"/>
      <c r="M54" s="290"/>
      <c r="N54" s="290"/>
      <c r="O54" s="290"/>
      <c r="P54" s="224"/>
      <c r="Q54" s="224"/>
      <c r="R54" s="224"/>
      <c r="S54" s="224"/>
      <c r="T54" s="224"/>
      <c r="U54" s="224"/>
      <c r="V54" s="224"/>
      <c r="W54" s="224"/>
      <c r="X54" s="224"/>
      <c r="Y54" s="224"/>
      <c r="Z54" s="224"/>
      <c r="AA54" s="224"/>
      <c r="AB54" s="224"/>
      <c r="AC54" s="224"/>
      <c r="AD54" s="224"/>
      <c r="AE54" s="224"/>
      <c r="AF54" s="224"/>
      <c r="AG54" s="224"/>
      <c r="AH54" s="224"/>
      <c r="AI54" s="224"/>
    </row>
    <row r="55" spans="1:35" ht="12.75" customHeight="1" x14ac:dyDescent="0.2">
      <c r="A55" s="288"/>
      <c r="B55" s="278"/>
      <c r="C55" s="278"/>
      <c r="D55" s="285"/>
      <c r="E55" s="286"/>
      <c r="F55" s="287"/>
      <c r="G55" s="288"/>
      <c r="H55" s="288"/>
      <c r="I55" s="288"/>
      <c r="J55" s="289"/>
      <c r="K55" s="288"/>
      <c r="L55" s="290"/>
      <c r="M55" s="290"/>
      <c r="N55" s="290"/>
      <c r="O55" s="290"/>
      <c r="P55" s="224"/>
      <c r="Q55" s="224"/>
      <c r="R55" s="224"/>
      <c r="S55" s="224"/>
      <c r="T55" s="224"/>
      <c r="U55" s="224"/>
      <c r="V55" s="224"/>
      <c r="W55" s="224"/>
      <c r="X55" s="224"/>
      <c r="Y55" s="224"/>
      <c r="Z55" s="224"/>
      <c r="AA55" s="224"/>
      <c r="AB55" s="224"/>
      <c r="AC55" s="224"/>
      <c r="AD55" s="224"/>
      <c r="AE55" s="224"/>
      <c r="AF55" s="224"/>
      <c r="AG55" s="224"/>
      <c r="AH55" s="224"/>
      <c r="AI55" s="224"/>
    </row>
    <row r="56" spans="1:35" ht="12.75" customHeight="1" x14ac:dyDescent="0.2">
      <c r="A56" s="288"/>
      <c r="B56" s="278"/>
      <c r="C56" s="278"/>
      <c r="D56" s="285"/>
      <c r="E56" s="286"/>
      <c r="F56" s="287"/>
      <c r="G56" s="288"/>
      <c r="H56" s="288"/>
      <c r="I56" s="288"/>
      <c r="J56" s="289"/>
      <c r="K56" s="288"/>
      <c r="L56" s="290"/>
      <c r="M56" s="290"/>
      <c r="N56" s="290"/>
      <c r="O56" s="290"/>
      <c r="P56" s="224"/>
      <c r="Q56" s="224"/>
      <c r="R56" s="224"/>
      <c r="S56" s="224"/>
      <c r="T56" s="224"/>
      <c r="U56" s="224"/>
      <c r="V56" s="224"/>
      <c r="W56" s="224"/>
      <c r="X56" s="224"/>
      <c r="Y56" s="224"/>
      <c r="Z56" s="224"/>
      <c r="AA56" s="224"/>
      <c r="AB56" s="224"/>
      <c r="AC56" s="224"/>
      <c r="AD56" s="224"/>
      <c r="AE56" s="224"/>
      <c r="AF56" s="224"/>
      <c r="AG56" s="224"/>
      <c r="AH56" s="224"/>
      <c r="AI56" s="224"/>
    </row>
    <row r="57" spans="1:35" ht="12.75" customHeight="1" x14ac:dyDescent="0.2">
      <c r="A57" s="288"/>
      <c r="B57" s="278"/>
      <c r="C57" s="278"/>
      <c r="D57" s="285"/>
      <c r="E57" s="286"/>
      <c r="F57" s="287"/>
      <c r="G57" s="288"/>
      <c r="H57" s="288"/>
      <c r="I57" s="288"/>
      <c r="J57" s="289"/>
      <c r="K57" s="288"/>
      <c r="L57" s="290"/>
      <c r="M57" s="290"/>
      <c r="N57" s="290"/>
      <c r="O57" s="290"/>
      <c r="P57" s="224"/>
      <c r="Q57" s="224"/>
      <c r="R57" s="224"/>
      <c r="S57" s="224"/>
      <c r="T57" s="224"/>
      <c r="U57" s="224"/>
      <c r="V57" s="224"/>
      <c r="W57" s="224"/>
      <c r="X57" s="224"/>
      <c r="Y57" s="224"/>
      <c r="Z57" s="224"/>
      <c r="AA57" s="224"/>
      <c r="AB57" s="224"/>
      <c r="AC57" s="224"/>
      <c r="AD57" s="224"/>
      <c r="AE57" s="224"/>
      <c r="AF57" s="224"/>
      <c r="AG57" s="224"/>
      <c r="AH57" s="224"/>
      <c r="AI57" s="224"/>
    </row>
    <row r="58" spans="1:35" ht="12.75" customHeight="1" x14ac:dyDescent="0.2">
      <c r="A58" s="288"/>
      <c r="B58" s="278"/>
      <c r="C58" s="278"/>
      <c r="D58" s="285"/>
      <c r="E58" s="286"/>
      <c r="F58" s="287"/>
      <c r="G58" s="288"/>
      <c r="H58" s="288"/>
      <c r="I58" s="288"/>
      <c r="J58" s="289"/>
      <c r="K58" s="288"/>
      <c r="L58" s="290"/>
      <c r="M58" s="290"/>
      <c r="N58" s="290"/>
      <c r="O58" s="290"/>
      <c r="P58" s="224"/>
      <c r="Q58" s="224"/>
      <c r="R58" s="224"/>
      <c r="S58" s="224"/>
      <c r="T58" s="224"/>
      <c r="U58" s="224"/>
      <c r="V58" s="224"/>
      <c r="W58" s="224"/>
      <c r="X58" s="224"/>
      <c r="Y58" s="224"/>
      <c r="Z58" s="224"/>
      <c r="AA58" s="224"/>
      <c r="AB58" s="224"/>
      <c r="AC58" s="224"/>
      <c r="AD58" s="224"/>
      <c r="AE58" s="224"/>
      <c r="AF58" s="224"/>
      <c r="AG58" s="224"/>
      <c r="AH58" s="224"/>
      <c r="AI58" s="224"/>
    </row>
    <row r="59" spans="1:35" ht="12.75" customHeight="1" x14ac:dyDescent="0.2">
      <c r="A59" s="288"/>
      <c r="B59" s="278"/>
      <c r="C59" s="278"/>
      <c r="D59" s="285"/>
      <c r="E59" s="286"/>
      <c r="F59" s="287"/>
      <c r="G59" s="288"/>
      <c r="H59" s="288"/>
      <c r="I59" s="288"/>
      <c r="J59" s="289"/>
      <c r="K59" s="288"/>
      <c r="L59" s="290"/>
      <c r="M59" s="290"/>
      <c r="N59" s="290"/>
      <c r="O59" s="290"/>
      <c r="P59" s="224"/>
      <c r="Q59" s="224"/>
      <c r="R59" s="224"/>
      <c r="S59" s="224"/>
      <c r="T59" s="224"/>
      <c r="U59" s="224"/>
      <c r="V59" s="224"/>
      <c r="W59" s="224"/>
      <c r="X59" s="224"/>
      <c r="Y59" s="224"/>
      <c r="Z59" s="224"/>
      <c r="AA59" s="224"/>
      <c r="AB59" s="224"/>
      <c r="AC59" s="224"/>
      <c r="AD59" s="224"/>
      <c r="AE59" s="224"/>
      <c r="AF59" s="224"/>
      <c r="AG59" s="224"/>
      <c r="AH59" s="224"/>
      <c r="AI59" s="224"/>
    </row>
    <row r="60" spans="1:35" ht="12.75" customHeight="1" x14ac:dyDescent="0.2">
      <c r="A60" s="288"/>
      <c r="B60" s="278"/>
      <c r="C60" s="278"/>
      <c r="D60" s="285"/>
      <c r="E60" s="286"/>
      <c r="F60" s="287"/>
      <c r="G60" s="288"/>
      <c r="H60" s="288"/>
      <c r="I60" s="288"/>
      <c r="J60" s="289"/>
      <c r="K60" s="288"/>
      <c r="L60" s="290"/>
      <c r="M60" s="290"/>
      <c r="N60" s="290"/>
      <c r="O60" s="290"/>
      <c r="P60" s="224"/>
      <c r="Q60" s="224"/>
      <c r="R60" s="224"/>
      <c r="S60" s="224"/>
      <c r="T60" s="224"/>
      <c r="U60" s="224"/>
      <c r="V60" s="224"/>
      <c r="W60" s="224"/>
      <c r="X60" s="224"/>
      <c r="Y60" s="224"/>
      <c r="Z60" s="224"/>
      <c r="AA60" s="224"/>
      <c r="AB60" s="224"/>
      <c r="AC60" s="224"/>
      <c r="AD60" s="224"/>
      <c r="AE60" s="224"/>
      <c r="AF60" s="224"/>
      <c r="AG60" s="224"/>
      <c r="AH60" s="224"/>
      <c r="AI60" s="224"/>
    </row>
    <row r="61" spans="1:35" ht="12.75" customHeight="1" x14ac:dyDescent="0.2">
      <c r="A61" s="288"/>
      <c r="B61" s="278"/>
      <c r="C61" s="278"/>
      <c r="D61" s="285"/>
      <c r="E61" s="286"/>
      <c r="F61" s="287"/>
      <c r="G61" s="288"/>
      <c r="H61" s="288"/>
      <c r="I61" s="288"/>
      <c r="J61" s="289"/>
      <c r="K61" s="288"/>
      <c r="L61" s="290"/>
      <c r="M61" s="290"/>
      <c r="N61" s="290"/>
      <c r="O61" s="290"/>
      <c r="P61" s="224"/>
      <c r="Q61" s="224"/>
      <c r="R61" s="224"/>
      <c r="S61" s="224"/>
      <c r="T61" s="224"/>
      <c r="U61" s="224"/>
      <c r="V61" s="224"/>
      <c r="W61" s="224"/>
      <c r="X61" s="224"/>
      <c r="Y61" s="224"/>
      <c r="Z61" s="224"/>
      <c r="AA61" s="224"/>
      <c r="AB61" s="224"/>
      <c r="AC61" s="224"/>
      <c r="AD61" s="224"/>
      <c r="AE61" s="224"/>
      <c r="AF61" s="224"/>
      <c r="AG61" s="224"/>
      <c r="AH61" s="224"/>
      <c r="AI61" s="224"/>
    </row>
    <row r="62" spans="1:35" ht="12.75" customHeight="1" x14ac:dyDescent="0.2">
      <c r="A62" s="288"/>
      <c r="B62" s="278"/>
      <c r="C62" s="278"/>
      <c r="D62" s="285"/>
      <c r="E62" s="286"/>
      <c r="F62" s="287"/>
      <c r="G62" s="288"/>
      <c r="H62" s="288"/>
      <c r="I62" s="288"/>
      <c r="J62" s="289"/>
      <c r="K62" s="288"/>
      <c r="L62" s="290"/>
      <c r="M62" s="290"/>
      <c r="N62" s="290"/>
      <c r="O62" s="290"/>
      <c r="P62" s="224"/>
      <c r="Q62" s="224"/>
      <c r="R62" s="224"/>
      <c r="S62" s="224"/>
      <c r="T62" s="224"/>
      <c r="U62" s="224"/>
      <c r="V62" s="224"/>
      <c r="W62" s="224"/>
      <c r="X62" s="224"/>
      <c r="Y62" s="224"/>
      <c r="Z62" s="224"/>
      <c r="AA62" s="224"/>
      <c r="AB62" s="224"/>
      <c r="AC62" s="224"/>
      <c r="AD62" s="224"/>
      <c r="AE62" s="224"/>
      <c r="AF62" s="224"/>
      <c r="AG62" s="224"/>
      <c r="AH62" s="224"/>
      <c r="AI62" s="224"/>
    </row>
    <row r="63" spans="1:35" ht="12.75" customHeight="1" x14ac:dyDescent="0.2">
      <c r="A63" s="288"/>
      <c r="B63" s="278"/>
      <c r="C63" s="278"/>
      <c r="D63" s="285"/>
      <c r="E63" s="286"/>
      <c r="F63" s="287"/>
      <c r="G63" s="288"/>
      <c r="H63" s="288"/>
      <c r="I63" s="288"/>
      <c r="J63" s="289"/>
      <c r="K63" s="288"/>
      <c r="L63" s="290"/>
      <c r="M63" s="290"/>
      <c r="N63" s="290"/>
      <c r="O63" s="290"/>
      <c r="P63" s="224"/>
      <c r="Q63" s="224"/>
      <c r="R63" s="224"/>
      <c r="S63" s="224"/>
      <c r="T63" s="224"/>
      <c r="U63" s="224"/>
      <c r="V63" s="224"/>
      <c r="W63" s="224"/>
      <c r="X63" s="224"/>
      <c r="Y63" s="224"/>
      <c r="Z63" s="224"/>
      <c r="AA63" s="224"/>
      <c r="AB63" s="224"/>
      <c r="AC63" s="224"/>
      <c r="AD63" s="224"/>
      <c r="AE63" s="224"/>
      <c r="AF63" s="224"/>
      <c r="AG63" s="224"/>
      <c r="AH63" s="224"/>
      <c r="AI63" s="224"/>
    </row>
    <row r="64" spans="1:35" ht="12.75" customHeight="1" x14ac:dyDescent="0.2">
      <c r="A64" s="288"/>
      <c r="B64" s="278"/>
      <c r="C64" s="278"/>
      <c r="D64" s="285"/>
      <c r="E64" s="286"/>
      <c r="F64" s="287"/>
      <c r="G64" s="288"/>
      <c r="H64" s="288"/>
      <c r="I64" s="288"/>
      <c r="J64" s="289"/>
      <c r="K64" s="288"/>
      <c r="L64" s="290"/>
      <c r="M64" s="290"/>
      <c r="N64" s="290"/>
      <c r="O64" s="290"/>
      <c r="P64" s="224"/>
      <c r="Q64" s="224"/>
      <c r="R64" s="224"/>
      <c r="S64" s="224"/>
      <c r="T64" s="224"/>
      <c r="U64" s="224"/>
      <c r="V64" s="224"/>
      <c r="W64" s="224"/>
      <c r="X64" s="224"/>
      <c r="Y64" s="224"/>
      <c r="Z64" s="224"/>
      <c r="AA64" s="224"/>
      <c r="AB64" s="224"/>
      <c r="AC64" s="224"/>
      <c r="AD64" s="224"/>
      <c r="AE64" s="224"/>
      <c r="AF64" s="224"/>
      <c r="AG64" s="224"/>
      <c r="AH64" s="224"/>
      <c r="AI64" s="224"/>
    </row>
    <row r="65" spans="1:35" ht="12.75" customHeight="1" x14ac:dyDescent="0.2">
      <c r="A65" s="288"/>
      <c r="B65" s="278"/>
      <c r="C65" s="278"/>
      <c r="D65" s="285"/>
      <c r="E65" s="286"/>
      <c r="F65" s="287"/>
      <c r="G65" s="288"/>
      <c r="H65" s="288"/>
      <c r="I65" s="288"/>
      <c r="J65" s="289"/>
      <c r="K65" s="288"/>
      <c r="L65" s="290"/>
      <c r="M65" s="290"/>
      <c r="N65" s="290"/>
      <c r="O65" s="290"/>
      <c r="P65" s="224"/>
      <c r="Q65" s="224"/>
      <c r="R65" s="224"/>
      <c r="S65" s="224"/>
      <c r="T65" s="224"/>
      <c r="U65" s="224"/>
      <c r="V65" s="224"/>
      <c r="W65" s="224"/>
      <c r="X65" s="224"/>
      <c r="Y65" s="224"/>
      <c r="Z65" s="224"/>
      <c r="AA65" s="224"/>
      <c r="AB65" s="224"/>
      <c r="AC65" s="224"/>
      <c r="AD65" s="224"/>
      <c r="AE65" s="224"/>
      <c r="AF65" s="224"/>
      <c r="AG65" s="224"/>
      <c r="AH65" s="224"/>
      <c r="AI65" s="224"/>
    </row>
    <row r="66" spans="1:35" ht="12.75" customHeight="1" x14ac:dyDescent="0.2">
      <c r="A66" s="288"/>
      <c r="B66" s="278"/>
      <c r="C66" s="278"/>
      <c r="D66" s="285"/>
      <c r="E66" s="286"/>
      <c r="F66" s="287"/>
      <c r="G66" s="288"/>
      <c r="H66" s="288"/>
      <c r="I66" s="288"/>
      <c r="J66" s="289"/>
      <c r="K66" s="288"/>
      <c r="L66" s="290"/>
      <c r="M66" s="290"/>
      <c r="N66" s="290"/>
      <c r="O66" s="290"/>
      <c r="P66" s="224"/>
      <c r="Q66" s="224"/>
      <c r="R66" s="224"/>
      <c r="S66" s="224"/>
      <c r="T66" s="224"/>
      <c r="U66" s="224"/>
      <c r="V66" s="224"/>
      <c r="W66" s="224"/>
      <c r="X66" s="224"/>
      <c r="Y66" s="224"/>
      <c r="Z66" s="224"/>
      <c r="AA66" s="224"/>
      <c r="AB66" s="224"/>
      <c r="AC66" s="224"/>
      <c r="AD66" s="224"/>
      <c r="AE66" s="224"/>
      <c r="AF66" s="224"/>
      <c r="AG66" s="224"/>
      <c r="AH66" s="224"/>
      <c r="AI66" s="224"/>
    </row>
    <row r="67" spans="1:35" ht="12.75" customHeight="1" x14ac:dyDescent="0.2">
      <c r="A67" s="288"/>
      <c r="B67" s="278"/>
      <c r="C67" s="278"/>
      <c r="D67" s="285"/>
      <c r="E67" s="286"/>
      <c r="F67" s="287"/>
      <c r="G67" s="288"/>
      <c r="H67" s="288"/>
      <c r="I67" s="288"/>
      <c r="J67" s="289"/>
      <c r="K67" s="288"/>
      <c r="L67" s="290"/>
      <c r="M67" s="290"/>
      <c r="N67" s="290"/>
      <c r="O67" s="290"/>
      <c r="P67" s="224"/>
      <c r="Q67" s="224"/>
      <c r="R67" s="224"/>
      <c r="S67" s="224"/>
      <c r="T67" s="224"/>
      <c r="U67" s="224"/>
      <c r="V67" s="224"/>
      <c r="W67" s="224"/>
      <c r="X67" s="224"/>
      <c r="Y67" s="224"/>
      <c r="Z67" s="224"/>
      <c r="AA67" s="224"/>
      <c r="AB67" s="224"/>
      <c r="AC67" s="224"/>
      <c r="AD67" s="224"/>
      <c r="AE67" s="224"/>
      <c r="AF67" s="224"/>
      <c r="AG67" s="224"/>
      <c r="AH67" s="224"/>
      <c r="AI67" s="224"/>
    </row>
    <row r="68" spans="1:35" ht="12.75" customHeight="1" x14ac:dyDescent="0.2">
      <c r="A68" s="288"/>
      <c r="B68" s="278"/>
      <c r="C68" s="278"/>
      <c r="D68" s="285"/>
      <c r="E68" s="286"/>
      <c r="F68" s="287"/>
      <c r="G68" s="288"/>
      <c r="H68" s="288"/>
      <c r="I68" s="288"/>
      <c r="J68" s="289"/>
      <c r="K68" s="288"/>
      <c r="L68" s="290"/>
      <c r="M68" s="290"/>
      <c r="N68" s="290"/>
      <c r="O68" s="290"/>
      <c r="P68" s="224"/>
      <c r="Q68" s="224"/>
      <c r="R68" s="224"/>
      <c r="S68" s="224"/>
      <c r="T68" s="224"/>
      <c r="U68" s="224"/>
      <c r="V68" s="224"/>
      <c r="W68" s="224"/>
      <c r="X68" s="224"/>
      <c r="Y68" s="224"/>
      <c r="Z68" s="224"/>
      <c r="AA68" s="224"/>
      <c r="AB68" s="224"/>
      <c r="AC68" s="224"/>
      <c r="AD68" s="224"/>
      <c r="AE68" s="224"/>
      <c r="AF68" s="224"/>
      <c r="AG68" s="224"/>
      <c r="AH68" s="224"/>
      <c r="AI68" s="224"/>
    </row>
    <row r="69" spans="1:35" ht="12.75" customHeight="1" x14ac:dyDescent="0.2">
      <c r="A69" s="288"/>
      <c r="B69" s="278"/>
      <c r="C69" s="278"/>
      <c r="D69" s="285"/>
      <c r="E69" s="286"/>
      <c r="F69" s="287"/>
      <c r="G69" s="288"/>
      <c r="H69" s="288"/>
      <c r="I69" s="288"/>
      <c r="J69" s="289"/>
      <c r="K69" s="288"/>
      <c r="L69" s="290"/>
      <c r="M69" s="290"/>
      <c r="N69" s="290"/>
      <c r="O69" s="290"/>
      <c r="P69" s="224"/>
      <c r="Q69" s="224"/>
      <c r="R69" s="224"/>
      <c r="S69" s="224"/>
      <c r="T69" s="224"/>
      <c r="U69" s="224"/>
      <c r="V69" s="224"/>
      <c r="W69" s="224"/>
      <c r="X69" s="224"/>
      <c r="Y69" s="224"/>
      <c r="Z69" s="224"/>
      <c r="AA69" s="224"/>
      <c r="AB69" s="224"/>
      <c r="AC69" s="224"/>
      <c r="AD69" s="224"/>
      <c r="AE69" s="224"/>
      <c r="AF69" s="224"/>
      <c r="AG69" s="224"/>
      <c r="AH69" s="224"/>
      <c r="AI69" s="224"/>
    </row>
    <row r="70" spans="1:35" ht="12.75" customHeight="1" x14ac:dyDescent="0.2">
      <c r="A70" s="288"/>
      <c r="B70" s="278"/>
      <c r="C70" s="278"/>
      <c r="D70" s="285"/>
      <c r="E70" s="286"/>
      <c r="F70" s="287"/>
      <c r="G70" s="288"/>
      <c r="H70" s="288"/>
      <c r="I70" s="288"/>
      <c r="J70" s="289"/>
      <c r="K70" s="288"/>
      <c r="L70" s="290"/>
      <c r="M70" s="290"/>
      <c r="N70" s="290"/>
      <c r="O70" s="290"/>
      <c r="P70" s="224"/>
      <c r="Q70" s="224"/>
      <c r="R70" s="224"/>
      <c r="S70" s="224"/>
      <c r="T70" s="224"/>
      <c r="U70" s="224"/>
      <c r="V70" s="224"/>
      <c r="W70" s="224"/>
      <c r="X70" s="224"/>
      <c r="Y70" s="224"/>
      <c r="Z70" s="224"/>
      <c r="AA70" s="224"/>
      <c r="AB70" s="224"/>
      <c r="AC70" s="224"/>
      <c r="AD70" s="224"/>
      <c r="AE70" s="224"/>
      <c r="AF70" s="224"/>
      <c r="AG70" s="224"/>
      <c r="AH70" s="224"/>
      <c r="AI70" s="224"/>
    </row>
    <row r="71" spans="1:35" ht="12.75" customHeight="1" x14ac:dyDescent="0.2">
      <c r="A71" s="288"/>
      <c r="B71" s="278"/>
      <c r="C71" s="278"/>
      <c r="D71" s="285"/>
      <c r="E71" s="286"/>
      <c r="F71" s="287"/>
      <c r="G71" s="288"/>
      <c r="H71" s="288"/>
      <c r="I71" s="288"/>
      <c r="J71" s="289"/>
      <c r="K71" s="288"/>
      <c r="L71" s="290"/>
      <c r="M71" s="290"/>
      <c r="N71" s="290"/>
      <c r="O71" s="290"/>
      <c r="P71" s="224"/>
      <c r="Q71" s="224"/>
      <c r="R71" s="224"/>
      <c r="S71" s="224"/>
      <c r="T71" s="224"/>
      <c r="U71" s="224"/>
      <c r="V71" s="224"/>
      <c r="W71" s="224"/>
      <c r="X71" s="224"/>
      <c r="Y71" s="224"/>
      <c r="Z71" s="224"/>
      <c r="AA71" s="224"/>
      <c r="AB71" s="224"/>
      <c r="AC71" s="224"/>
      <c r="AD71" s="224"/>
      <c r="AE71" s="224"/>
      <c r="AF71" s="224"/>
      <c r="AG71" s="224"/>
      <c r="AH71" s="224"/>
      <c r="AI71" s="224"/>
    </row>
    <row r="72" spans="1:35" ht="12.75" customHeight="1" x14ac:dyDescent="0.2">
      <c r="A72" s="288"/>
      <c r="B72" s="278"/>
      <c r="C72" s="278"/>
      <c r="D72" s="285"/>
      <c r="E72" s="286"/>
      <c r="F72" s="287"/>
      <c r="G72" s="288"/>
      <c r="H72" s="288"/>
      <c r="I72" s="288"/>
      <c r="J72" s="289"/>
      <c r="K72" s="288"/>
      <c r="L72" s="290"/>
      <c r="M72" s="290"/>
      <c r="N72" s="290"/>
      <c r="O72" s="290"/>
      <c r="P72" s="224"/>
      <c r="Q72" s="224"/>
      <c r="R72" s="224"/>
      <c r="S72" s="224"/>
      <c r="T72" s="224"/>
      <c r="U72" s="224"/>
      <c r="V72" s="224"/>
      <c r="W72" s="224"/>
      <c r="X72" s="224"/>
      <c r="Y72" s="224"/>
      <c r="Z72" s="224"/>
      <c r="AA72" s="224"/>
      <c r="AB72" s="224"/>
      <c r="AC72" s="224"/>
      <c r="AD72" s="224"/>
      <c r="AE72" s="224"/>
      <c r="AF72" s="224"/>
      <c r="AG72" s="224"/>
      <c r="AH72" s="224"/>
      <c r="AI72" s="224"/>
    </row>
    <row r="73" spans="1:35" ht="12.75" customHeight="1" x14ac:dyDescent="0.2">
      <c r="A73" s="288"/>
      <c r="B73" s="278"/>
      <c r="C73" s="278"/>
      <c r="D73" s="285"/>
      <c r="E73" s="286"/>
      <c r="F73" s="287"/>
      <c r="G73" s="288"/>
      <c r="H73" s="288"/>
      <c r="I73" s="288"/>
      <c r="J73" s="289"/>
      <c r="K73" s="288"/>
      <c r="L73" s="290"/>
      <c r="M73" s="290"/>
      <c r="N73" s="290"/>
      <c r="O73" s="290"/>
      <c r="P73" s="224"/>
      <c r="Q73" s="224"/>
      <c r="R73" s="224"/>
      <c r="S73" s="224"/>
      <c r="T73" s="224"/>
      <c r="U73" s="224"/>
      <c r="V73" s="224"/>
      <c r="W73" s="224"/>
      <c r="X73" s="224"/>
      <c r="Y73" s="224"/>
      <c r="Z73" s="224"/>
      <c r="AA73" s="224"/>
      <c r="AB73" s="224"/>
      <c r="AC73" s="224"/>
      <c r="AD73" s="224"/>
      <c r="AE73" s="224"/>
      <c r="AF73" s="224"/>
      <c r="AG73" s="224"/>
      <c r="AH73" s="224"/>
      <c r="AI73" s="224"/>
    </row>
    <row r="74" spans="1:35" ht="12.75" customHeight="1" x14ac:dyDescent="0.2">
      <c r="A74" s="288"/>
      <c r="B74" s="278"/>
      <c r="C74" s="278"/>
      <c r="D74" s="285"/>
      <c r="E74" s="286"/>
      <c r="F74" s="287"/>
      <c r="G74" s="288"/>
      <c r="H74" s="288"/>
      <c r="I74" s="288"/>
      <c r="J74" s="289"/>
      <c r="K74" s="288"/>
      <c r="L74" s="290"/>
      <c r="M74" s="290"/>
      <c r="N74" s="290"/>
      <c r="O74" s="290"/>
      <c r="P74" s="224"/>
      <c r="Q74" s="224"/>
      <c r="R74" s="224"/>
      <c r="S74" s="224"/>
      <c r="T74" s="224"/>
      <c r="U74" s="224"/>
      <c r="V74" s="224"/>
      <c r="W74" s="224"/>
      <c r="X74" s="224"/>
      <c r="Y74" s="224"/>
      <c r="Z74" s="224"/>
      <c r="AA74" s="224"/>
      <c r="AB74" s="224"/>
      <c r="AC74" s="224"/>
      <c r="AD74" s="224"/>
      <c r="AE74" s="224"/>
      <c r="AF74" s="224"/>
      <c r="AG74" s="224"/>
      <c r="AH74" s="224"/>
      <c r="AI74" s="224"/>
    </row>
    <row r="75" spans="1:35" ht="12.75" customHeight="1" x14ac:dyDescent="0.2">
      <c r="A75" s="288"/>
      <c r="B75" s="278"/>
      <c r="C75" s="278"/>
      <c r="D75" s="285"/>
      <c r="E75" s="286"/>
      <c r="F75" s="287"/>
      <c r="G75" s="288"/>
      <c r="H75" s="288"/>
      <c r="I75" s="288"/>
      <c r="J75" s="289"/>
      <c r="K75" s="288"/>
      <c r="L75" s="290"/>
      <c r="M75" s="290"/>
      <c r="N75" s="290"/>
      <c r="O75" s="290"/>
      <c r="P75" s="224"/>
      <c r="Q75" s="224"/>
      <c r="R75" s="224"/>
      <c r="S75" s="224"/>
      <c r="T75" s="224"/>
      <c r="U75" s="224"/>
      <c r="V75" s="224"/>
      <c r="W75" s="224"/>
      <c r="X75" s="224"/>
      <c r="Y75" s="224"/>
      <c r="Z75" s="224"/>
      <c r="AA75" s="224"/>
      <c r="AB75" s="224"/>
      <c r="AC75" s="224"/>
      <c r="AD75" s="224"/>
      <c r="AE75" s="224"/>
      <c r="AF75" s="224"/>
      <c r="AG75" s="224"/>
      <c r="AH75" s="224"/>
      <c r="AI75" s="224"/>
    </row>
    <row r="76" spans="1:35" ht="12.75" customHeight="1" x14ac:dyDescent="0.2">
      <c r="A76" s="288"/>
      <c r="B76" s="278"/>
      <c r="C76" s="278"/>
      <c r="D76" s="285"/>
      <c r="E76" s="286"/>
      <c r="F76" s="287"/>
      <c r="G76" s="288"/>
      <c r="H76" s="288"/>
      <c r="I76" s="288"/>
      <c r="J76" s="289"/>
      <c r="K76" s="288"/>
      <c r="L76" s="290"/>
      <c r="M76" s="290"/>
      <c r="N76" s="290"/>
      <c r="O76" s="290"/>
      <c r="P76" s="224"/>
      <c r="Q76" s="224"/>
      <c r="R76" s="224"/>
      <c r="S76" s="224"/>
      <c r="T76" s="224"/>
      <c r="U76" s="224"/>
      <c r="V76" s="224"/>
      <c r="W76" s="224"/>
      <c r="X76" s="224"/>
      <c r="Y76" s="224"/>
      <c r="Z76" s="224"/>
      <c r="AA76" s="224"/>
      <c r="AB76" s="224"/>
      <c r="AC76" s="224"/>
      <c r="AD76" s="224"/>
      <c r="AE76" s="224"/>
      <c r="AF76" s="224"/>
      <c r="AG76" s="224"/>
      <c r="AH76" s="224"/>
      <c r="AI76" s="224"/>
    </row>
    <row r="77" spans="1:35" ht="12.75" customHeight="1" x14ac:dyDescent="0.2">
      <c r="A77" s="288"/>
      <c r="B77" s="278"/>
      <c r="C77" s="278"/>
      <c r="D77" s="285"/>
      <c r="E77" s="286"/>
      <c r="F77" s="287"/>
      <c r="G77" s="288"/>
      <c r="H77" s="288"/>
      <c r="I77" s="288"/>
      <c r="J77" s="289"/>
      <c r="K77" s="288"/>
      <c r="L77" s="290"/>
      <c r="M77" s="290"/>
      <c r="N77" s="290"/>
      <c r="O77" s="290"/>
      <c r="P77" s="224"/>
      <c r="Q77" s="224"/>
      <c r="R77" s="224"/>
      <c r="S77" s="224"/>
      <c r="T77" s="224"/>
      <c r="U77" s="224"/>
      <c r="V77" s="224"/>
      <c r="W77" s="224"/>
      <c r="X77" s="224"/>
      <c r="Y77" s="224"/>
      <c r="Z77" s="224"/>
      <c r="AA77" s="224"/>
      <c r="AB77" s="224"/>
      <c r="AC77" s="224"/>
      <c r="AD77" s="224"/>
      <c r="AE77" s="224"/>
      <c r="AF77" s="224"/>
      <c r="AG77" s="224"/>
      <c r="AH77" s="224"/>
      <c r="AI77" s="224"/>
    </row>
    <row r="78" spans="1:35" ht="12.75" customHeight="1" x14ac:dyDescent="0.2">
      <c r="A78" s="288"/>
      <c r="B78" s="278"/>
      <c r="C78" s="278"/>
      <c r="D78" s="285"/>
      <c r="E78" s="286"/>
      <c r="F78" s="287"/>
      <c r="G78" s="288"/>
      <c r="H78" s="288"/>
      <c r="I78" s="288"/>
      <c r="J78" s="289"/>
      <c r="K78" s="288"/>
      <c r="L78" s="290"/>
      <c r="M78" s="290"/>
      <c r="N78" s="290"/>
      <c r="O78" s="290"/>
      <c r="P78" s="224"/>
      <c r="Q78" s="224"/>
      <c r="R78" s="224"/>
      <c r="S78" s="224"/>
      <c r="T78" s="224"/>
      <c r="U78" s="224"/>
      <c r="V78" s="224"/>
      <c r="W78" s="224"/>
      <c r="X78" s="224"/>
      <c r="Y78" s="224"/>
      <c r="Z78" s="224"/>
      <c r="AA78" s="224"/>
      <c r="AB78" s="224"/>
      <c r="AC78" s="224"/>
      <c r="AD78" s="224"/>
      <c r="AE78" s="224"/>
      <c r="AF78" s="224"/>
      <c r="AG78" s="224"/>
      <c r="AH78" s="224"/>
      <c r="AI78" s="224"/>
    </row>
    <row r="79" spans="1:35" ht="12.75" customHeight="1" x14ac:dyDescent="0.2">
      <c r="A79" s="288"/>
      <c r="B79" s="278"/>
      <c r="C79" s="278"/>
      <c r="D79" s="285"/>
      <c r="E79" s="286"/>
      <c r="F79" s="287"/>
      <c r="G79" s="288"/>
      <c r="H79" s="288"/>
      <c r="I79" s="288"/>
      <c r="J79" s="289"/>
      <c r="K79" s="288"/>
      <c r="L79" s="290"/>
      <c r="M79" s="290"/>
      <c r="N79" s="290"/>
      <c r="O79" s="290"/>
      <c r="P79" s="224"/>
      <c r="Q79" s="224"/>
      <c r="R79" s="224"/>
      <c r="S79" s="224"/>
      <c r="T79" s="224"/>
      <c r="U79" s="224"/>
      <c r="V79" s="224"/>
      <c r="W79" s="224"/>
      <c r="X79" s="224"/>
      <c r="Y79" s="224"/>
      <c r="Z79" s="224"/>
      <c r="AA79" s="224"/>
      <c r="AB79" s="224"/>
      <c r="AC79" s="224"/>
      <c r="AD79" s="224"/>
      <c r="AE79" s="224"/>
      <c r="AF79" s="224"/>
      <c r="AG79" s="224"/>
      <c r="AH79" s="224"/>
      <c r="AI79" s="224"/>
    </row>
    <row r="80" spans="1:35" ht="12.75" customHeight="1" x14ac:dyDescent="0.2">
      <c r="A80" s="288"/>
      <c r="B80" s="278"/>
      <c r="C80" s="278"/>
      <c r="D80" s="285"/>
      <c r="E80" s="286"/>
      <c r="F80" s="287"/>
      <c r="G80" s="288"/>
      <c r="H80" s="288"/>
      <c r="I80" s="288"/>
      <c r="J80" s="289"/>
      <c r="K80" s="288"/>
      <c r="L80" s="290"/>
      <c r="M80" s="290"/>
      <c r="N80" s="290"/>
      <c r="O80" s="290"/>
      <c r="P80" s="224"/>
      <c r="Q80" s="224"/>
      <c r="R80" s="224"/>
      <c r="S80" s="224"/>
      <c r="T80" s="224"/>
      <c r="U80" s="224"/>
      <c r="V80" s="224"/>
      <c r="W80" s="224"/>
      <c r="X80" s="224"/>
      <c r="Y80" s="224"/>
      <c r="Z80" s="224"/>
      <c r="AA80" s="224"/>
      <c r="AB80" s="224"/>
      <c r="AC80" s="224"/>
      <c r="AD80" s="224"/>
      <c r="AE80" s="224"/>
      <c r="AF80" s="224"/>
      <c r="AG80" s="224"/>
      <c r="AH80" s="224"/>
      <c r="AI80" s="224"/>
    </row>
    <row r="81" spans="1:35" ht="12.75" customHeight="1" x14ac:dyDescent="0.2">
      <c r="A81" s="288"/>
      <c r="B81" s="278"/>
      <c r="C81" s="278"/>
      <c r="D81" s="285"/>
      <c r="E81" s="286"/>
      <c r="F81" s="287"/>
      <c r="G81" s="288"/>
      <c r="H81" s="288"/>
      <c r="I81" s="288"/>
      <c r="J81" s="289"/>
      <c r="K81" s="288"/>
      <c r="L81" s="290"/>
      <c r="M81" s="290"/>
      <c r="N81" s="290"/>
      <c r="O81" s="290"/>
      <c r="P81" s="224"/>
      <c r="Q81" s="224"/>
      <c r="R81" s="224"/>
      <c r="S81" s="224"/>
      <c r="T81" s="224"/>
      <c r="U81" s="224"/>
      <c r="V81" s="224"/>
      <c r="W81" s="224"/>
      <c r="X81" s="224"/>
      <c r="Y81" s="224"/>
      <c r="Z81" s="224"/>
      <c r="AA81" s="224"/>
      <c r="AB81" s="224"/>
      <c r="AC81" s="224"/>
      <c r="AD81" s="224"/>
      <c r="AE81" s="224"/>
      <c r="AF81" s="224"/>
      <c r="AG81" s="224"/>
      <c r="AH81" s="224"/>
      <c r="AI81" s="224"/>
    </row>
    <row r="82" spans="1:35" ht="12.75" customHeight="1" x14ac:dyDescent="0.2">
      <c r="A82" s="288"/>
      <c r="B82" s="278"/>
      <c r="C82" s="278"/>
      <c r="D82" s="285"/>
      <c r="E82" s="286"/>
      <c r="F82" s="287"/>
      <c r="G82" s="288"/>
      <c r="H82" s="288"/>
      <c r="I82" s="288"/>
      <c r="J82" s="289"/>
      <c r="K82" s="288"/>
      <c r="L82" s="290"/>
      <c r="M82" s="290"/>
      <c r="N82" s="290"/>
      <c r="O82" s="290"/>
      <c r="P82" s="224"/>
      <c r="Q82" s="224"/>
      <c r="R82" s="224"/>
      <c r="S82" s="224"/>
      <c r="T82" s="224"/>
      <c r="U82" s="224"/>
      <c r="V82" s="224"/>
      <c r="W82" s="224"/>
      <c r="X82" s="224"/>
      <c r="Y82" s="224"/>
      <c r="Z82" s="224"/>
      <c r="AA82" s="224"/>
      <c r="AB82" s="224"/>
      <c r="AC82" s="224"/>
      <c r="AD82" s="224"/>
      <c r="AE82" s="224"/>
      <c r="AF82" s="224"/>
      <c r="AG82" s="224"/>
      <c r="AH82" s="224"/>
      <c r="AI82" s="224"/>
    </row>
    <row r="83" spans="1:35" ht="12.75" customHeight="1" x14ac:dyDescent="0.2">
      <c r="A83" s="288"/>
      <c r="B83" s="278"/>
      <c r="C83" s="278"/>
      <c r="D83" s="285"/>
      <c r="E83" s="286"/>
      <c r="F83" s="287"/>
      <c r="G83" s="288"/>
      <c r="H83" s="288"/>
      <c r="I83" s="288"/>
      <c r="J83" s="289"/>
      <c r="K83" s="288"/>
      <c r="L83" s="290"/>
      <c r="M83" s="290"/>
      <c r="N83" s="290"/>
      <c r="O83" s="290"/>
      <c r="P83" s="224"/>
      <c r="Q83" s="224"/>
      <c r="R83" s="224"/>
      <c r="S83" s="224"/>
      <c r="T83" s="224"/>
      <c r="U83" s="224"/>
      <c r="V83" s="224"/>
      <c r="W83" s="224"/>
      <c r="X83" s="224"/>
      <c r="Y83" s="224"/>
      <c r="Z83" s="224"/>
      <c r="AA83" s="224"/>
      <c r="AB83" s="224"/>
      <c r="AC83" s="224"/>
      <c r="AD83" s="224"/>
      <c r="AE83" s="224"/>
      <c r="AF83" s="224"/>
      <c r="AG83" s="224"/>
      <c r="AH83" s="224"/>
      <c r="AI83" s="224"/>
    </row>
    <row r="84" spans="1:35" ht="12.75" customHeight="1" x14ac:dyDescent="0.2">
      <c r="A84" s="288"/>
      <c r="B84" s="278"/>
      <c r="C84" s="278"/>
      <c r="D84" s="285"/>
      <c r="E84" s="286"/>
      <c r="F84" s="287"/>
      <c r="G84" s="288"/>
      <c r="H84" s="288"/>
      <c r="I84" s="288"/>
      <c r="J84" s="289"/>
      <c r="K84" s="288"/>
      <c r="L84" s="290"/>
      <c r="M84" s="290"/>
      <c r="N84" s="290"/>
      <c r="O84" s="290"/>
      <c r="P84" s="224"/>
      <c r="Q84" s="224"/>
      <c r="R84" s="224"/>
      <c r="S84" s="224"/>
      <c r="T84" s="224"/>
      <c r="U84" s="224"/>
      <c r="V84" s="224"/>
      <c r="W84" s="224"/>
      <c r="X84" s="224"/>
      <c r="Y84" s="224"/>
      <c r="Z84" s="224"/>
      <c r="AA84" s="224"/>
      <c r="AB84" s="224"/>
      <c r="AC84" s="224"/>
      <c r="AD84" s="224"/>
      <c r="AE84" s="224"/>
      <c r="AF84" s="224"/>
      <c r="AG84" s="224"/>
      <c r="AH84" s="224"/>
      <c r="AI84" s="224"/>
    </row>
    <row r="85" spans="1:35" ht="12.75" customHeight="1" x14ac:dyDescent="0.2">
      <c r="A85" s="288"/>
      <c r="B85" s="278"/>
      <c r="C85" s="278"/>
      <c r="D85" s="285"/>
      <c r="E85" s="286"/>
      <c r="F85" s="287"/>
      <c r="G85" s="288"/>
      <c r="H85" s="288"/>
      <c r="I85" s="288"/>
      <c r="J85" s="289"/>
      <c r="K85" s="288"/>
      <c r="L85" s="290"/>
      <c r="M85" s="290"/>
      <c r="N85" s="290"/>
      <c r="O85" s="290"/>
      <c r="P85" s="224"/>
      <c r="Q85" s="224"/>
      <c r="R85" s="224"/>
      <c r="S85" s="224"/>
      <c r="T85" s="224"/>
      <c r="U85" s="224"/>
      <c r="V85" s="224"/>
      <c r="W85" s="224"/>
      <c r="X85" s="224"/>
      <c r="Y85" s="224"/>
      <c r="Z85" s="224"/>
      <c r="AA85" s="224"/>
      <c r="AB85" s="224"/>
      <c r="AC85" s="224"/>
      <c r="AD85" s="224"/>
      <c r="AE85" s="224"/>
      <c r="AF85" s="224"/>
      <c r="AG85" s="224"/>
      <c r="AH85" s="224"/>
      <c r="AI85" s="224"/>
    </row>
    <row r="86" spans="1:35" ht="12.75" customHeight="1" x14ac:dyDescent="0.2">
      <c r="A86" s="288"/>
      <c r="B86" s="278"/>
      <c r="C86" s="278"/>
      <c r="D86" s="285"/>
      <c r="E86" s="286"/>
      <c r="F86" s="287"/>
      <c r="G86" s="288"/>
      <c r="H86" s="288"/>
      <c r="I86" s="288"/>
      <c r="J86" s="289"/>
      <c r="K86" s="288"/>
      <c r="L86" s="290"/>
      <c r="M86" s="290"/>
      <c r="N86" s="290"/>
      <c r="O86" s="290"/>
      <c r="P86" s="224"/>
      <c r="Q86" s="224"/>
      <c r="R86" s="224"/>
      <c r="S86" s="224"/>
      <c r="T86" s="224"/>
      <c r="U86" s="224"/>
      <c r="V86" s="224"/>
      <c r="W86" s="224"/>
      <c r="X86" s="224"/>
      <c r="Y86" s="224"/>
      <c r="Z86" s="224"/>
      <c r="AA86" s="224"/>
      <c r="AB86" s="224"/>
      <c r="AC86" s="224"/>
      <c r="AD86" s="224"/>
      <c r="AE86" s="224"/>
      <c r="AF86" s="224"/>
      <c r="AG86" s="224"/>
      <c r="AH86" s="224"/>
      <c r="AI86" s="224"/>
    </row>
    <row r="87" spans="1:35" ht="12.75" customHeight="1" x14ac:dyDescent="0.2">
      <c r="A87" s="288"/>
      <c r="B87" s="278"/>
      <c r="C87" s="278"/>
      <c r="D87" s="285"/>
      <c r="E87" s="286"/>
      <c r="F87" s="287"/>
      <c r="G87" s="288"/>
      <c r="H87" s="288"/>
      <c r="I87" s="288"/>
      <c r="J87" s="289"/>
      <c r="K87" s="288"/>
      <c r="L87" s="290"/>
      <c r="M87" s="290"/>
      <c r="N87" s="290"/>
      <c r="O87" s="290"/>
      <c r="P87" s="224"/>
      <c r="Q87" s="224"/>
      <c r="R87" s="224"/>
      <c r="S87" s="224"/>
      <c r="T87" s="224"/>
      <c r="U87" s="224"/>
      <c r="V87" s="224"/>
      <c r="W87" s="224"/>
      <c r="X87" s="224"/>
      <c r="Y87" s="224"/>
      <c r="Z87" s="224"/>
      <c r="AA87" s="224"/>
      <c r="AB87" s="224"/>
      <c r="AC87" s="224"/>
      <c r="AD87" s="224"/>
      <c r="AE87" s="224"/>
      <c r="AF87" s="224"/>
      <c r="AG87" s="224"/>
      <c r="AH87" s="224"/>
      <c r="AI87" s="224"/>
    </row>
    <row r="88" spans="1:35" ht="12.75" customHeight="1" x14ac:dyDescent="0.2">
      <c r="A88" s="288"/>
      <c r="B88" s="278"/>
      <c r="C88" s="278"/>
      <c r="D88" s="285"/>
      <c r="E88" s="286"/>
      <c r="F88" s="287"/>
      <c r="G88" s="288"/>
      <c r="H88" s="288"/>
      <c r="I88" s="288"/>
      <c r="J88" s="289"/>
      <c r="K88" s="288"/>
      <c r="L88" s="290"/>
      <c r="M88" s="290"/>
      <c r="N88" s="290"/>
      <c r="O88" s="290"/>
      <c r="P88" s="224"/>
      <c r="Q88" s="224"/>
      <c r="R88" s="224"/>
      <c r="S88" s="224"/>
      <c r="T88" s="224"/>
      <c r="U88" s="224"/>
      <c r="V88" s="224"/>
      <c r="W88" s="224"/>
      <c r="X88" s="224"/>
      <c r="Y88" s="224"/>
      <c r="Z88" s="224"/>
      <c r="AA88" s="224"/>
      <c r="AB88" s="224"/>
      <c r="AC88" s="224"/>
      <c r="AD88" s="224"/>
      <c r="AE88" s="224"/>
      <c r="AF88" s="224"/>
      <c r="AG88" s="224"/>
      <c r="AH88" s="224"/>
      <c r="AI88" s="224"/>
    </row>
    <row r="89" spans="1:35" ht="12.75" customHeight="1" x14ac:dyDescent="0.2">
      <c r="A89" s="288"/>
      <c r="B89" s="278"/>
      <c r="C89" s="278"/>
      <c r="D89" s="285"/>
      <c r="E89" s="286"/>
      <c r="F89" s="287"/>
      <c r="G89" s="288"/>
      <c r="H89" s="288"/>
      <c r="I89" s="288"/>
      <c r="J89" s="289"/>
      <c r="K89" s="288"/>
      <c r="L89" s="290"/>
      <c r="M89" s="290"/>
      <c r="N89" s="290"/>
      <c r="O89" s="290"/>
      <c r="P89" s="224"/>
      <c r="Q89" s="224"/>
      <c r="R89" s="224"/>
      <c r="S89" s="224"/>
      <c r="T89" s="224"/>
      <c r="U89" s="224"/>
      <c r="V89" s="224"/>
      <c r="W89" s="224"/>
      <c r="X89" s="224"/>
      <c r="Y89" s="224"/>
      <c r="Z89" s="224"/>
      <c r="AA89" s="224"/>
      <c r="AB89" s="224"/>
      <c r="AC89" s="224"/>
      <c r="AD89" s="224"/>
      <c r="AE89" s="224"/>
      <c r="AF89" s="224"/>
      <c r="AG89" s="224"/>
      <c r="AH89" s="224"/>
      <c r="AI89" s="224"/>
    </row>
    <row r="90" spans="1:35" ht="12.75" customHeight="1" x14ac:dyDescent="0.2">
      <c r="A90" s="288"/>
      <c r="B90" s="278"/>
      <c r="C90" s="278"/>
      <c r="D90" s="285"/>
      <c r="E90" s="286"/>
      <c r="F90" s="287"/>
      <c r="G90" s="288"/>
      <c r="H90" s="288"/>
      <c r="I90" s="288"/>
      <c r="J90" s="289"/>
      <c r="K90" s="288"/>
      <c r="L90" s="290"/>
      <c r="M90" s="290"/>
      <c r="N90" s="290"/>
      <c r="O90" s="290"/>
      <c r="P90" s="224"/>
      <c r="Q90" s="224"/>
      <c r="R90" s="224"/>
      <c r="S90" s="224"/>
      <c r="T90" s="224"/>
      <c r="U90" s="224"/>
      <c r="V90" s="224"/>
      <c r="W90" s="224"/>
      <c r="X90" s="224"/>
      <c r="Y90" s="224"/>
      <c r="Z90" s="224"/>
      <c r="AA90" s="224"/>
      <c r="AB90" s="224"/>
      <c r="AC90" s="224"/>
      <c r="AD90" s="224"/>
      <c r="AE90" s="224"/>
      <c r="AF90" s="224"/>
      <c r="AG90" s="224"/>
      <c r="AH90" s="224"/>
      <c r="AI90" s="224"/>
    </row>
    <row r="91" spans="1:35" ht="12.75" customHeight="1" x14ac:dyDescent="0.2">
      <c r="A91" s="288"/>
      <c r="B91" s="278"/>
      <c r="C91" s="278"/>
      <c r="D91" s="285"/>
      <c r="E91" s="286"/>
      <c r="F91" s="287"/>
      <c r="G91" s="288"/>
      <c r="H91" s="288"/>
      <c r="I91" s="288"/>
      <c r="J91" s="289"/>
      <c r="K91" s="288"/>
      <c r="L91" s="290"/>
      <c r="M91" s="290"/>
      <c r="N91" s="290"/>
      <c r="O91" s="290"/>
      <c r="P91" s="224"/>
      <c r="Q91" s="224"/>
      <c r="R91" s="224"/>
      <c r="S91" s="224"/>
      <c r="T91" s="224"/>
      <c r="U91" s="224"/>
      <c r="V91" s="224"/>
      <c r="W91" s="224"/>
      <c r="X91" s="224"/>
      <c r="Y91" s="224"/>
      <c r="Z91" s="224"/>
      <c r="AA91" s="224"/>
      <c r="AB91" s="224"/>
      <c r="AC91" s="224"/>
      <c r="AD91" s="224"/>
      <c r="AE91" s="224"/>
      <c r="AF91" s="224"/>
      <c r="AG91" s="224"/>
      <c r="AH91" s="224"/>
      <c r="AI91" s="224"/>
    </row>
    <row r="92" spans="1:35" ht="12.75" customHeight="1" x14ac:dyDescent="0.2">
      <c r="A92" s="288"/>
      <c r="B92" s="278"/>
      <c r="C92" s="278"/>
      <c r="D92" s="285"/>
      <c r="E92" s="286"/>
      <c r="F92" s="287"/>
      <c r="G92" s="288"/>
      <c r="H92" s="288"/>
      <c r="I92" s="288"/>
      <c r="J92" s="289"/>
      <c r="K92" s="288"/>
      <c r="L92" s="290"/>
      <c r="M92" s="290"/>
      <c r="N92" s="290"/>
      <c r="O92" s="290"/>
      <c r="P92" s="224"/>
      <c r="Q92" s="224"/>
      <c r="R92" s="224"/>
      <c r="S92" s="224"/>
      <c r="T92" s="224"/>
      <c r="U92" s="224"/>
      <c r="V92" s="224"/>
      <c r="W92" s="224"/>
      <c r="X92" s="224"/>
      <c r="Y92" s="224"/>
      <c r="Z92" s="224"/>
      <c r="AA92" s="224"/>
      <c r="AB92" s="224"/>
      <c r="AC92" s="224"/>
      <c r="AD92" s="224"/>
      <c r="AE92" s="224"/>
      <c r="AF92" s="224"/>
      <c r="AG92" s="224"/>
      <c r="AH92" s="224"/>
      <c r="AI92" s="224"/>
    </row>
    <row r="93" spans="1:35" ht="12.75" customHeight="1" x14ac:dyDescent="0.2">
      <c r="A93" s="288"/>
      <c r="B93" s="278"/>
      <c r="C93" s="278"/>
      <c r="D93" s="285"/>
      <c r="E93" s="286"/>
      <c r="F93" s="287"/>
      <c r="G93" s="288"/>
      <c r="H93" s="288"/>
      <c r="I93" s="288"/>
      <c r="J93" s="289"/>
      <c r="K93" s="288"/>
      <c r="L93" s="290"/>
      <c r="M93" s="290"/>
      <c r="N93" s="290"/>
      <c r="O93" s="290"/>
      <c r="P93" s="224"/>
      <c r="Q93" s="224"/>
      <c r="R93" s="224"/>
      <c r="S93" s="224"/>
      <c r="T93" s="224"/>
      <c r="U93" s="224"/>
      <c r="V93" s="224"/>
      <c r="W93" s="224"/>
      <c r="X93" s="224"/>
      <c r="Y93" s="224"/>
      <c r="Z93" s="224"/>
      <c r="AA93" s="224"/>
      <c r="AB93" s="224"/>
      <c r="AC93" s="224"/>
      <c r="AD93" s="224"/>
      <c r="AE93" s="224"/>
      <c r="AF93" s="224"/>
      <c r="AG93" s="224"/>
      <c r="AH93" s="224"/>
      <c r="AI93" s="224"/>
    </row>
    <row r="94" spans="1:35" ht="12.75" customHeight="1" x14ac:dyDescent="0.2">
      <c r="A94" s="288"/>
      <c r="B94" s="278"/>
      <c r="C94" s="278"/>
      <c r="D94" s="285"/>
      <c r="E94" s="286"/>
      <c r="F94" s="287"/>
      <c r="G94" s="288"/>
      <c r="H94" s="288"/>
      <c r="I94" s="288"/>
      <c r="J94" s="289"/>
      <c r="K94" s="288"/>
      <c r="L94" s="290"/>
      <c r="M94" s="290"/>
      <c r="N94" s="290"/>
      <c r="O94" s="290"/>
      <c r="P94" s="224"/>
      <c r="Q94" s="224"/>
      <c r="R94" s="224"/>
      <c r="S94" s="224"/>
      <c r="T94" s="224"/>
      <c r="U94" s="224"/>
      <c r="V94" s="224"/>
      <c r="W94" s="224"/>
      <c r="X94" s="224"/>
      <c r="Y94" s="224"/>
      <c r="Z94" s="224"/>
      <c r="AA94" s="224"/>
      <c r="AB94" s="224"/>
      <c r="AC94" s="224"/>
      <c r="AD94" s="224"/>
      <c r="AE94" s="224"/>
      <c r="AF94" s="224"/>
      <c r="AG94" s="224"/>
      <c r="AH94" s="224"/>
      <c r="AI94" s="224"/>
    </row>
    <row r="95" spans="1:35" ht="12.75" customHeight="1" x14ac:dyDescent="0.2">
      <c r="A95" s="288"/>
      <c r="B95" s="278"/>
      <c r="C95" s="278"/>
      <c r="D95" s="285"/>
      <c r="E95" s="286"/>
      <c r="F95" s="287"/>
      <c r="G95" s="288"/>
      <c r="H95" s="288"/>
      <c r="I95" s="288"/>
      <c r="J95" s="289"/>
      <c r="K95" s="288"/>
      <c r="L95" s="290"/>
      <c r="M95" s="290"/>
      <c r="N95" s="290"/>
      <c r="O95" s="290"/>
      <c r="P95" s="224"/>
      <c r="Q95" s="224"/>
      <c r="R95" s="224"/>
      <c r="S95" s="224"/>
      <c r="T95" s="224"/>
      <c r="U95" s="224"/>
      <c r="V95" s="224"/>
      <c r="W95" s="224"/>
      <c r="X95" s="224"/>
      <c r="Y95" s="224"/>
      <c r="Z95" s="224"/>
      <c r="AA95" s="224"/>
      <c r="AB95" s="224"/>
      <c r="AC95" s="224"/>
      <c r="AD95" s="224"/>
      <c r="AE95" s="224"/>
      <c r="AF95" s="224"/>
      <c r="AG95" s="224"/>
      <c r="AH95" s="224"/>
      <c r="AI95" s="224"/>
    </row>
    <row r="96" spans="1:35" ht="12.75" customHeight="1" x14ac:dyDescent="0.2">
      <c r="A96" s="288"/>
      <c r="B96" s="278"/>
      <c r="C96" s="278"/>
      <c r="D96" s="285"/>
      <c r="E96" s="286"/>
      <c r="F96" s="287"/>
      <c r="G96" s="288"/>
      <c r="H96" s="288"/>
      <c r="I96" s="288"/>
      <c r="J96" s="289"/>
      <c r="K96" s="288"/>
      <c r="L96" s="290"/>
      <c r="M96" s="290"/>
      <c r="N96" s="290"/>
      <c r="O96" s="290"/>
      <c r="P96" s="224"/>
      <c r="Q96" s="224"/>
      <c r="R96" s="224"/>
      <c r="S96" s="224"/>
      <c r="T96" s="224"/>
      <c r="U96" s="224"/>
      <c r="V96" s="224"/>
      <c r="W96" s="224"/>
      <c r="X96" s="224"/>
      <c r="Y96" s="224"/>
      <c r="Z96" s="224"/>
      <c r="AA96" s="224"/>
      <c r="AB96" s="224"/>
      <c r="AC96" s="224"/>
      <c r="AD96" s="224"/>
      <c r="AE96" s="224"/>
      <c r="AF96" s="224"/>
      <c r="AG96" s="224"/>
      <c r="AH96" s="224"/>
      <c r="AI96" s="224"/>
    </row>
    <row r="97" spans="1:35" ht="12.75" customHeight="1" x14ac:dyDescent="0.2">
      <c r="A97" s="288"/>
      <c r="B97" s="278"/>
      <c r="C97" s="278"/>
      <c r="D97" s="285"/>
      <c r="E97" s="286"/>
      <c r="F97" s="287"/>
      <c r="G97" s="288"/>
      <c r="H97" s="288"/>
      <c r="I97" s="288"/>
      <c r="J97" s="289"/>
      <c r="K97" s="288"/>
      <c r="L97" s="290"/>
      <c r="M97" s="290"/>
      <c r="N97" s="290"/>
      <c r="O97" s="290"/>
      <c r="P97" s="224"/>
      <c r="Q97" s="224"/>
      <c r="R97" s="224"/>
      <c r="S97" s="224"/>
      <c r="T97" s="224"/>
      <c r="U97" s="224"/>
      <c r="V97" s="224"/>
      <c r="W97" s="224"/>
      <c r="X97" s="224"/>
      <c r="Y97" s="224"/>
      <c r="Z97" s="224"/>
      <c r="AA97" s="224"/>
      <c r="AB97" s="224"/>
      <c r="AC97" s="224"/>
      <c r="AD97" s="224"/>
      <c r="AE97" s="224"/>
      <c r="AF97" s="224"/>
      <c r="AG97" s="224"/>
      <c r="AH97" s="224"/>
      <c r="AI97" s="224"/>
    </row>
    <row r="98" spans="1:35" ht="12.75" customHeight="1" x14ac:dyDescent="0.2">
      <c r="A98" s="288"/>
      <c r="B98" s="278"/>
      <c r="C98" s="278"/>
      <c r="D98" s="285"/>
      <c r="E98" s="286"/>
      <c r="F98" s="287"/>
      <c r="G98" s="288"/>
      <c r="H98" s="288"/>
      <c r="I98" s="288"/>
      <c r="J98" s="289"/>
      <c r="K98" s="288"/>
      <c r="L98" s="290"/>
      <c r="M98" s="290"/>
      <c r="N98" s="290"/>
      <c r="O98" s="290"/>
      <c r="P98" s="224"/>
      <c r="Q98" s="224"/>
      <c r="R98" s="224"/>
      <c r="S98" s="224"/>
      <c r="T98" s="224"/>
      <c r="U98" s="224"/>
      <c r="V98" s="224"/>
      <c r="W98" s="224"/>
      <c r="X98" s="224"/>
      <c r="Y98" s="224"/>
      <c r="Z98" s="224"/>
      <c r="AA98" s="224"/>
      <c r="AB98" s="224"/>
      <c r="AC98" s="224"/>
      <c r="AD98" s="224"/>
      <c r="AE98" s="224"/>
      <c r="AF98" s="224"/>
      <c r="AG98" s="224"/>
      <c r="AH98" s="224"/>
      <c r="AI98" s="224"/>
    </row>
    <row r="99" spans="1:35" ht="12.75" customHeight="1" x14ac:dyDescent="0.2">
      <c r="A99" s="288"/>
      <c r="B99" s="278"/>
      <c r="C99" s="278"/>
      <c r="D99" s="285"/>
      <c r="E99" s="286"/>
      <c r="F99" s="287"/>
      <c r="G99" s="288"/>
      <c r="H99" s="288"/>
      <c r="I99" s="288"/>
      <c r="J99" s="289"/>
      <c r="K99" s="288"/>
      <c r="L99" s="290"/>
      <c r="M99" s="290"/>
      <c r="N99" s="290"/>
      <c r="O99" s="290"/>
      <c r="P99" s="224"/>
      <c r="Q99" s="224"/>
      <c r="R99" s="224"/>
      <c r="S99" s="224"/>
      <c r="T99" s="224"/>
      <c r="U99" s="224"/>
      <c r="V99" s="224"/>
      <c r="W99" s="224"/>
      <c r="X99" s="224"/>
      <c r="Y99" s="224"/>
      <c r="Z99" s="224"/>
      <c r="AA99" s="224"/>
      <c r="AB99" s="224"/>
      <c r="AC99" s="224"/>
      <c r="AD99" s="224"/>
      <c r="AE99" s="224"/>
      <c r="AF99" s="224"/>
      <c r="AG99" s="224"/>
      <c r="AH99" s="224"/>
      <c r="AI99" s="224"/>
    </row>
    <row r="100" spans="1:35" ht="12.75" customHeight="1" x14ac:dyDescent="0.2">
      <c r="A100" s="288"/>
      <c r="B100" s="278"/>
      <c r="C100" s="278"/>
      <c r="D100" s="285"/>
      <c r="E100" s="286"/>
      <c r="F100" s="287"/>
      <c r="G100" s="288"/>
      <c r="H100" s="288"/>
      <c r="I100" s="288"/>
      <c r="J100" s="289"/>
      <c r="K100" s="288"/>
      <c r="L100" s="290"/>
      <c r="M100" s="290"/>
      <c r="N100" s="290"/>
      <c r="O100" s="290"/>
      <c r="P100" s="224"/>
      <c r="Q100" s="224"/>
      <c r="R100" s="224"/>
      <c r="S100" s="224"/>
      <c r="T100" s="224"/>
      <c r="U100" s="224"/>
      <c r="V100" s="224"/>
      <c r="W100" s="224"/>
      <c r="X100" s="224"/>
      <c r="Y100" s="224"/>
      <c r="Z100" s="224"/>
      <c r="AA100" s="224"/>
      <c r="AB100" s="224"/>
      <c r="AC100" s="224"/>
      <c r="AD100" s="224"/>
      <c r="AE100" s="224"/>
      <c r="AF100" s="224"/>
      <c r="AG100" s="224"/>
      <c r="AH100" s="224"/>
      <c r="AI100" s="224"/>
    </row>
    <row r="101" spans="1:35" ht="12.75" customHeight="1" x14ac:dyDescent="0.2">
      <c r="A101" s="288"/>
      <c r="B101" s="278"/>
      <c r="C101" s="278"/>
      <c r="D101" s="285"/>
      <c r="E101" s="286"/>
      <c r="F101" s="287"/>
      <c r="G101" s="288"/>
      <c r="H101" s="288"/>
      <c r="I101" s="288"/>
      <c r="J101" s="289"/>
      <c r="K101" s="288"/>
      <c r="L101" s="290"/>
      <c r="M101" s="290"/>
      <c r="N101" s="290"/>
      <c r="O101" s="290"/>
      <c r="P101" s="224"/>
      <c r="Q101" s="224"/>
      <c r="R101" s="224"/>
      <c r="S101" s="224"/>
      <c r="T101" s="224"/>
      <c r="U101" s="224"/>
      <c r="V101" s="224"/>
      <c r="W101" s="224"/>
      <c r="X101" s="224"/>
      <c r="Y101" s="224"/>
      <c r="Z101" s="224"/>
      <c r="AA101" s="224"/>
      <c r="AB101" s="224"/>
      <c r="AC101" s="224"/>
      <c r="AD101" s="224"/>
      <c r="AE101" s="224"/>
      <c r="AF101" s="224"/>
      <c r="AG101" s="224"/>
      <c r="AH101" s="224"/>
      <c r="AI101" s="224"/>
    </row>
    <row r="102" spans="1:35" ht="12.75" customHeight="1" x14ac:dyDescent="0.2">
      <c r="A102" s="288"/>
      <c r="B102" s="278"/>
      <c r="C102" s="278"/>
      <c r="D102" s="285"/>
      <c r="E102" s="286"/>
      <c r="F102" s="287"/>
      <c r="G102" s="288"/>
      <c r="H102" s="288"/>
      <c r="I102" s="288"/>
      <c r="J102" s="289"/>
      <c r="K102" s="288"/>
      <c r="L102" s="290"/>
      <c r="M102" s="290"/>
      <c r="N102" s="290"/>
      <c r="O102" s="290"/>
      <c r="P102" s="224"/>
      <c r="Q102" s="224"/>
      <c r="R102" s="224"/>
      <c r="S102" s="224"/>
      <c r="T102" s="224"/>
      <c r="U102" s="224"/>
      <c r="V102" s="224"/>
      <c r="W102" s="224"/>
      <c r="X102" s="224"/>
      <c r="Y102" s="224"/>
      <c r="Z102" s="224"/>
      <c r="AA102" s="224"/>
      <c r="AB102" s="224"/>
      <c r="AC102" s="224"/>
      <c r="AD102" s="224"/>
      <c r="AE102" s="224"/>
      <c r="AF102" s="224"/>
      <c r="AG102" s="224"/>
      <c r="AH102" s="224"/>
      <c r="AI102" s="224"/>
    </row>
    <row r="103" spans="1:35" ht="12.75" customHeight="1" x14ac:dyDescent="0.2">
      <c r="A103" s="288"/>
      <c r="B103" s="278"/>
      <c r="C103" s="278"/>
      <c r="D103" s="285"/>
      <c r="E103" s="286"/>
      <c r="F103" s="287"/>
      <c r="G103" s="288"/>
      <c r="H103" s="288"/>
      <c r="I103" s="288"/>
      <c r="J103" s="289"/>
      <c r="K103" s="288"/>
      <c r="L103" s="290"/>
      <c r="M103" s="290"/>
      <c r="N103" s="290"/>
      <c r="O103" s="290"/>
      <c r="P103" s="224"/>
      <c r="Q103" s="224"/>
      <c r="R103" s="224"/>
      <c r="S103" s="224"/>
      <c r="T103" s="224"/>
      <c r="U103" s="224"/>
      <c r="V103" s="224"/>
      <c r="W103" s="224"/>
      <c r="X103" s="224"/>
      <c r="Y103" s="224"/>
      <c r="Z103" s="224"/>
      <c r="AA103" s="224"/>
      <c r="AB103" s="224"/>
      <c r="AC103" s="224"/>
      <c r="AD103" s="224"/>
      <c r="AE103" s="224"/>
      <c r="AF103" s="224"/>
      <c r="AG103" s="224"/>
      <c r="AH103" s="224"/>
      <c r="AI103" s="224"/>
    </row>
    <row r="104" spans="1:35" ht="12.75" customHeight="1" x14ac:dyDescent="0.2">
      <c r="A104" s="288"/>
      <c r="B104" s="278"/>
      <c r="C104" s="278"/>
      <c r="D104" s="285"/>
      <c r="E104" s="286"/>
      <c r="F104" s="287"/>
      <c r="G104" s="288"/>
      <c r="H104" s="288"/>
      <c r="I104" s="288"/>
      <c r="J104" s="289"/>
      <c r="K104" s="288"/>
      <c r="L104" s="290"/>
      <c r="M104" s="290"/>
      <c r="N104" s="290"/>
      <c r="O104" s="290"/>
      <c r="P104" s="224"/>
      <c r="Q104" s="224"/>
      <c r="R104" s="224"/>
      <c r="S104" s="224"/>
      <c r="T104" s="224"/>
      <c r="U104" s="224"/>
      <c r="V104" s="224"/>
      <c r="W104" s="224"/>
      <c r="X104" s="224"/>
      <c r="Y104" s="224"/>
      <c r="Z104" s="224"/>
      <c r="AA104" s="224"/>
      <c r="AB104" s="224"/>
      <c r="AC104" s="224"/>
      <c r="AD104" s="224"/>
      <c r="AE104" s="224"/>
      <c r="AF104" s="224"/>
      <c r="AG104" s="224"/>
      <c r="AH104" s="224"/>
      <c r="AI104" s="224"/>
    </row>
    <row r="105" spans="1:35" ht="12.75" customHeight="1" x14ac:dyDescent="0.2">
      <c r="A105" s="288"/>
      <c r="B105" s="278"/>
      <c r="C105" s="278"/>
      <c r="D105" s="285"/>
      <c r="E105" s="286"/>
      <c r="F105" s="287"/>
      <c r="G105" s="288"/>
      <c r="H105" s="288"/>
      <c r="I105" s="288"/>
      <c r="J105" s="289"/>
      <c r="K105" s="288"/>
      <c r="L105" s="290"/>
      <c r="M105" s="290"/>
      <c r="N105" s="290"/>
      <c r="O105" s="290"/>
      <c r="P105" s="224"/>
      <c r="Q105" s="224"/>
      <c r="R105" s="224"/>
      <c r="S105" s="224"/>
      <c r="T105" s="224"/>
      <c r="U105" s="224"/>
      <c r="V105" s="224"/>
      <c r="W105" s="224"/>
      <c r="X105" s="224"/>
      <c r="Y105" s="224"/>
      <c r="Z105" s="224"/>
      <c r="AA105" s="224"/>
      <c r="AB105" s="224"/>
      <c r="AC105" s="224"/>
      <c r="AD105" s="224"/>
      <c r="AE105" s="224"/>
      <c r="AF105" s="224"/>
      <c r="AG105" s="224"/>
      <c r="AH105" s="224"/>
      <c r="AI105" s="224"/>
    </row>
    <row r="106" spans="1:35" ht="12.75" customHeight="1" x14ac:dyDescent="0.2">
      <c r="A106" s="288"/>
      <c r="B106" s="278"/>
      <c r="C106" s="278"/>
      <c r="D106" s="285"/>
      <c r="E106" s="286"/>
      <c r="F106" s="287"/>
      <c r="G106" s="288"/>
      <c r="H106" s="288"/>
      <c r="I106" s="288"/>
      <c r="J106" s="289"/>
      <c r="K106" s="288"/>
      <c r="L106" s="290"/>
      <c r="M106" s="290"/>
      <c r="N106" s="290"/>
      <c r="O106" s="290"/>
      <c r="P106" s="224"/>
      <c r="Q106" s="224"/>
      <c r="R106" s="224"/>
      <c r="S106" s="224"/>
      <c r="T106" s="224"/>
      <c r="U106" s="224"/>
      <c r="V106" s="224"/>
      <c r="W106" s="224"/>
      <c r="X106" s="224"/>
      <c r="Y106" s="224"/>
      <c r="Z106" s="224"/>
      <c r="AA106" s="224"/>
      <c r="AB106" s="224"/>
      <c r="AC106" s="224"/>
      <c r="AD106" s="224"/>
      <c r="AE106" s="224"/>
      <c r="AF106" s="224"/>
      <c r="AG106" s="224"/>
      <c r="AH106" s="224"/>
      <c r="AI106" s="224"/>
    </row>
    <row r="107" spans="1:35" ht="12.75" customHeight="1" x14ac:dyDescent="0.2">
      <c r="A107" s="288"/>
      <c r="B107" s="278"/>
      <c r="C107" s="278"/>
      <c r="D107" s="285"/>
      <c r="E107" s="286"/>
      <c r="F107" s="287"/>
      <c r="G107" s="288"/>
      <c r="H107" s="288"/>
      <c r="I107" s="288"/>
      <c r="J107" s="289"/>
      <c r="K107" s="288"/>
      <c r="L107" s="290"/>
      <c r="M107" s="290"/>
      <c r="N107" s="290"/>
      <c r="O107" s="290"/>
      <c r="P107" s="224"/>
      <c r="Q107" s="224"/>
      <c r="R107" s="224"/>
      <c r="S107" s="224"/>
      <c r="T107" s="224"/>
      <c r="U107" s="224"/>
      <c r="V107" s="224"/>
      <c r="W107" s="224"/>
      <c r="X107" s="224"/>
      <c r="Y107" s="224"/>
      <c r="Z107" s="224"/>
      <c r="AA107" s="224"/>
      <c r="AB107" s="224"/>
      <c r="AC107" s="224"/>
      <c r="AD107" s="224"/>
      <c r="AE107" s="224"/>
      <c r="AF107" s="224"/>
      <c r="AG107" s="224"/>
      <c r="AH107" s="224"/>
      <c r="AI107" s="224"/>
    </row>
    <row r="108" spans="1:35" ht="12.75" customHeight="1" x14ac:dyDescent="0.2">
      <c r="A108" s="288"/>
      <c r="B108" s="278"/>
      <c r="C108" s="278"/>
      <c r="D108" s="285"/>
      <c r="E108" s="286"/>
      <c r="F108" s="287"/>
      <c r="G108" s="288"/>
      <c r="H108" s="288"/>
      <c r="I108" s="288"/>
      <c r="J108" s="289"/>
      <c r="K108" s="288"/>
      <c r="L108" s="290"/>
      <c r="M108" s="290"/>
      <c r="N108" s="290"/>
      <c r="O108" s="290"/>
      <c r="P108" s="224"/>
      <c r="Q108" s="224"/>
      <c r="R108" s="224"/>
      <c r="S108" s="224"/>
      <c r="T108" s="224"/>
      <c r="U108" s="224"/>
      <c r="V108" s="224"/>
      <c r="W108" s="224"/>
      <c r="X108" s="224"/>
      <c r="Y108" s="224"/>
      <c r="Z108" s="224"/>
      <c r="AA108" s="224"/>
      <c r="AB108" s="224"/>
      <c r="AC108" s="224"/>
      <c r="AD108" s="224"/>
      <c r="AE108" s="224"/>
      <c r="AF108" s="224"/>
      <c r="AG108" s="224"/>
      <c r="AH108" s="224"/>
      <c r="AI108" s="224"/>
    </row>
    <row r="109" spans="1:35" ht="12.75" customHeight="1" x14ac:dyDescent="0.2">
      <c r="A109" s="288"/>
      <c r="B109" s="278"/>
      <c r="C109" s="278"/>
      <c r="D109" s="285"/>
      <c r="E109" s="286"/>
      <c r="F109" s="287"/>
      <c r="G109" s="288"/>
      <c r="H109" s="288"/>
      <c r="I109" s="288"/>
      <c r="J109" s="289"/>
      <c r="K109" s="288"/>
      <c r="L109" s="290"/>
      <c r="M109" s="290"/>
      <c r="N109" s="290"/>
      <c r="O109" s="290"/>
      <c r="P109" s="224"/>
      <c r="Q109" s="224"/>
      <c r="R109" s="224"/>
      <c r="S109" s="224"/>
      <c r="T109" s="224"/>
      <c r="U109" s="224"/>
      <c r="V109" s="224"/>
      <c r="W109" s="224"/>
      <c r="X109" s="224"/>
      <c r="Y109" s="224"/>
      <c r="Z109" s="224"/>
      <c r="AA109" s="224"/>
      <c r="AB109" s="224"/>
      <c r="AC109" s="224"/>
      <c r="AD109" s="224"/>
      <c r="AE109" s="224"/>
      <c r="AF109" s="224"/>
      <c r="AG109" s="224"/>
      <c r="AH109" s="224"/>
      <c r="AI109" s="224"/>
    </row>
    <row r="110" spans="1:35" ht="12.75" customHeight="1" x14ac:dyDescent="0.2">
      <c r="A110" s="288"/>
      <c r="B110" s="278"/>
      <c r="C110" s="278"/>
      <c r="D110" s="285"/>
      <c r="E110" s="286"/>
      <c r="F110" s="287"/>
      <c r="G110" s="288"/>
      <c r="H110" s="288"/>
      <c r="I110" s="288"/>
      <c r="J110" s="289"/>
      <c r="K110" s="288"/>
      <c r="L110" s="290"/>
      <c r="M110" s="290"/>
      <c r="N110" s="290"/>
      <c r="O110" s="290"/>
      <c r="P110" s="224"/>
      <c r="Q110" s="224"/>
      <c r="R110" s="224"/>
      <c r="S110" s="224"/>
      <c r="T110" s="224"/>
      <c r="U110" s="224"/>
      <c r="V110" s="224"/>
      <c r="W110" s="224"/>
      <c r="X110" s="224"/>
      <c r="Y110" s="224"/>
      <c r="Z110" s="224"/>
      <c r="AA110" s="224"/>
      <c r="AB110" s="224"/>
      <c r="AC110" s="224"/>
      <c r="AD110" s="224"/>
      <c r="AE110" s="224"/>
      <c r="AF110" s="224"/>
      <c r="AG110" s="224"/>
      <c r="AH110" s="224"/>
      <c r="AI110" s="224"/>
    </row>
    <row r="111" spans="1:35" ht="12.75" customHeight="1" x14ac:dyDescent="0.2">
      <c r="A111" s="288"/>
      <c r="B111" s="278"/>
      <c r="C111" s="278"/>
      <c r="D111" s="285"/>
      <c r="E111" s="286"/>
      <c r="F111" s="287"/>
      <c r="G111" s="288"/>
      <c r="H111" s="288"/>
      <c r="I111" s="288"/>
      <c r="J111" s="289"/>
      <c r="K111" s="288"/>
      <c r="L111" s="290"/>
      <c r="M111" s="290"/>
      <c r="N111" s="290"/>
      <c r="O111" s="290"/>
      <c r="P111" s="224"/>
      <c r="Q111" s="224"/>
      <c r="R111" s="224"/>
      <c r="S111" s="224"/>
      <c r="T111" s="224"/>
      <c r="U111" s="224"/>
      <c r="V111" s="224"/>
      <c r="W111" s="224"/>
      <c r="X111" s="224"/>
      <c r="Y111" s="224"/>
      <c r="Z111" s="224"/>
      <c r="AA111" s="224"/>
      <c r="AB111" s="224"/>
      <c r="AC111" s="224"/>
      <c r="AD111" s="224"/>
      <c r="AE111" s="224"/>
      <c r="AF111" s="224"/>
      <c r="AG111" s="224"/>
      <c r="AH111" s="224"/>
      <c r="AI111" s="224"/>
    </row>
    <row r="112" spans="1:35" ht="12.75" customHeight="1" x14ac:dyDescent="0.2">
      <c r="A112" s="288"/>
      <c r="B112" s="278"/>
      <c r="C112" s="278"/>
      <c r="D112" s="285"/>
      <c r="E112" s="286"/>
      <c r="F112" s="287"/>
      <c r="G112" s="288"/>
      <c r="H112" s="288"/>
      <c r="I112" s="288"/>
      <c r="J112" s="289"/>
      <c r="K112" s="288"/>
      <c r="L112" s="290"/>
      <c r="M112" s="290"/>
      <c r="N112" s="290"/>
      <c r="O112" s="290"/>
      <c r="P112" s="224"/>
      <c r="Q112" s="224"/>
      <c r="R112" s="224"/>
      <c r="S112" s="224"/>
      <c r="T112" s="224"/>
      <c r="U112" s="224"/>
      <c r="V112" s="224"/>
      <c r="W112" s="224"/>
      <c r="X112" s="224"/>
      <c r="Y112" s="224"/>
      <c r="Z112" s="224"/>
      <c r="AA112" s="224"/>
      <c r="AB112" s="224"/>
      <c r="AC112" s="224"/>
      <c r="AD112" s="224"/>
      <c r="AE112" s="224"/>
      <c r="AF112" s="224"/>
      <c r="AG112" s="224"/>
      <c r="AH112" s="224"/>
      <c r="AI112" s="224"/>
    </row>
    <row r="113" spans="1:35" ht="12.75" customHeight="1" x14ac:dyDescent="0.2">
      <c r="A113" s="288"/>
      <c r="B113" s="278"/>
      <c r="C113" s="278"/>
      <c r="D113" s="285"/>
      <c r="E113" s="286"/>
      <c r="F113" s="287"/>
      <c r="G113" s="288"/>
      <c r="H113" s="288"/>
      <c r="I113" s="288"/>
      <c r="J113" s="289"/>
      <c r="K113" s="288"/>
      <c r="L113" s="290"/>
      <c r="M113" s="290"/>
      <c r="N113" s="290"/>
      <c r="O113" s="290"/>
      <c r="P113" s="224"/>
      <c r="Q113" s="224"/>
      <c r="R113" s="224"/>
      <c r="S113" s="224"/>
      <c r="T113" s="224"/>
      <c r="U113" s="224"/>
      <c r="V113" s="224"/>
      <c r="W113" s="224"/>
      <c r="X113" s="224"/>
      <c r="Y113" s="224"/>
      <c r="Z113" s="224"/>
      <c r="AA113" s="224"/>
      <c r="AB113" s="224"/>
      <c r="AC113" s="224"/>
      <c r="AD113" s="224"/>
      <c r="AE113" s="224"/>
      <c r="AF113" s="224"/>
      <c r="AG113" s="224"/>
      <c r="AH113" s="224"/>
      <c r="AI113" s="224"/>
    </row>
    <row r="114" spans="1:35" ht="12.75" customHeight="1" x14ac:dyDescent="0.2">
      <c r="A114" s="288"/>
      <c r="B114" s="278"/>
      <c r="C114" s="278"/>
      <c r="D114" s="285"/>
      <c r="E114" s="286"/>
      <c r="F114" s="287"/>
      <c r="G114" s="288"/>
      <c r="H114" s="288"/>
      <c r="I114" s="288"/>
      <c r="J114" s="289"/>
      <c r="K114" s="288"/>
      <c r="L114" s="290"/>
      <c r="M114" s="290"/>
      <c r="N114" s="290"/>
      <c r="O114" s="290"/>
      <c r="P114" s="224"/>
      <c r="Q114" s="224"/>
      <c r="R114" s="224"/>
      <c r="S114" s="224"/>
      <c r="T114" s="224"/>
      <c r="U114" s="224"/>
      <c r="V114" s="224"/>
      <c r="W114" s="224"/>
      <c r="X114" s="224"/>
      <c r="Y114" s="224"/>
      <c r="Z114" s="224"/>
      <c r="AA114" s="224"/>
      <c r="AB114" s="224"/>
      <c r="AC114" s="224"/>
      <c r="AD114" s="224"/>
      <c r="AE114" s="224"/>
      <c r="AF114" s="224"/>
      <c r="AG114" s="224"/>
      <c r="AH114" s="224"/>
      <c r="AI114" s="224"/>
    </row>
    <row r="115" spans="1:35" ht="12.75" customHeight="1" x14ac:dyDescent="0.2">
      <c r="A115" s="288"/>
      <c r="B115" s="278"/>
      <c r="C115" s="278"/>
      <c r="D115" s="285"/>
      <c r="E115" s="286"/>
      <c r="F115" s="287"/>
      <c r="G115" s="288"/>
      <c r="H115" s="288"/>
      <c r="I115" s="288"/>
      <c r="J115" s="289"/>
      <c r="K115" s="288"/>
      <c r="L115" s="290"/>
      <c r="M115" s="290"/>
      <c r="N115" s="290"/>
      <c r="O115" s="290"/>
      <c r="P115" s="224"/>
      <c r="Q115" s="224"/>
      <c r="R115" s="224"/>
      <c r="S115" s="224"/>
      <c r="T115" s="224"/>
      <c r="U115" s="224"/>
      <c r="V115" s="224"/>
      <c r="W115" s="224"/>
      <c r="X115" s="224"/>
      <c r="Y115" s="224"/>
      <c r="Z115" s="224"/>
      <c r="AA115" s="224"/>
      <c r="AB115" s="224"/>
      <c r="AC115" s="224"/>
      <c r="AD115" s="224"/>
      <c r="AE115" s="224"/>
      <c r="AF115" s="224"/>
      <c r="AG115" s="224"/>
      <c r="AH115" s="224"/>
      <c r="AI115" s="224"/>
    </row>
    <row r="116" spans="1:35" ht="12.75" customHeight="1" x14ac:dyDescent="0.2">
      <c r="A116" s="288"/>
      <c r="B116" s="278"/>
      <c r="C116" s="278"/>
      <c r="D116" s="285"/>
      <c r="E116" s="286"/>
      <c r="F116" s="287"/>
      <c r="G116" s="288"/>
      <c r="H116" s="288"/>
      <c r="I116" s="288"/>
      <c r="J116" s="289"/>
      <c r="K116" s="288"/>
      <c r="L116" s="290"/>
      <c r="M116" s="290"/>
      <c r="N116" s="290"/>
      <c r="O116" s="290"/>
      <c r="P116" s="224"/>
      <c r="Q116" s="224"/>
      <c r="R116" s="224"/>
      <c r="S116" s="224"/>
      <c r="T116" s="224"/>
      <c r="U116" s="224"/>
      <c r="V116" s="224"/>
      <c r="W116" s="224"/>
      <c r="X116" s="224"/>
      <c r="Y116" s="224"/>
      <c r="Z116" s="224"/>
      <c r="AA116" s="224"/>
      <c r="AB116" s="224"/>
      <c r="AC116" s="224"/>
      <c r="AD116" s="224"/>
      <c r="AE116" s="224"/>
      <c r="AF116" s="224"/>
      <c r="AG116" s="224"/>
      <c r="AH116" s="224"/>
      <c r="AI116" s="224"/>
    </row>
    <row r="117" spans="1:35" ht="12.75" customHeight="1" x14ac:dyDescent="0.2">
      <c r="A117" s="288"/>
      <c r="B117" s="278"/>
      <c r="C117" s="278"/>
      <c r="D117" s="285"/>
      <c r="E117" s="286"/>
      <c r="F117" s="287"/>
      <c r="G117" s="288"/>
      <c r="H117" s="288"/>
      <c r="I117" s="288"/>
      <c r="J117" s="289"/>
      <c r="K117" s="288"/>
      <c r="L117" s="290"/>
      <c r="M117" s="290"/>
      <c r="N117" s="290"/>
      <c r="O117" s="290"/>
      <c r="P117" s="224"/>
      <c r="Q117" s="224"/>
      <c r="R117" s="224"/>
      <c r="S117" s="224"/>
      <c r="T117" s="224"/>
      <c r="U117" s="224"/>
      <c r="V117" s="224"/>
      <c r="W117" s="224"/>
      <c r="X117" s="224"/>
      <c r="Y117" s="224"/>
      <c r="Z117" s="224"/>
      <c r="AA117" s="224"/>
      <c r="AB117" s="224"/>
      <c r="AC117" s="224"/>
      <c r="AD117" s="224"/>
      <c r="AE117" s="224"/>
      <c r="AF117" s="224"/>
      <c r="AG117" s="224"/>
      <c r="AH117" s="224"/>
      <c r="AI117" s="224"/>
    </row>
    <row r="118" spans="1:35" ht="12.75" customHeight="1" x14ac:dyDescent="0.2">
      <c r="A118" s="288"/>
      <c r="B118" s="278"/>
      <c r="C118" s="278"/>
      <c r="D118" s="285"/>
      <c r="E118" s="286"/>
      <c r="F118" s="287"/>
      <c r="G118" s="288"/>
      <c r="H118" s="288"/>
      <c r="I118" s="288"/>
      <c r="J118" s="289"/>
      <c r="K118" s="288"/>
      <c r="L118" s="290"/>
      <c r="M118" s="290"/>
      <c r="N118" s="290"/>
      <c r="O118" s="290"/>
      <c r="P118" s="224"/>
      <c r="Q118" s="224"/>
      <c r="R118" s="224"/>
      <c r="S118" s="224"/>
      <c r="T118" s="224"/>
      <c r="U118" s="224"/>
      <c r="V118" s="224"/>
      <c r="W118" s="224"/>
      <c r="X118" s="224"/>
      <c r="Y118" s="224"/>
      <c r="Z118" s="224"/>
      <c r="AA118" s="224"/>
      <c r="AB118" s="224"/>
      <c r="AC118" s="224"/>
      <c r="AD118" s="224"/>
      <c r="AE118" s="224"/>
      <c r="AF118" s="224"/>
      <c r="AG118" s="224"/>
      <c r="AH118" s="224"/>
      <c r="AI118" s="224"/>
    </row>
    <row r="119" spans="1:35" ht="12.75" customHeight="1" x14ac:dyDescent="0.2">
      <c r="A119" s="288"/>
      <c r="B119" s="278"/>
      <c r="C119" s="278"/>
      <c r="D119" s="285"/>
      <c r="E119" s="286"/>
      <c r="F119" s="287"/>
      <c r="G119" s="288"/>
      <c r="H119" s="288"/>
      <c r="I119" s="288"/>
      <c r="J119" s="289"/>
      <c r="K119" s="288"/>
      <c r="L119" s="290"/>
      <c r="M119" s="290"/>
      <c r="N119" s="290"/>
      <c r="O119" s="290"/>
      <c r="P119" s="224"/>
      <c r="Q119" s="224"/>
      <c r="R119" s="224"/>
      <c r="S119" s="224"/>
      <c r="T119" s="224"/>
      <c r="U119" s="224"/>
      <c r="V119" s="224"/>
      <c r="W119" s="224"/>
      <c r="X119" s="224"/>
      <c r="Y119" s="224"/>
      <c r="Z119" s="224"/>
      <c r="AA119" s="224"/>
      <c r="AB119" s="224"/>
      <c r="AC119" s="224"/>
      <c r="AD119" s="224"/>
      <c r="AE119" s="224"/>
      <c r="AF119" s="224"/>
      <c r="AG119" s="224"/>
      <c r="AH119" s="224"/>
      <c r="AI119" s="224"/>
    </row>
    <row r="120" spans="1:35" ht="12.75" customHeight="1" x14ac:dyDescent="0.2">
      <c r="A120" s="288"/>
      <c r="B120" s="278"/>
      <c r="C120" s="278"/>
      <c r="D120" s="285"/>
      <c r="E120" s="286"/>
      <c r="F120" s="287"/>
      <c r="G120" s="288"/>
      <c r="H120" s="288"/>
      <c r="I120" s="288"/>
      <c r="J120" s="289"/>
      <c r="K120" s="288"/>
      <c r="L120" s="290"/>
      <c r="M120" s="290"/>
      <c r="N120" s="290"/>
      <c r="O120" s="290"/>
      <c r="P120" s="224"/>
      <c r="Q120" s="224"/>
      <c r="R120" s="224"/>
      <c r="S120" s="224"/>
      <c r="T120" s="224"/>
      <c r="U120" s="224"/>
      <c r="V120" s="224"/>
      <c r="W120" s="224"/>
      <c r="X120" s="224"/>
      <c r="Y120" s="224"/>
      <c r="Z120" s="224"/>
      <c r="AA120" s="224"/>
      <c r="AB120" s="224"/>
      <c r="AC120" s="224"/>
      <c r="AD120" s="224"/>
      <c r="AE120" s="224"/>
      <c r="AF120" s="224"/>
      <c r="AG120" s="224"/>
      <c r="AH120" s="224"/>
      <c r="AI120" s="224"/>
    </row>
    <row r="121" spans="1:35" ht="12.75" customHeight="1" x14ac:dyDescent="0.2">
      <c r="A121" s="288"/>
      <c r="B121" s="278"/>
      <c r="C121" s="278"/>
      <c r="D121" s="285"/>
      <c r="E121" s="286"/>
      <c r="F121" s="287"/>
      <c r="G121" s="288"/>
      <c r="H121" s="288"/>
      <c r="I121" s="288"/>
      <c r="J121" s="289"/>
      <c r="K121" s="288"/>
      <c r="L121" s="290"/>
      <c r="M121" s="290"/>
      <c r="N121" s="290"/>
      <c r="O121" s="290"/>
      <c r="P121" s="224"/>
      <c r="Q121" s="224"/>
      <c r="R121" s="224"/>
      <c r="S121" s="224"/>
      <c r="T121" s="224"/>
      <c r="U121" s="224"/>
      <c r="V121" s="224"/>
      <c r="W121" s="224"/>
      <c r="X121" s="224"/>
      <c r="Y121" s="224"/>
      <c r="Z121" s="224"/>
      <c r="AA121" s="224"/>
      <c r="AB121" s="224"/>
      <c r="AC121" s="224"/>
      <c r="AD121" s="224"/>
      <c r="AE121" s="224"/>
      <c r="AF121" s="224"/>
      <c r="AG121" s="224"/>
      <c r="AH121" s="224"/>
      <c r="AI121" s="224"/>
    </row>
    <row r="122" spans="1:35" ht="12.75" customHeight="1" x14ac:dyDescent="0.2">
      <c r="A122" s="288"/>
      <c r="B122" s="278"/>
      <c r="C122" s="278"/>
      <c r="D122" s="285"/>
      <c r="E122" s="286"/>
      <c r="F122" s="287"/>
      <c r="G122" s="288"/>
      <c r="H122" s="288"/>
      <c r="I122" s="288"/>
      <c r="J122" s="289"/>
      <c r="K122" s="288"/>
      <c r="L122" s="290"/>
      <c r="M122" s="290"/>
      <c r="N122" s="290"/>
      <c r="O122" s="290"/>
      <c r="P122" s="224"/>
      <c r="Q122" s="224"/>
      <c r="R122" s="224"/>
      <c r="S122" s="224"/>
      <c r="T122" s="224"/>
      <c r="U122" s="224"/>
      <c r="V122" s="224"/>
      <c r="W122" s="224"/>
      <c r="X122" s="224"/>
      <c r="Y122" s="224"/>
      <c r="Z122" s="224"/>
      <c r="AA122" s="224"/>
      <c r="AB122" s="224"/>
      <c r="AC122" s="224"/>
      <c r="AD122" s="224"/>
      <c r="AE122" s="224"/>
      <c r="AF122" s="224"/>
      <c r="AG122" s="224"/>
      <c r="AH122" s="224"/>
      <c r="AI122" s="224"/>
    </row>
    <row r="123" spans="1:35" ht="12.75" customHeight="1" x14ac:dyDescent="0.2">
      <c r="A123" s="288"/>
      <c r="B123" s="278"/>
      <c r="C123" s="278"/>
      <c r="D123" s="285"/>
      <c r="E123" s="286"/>
      <c r="F123" s="287"/>
      <c r="G123" s="288"/>
      <c r="H123" s="288"/>
      <c r="I123" s="288"/>
      <c r="J123" s="289"/>
      <c r="K123" s="288"/>
      <c r="L123" s="290"/>
      <c r="M123" s="290"/>
      <c r="N123" s="290"/>
      <c r="O123" s="290"/>
      <c r="P123" s="224"/>
      <c r="Q123" s="224"/>
      <c r="R123" s="224"/>
      <c r="S123" s="224"/>
      <c r="T123" s="224"/>
      <c r="U123" s="224"/>
      <c r="V123" s="224"/>
      <c r="W123" s="224"/>
      <c r="X123" s="224"/>
      <c r="Y123" s="224"/>
      <c r="Z123" s="224"/>
      <c r="AA123" s="224"/>
      <c r="AB123" s="224"/>
      <c r="AC123" s="224"/>
      <c r="AD123" s="224"/>
      <c r="AE123" s="224"/>
      <c r="AF123" s="224"/>
      <c r="AG123" s="224"/>
      <c r="AH123" s="224"/>
      <c r="AI123" s="224"/>
    </row>
    <row r="124" spans="1:35" ht="12.75" customHeight="1" x14ac:dyDescent="0.2">
      <c r="A124" s="288"/>
      <c r="B124" s="278"/>
      <c r="C124" s="278"/>
      <c r="D124" s="285"/>
      <c r="E124" s="286"/>
      <c r="F124" s="287"/>
      <c r="G124" s="288"/>
      <c r="H124" s="288"/>
      <c r="I124" s="288"/>
      <c r="J124" s="289"/>
      <c r="K124" s="288"/>
      <c r="L124" s="290"/>
      <c r="M124" s="290"/>
      <c r="N124" s="290"/>
      <c r="O124" s="290"/>
      <c r="P124" s="224"/>
      <c r="Q124" s="224"/>
      <c r="R124" s="224"/>
      <c r="S124" s="224"/>
      <c r="T124" s="224"/>
      <c r="U124" s="224"/>
      <c r="V124" s="224"/>
      <c r="W124" s="224"/>
      <c r="X124" s="224"/>
      <c r="Y124" s="224"/>
      <c r="Z124" s="224"/>
      <c r="AA124" s="224"/>
      <c r="AB124" s="224"/>
      <c r="AC124" s="224"/>
      <c r="AD124" s="224"/>
      <c r="AE124" s="224"/>
      <c r="AF124" s="224"/>
      <c r="AG124" s="224"/>
      <c r="AH124" s="224"/>
      <c r="AI124" s="224"/>
    </row>
    <row r="125" spans="1:35" ht="12.75" customHeight="1" x14ac:dyDescent="0.2">
      <c r="A125" s="288"/>
      <c r="B125" s="278"/>
      <c r="C125" s="278"/>
      <c r="D125" s="285"/>
      <c r="E125" s="286"/>
      <c r="F125" s="287"/>
      <c r="G125" s="288"/>
      <c r="H125" s="288"/>
      <c r="I125" s="288"/>
      <c r="J125" s="289"/>
      <c r="K125" s="288"/>
      <c r="L125" s="290"/>
      <c r="M125" s="290"/>
      <c r="N125" s="290"/>
      <c r="O125" s="290"/>
      <c r="P125" s="224"/>
      <c r="Q125" s="224"/>
      <c r="R125" s="224"/>
      <c r="S125" s="224"/>
      <c r="T125" s="224"/>
      <c r="U125" s="224"/>
      <c r="V125" s="224"/>
      <c r="W125" s="224"/>
      <c r="X125" s="224"/>
      <c r="Y125" s="224"/>
      <c r="Z125" s="224"/>
      <c r="AA125" s="224"/>
      <c r="AB125" s="224"/>
      <c r="AC125" s="224"/>
      <c r="AD125" s="224"/>
      <c r="AE125" s="224"/>
      <c r="AF125" s="224"/>
      <c r="AG125" s="224"/>
      <c r="AH125" s="224"/>
      <c r="AI125" s="224"/>
    </row>
    <row r="126" spans="1:35" ht="12.75" customHeight="1" x14ac:dyDescent="0.2">
      <c r="A126" s="288"/>
      <c r="B126" s="278"/>
      <c r="C126" s="278"/>
      <c r="D126" s="285"/>
      <c r="E126" s="286"/>
      <c r="F126" s="287"/>
      <c r="G126" s="288"/>
      <c r="H126" s="288"/>
      <c r="I126" s="288"/>
      <c r="J126" s="289"/>
      <c r="K126" s="288"/>
      <c r="L126" s="290"/>
      <c r="M126" s="290"/>
      <c r="N126" s="290"/>
      <c r="O126" s="290"/>
      <c r="P126" s="224"/>
      <c r="Q126" s="224"/>
      <c r="R126" s="224"/>
      <c r="S126" s="224"/>
      <c r="T126" s="224"/>
      <c r="U126" s="224"/>
      <c r="V126" s="224"/>
      <c r="W126" s="224"/>
      <c r="X126" s="224"/>
      <c r="Y126" s="224"/>
      <c r="Z126" s="224"/>
      <c r="AA126" s="224"/>
      <c r="AB126" s="224"/>
      <c r="AC126" s="224"/>
      <c r="AD126" s="224"/>
      <c r="AE126" s="224"/>
      <c r="AF126" s="224"/>
      <c r="AG126" s="224"/>
      <c r="AH126" s="224"/>
      <c r="AI126" s="224"/>
    </row>
    <row r="127" spans="1:35" ht="12.75" customHeight="1" x14ac:dyDescent="0.2">
      <c r="A127" s="288"/>
      <c r="B127" s="278"/>
      <c r="C127" s="278"/>
      <c r="D127" s="285"/>
      <c r="E127" s="286"/>
      <c r="F127" s="287"/>
      <c r="G127" s="288"/>
      <c r="H127" s="288"/>
      <c r="I127" s="288"/>
      <c r="J127" s="289"/>
      <c r="K127" s="288"/>
      <c r="L127" s="290"/>
      <c r="M127" s="290"/>
      <c r="N127" s="290"/>
      <c r="O127" s="290"/>
      <c r="P127" s="224"/>
      <c r="Q127" s="224"/>
      <c r="R127" s="224"/>
      <c r="S127" s="224"/>
      <c r="T127" s="224"/>
      <c r="U127" s="224"/>
      <c r="V127" s="224"/>
      <c r="W127" s="224"/>
      <c r="X127" s="224"/>
      <c r="Y127" s="224"/>
      <c r="Z127" s="224"/>
      <c r="AA127" s="224"/>
      <c r="AB127" s="224"/>
      <c r="AC127" s="224"/>
      <c r="AD127" s="224"/>
      <c r="AE127" s="224"/>
      <c r="AF127" s="224"/>
      <c r="AG127" s="224"/>
      <c r="AH127" s="224"/>
      <c r="AI127" s="224"/>
    </row>
    <row r="128" spans="1:35" ht="12.75" customHeight="1" x14ac:dyDescent="0.2">
      <c r="A128" s="288"/>
      <c r="B128" s="278"/>
      <c r="C128" s="278"/>
      <c r="D128" s="285"/>
      <c r="E128" s="286"/>
      <c r="F128" s="287"/>
      <c r="G128" s="288"/>
      <c r="H128" s="288"/>
      <c r="I128" s="288"/>
      <c r="J128" s="289"/>
      <c r="K128" s="288"/>
      <c r="L128" s="290"/>
      <c r="M128" s="290"/>
      <c r="N128" s="290"/>
      <c r="O128" s="290"/>
      <c r="P128" s="224"/>
      <c r="Q128" s="224"/>
      <c r="R128" s="224"/>
      <c r="S128" s="224"/>
      <c r="T128" s="224"/>
      <c r="U128" s="224"/>
      <c r="V128" s="224"/>
      <c r="W128" s="224"/>
      <c r="X128" s="224"/>
      <c r="Y128" s="224"/>
      <c r="Z128" s="224"/>
      <c r="AA128" s="224"/>
      <c r="AB128" s="224"/>
      <c r="AC128" s="224"/>
      <c r="AD128" s="224"/>
      <c r="AE128" s="224"/>
      <c r="AF128" s="224"/>
      <c r="AG128" s="224"/>
      <c r="AH128" s="224"/>
      <c r="AI128" s="224"/>
    </row>
    <row r="129" spans="1:35" ht="12.75" customHeight="1" x14ac:dyDescent="0.2">
      <c r="A129" s="288"/>
      <c r="B129" s="278"/>
      <c r="C129" s="278"/>
      <c r="D129" s="285"/>
      <c r="E129" s="286"/>
      <c r="F129" s="287"/>
      <c r="G129" s="288"/>
      <c r="H129" s="288"/>
      <c r="I129" s="288"/>
      <c r="J129" s="289"/>
      <c r="K129" s="288"/>
      <c r="L129" s="290"/>
      <c r="M129" s="290"/>
      <c r="N129" s="290"/>
      <c r="O129" s="290"/>
      <c r="P129" s="224"/>
      <c r="Q129" s="224"/>
      <c r="R129" s="224"/>
      <c r="S129" s="224"/>
      <c r="T129" s="224"/>
      <c r="U129" s="224"/>
      <c r="V129" s="224"/>
      <c r="W129" s="224"/>
      <c r="X129" s="224"/>
      <c r="Y129" s="224"/>
      <c r="Z129" s="224"/>
      <c r="AA129" s="224"/>
      <c r="AB129" s="224"/>
      <c r="AC129" s="224"/>
      <c r="AD129" s="224"/>
      <c r="AE129" s="224"/>
      <c r="AF129" s="224"/>
      <c r="AG129" s="224"/>
      <c r="AH129" s="224"/>
      <c r="AI129" s="224"/>
    </row>
    <row r="130" spans="1:35" ht="12.75" customHeight="1" x14ac:dyDescent="0.2">
      <c r="A130" s="288"/>
      <c r="B130" s="278"/>
      <c r="C130" s="278"/>
      <c r="D130" s="285"/>
      <c r="E130" s="286"/>
      <c r="F130" s="287"/>
      <c r="G130" s="288"/>
      <c r="H130" s="288"/>
      <c r="I130" s="288"/>
      <c r="J130" s="289"/>
      <c r="K130" s="288"/>
      <c r="L130" s="290"/>
      <c r="M130" s="290"/>
      <c r="N130" s="290"/>
      <c r="O130" s="290"/>
      <c r="P130" s="224"/>
      <c r="Q130" s="224"/>
      <c r="R130" s="224"/>
      <c r="S130" s="224"/>
      <c r="T130" s="224"/>
      <c r="U130" s="224"/>
      <c r="V130" s="224"/>
      <c r="W130" s="224"/>
      <c r="X130" s="224"/>
      <c r="Y130" s="224"/>
      <c r="Z130" s="224"/>
      <c r="AA130" s="224"/>
      <c r="AB130" s="224"/>
      <c r="AC130" s="224"/>
      <c r="AD130" s="224"/>
      <c r="AE130" s="224"/>
      <c r="AF130" s="224"/>
      <c r="AG130" s="224"/>
      <c r="AH130" s="224"/>
      <c r="AI130" s="224"/>
    </row>
    <row r="131" spans="1:35" ht="12.75" customHeight="1" x14ac:dyDescent="0.2">
      <c r="A131" s="288"/>
      <c r="B131" s="278"/>
      <c r="C131" s="278"/>
      <c r="D131" s="285"/>
      <c r="E131" s="286"/>
      <c r="F131" s="287"/>
      <c r="G131" s="288"/>
      <c r="H131" s="288"/>
      <c r="I131" s="288"/>
      <c r="J131" s="289"/>
      <c r="K131" s="288"/>
      <c r="L131" s="290"/>
      <c r="M131" s="290"/>
      <c r="N131" s="290"/>
      <c r="O131" s="290"/>
      <c r="P131" s="224"/>
      <c r="Q131" s="224"/>
      <c r="R131" s="224"/>
      <c r="S131" s="224"/>
      <c r="T131" s="224"/>
      <c r="U131" s="224"/>
      <c r="V131" s="224"/>
      <c r="W131" s="224"/>
      <c r="X131" s="224"/>
      <c r="Y131" s="224"/>
      <c r="Z131" s="224"/>
      <c r="AA131" s="224"/>
      <c r="AB131" s="224"/>
      <c r="AC131" s="224"/>
      <c r="AD131" s="224"/>
      <c r="AE131" s="224"/>
      <c r="AF131" s="224"/>
      <c r="AG131" s="224"/>
      <c r="AH131" s="224"/>
      <c r="AI131" s="224"/>
    </row>
    <row r="132" spans="1:35" ht="12.75" customHeight="1" x14ac:dyDescent="0.2">
      <c r="A132" s="288"/>
      <c r="B132" s="278"/>
      <c r="C132" s="278"/>
      <c r="D132" s="285"/>
      <c r="E132" s="286"/>
      <c r="F132" s="287"/>
      <c r="G132" s="288"/>
      <c r="H132" s="288"/>
      <c r="I132" s="288"/>
      <c r="J132" s="289"/>
      <c r="K132" s="288"/>
      <c r="L132" s="290"/>
      <c r="M132" s="290"/>
      <c r="N132" s="290"/>
      <c r="O132" s="290"/>
      <c r="P132" s="224"/>
      <c r="Q132" s="224"/>
      <c r="R132" s="224"/>
      <c r="S132" s="224"/>
      <c r="T132" s="224"/>
      <c r="U132" s="224"/>
      <c r="V132" s="224"/>
      <c r="W132" s="224"/>
      <c r="X132" s="224"/>
      <c r="Y132" s="224"/>
      <c r="Z132" s="224"/>
      <c r="AA132" s="224"/>
      <c r="AB132" s="224"/>
      <c r="AC132" s="224"/>
      <c r="AD132" s="224"/>
      <c r="AE132" s="224"/>
      <c r="AF132" s="224"/>
      <c r="AG132" s="224"/>
      <c r="AH132" s="224"/>
      <c r="AI132" s="224"/>
    </row>
    <row r="133" spans="1:35" ht="12.75" customHeight="1" x14ac:dyDescent="0.2">
      <c r="A133" s="288"/>
      <c r="B133" s="278"/>
      <c r="C133" s="278"/>
      <c r="D133" s="285"/>
      <c r="E133" s="286"/>
      <c r="F133" s="287"/>
      <c r="G133" s="288"/>
      <c r="H133" s="288"/>
      <c r="I133" s="288"/>
      <c r="J133" s="289"/>
      <c r="K133" s="288"/>
      <c r="L133" s="290"/>
      <c r="M133" s="290"/>
      <c r="N133" s="290"/>
      <c r="O133" s="290"/>
      <c r="P133" s="224"/>
      <c r="Q133" s="224"/>
      <c r="R133" s="224"/>
      <c r="S133" s="224"/>
      <c r="T133" s="224"/>
      <c r="U133" s="224"/>
      <c r="V133" s="224"/>
      <c r="W133" s="224"/>
      <c r="X133" s="224"/>
      <c r="Y133" s="224"/>
      <c r="Z133" s="224"/>
      <c r="AA133" s="224"/>
      <c r="AB133" s="224"/>
      <c r="AC133" s="224"/>
      <c r="AD133" s="224"/>
      <c r="AE133" s="224"/>
      <c r="AF133" s="224"/>
      <c r="AG133" s="224"/>
      <c r="AH133" s="224"/>
      <c r="AI133" s="224"/>
    </row>
    <row r="134" spans="1:35" ht="12.75" customHeight="1" x14ac:dyDescent="0.2">
      <c r="A134" s="288"/>
      <c r="B134" s="278"/>
      <c r="C134" s="278"/>
      <c r="D134" s="285"/>
      <c r="E134" s="286"/>
      <c r="F134" s="287"/>
      <c r="G134" s="288"/>
      <c r="H134" s="288"/>
      <c r="I134" s="288"/>
      <c r="J134" s="289"/>
      <c r="K134" s="288"/>
      <c r="L134" s="290"/>
      <c r="M134" s="290"/>
      <c r="N134" s="290"/>
      <c r="O134" s="290"/>
      <c r="P134" s="224"/>
      <c r="Q134" s="224"/>
      <c r="R134" s="224"/>
      <c r="S134" s="224"/>
      <c r="T134" s="224"/>
      <c r="U134" s="224"/>
      <c r="V134" s="224"/>
      <c r="W134" s="224"/>
      <c r="X134" s="224"/>
      <c r="Y134" s="224"/>
      <c r="Z134" s="224"/>
      <c r="AA134" s="224"/>
      <c r="AB134" s="224"/>
      <c r="AC134" s="224"/>
      <c r="AD134" s="224"/>
      <c r="AE134" s="224"/>
      <c r="AF134" s="224"/>
      <c r="AG134" s="224"/>
      <c r="AH134" s="224"/>
      <c r="AI134" s="224"/>
    </row>
    <row r="135" spans="1:35" ht="12.75" customHeight="1" x14ac:dyDescent="0.2">
      <c r="A135" s="288"/>
      <c r="B135" s="278"/>
      <c r="C135" s="278"/>
      <c r="D135" s="285"/>
      <c r="E135" s="286"/>
      <c r="F135" s="287"/>
      <c r="G135" s="288"/>
      <c r="H135" s="288"/>
      <c r="I135" s="288"/>
      <c r="J135" s="289"/>
      <c r="K135" s="288"/>
      <c r="L135" s="290"/>
      <c r="M135" s="290"/>
      <c r="N135" s="290"/>
      <c r="O135" s="290"/>
      <c r="P135" s="224"/>
      <c r="Q135" s="224"/>
      <c r="R135" s="224"/>
      <c r="S135" s="224"/>
      <c r="T135" s="224"/>
      <c r="U135" s="224"/>
      <c r="V135" s="224"/>
      <c r="W135" s="224"/>
      <c r="X135" s="224"/>
      <c r="Y135" s="224"/>
      <c r="Z135" s="224"/>
      <c r="AA135" s="224"/>
      <c r="AB135" s="224"/>
      <c r="AC135" s="224"/>
      <c r="AD135" s="224"/>
      <c r="AE135" s="224"/>
      <c r="AF135" s="224"/>
      <c r="AG135" s="224"/>
      <c r="AH135" s="224"/>
      <c r="AI135" s="224"/>
    </row>
    <row r="136" spans="1:35" ht="12.75" customHeight="1" x14ac:dyDescent="0.2">
      <c r="A136" s="288"/>
      <c r="B136" s="278"/>
      <c r="C136" s="278"/>
      <c r="D136" s="285"/>
      <c r="E136" s="286"/>
      <c r="F136" s="287"/>
      <c r="G136" s="288"/>
      <c r="H136" s="288"/>
      <c r="I136" s="288"/>
      <c r="J136" s="289"/>
      <c r="K136" s="288"/>
      <c r="L136" s="290"/>
      <c r="M136" s="290"/>
      <c r="N136" s="290"/>
      <c r="O136" s="290"/>
      <c r="P136" s="224"/>
      <c r="Q136" s="224"/>
      <c r="R136" s="224"/>
      <c r="S136" s="224"/>
      <c r="T136" s="224"/>
      <c r="U136" s="224"/>
      <c r="V136" s="224"/>
      <c r="W136" s="224"/>
      <c r="X136" s="224"/>
      <c r="Y136" s="224"/>
      <c r="Z136" s="224"/>
      <c r="AA136" s="224"/>
      <c r="AB136" s="224"/>
      <c r="AC136" s="224"/>
      <c r="AD136" s="224"/>
      <c r="AE136" s="224"/>
      <c r="AF136" s="224"/>
      <c r="AG136" s="224"/>
      <c r="AH136" s="224"/>
      <c r="AI136" s="224"/>
    </row>
    <row r="137" spans="1:35" ht="12.75" customHeight="1" x14ac:dyDescent="0.2">
      <c r="A137" s="288"/>
      <c r="B137" s="278"/>
      <c r="C137" s="278"/>
      <c r="D137" s="285"/>
      <c r="E137" s="286"/>
      <c r="F137" s="287"/>
      <c r="G137" s="288"/>
      <c r="H137" s="288"/>
      <c r="I137" s="288"/>
      <c r="J137" s="289"/>
      <c r="K137" s="288"/>
      <c r="L137" s="290"/>
      <c r="M137" s="290"/>
      <c r="N137" s="290"/>
      <c r="O137" s="290"/>
      <c r="P137" s="224"/>
      <c r="Q137" s="224"/>
      <c r="R137" s="224"/>
      <c r="S137" s="224"/>
      <c r="T137" s="224"/>
      <c r="U137" s="224"/>
      <c r="V137" s="224"/>
      <c r="W137" s="224"/>
      <c r="X137" s="224"/>
      <c r="Y137" s="224"/>
      <c r="Z137" s="224"/>
      <c r="AA137" s="224"/>
      <c r="AB137" s="224"/>
      <c r="AC137" s="224"/>
      <c r="AD137" s="224"/>
      <c r="AE137" s="224"/>
      <c r="AF137" s="224"/>
      <c r="AG137" s="224"/>
      <c r="AH137" s="224"/>
      <c r="AI137" s="224"/>
    </row>
    <row r="138" spans="1:35" ht="12.75" customHeight="1" x14ac:dyDescent="0.2">
      <c r="A138" s="288"/>
      <c r="B138" s="278"/>
      <c r="C138" s="278"/>
      <c r="D138" s="285"/>
      <c r="E138" s="286"/>
      <c r="F138" s="287"/>
      <c r="G138" s="288"/>
      <c r="H138" s="288"/>
      <c r="I138" s="288"/>
      <c r="J138" s="289"/>
      <c r="K138" s="288"/>
      <c r="L138" s="290"/>
      <c r="M138" s="290"/>
      <c r="N138" s="290"/>
      <c r="O138" s="290"/>
      <c r="P138" s="224"/>
      <c r="Q138" s="224"/>
      <c r="R138" s="224"/>
      <c r="S138" s="224"/>
      <c r="T138" s="224"/>
      <c r="U138" s="224"/>
      <c r="V138" s="224"/>
      <c r="W138" s="224"/>
      <c r="X138" s="224"/>
      <c r="Y138" s="224"/>
      <c r="Z138" s="224"/>
      <c r="AA138" s="224"/>
      <c r="AB138" s="224"/>
      <c r="AC138" s="224"/>
      <c r="AD138" s="224"/>
      <c r="AE138" s="224"/>
      <c r="AF138" s="224"/>
      <c r="AG138" s="224"/>
      <c r="AH138" s="224"/>
      <c r="AI138" s="224"/>
    </row>
    <row r="139" spans="1:35" ht="12.75" customHeight="1" x14ac:dyDescent="0.2">
      <c r="A139" s="288"/>
      <c r="B139" s="278"/>
      <c r="C139" s="278"/>
      <c r="D139" s="285"/>
      <c r="E139" s="286"/>
      <c r="F139" s="287"/>
      <c r="G139" s="288"/>
      <c r="H139" s="288"/>
      <c r="I139" s="288"/>
      <c r="J139" s="289"/>
      <c r="K139" s="288"/>
      <c r="L139" s="290"/>
      <c r="M139" s="290"/>
      <c r="N139" s="290"/>
      <c r="O139" s="290"/>
      <c r="P139" s="224"/>
      <c r="Q139" s="224"/>
      <c r="R139" s="224"/>
      <c r="S139" s="224"/>
      <c r="T139" s="224"/>
      <c r="U139" s="224"/>
      <c r="V139" s="224"/>
      <c r="W139" s="224"/>
      <c r="X139" s="224"/>
      <c r="Y139" s="224"/>
      <c r="Z139" s="224"/>
      <c r="AA139" s="224"/>
      <c r="AB139" s="224"/>
      <c r="AC139" s="224"/>
      <c r="AD139" s="224"/>
      <c r="AE139" s="224"/>
      <c r="AF139" s="224"/>
      <c r="AG139" s="224"/>
      <c r="AH139" s="224"/>
      <c r="AI139" s="224"/>
    </row>
    <row r="140" spans="1:35" ht="12.75" customHeight="1" x14ac:dyDescent="0.2">
      <c r="A140" s="288"/>
      <c r="B140" s="278"/>
      <c r="C140" s="278"/>
      <c r="D140" s="285"/>
      <c r="E140" s="286"/>
      <c r="F140" s="287"/>
      <c r="G140" s="288"/>
      <c r="H140" s="288"/>
      <c r="I140" s="288"/>
      <c r="J140" s="289"/>
      <c r="K140" s="288"/>
      <c r="L140" s="290"/>
      <c r="M140" s="290"/>
      <c r="N140" s="290"/>
      <c r="O140" s="290"/>
      <c r="P140" s="224"/>
      <c r="Q140" s="224"/>
      <c r="R140" s="224"/>
      <c r="S140" s="224"/>
      <c r="T140" s="224"/>
      <c r="U140" s="224"/>
      <c r="V140" s="224"/>
      <c r="W140" s="224"/>
      <c r="X140" s="224"/>
      <c r="Y140" s="224"/>
      <c r="Z140" s="224"/>
      <c r="AA140" s="224"/>
      <c r="AB140" s="224"/>
      <c r="AC140" s="224"/>
      <c r="AD140" s="224"/>
      <c r="AE140" s="224"/>
      <c r="AF140" s="224"/>
      <c r="AG140" s="224"/>
      <c r="AH140" s="224"/>
      <c r="AI140" s="224"/>
    </row>
    <row r="141" spans="1:35" ht="12.75" customHeight="1" x14ac:dyDescent="0.2">
      <c r="A141" s="288"/>
      <c r="B141" s="278"/>
      <c r="C141" s="278"/>
      <c r="D141" s="285"/>
      <c r="E141" s="286"/>
      <c r="F141" s="287"/>
      <c r="G141" s="288"/>
      <c r="H141" s="288"/>
      <c r="I141" s="288"/>
      <c r="J141" s="289"/>
      <c r="K141" s="288"/>
      <c r="L141" s="290"/>
      <c r="M141" s="290"/>
      <c r="N141" s="290"/>
      <c r="O141" s="290"/>
      <c r="P141" s="224"/>
      <c r="Q141" s="224"/>
      <c r="R141" s="224"/>
      <c r="S141" s="224"/>
      <c r="T141" s="224"/>
      <c r="U141" s="224"/>
      <c r="V141" s="224"/>
      <c r="W141" s="224"/>
      <c r="X141" s="224"/>
      <c r="Y141" s="224"/>
      <c r="Z141" s="224"/>
      <c r="AA141" s="224"/>
      <c r="AB141" s="224"/>
      <c r="AC141" s="224"/>
      <c r="AD141" s="224"/>
      <c r="AE141" s="224"/>
      <c r="AF141" s="224"/>
      <c r="AG141" s="224"/>
      <c r="AH141" s="224"/>
      <c r="AI141" s="224"/>
    </row>
    <row r="142" spans="1:35" ht="12.75" customHeight="1" x14ac:dyDescent="0.2">
      <c r="A142" s="288"/>
      <c r="B142" s="278"/>
      <c r="C142" s="278"/>
      <c r="D142" s="285"/>
      <c r="E142" s="286"/>
      <c r="F142" s="287"/>
      <c r="G142" s="288"/>
      <c r="H142" s="288"/>
      <c r="I142" s="288"/>
      <c r="J142" s="289"/>
      <c r="K142" s="288"/>
      <c r="L142" s="290"/>
      <c r="M142" s="290"/>
      <c r="N142" s="290"/>
      <c r="O142" s="290"/>
      <c r="P142" s="224"/>
      <c r="Q142" s="224"/>
      <c r="R142" s="224"/>
      <c r="S142" s="224"/>
      <c r="T142" s="224"/>
      <c r="U142" s="224"/>
      <c r="V142" s="224"/>
      <c r="W142" s="224"/>
      <c r="X142" s="224"/>
      <c r="Y142" s="224"/>
      <c r="Z142" s="224"/>
      <c r="AA142" s="224"/>
      <c r="AB142" s="224"/>
      <c r="AC142" s="224"/>
      <c r="AD142" s="224"/>
      <c r="AE142" s="224"/>
      <c r="AF142" s="224"/>
      <c r="AG142" s="224"/>
      <c r="AH142" s="224"/>
      <c r="AI142" s="224"/>
    </row>
    <row r="143" spans="1:35" ht="12.75" customHeight="1" x14ac:dyDescent="0.2">
      <c r="A143" s="288"/>
      <c r="B143" s="278"/>
      <c r="C143" s="278"/>
      <c r="D143" s="285"/>
      <c r="E143" s="286"/>
      <c r="F143" s="287"/>
      <c r="G143" s="288"/>
      <c r="H143" s="288"/>
      <c r="I143" s="288"/>
      <c r="J143" s="289"/>
      <c r="K143" s="288"/>
      <c r="L143" s="290"/>
      <c r="M143" s="290"/>
      <c r="N143" s="290"/>
      <c r="O143" s="290"/>
      <c r="P143" s="224"/>
      <c r="Q143" s="224"/>
      <c r="R143" s="224"/>
      <c r="S143" s="224"/>
      <c r="T143" s="224"/>
      <c r="U143" s="224"/>
      <c r="V143" s="224"/>
      <c r="W143" s="224"/>
      <c r="X143" s="224"/>
      <c r="Y143" s="224"/>
      <c r="Z143" s="224"/>
      <c r="AA143" s="224"/>
      <c r="AB143" s="224"/>
      <c r="AC143" s="224"/>
      <c r="AD143" s="224"/>
      <c r="AE143" s="224"/>
      <c r="AF143" s="224"/>
      <c r="AG143" s="224"/>
      <c r="AH143" s="224"/>
      <c r="AI143" s="224"/>
    </row>
    <row r="144" spans="1:35" ht="12.75" customHeight="1" x14ac:dyDescent="0.2">
      <c r="A144" s="288"/>
      <c r="B144" s="278"/>
      <c r="C144" s="278"/>
      <c r="D144" s="285"/>
      <c r="E144" s="286"/>
      <c r="F144" s="287"/>
      <c r="G144" s="288"/>
      <c r="H144" s="288"/>
      <c r="I144" s="288"/>
      <c r="J144" s="289"/>
      <c r="K144" s="288"/>
      <c r="L144" s="290"/>
      <c r="M144" s="290"/>
      <c r="N144" s="290"/>
      <c r="O144" s="290"/>
      <c r="P144" s="224"/>
      <c r="Q144" s="224"/>
      <c r="R144" s="224"/>
      <c r="S144" s="224"/>
      <c r="T144" s="224"/>
      <c r="U144" s="224"/>
      <c r="V144" s="224"/>
      <c r="W144" s="224"/>
      <c r="X144" s="224"/>
      <c r="Y144" s="224"/>
      <c r="Z144" s="224"/>
      <c r="AA144" s="224"/>
      <c r="AB144" s="224"/>
      <c r="AC144" s="224"/>
      <c r="AD144" s="224"/>
      <c r="AE144" s="224"/>
      <c r="AF144" s="224"/>
      <c r="AG144" s="224"/>
      <c r="AH144" s="224"/>
      <c r="AI144" s="224"/>
    </row>
    <row r="145" spans="1:35" ht="12.75" customHeight="1" x14ac:dyDescent="0.2">
      <c r="A145" s="288"/>
      <c r="B145" s="278"/>
      <c r="C145" s="278"/>
      <c r="D145" s="285"/>
      <c r="E145" s="286"/>
      <c r="F145" s="287"/>
      <c r="G145" s="288"/>
      <c r="H145" s="288"/>
      <c r="I145" s="288"/>
      <c r="J145" s="289"/>
      <c r="K145" s="288"/>
      <c r="L145" s="290"/>
      <c r="M145" s="290"/>
      <c r="N145" s="290"/>
      <c r="O145" s="290"/>
      <c r="P145" s="224"/>
      <c r="Q145" s="224"/>
      <c r="R145" s="224"/>
      <c r="S145" s="224"/>
      <c r="T145" s="224"/>
      <c r="U145" s="224"/>
      <c r="V145" s="224"/>
      <c r="W145" s="224"/>
      <c r="X145" s="224"/>
      <c r="Y145" s="224"/>
      <c r="Z145" s="224"/>
      <c r="AA145" s="224"/>
      <c r="AB145" s="224"/>
      <c r="AC145" s="224"/>
      <c r="AD145" s="224"/>
      <c r="AE145" s="224"/>
      <c r="AF145" s="224"/>
      <c r="AG145" s="224"/>
      <c r="AH145" s="224"/>
      <c r="AI145" s="224"/>
    </row>
    <row r="146" spans="1:35" ht="12.75" customHeight="1" x14ac:dyDescent="0.2">
      <c r="A146" s="288"/>
      <c r="B146" s="278"/>
      <c r="C146" s="278"/>
      <c r="D146" s="285"/>
      <c r="E146" s="286"/>
      <c r="F146" s="287"/>
      <c r="G146" s="288"/>
      <c r="H146" s="288"/>
      <c r="I146" s="288"/>
      <c r="J146" s="289"/>
      <c r="K146" s="288"/>
      <c r="L146" s="290"/>
      <c r="M146" s="290"/>
      <c r="N146" s="290"/>
      <c r="O146" s="290"/>
      <c r="P146" s="224"/>
      <c r="Q146" s="224"/>
      <c r="R146" s="224"/>
      <c r="S146" s="224"/>
      <c r="T146" s="224"/>
      <c r="U146" s="224"/>
      <c r="V146" s="224"/>
      <c r="W146" s="224"/>
      <c r="X146" s="224"/>
      <c r="Y146" s="224"/>
      <c r="Z146" s="224"/>
      <c r="AA146" s="224"/>
      <c r="AB146" s="224"/>
      <c r="AC146" s="224"/>
      <c r="AD146" s="224"/>
      <c r="AE146" s="224"/>
      <c r="AF146" s="224"/>
      <c r="AG146" s="224"/>
      <c r="AH146" s="224"/>
      <c r="AI146" s="224"/>
    </row>
    <row r="147" spans="1:35" ht="12.75" customHeight="1" x14ac:dyDescent="0.2">
      <c r="A147" s="288"/>
      <c r="B147" s="278"/>
      <c r="C147" s="278"/>
      <c r="D147" s="285"/>
      <c r="E147" s="286"/>
      <c r="F147" s="287"/>
      <c r="G147" s="288"/>
      <c r="H147" s="288"/>
      <c r="I147" s="288"/>
      <c r="J147" s="289"/>
      <c r="K147" s="288"/>
      <c r="L147" s="290"/>
      <c r="M147" s="290"/>
      <c r="N147" s="290"/>
      <c r="O147" s="290"/>
      <c r="P147" s="224"/>
      <c r="Q147" s="224"/>
      <c r="R147" s="224"/>
      <c r="S147" s="224"/>
      <c r="T147" s="224"/>
      <c r="U147" s="224"/>
      <c r="V147" s="224"/>
      <c r="W147" s="224"/>
      <c r="X147" s="224"/>
      <c r="Y147" s="224"/>
      <c r="Z147" s="224"/>
      <c r="AA147" s="224"/>
      <c r="AB147" s="224"/>
      <c r="AC147" s="224"/>
      <c r="AD147" s="224"/>
      <c r="AE147" s="224"/>
      <c r="AF147" s="224"/>
      <c r="AG147" s="224"/>
      <c r="AH147" s="224"/>
      <c r="AI147" s="224"/>
    </row>
    <row r="148" spans="1:35" ht="12.75" customHeight="1" x14ac:dyDescent="0.2">
      <c r="A148" s="288"/>
      <c r="B148" s="278"/>
      <c r="C148" s="278"/>
      <c r="D148" s="285"/>
      <c r="E148" s="286"/>
      <c r="F148" s="287"/>
      <c r="G148" s="288"/>
      <c r="H148" s="288"/>
      <c r="I148" s="288"/>
      <c r="J148" s="289"/>
      <c r="K148" s="288"/>
      <c r="L148" s="290"/>
      <c r="M148" s="290"/>
      <c r="N148" s="290"/>
      <c r="O148" s="290"/>
      <c r="P148" s="224"/>
      <c r="Q148" s="224"/>
      <c r="R148" s="224"/>
      <c r="S148" s="224"/>
      <c r="T148" s="224"/>
      <c r="U148" s="224"/>
      <c r="V148" s="224"/>
      <c r="W148" s="224"/>
      <c r="X148" s="224"/>
      <c r="Y148" s="224"/>
      <c r="Z148" s="224"/>
      <c r="AA148" s="224"/>
      <c r="AB148" s="224"/>
      <c r="AC148" s="224"/>
      <c r="AD148" s="224"/>
      <c r="AE148" s="224"/>
      <c r="AF148" s="224"/>
      <c r="AG148" s="224"/>
      <c r="AH148" s="224"/>
      <c r="AI148" s="224"/>
    </row>
    <row r="149" spans="1:35" ht="12.75" customHeight="1" x14ac:dyDescent="0.2">
      <c r="A149" s="288"/>
      <c r="B149" s="278"/>
      <c r="C149" s="278"/>
      <c r="D149" s="285"/>
      <c r="E149" s="286"/>
      <c r="F149" s="287"/>
      <c r="G149" s="288"/>
      <c r="H149" s="288"/>
      <c r="I149" s="288"/>
      <c r="J149" s="289"/>
      <c r="K149" s="288"/>
      <c r="L149" s="290"/>
      <c r="M149" s="290"/>
      <c r="N149" s="290"/>
      <c r="O149" s="290"/>
      <c r="P149" s="224"/>
      <c r="Q149" s="224"/>
      <c r="R149" s="224"/>
      <c r="S149" s="224"/>
      <c r="T149" s="224"/>
      <c r="U149" s="224"/>
      <c r="V149" s="224"/>
      <c r="W149" s="224"/>
      <c r="X149" s="224"/>
      <c r="Y149" s="224"/>
      <c r="Z149" s="224"/>
      <c r="AA149" s="224"/>
      <c r="AB149" s="224"/>
      <c r="AC149" s="224"/>
      <c r="AD149" s="224"/>
      <c r="AE149" s="224"/>
      <c r="AF149" s="224"/>
      <c r="AG149" s="224"/>
      <c r="AH149" s="224"/>
      <c r="AI149" s="224"/>
    </row>
    <row r="150" spans="1:35" ht="12.75" customHeight="1" x14ac:dyDescent="0.2">
      <c r="A150" s="288"/>
      <c r="B150" s="278"/>
      <c r="C150" s="278"/>
      <c r="D150" s="285"/>
      <c r="E150" s="286"/>
      <c r="F150" s="287"/>
      <c r="G150" s="288"/>
      <c r="H150" s="288"/>
      <c r="I150" s="288"/>
      <c r="J150" s="289"/>
      <c r="K150" s="288"/>
      <c r="L150" s="290"/>
      <c r="M150" s="290"/>
      <c r="N150" s="290"/>
      <c r="O150" s="290"/>
      <c r="P150" s="224"/>
      <c r="Q150" s="224"/>
      <c r="R150" s="224"/>
      <c r="S150" s="224"/>
      <c r="T150" s="224"/>
      <c r="U150" s="224"/>
      <c r="V150" s="224"/>
      <c r="W150" s="224"/>
      <c r="X150" s="224"/>
      <c r="Y150" s="224"/>
      <c r="Z150" s="224"/>
      <c r="AA150" s="224"/>
      <c r="AB150" s="224"/>
      <c r="AC150" s="224"/>
      <c r="AD150" s="224"/>
      <c r="AE150" s="224"/>
      <c r="AF150" s="224"/>
      <c r="AG150" s="224"/>
      <c r="AH150" s="224"/>
      <c r="AI150" s="224"/>
    </row>
    <row r="151" spans="1:35" ht="12.75" customHeight="1" x14ac:dyDescent="0.2">
      <c r="A151" s="288"/>
      <c r="B151" s="278"/>
      <c r="C151" s="278"/>
      <c r="D151" s="285"/>
      <c r="E151" s="286"/>
      <c r="F151" s="287"/>
      <c r="G151" s="288"/>
      <c r="H151" s="288"/>
      <c r="I151" s="288"/>
      <c r="J151" s="289"/>
      <c r="K151" s="288"/>
      <c r="L151" s="290"/>
      <c r="M151" s="290"/>
      <c r="N151" s="290"/>
      <c r="O151" s="290"/>
      <c r="P151" s="224"/>
      <c r="Q151" s="224"/>
      <c r="R151" s="224"/>
      <c r="S151" s="224"/>
      <c r="T151" s="224"/>
      <c r="U151" s="224"/>
      <c r="V151" s="224"/>
      <c r="W151" s="224"/>
      <c r="X151" s="224"/>
      <c r="Y151" s="224"/>
      <c r="Z151" s="224"/>
      <c r="AA151" s="224"/>
      <c r="AB151" s="224"/>
      <c r="AC151" s="224"/>
      <c r="AD151" s="224"/>
      <c r="AE151" s="224"/>
      <c r="AF151" s="224"/>
      <c r="AG151" s="224"/>
      <c r="AH151" s="224"/>
      <c r="AI151" s="224"/>
    </row>
    <row r="152" spans="1:35" ht="12.75" customHeight="1" x14ac:dyDescent="0.2">
      <c r="A152" s="288"/>
      <c r="B152" s="278"/>
      <c r="C152" s="278"/>
      <c r="D152" s="285"/>
      <c r="E152" s="286"/>
      <c r="F152" s="287"/>
      <c r="G152" s="288"/>
      <c r="H152" s="288"/>
      <c r="I152" s="288"/>
      <c r="J152" s="289"/>
      <c r="K152" s="288"/>
      <c r="L152" s="290"/>
      <c r="M152" s="290"/>
      <c r="N152" s="290"/>
      <c r="O152" s="290"/>
      <c r="P152" s="224"/>
      <c r="Q152" s="224"/>
      <c r="R152" s="224"/>
      <c r="S152" s="224"/>
      <c r="T152" s="224"/>
      <c r="U152" s="224"/>
      <c r="V152" s="224"/>
      <c r="W152" s="224"/>
      <c r="X152" s="224"/>
      <c r="Y152" s="224"/>
      <c r="Z152" s="224"/>
      <c r="AA152" s="224"/>
      <c r="AB152" s="224"/>
      <c r="AC152" s="224"/>
      <c r="AD152" s="224"/>
      <c r="AE152" s="224"/>
      <c r="AF152" s="224"/>
      <c r="AG152" s="224"/>
      <c r="AH152" s="224"/>
      <c r="AI152" s="224"/>
    </row>
    <row r="153" spans="1:35" ht="12.75" customHeight="1" x14ac:dyDescent="0.2">
      <c r="A153" s="288"/>
      <c r="B153" s="278"/>
      <c r="C153" s="278"/>
      <c r="D153" s="285"/>
      <c r="E153" s="286"/>
      <c r="F153" s="287"/>
      <c r="G153" s="288"/>
      <c r="H153" s="288"/>
      <c r="I153" s="288"/>
      <c r="J153" s="289"/>
      <c r="K153" s="288"/>
      <c r="L153" s="290"/>
      <c r="M153" s="290"/>
      <c r="N153" s="290"/>
      <c r="O153" s="290"/>
      <c r="P153" s="224"/>
      <c r="Q153" s="224"/>
      <c r="R153" s="224"/>
      <c r="S153" s="224"/>
      <c r="T153" s="224"/>
      <c r="U153" s="224"/>
      <c r="V153" s="224"/>
      <c r="W153" s="224"/>
      <c r="X153" s="224"/>
      <c r="Y153" s="224"/>
      <c r="Z153" s="224"/>
      <c r="AA153" s="224"/>
      <c r="AB153" s="224"/>
      <c r="AC153" s="224"/>
      <c r="AD153" s="224"/>
      <c r="AE153" s="224"/>
      <c r="AF153" s="224"/>
      <c r="AG153" s="224"/>
      <c r="AH153" s="224"/>
      <c r="AI153" s="224"/>
    </row>
    <row r="154" spans="1:35" ht="12.75" customHeight="1" x14ac:dyDescent="0.2">
      <c r="A154" s="288"/>
      <c r="B154" s="278"/>
      <c r="C154" s="278"/>
      <c r="D154" s="285"/>
      <c r="E154" s="286"/>
      <c r="F154" s="287"/>
      <c r="G154" s="288"/>
      <c r="H154" s="288"/>
      <c r="I154" s="288"/>
      <c r="J154" s="289"/>
      <c r="K154" s="288"/>
      <c r="L154" s="290"/>
      <c r="M154" s="290"/>
      <c r="N154" s="290"/>
      <c r="O154" s="290"/>
      <c r="P154" s="224"/>
      <c r="Q154" s="224"/>
      <c r="R154" s="224"/>
      <c r="S154" s="224"/>
      <c r="T154" s="224"/>
      <c r="U154" s="224"/>
      <c r="V154" s="224"/>
      <c r="W154" s="224"/>
      <c r="X154" s="224"/>
      <c r="Y154" s="224"/>
      <c r="Z154" s="224"/>
      <c r="AA154" s="224"/>
      <c r="AB154" s="224"/>
      <c r="AC154" s="224"/>
      <c r="AD154" s="224"/>
      <c r="AE154" s="224"/>
      <c r="AF154" s="224"/>
      <c r="AG154" s="224"/>
      <c r="AH154" s="224"/>
      <c r="AI154" s="224"/>
    </row>
    <row r="155" spans="1:35" ht="12.75" customHeight="1" x14ac:dyDescent="0.2">
      <c r="A155" s="288"/>
      <c r="B155" s="278"/>
      <c r="C155" s="278"/>
      <c r="D155" s="285"/>
      <c r="E155" s="286"/>
      <c r="F155" s="287"/>
      <c r="G155" s="288"/>
      <c r="H155" s="288"/>
      <c r="I155" s="288"/>
      <c r="J155" s="289"/>
      <c r="K155" s="288"/>
      <c r="L155" s="290"/>
      <c r="M155" s="290"/>
      <c r="N155" s="290"/>
      <c r="O155" s="290"/>
      <c r="P155" s="224"/>
      <c r="Q155" s="224"/>
      <c r="R155" s="224"/>
      <c r="S155" s="224"/>
      <c r="T155" s="224"/>
      <c r="U155" s="224"/>
      <c r="V155" s="224"/>
      <c r="W155" s="224"/>
      <c r="X155" s="224"/>
      <c r="Y155" s="224"/>
      <c r="Z155" s="224"/>
      <c r="AA155" s="224"/>
      <c r="AB155" s="224"/>
      <c r="AC155" s="224"/>
      <c r="AD155" s="224"/>
      <c r="AE155" s="224"/>
      <c r="AF155" s="224"/>
      <c r="AG155" s="224"/>
      <c r="AH155" s="224"/>
      <c r="AI155" s="224"/>
    </row>
    <row r="156" spans="1:35" ht="12.75" customHeight="1" x14ac:dyDescent="0.2">
      <c r="A156" s="288"/>
      <c r="B156" s="278"/>
      <c r="C156" s="278"/>
      <c r="D156" s="285"/>
      <c r="E156" s="286"/>
      <c r="F156" s="287"/>
      <c r="G156" s="288"/>
      <c r="H156" s="288"/>
      <c r="I156" s="288"/>
      <c r="J156" s="289"/>
      <c r="K156" s="288"/>
      <c r="L156" s="290"/>
      <c r="M156" s="290"/>
      <c r="N156" s="290"/>
      <c r="O156" s="290"/>
      <c r="P156" s="224"/>
      <c r="Q156" s="224"/>
      <c r="R156" s="224"/>
      <c r="S156" s="224"/>
      <c r="T156" s="224"/>
      <c r="U156" s="224"/>
      <c r="V156" s="224"/>
      <c r="W156" s="224"/>
      <c r="X156" s="224"/>
      <c r="Y156" s="224"/>
      <c r="Z156" s="224"/>
      <c r="AA156" s="224"/>
      <c r="AB156" s="224"/>
      <c r="AC156" s="224"/>
      <c r="AD156" s="224"/>
      <c r="AE156" s="224"/>
      <c r="AF156" s="224"/>
      <c r="AG156" s="224"/>
      <c r="AH156" s="224"/>
      <c r="AI156" s="224"/>
    </row>
    <row r="157" spans="1:35" ht="12.75" customHeight="1" x14ac:dyDescent="0.2">
      <c r="A157" s="288"/>
      <c r="B157" s="278"/>
      <c r="C157" s="278"/>
      <c r="D157" s="285"/>
      <c r="E157" s="286"/>
      <c r="F157" s="287"/>
      <c r="G157" s="288"/>
      <c r="H157" s="288"/>
      <c r="I157" s="288"/>
      <c r="J157" s="289"/>
      <c r="K157" s="288"/>
      <c r="L157" s="290"/>
      <c r="M157" s="290"/>
      <c r="N157" s="290"/>
      <c r="O157" s="290"/>
      <c r="P157" s="224"/>
      <c r="Q157" s="224"/>
      <c r="R157" s="224"/>
      <c r="S157" s="224"/>
      <c r="T157" s="224"/>
      <c r="U157" s="224"/>
      <c r="V157" s="224"/>
      <c r="W157" s="224"/>
      <c r="X157" s="224"/>
      <c r="Y157" s="224"/>
      <c r="Z157" s="224"/>
      <c r="AA157" s="224"/>
      <c r="AB157" s="224"/>
      <c r="AC157" s="224"/>
      <c r="AD157" s="224"/>
      <c r="AE157" s="224"/>
      <c r="AF157" s="224"/>
      <c r="AG157" s="224"/>
      <c r="AH157" s="224"/>
      <c r="AI157" s="224"/>
    </row>
    <row r="158" spans="1:35" ht="12.75" customHeight="1" x14ac:dyDescent="0.2">
      <c r="A158" s="288"/>
      <c r="B158" s="278"/>
      <c r="C158" s="278"/>
      <c r="D158" s="285"/>
      <c r="E158" s="286"/>
      <c r="F158" s="287"/>
      <c r="G158" s="288"/>
      <c r="H158" s="288"/>
      <c r="I158" s="288"/>
      <c r="J158" s="289"/>
      <c r="K158" s="288"/>
      <c r="L158" s="290"/>
      <c r="M158" s="290"/>
      <c r="N158" s="290"/>
      <c r="O158" s="290"/>
      <c r="P158" s="224"/>
      <c r="Q158" s="224"/>
      <c r="R158" s="224"/>
      <c r="S158" s="224"/>
      <c r="T158" s="224"/>
      <c r="U158" s="224"/>
      <c r="V158" s="224"/>
      <c r="W158" s="224"/>
      <c r="X158" s="224"/>
      <c r="Y158" s="224"/>
      <c r="Z158" s="224"/>
      <c r="AA158" s="224"/>
      <c r="AB158" s="224"/>
      <c r="AC158" s="224"/>
      <c r="AD158" s="224"/>
      <c r="AE158" s="224"/>
      <c r="AF158" s="224"/>
      <c r="AG158" s="224"/>
      <c r="AH158" s="224"/>
      <c r="AI158" s="224"/>
    </row>
    <row r="159" spans="1:35" ht="12.75" customHeight="1" x14ac:dyDescent="0.2">
      <c r="A159" s="288"/>
      <c r="B159" s="278"/>
      <c r="C159" s="278"/>
      <c r="D159" s="285"/>
      <c r="E159" s="286"/>
      <c r="F159" s="287"/>
      <c r="G159" s="288"/>
      <c r="H159" s="288"/>
      <c r="I159" s="288"/>
      <c r="J159" s="289"/>
      <c r="K159" s="288"/>
      <c r="L159" s="290"/>
      <c r="M159" s="290"/>
      <c r="N159" s="290"/>
      <c r="O159" s="290"/>
      <c r="P159" s="224"/>
      <c r="Q159" s="224"/>
      <c r="R159" s="224"/>
      <c r="S159" s="224"/>
      <c r="T159" s="224"/>
      <c r="U159" s="224"/>
      <c r="V159" s="224"/>
      <c r="W159" s="224"/>
      <c r="X159" s="224"/>
      <c r="Y159" s="224"/>
      <c r="Z159" s="224"/>
      <c r="AA159" s="224"/>
      <c r="AB159" s="224"/>
      <c r="AC159" s="224"/>
      <c r="AD159" s="224"/>
      <c r="AE159" s="224"/>
      <c r="AF159" s="224"/>
      <c r="AG159" s="224"/>
      <c r="AH159" s="224"/>
      <c r="AI159" s="224"/>
    </row>
    <row r="160" spans="1:35" ht="12.75" customHeight="1" x14ac:dyDescent="0.2">
      <c r="A160" s="288"/>
      <c r="B160" s="278"/>
      <c r="C160" s="278"/>
      <c r="D160" s="285"/>
      <c r="E160" s="286"/>
      <c r="F160" s="287"/>
      <c r="G160" s="288"/>
      <c r="H160" s="288"/>
      <c r="I160" s="288"/>
      <c r="J160" s="289"/>
      <c r="K160" s="288"/>
      <c r="L160" s="290"/>
      <c r="M160" s="290"/>
      <c r="N160" s="290"/>
      <c r="O160" s="290"/>
      <c r="P160" s="224"/>
      <c r="Q160" s="224"/>
      <c r="R160" s="224"/>
      <c r="S160" s="224"/>
      <c r="T160" s="224"/>
      <c r="U160" s="224"/>
      <c r="V160" s="224"/>
      <c r="W160" s="224"/>
      <c r="X160" s="224"/>
      <c r="Y160" s="224"/>
      <c r="Z160" s="224"/>
      <c r="AA160" s="224"/>
      <c r="AB160" s="224"/>
      <c r="AC160" s="224"/>
      <c r="AD160" s="224"/>
      <c r="AE160" s="224"/>
      <c r="AF160" s="224"/>
      <c r="AG160" s="224"/>
      <c r="AH160" s="224"/>
      <c r="AI160" s="224"/>
    </row>
    <row r="161" spans="1:35" ht="12.75" customHeight="1" x14ac:dyDescent="0.2">
      <c r="A161" s="288"/>
      <c r="B161" s="278"/>
      <c r="C161" s="278"/>
      <c r="D161" s="285"/>
      <c r="E161" s="286"/>
      <c r="F161" s="287"/>
      <c r="G161" s="288"/>
      <c r="H161" s="288"/>
      <c r="I161" s="288"/>
      <c r="J161" s="289"/>
      <c r="K161" s="288"/>
      <c r="L161" s="290"/>
      <c r="M161" s="290"/>
      <c r="N161" s="290"/>
      <c r="O161" s="290"/>
      <c r="P161" s="224"/>
      <c r="Q161" s="224"/>
      <c r="R161" s="224"/>
      <c r="S161" s="224"/>
      <c r="T161" s="224"/>
      <c r="U161" s="224"/>
      <c r="V161" s="224"/>
      <c r="W161" s="224"/>
      <c r="X161" s="224"/>
      <c r="Y161" s="224"/>
      <c r="Z161" s="224"/>
      <c r="AA161" s="224"/>
      <c r="AB161" s="224"/>
      <c r="AC161" s="224"/>
      <c r="AD161" s="224"/>
      <c r="AE161" s="224"/>
      <c r="AF161" s="224"/>
      <c r="AG161" s="224"/>
      <c r="AH161" s="224"/>
      <c r="AI161" s="224"/>
    </row>
    <row r="162" spans="1:35" ht="12.75" customHeight="1" x14ac:dyDescent="0.2">
      <c r="A162" s="288"/>
      <c r="B162" s="278"/>
      <c r="C162" s="278"/>
      <c r="D162" s="285"/>
      <c r="E162" s="286"/>
      <c r="F162" s="287"/>
      <c r="G162" s="288"/>
      <c r="H162" s="288"/>
      <c r="I162" s="288"/>
      <c r="J162" s="289"/>
      <c r="K162" s="288"/>
      <c r="L162" s="290"/>
      <c r="M162" s="290"/>
      <c r="N162" s="290"/>
      <c r="O162" s="290"/>
      <c r="P162" s="224"/>
      <c r="Q162" s="224"/>
      <c r="R162" s="224"/>
      <c r="S162" s="224"/>
      <c r="T162" s="224"/>
      <c r="U162" s="224"/>
      <c r="V162" s="224"/>
      <c r="W162" s="224"/>
      <c r="X162" s="224"/>
      <c r="Y162" s="224"/>
      <c r="Z162" s="224"/>
      <c r="AA162" s="224"/>
      <c r="AB162" s="224"/>
      <c r="AC162" s="224"/>
      <c r="AD162" s="224"/>
      <c r="AE162" s="224"/>
      <c r="AF162" s="224"/>
      <c r="AG162" s="224"/>
      <c r="AH162" s="224"/>
      <c r="AI162" s="224"/>
    </row>
    <row r="163" spans="1:35" ht="12.75" customHeight="1" x14ac:dyDescent="0.2">
      <c r="A163" s="288"/>
      <c r="B163" s="278"/>
      <c r="C163" s="278"/>
      <c r="D163" s="285"/>
      <c r="E163" s="286"/>
      <c r="F163" s="287"/>
      <c r="G163" s="288"/>
      <c r="H163" s="288"/>
      <c r="I163" s="288"/>
      <c r="J163" s="289"/>
      <c r="K163" s="288"/>
      <c r="L163" s="290"/>
      <c r="M163" s="290"/>
      <c r="N163" s="290"/>
      <c r="O163" s="290"/>
      <c r="P163" s="224"/>
      <c r="Q163" s="224"/>
      <c r="R163" s="224"/>
      <c r="S163" s="224"/>
      <c r="T163" s="224"/>
      <c r="U163" s="224"/>
      <c r="V163" s="224"/>
      <c r="W163" s="224"/>
      <c r="X163" s="224"/>
      <c r="Y163" s="224"/>
      <c r="Z163" s="224"/>
      <c r="AA163" s="224"/>
      <c r="AB163" s="224"/>
      <c r="AC163" s="224"/>
      <c r="AD163" s="224"/>
      <c r="AE163" s="224"/>
      <c r="AF163" s="224"/>
      <c r="AG163" s="224"/>
      <c r="AH163" s="224"/>
      <c r="AI163" s="224"/>
    </row>
    <row r="164" spans="1:35" ht="12.75" customHeight="1" x14ac:dyDescent="0.2">
      <c r="A164" s="288"/>
      <c r="B164" s="278"/>
      <c r="C164" s="278"/>
      <c r="D164" s="285"/>
      <c r="E164" s="286"/>
      <c r="F164" s="287"/>
      <c r="G164" s="288"/>
      <c r="H164" s="288"/>
      <c r="I164" s="288"/>
      <c r="J164" s="289"/>
      <c r="K164" s="288"/>
      <c r="L164" s="290"/>
      <c r="M164" s="290"/>
      <c r="N164" s="290"/>
      <c r="O164" s="290"/>
      <c r="P164" s="224"/>
      <c r="Q164" s="224"/>
      <c r="R164" s="224"/>
      <c r="S164" s="224"/>
      <c r="T164" s="224"/>
      <c r="U164" s="224"/>
      <c r="V164" s="224"/>
      <c r="W164" s="224"/>
      <c r="X164" s="224"/>
      <c r="Y164" s="224"/>
      <c r="Z164" s="224"/>
      <c r="AA164" s="224"/>
      <c r="AB164" s="224"/>
      <c r="AC164" s="224"/>
      <c r="AD164" s="224"/>
      <c r="AE164" s="224"/>
      <c r="AF164" s="224"/>
      <c r="AG164" s="224"/>
      <c r="AH164" s="224"/>
      <c r="AI164" s="224"/>
    </row>
    <row r="165" spans="1:35" ht="12.75" customHeight="1" x14ac:dyDescent="0.2">
      <c r="A165" s="288"/>
      <c r="B165" s="278"/>
      <c r="C165" s="278"/>
      <c r="D165" s="285"/>
      <c r="E165" s="286"/>
      <c r="F165" s="287"/>
      <c r="G165" s="288"/>
      <c r="H165" s="288"/>
      <c r="I165" s="288"/>
      <c r="J165" s="289"/>
      <c r="K165" s="288"/>
      <c r="L165" s="290"/>
      <c r="M165" s="290"/>
      <c r="N165" s="290"/>
      <c r="O165" s="290"/>
      <c r="P165" s="224"/>
      <c r="Q165" s="224"/>
      <c r="R165" s="224"/>
      <c r="S165" s="224"/>
      <c r="T165" s="224"/>
      <c r="U165" s="224"/>
      <c r="V165" s="224"/>
      <c r="W165" s="224"/>
      <c r="X165" s="224"/>
      <c r="Y165" s="224"/>
      <c r="Z165" s="224"/>
      <c r="AA165" s="224"/>
      <c r="AB165" s="224"/>
      <c r="AC165" s="224"/>
      <c r="AD165" s="224"/>
      <c r="AE165" s="224"/>
      <c r="AF165" s="224"/>
      <c r="AG165" s="224"/>
      <c r="AH165" s="224"/>
      <c r="AI165" s="224"/>
    </row>
    <row r="166" spans="1:35" ht="12.75" customHeight="1" x14ac:dyDescent="0.2">
      <c r="A166" s="288"/>
      <c r="B166" s="278"/>
      <c r="C166" s="278"/>
      <c r="D166" s="285"/>
      <c r="E166" s="286"/>
      <c r="F166" s="287"/>
      <c r="G166" s="288"/>
      <c r="H166" s="288"/>
      <c r="I166" s="288"/>
      <c r="J166" s="289"/>
      <c r="K166" s="288"/>
      <c r="L166" s="290"/>
      <c r="M166" s="290"/>
      <c r="N166" s="290"/>
      <c r="O166" s="290"/>
      <c r="P166" s="224"/>
      <c r="Q166" s="224"/>
      <c r="R166" s="224"/>
      <c r="S166" s="224"/>
      <c r="T166" s="224"/>
      <c r="U166" s="224"/>
      <c r="V166" s="224"/>
      <c r="W166" s="224"/>
      <c r="X166" s="224"/>
      <c r="Y166" s="224"/>
      <c r="Z166" s="224"/>
      <c r="AA166" s="224"/>
      <c r="AB166" s="224"/>
      <c r="AC166" s="224"/>
      <c r="AD166" s="224"/>
      <c r="AE166" s="224"/>
      <c r="AF166" s="224"/>
      <c r="AG166" s="224"/>
      <c r="AH166" s="224"/>
      <c r="AI166" s="224"/>
    </row>
    <row r="167" spans="1:35" ht="12.75" customHeight="1" x14ac:dyDescent="0.2">
      <c r="A167" s="288"/>
      <c r="B167" s="278"/>
      <c r="C167" s="278"/>
      <c r="D167" s="285"/>
      <c r="E167" s="286"/>
      <c r="F167" s="287"/>
      <c r="G167" s="288"/>
      <c r="H167" s="288"/>
      <c r="I167" s="288"/>
      <c r="J167" s="289"/>
      <c r="K167" s="288"/>
      <c r="L167" s="290"/>
      <c r="M167" s="290"/>
      <c r="N167" s="290"/>
      <c r="O167" s="290"/>
      <c r="P167" s="224"/>
      <c r="Q167" s="224"/>
      <c r="R167" s="224"/>
      <c r="S167" s="224"/>
      <c r="T167" s="224"/>
      <c r="U167" s="224"/>
      <c r="V167" s="224"/>
      <c r="W167" s="224"/>
      <c r="X167" s="224"/>
      <c r="Y167" s="224"/>
      <c r="Z167" s="224"/>
      <c r="AA167" s="224"/>
      <c r="AB167" s="224"/>
      <c r="AC167" s="224"/>
      <c r="AD167" s="224"/>
      <c r="AE167" s="224"/>
      <c r="AF167" s="224"/>
      <c r="AG167" s="224"/>
      <c r="AH167" s="224"/>
      <c r="AI167" s="224"/>
    </row>
    <row r="168" spans="1:35" ht="12.75" customHeight="1" x14ac:dyDescent="0.2">
      <c r="A168" s="288"/>
      <c r="B168" s="278"/>
      <c r="C168" s="278"/>
      <c r="D168" s="285"/>
      <c r="E168" s="286"/>
      <c r="F168" s="287"/>
      <c r="G168" s="288"/>
      <c r="H168" s="288"/>
      <c r="I168" s="288"/>
      <c r="J168" s="289"/>
      <c r="K168" s="288"/>
      <c r="L168" s="290"/>
      <c r="M168" s="290"/>
      <c r="N168" s="290"/>
      <c r="O168" s="290"/>
      <c r="P168" s="224"/>
      <c r="Q168" s="224"/>
      <c r="R168" s="224"/>
      <c r="S168" s="224"/>
      <c r="T168" s="224"/>
      <c r="U168" s="224"/>
      <c r="V168" s="224"/>
      <c r="W168" s="224"/>
      <c r="X168" s="224"/>
      <c r="Y168" s="224"/>
      <c r="Z168" s="224"/>
      <c r="AA168" s="224"/>
      <c r="AB168" s="224"/>
      <c r="AC168" s="224"/>
      <c r="AD168" s="224"/>
      <c r="AE168" s="224"/>
      <c r="AF168" s="224"/>
      <c r="AG168" s="224"/>
      <c r="AH168" s="224"/>
      <c r="AI168" s="224"/>
    </row>
    <row r="169" spans="1:35" ht="12.75" customHeight="1" x14ac:dyDescent="0.2">
      <c r="A169" s="288"/>
      <c r="B169" s="278"/>
      <c r="C169" s="278"/>
      <c r="D169" s="285"/>
      <c r="E169" s="286"/>
      <c r="F169" s="287"/>
      <c r="G169" s="288"/>
      <c r="H169" s="288"/>
      <c r="I169" s="288"/>
      <c r="J169" s="289"/>
      <c r="K169" s="288"/>
      <c r="L169" s="290"/>
      <c r="M169" s="290"/>
      <c r="N169" s="290"/>
      <c r="O169" s="290"/>
      <c r="P169" s="224"/>
      <c r="Q169" s="224"/>
      <c r="R169" s="224"/>
      <c r="S169" s="224"/>
      <c r="T169" s="224"/>
      <c r="U169" s="224"/>
      <c r="V169" s="224"/>
      <c r="W169" s="224"/>
      <c r="X169" s="224"/>
      <c r="Y169" s="224"/>
      <c r="Z169" s="224"/>
      <c r="AA169" s="224"/>
      <c r="AB169" s="224"/>
      <c r="AC169" s="224"/>
      <c r="AD169" s="224"/>
      <c r="AE169" s="224"/>
      <c r="AF169" s="224"/>
      <c r="AG169" s="224"/>
      <c r="AH169" s="224"/>
      <c r="AI169" s="224"/>
    </row>
    <row r="170" spans="1:35" ht="12.75" customHeight="1" x14ac:dyDescent="0.2">
      <c r="A170" s="288"/>
      <c r="B170" s="278"/>
      <c r="C170" s="278"/>
      <c r="D170" s="285"/>
      <c r="E170" s="286"/>
      <c r="F170" s="287"/>
      <c r="G170" s="288"/>
      <c r="H170" s="288"/>
      <c r="I170" s="288"/>
      <c r="J170" s="289"/>
      <c r="K170" s="288"/>
      <c r="L170" s="290"/>
      <c r="M170" s="290"/>
      <c r="N170" s="290"/>
      <c r="O170" s="290"/>
      <c r="P170" s="224"/>
      <c r="Q170" s="224"/>
      <c r="R170" s="224"/>
      <c r="S170" s="224"/>
      <c r="T170" s="224"/>
      <c r="U170" s="224"/>
      <c r="V170" s="224"/>
      <c r="W170" s="224"/>
      <c r="X170" s="224"/>
      <c r="Y170" s="224"/>
      <c r="Z170" s="224"/>
      <c r="AA170" s="224"/>
      <c r="AB170" s="224"/>
      <c r="AC170" s="224"/>
      <c r="AD170" s="224"/>
      <c r="AE170" s="224"/>
      <c r="AF170" s="224"/>
      <c r="AG170" s="224"/>
      <c r="AH170" s="224"/>
      <c r="AI170" s="224"/>
    </row>
    <row r="171" spans="1:35" ht="12.75" customHeight="1" x14ac:dyDescent="0.2">
      <c r="A171" s="288"/>
      <c r="B171" s="278"/>
      <c r="C171" s="278"/>
      <c r="D171" s="285"/>
      <c r="E171" s="286"/>
      <c r="F171" s="287"/>
      <c r="G171" s="288"/>
      <c r="H171" s="288"/>
      <c r="I171" s="288"/>
      <c r="J171" s="289"/>
      <c r="K171" s="288"/>
      <c r="L171" s="290"/>
      <c r="M171" s="290"/>
      <c r="N171" s="290"/>
      <c r="O171" s="290"/>
      <c r="P171" s="224"/>
      <c r="Q171" s="224"/>
      <c r="R171" s="224"/>
      <c r="S171" s="224"/>
      <c r="T171" s="224"/>
      <c r="U171" s="224"/>
      <c r="V171" s="224"/>
      <c r="W171" s="224"/>
      <c r="X171" s="224"/>
      <c r="Y171" s="224"/>
      <c r="Z171" s="224"/>
      <c r="AA171" s="224"/>
      <c r="AB171" s="224"/>
      <c r="AC171" s="224"/>
      <c r="AD171" s="224"/>
      <c r="AE171" s="224"/>
      <c r="AF171" s="224"/>
      <c r="AG171" s="224"/>
      <c r="AH171" s="224"/>
      <c r="AI171" s="224"/>
    </row>
    <row r="172" spans="1:35" ht="12.75" customHeight="1" x14ac:dyDescent="0.2">
      <c r="A172" s="288"/>
      <c r="B172" s="278"/>
      <c r="C172" s="278"/>
      <c r="D172" s="285"/>
      <c r="E172" s="286"/>
      <c r="F172" s="287"/>
      <c r="G172" s="288"/>
      <c r="H172" s="288"/>
      <c r="I172" s="288"/>
      <c r="J172" s="289"/>
      <c r="K172" s="288"/>
      <c r="L172" s="290"/>
      <c r="M172" s="290"/>
      <c r="N172" s="290"/>
      <c r="O172" s="290"/>
      <c r="P172" s="224"/>
      <c r="Q172" s="224"/>
      <c r="R172" s="224"/>
      <c r="S172" s="224"/>
      <c r="T172" s="224"/>
      <c r="U172" s="224"/>
      <c r="V172" s="224"/>
      <c r="W172" s="224"/>
      <c r="X172" s="224"/>
      <c r="Y172" s="224"/>
      <c r="Z172" s="224"/>
      <c r="AA172" s="224"/>
      <c r="AB172" s="224"/>
      <c r="AC172" s="224"/>
      <c r="AD172" s="224"/>
      <c r="AE172" s="224"/>
      <c r="AF172" s="224"/>
      <c r="AG172" s="224"/>
      <c r="AH172" s="224"/>
      <c r="AI172" s="224"/>
    </row>
    <row r="173" spans="1:35" ht="12.75" customHeight="1" x14ac:dyDescent="0.2">
      <c r="A173" s="288"/>
      <c r="B173" s="278"/>
      <c r="C173" s="278"/>
      <c r="D173" s="285"/>
      <c r="E173" s="286"/>
      <c r="F173" s="287"/>
      <c r="G173" s="288"/>
      <c r="H173" s="288"/>
      <c r="I173" s="288"/>
      <c r="J173" s="289"/>
      <c r="K173" s="288"/>
      <c r="L173" s="290"/>
      <c r="M173" s="290"/>
      <c r="N173" s="290"/>
      <c r="O173" s="290"/>
      <c r="P173" s="224"/>
      <c r="Q173" s="224"/>
      <c r="R173" s="224"/>
      <c r="S173" s="224"/>
      <c r="T173" s="224"/>
      <c r="U173" s="224"/>
      <c r="V173" s="224"/>
      <c r="W173" s="224"/>
      <c r="X173" s="224"/>
      <c r="Y173" s="224"/>
      <c r="Z173" s="224"/>
      <c r="AA173" s="224"/>
      <c r="AB173" s="224"/>
      <c r="AC173" s="224"/>
      <c r="AD173" s="224"/>
      <c r="AE173" s="224"/>
      <c r="AF173" s="224"/>
      <c r="AG173" s="224"/>
      <c r="AH173" s="224"/>
      <c r="AI173" s="224"/>
    </row>
    <row r="174" spans="1:35" ht="12.75" customHeight="1" x14ac:dyDescent="0.2">
      <c r="A174" s="288"/>
      <c r="B174" s="278"/>
      <c r="C174" s="278"/>
      <c r="D174" s="285"/>
      <c r="E174" s="286"/>
      <c r="F174" s="287"/>
      <c r="G174" s="288"/>
      <c r="H174" s="288"/>
      <c r="I174" s="288"/>
      <c r="J174" s="289"/>
      <c r="K174" s="288"/>
      <c r="L174" s="290"/>
      <c r="M174" s="290"/>
      <c r="N174" s="290"/>
      <c r="O174" s="290"/>
      <c r="P174" s="224"/>
      <c r="Q174" s="224"/>
      <c r="R174" s="224"/>
      <c r="S174" s="224"/>
      <c r="T174" s="224"/>
      <c r="U174" s="224"/>
      <c r="V174" s="224"/>
      <c r="W174" s="224"/>
      <c r="X174" s="224"/>
      <c r="Y174" s="224"/>
      <c r="Z174" s="224"/>
      <c r="AA174" s="224"/>
      <c r="AB174" s="224"/>
      <c r="AC174" s="224"/>
      <c r="AD174" s="224"/>
      <c r="AE174" s="224"/>
      <c r="AF174" s="224"/>
      <c r="AG174" s="224"/>
      <c r="AH174" s="224"/>
      <c r="AI174" s="224"/>
    </row>
    <row r="175" spans="1:35" ht="12.75" customHeight="1" x14ac:dyDescent="0.2">
      <c r="A175" s="288"/>
      <c r="B175" s="278"/>
      <c r="C175" s="278"/>
      <c r="D175" s="285"/>
      <c r="E175" s="286"/>
      <c r="F175" s="287"/>
      <c r="G175" s="288"/>
      <c r="H175" s="288"/>
      <c r="I175" s="288"/>
      <c r="J175" s="289"/>
      <c r="K175" s="288"/>
      <c r="L175" s="290"/>
      <c r="M175" s="290"/>
      <c r="N175" s="290"/>
      <c r="O175" s="290"/>
      <c r="P175" s="224"/>
      <c r="Q175" s="224"/>
      <c r="R175" s="224"/>
      <c r="S175" s="224"/>
      <c r="T175" s="224"/>
      <c r="U175" s="224"/>
      <c r="V175" s="224"/>
      <c r="W175" s="224"/>
      <c r="X175" s="224"/>
      <c r="Y175" s="224"/>
      <c r="Z175" s="224"/>
      <c r="AA175" s="224"/>
      <c r="AB175" s="224"/>
      <c r="AC175" s="224"/>
      <c r="AD175" s="224"/>
      <c r="AE175" s="224"/>
      <c r="AF175" s="224"/>
      <c r="AG175" s="224"/>
      <c r="AH175" s="224"/>
      <c r="AI175" s="224"/>
    </row>
    <row r="176" spans="1:35" ht="12.75" customHeight="1" x14ac:dyDescent="0.2">
      <c r="A176" s="288"/>
      <c r="B176" s="278"/>
      <c r="C176" s="278"/>
      <c r="D176" s="285"/>
      <c r="E176" s="286"/>
      <c r="F176" s="287"/>
      <c r="G176" s="288"/>
      <c r="H176" s="288"/>
      <c r="I176" s="288"/>
      <c r="J176" s="289"/>
      <c r="K176" s="288"/>
      <c r="L176" s="290"/>
      <c r="M176" s="290"/>
      <c r="N176" s="290"/>
      <c r="O176" s="290"/>
      <c r="P176" s="224"/>
      <c r="Q176" s="224"/>
      <c r="R176" s="224"/>
      <c r="S176" s="224"/>
      <c r="T176" s="224"/>
      <c r="U176" s="224"/>
      <c r="V176" s="224"/>
      <c r="W176" s="224"/>
      <c r="X176" s="224"/>
      <c r="Y176" s="224"/>
      <c r="Z176" s="224"/>
      <c r="AA176" s="224"/>
      <c r="AB176" s="224"/>
      <c r="AC176" s="224"/>
      <c r="AD176" s="224"/>
      <c r="AE176" s="224"/>
      <c r="AF176" s="224"/>
      <c r="AG176" s="224"/>
      <c r="AH176" s="224"/>
      <c r="AI176" s="224"/>
    </row>
    <row r="177" spans="1:35" ht="12.75" customHeight="1" x14ac:dyDescent="0.2">
      <c r="A177" s="288"/>
      <c r="B177" s="278"/>
      <c r="C177" s="278"/>
      <c r="D177" s="285"/>
      <c r="E177" s="286"/>
      <c r="F177" s="287"/>
      <c r="G177" s="288"/>
      <c r="H177" s="288"/>
      <c r="I177" s="288"/>
      <c r="J177" s="289"/>
      <c r="K177" s="288"/>
      <c r="L177" s="290"/>
      <c r="M177" s="290"/>
      <c r="N177" s="290"/>
      <c r="O177" s="290"/>
      <c r="P177" s="224"/>
      <c r="Q177" s="224"/>
      <c r="R177" s="224"/>
      <c r="S177" s="224"/>
      <c r="T177" s="224"/>
      <c r="U177" s="224"/>
      <c r="V177" s="224"/>
      <c r="W177" s="224"/>
      <c r="X177" s="224"/>
      <c r="Y177" s="224"/>
      <c r="Z177" s="224"/>
      <c r="AA177" s="224"/>
      <c r="AB177" s="224"/>
      <c r="AC177" s="224"/>
      <c r="AD177" s="224"/>
      <c r="AE177" s="224"/>
      <c r="AF177" s="224"/>
      <c r="AG177" s="224"/>
      <c r="AH177" s="224"/>
      <c r="AI177" s="224"/>
    </row>
    <row r="178" spans="1:35" ht="12.75" customHeight="1" x14ac:dyDescent="0.2">
      <c r="A178" s="288"/>
      <c r="B178" s="278"/>
      <c r="C178" s="278"/>
      <c r="D178" s="285"/>
      <c r="E178" s="286"/>
      <c r="F178" s="287"/>
      <c r="G178" s="288"/>
      <c r="H178" s="288"/>
      <c r="I178" s="288"/>
      <c r="J178" s="289"/>
      <c r="K178" s="288"/>
      <c r="L178" s="290"/>
      <c r="M178" s="290"/>
      <c r="N178" s="290"/>
      <c r="O178" s="290"/>
      <c r="P178" s="224"/>
      <c r="Q178" s="224"/>
      <c r="R178" s="224"/>
      <c r="S178" s="224"/>
      <c r="T178" s="224"/>
      <c r="U178" s="224"/>
      <c r="V178" s="224"/>
      <c r="W178" s="224"/>
      <c r="X178" s="224"/>
      <c r="Y178" s="224"/>
      <c r="Z178" s="224"/>
      <c r="AA178" s="224"/>
      <c r="AB178" s="224"/>
      <c r="AC178" s="224"/>
      <c r="AD178" s="224"/>
      <c r="AE178" s="224"/>
      <c r="AF178" s="224"/>
      <c r="AG178" s="224"/>
      <c r="AH178" s="224"/>
      <c r="AI178" s="224"/>
    </row>
    <row r="179" spans="1:35" ht="12.75" customHeight="1" x14ac:dyDescent="0.2">
      <c r="A179" s="288"/>
      <c r="B179" s="278"/>
      <c r="C179" s="278"/>
      <c r="D179" s="285"/>
      <c r="E179" s="286"/>
      <c r="F179" s="287"/>
      <c r="G179" s="288"/>
      <c r="H179" s="288"/>
      <c r="I179" s="288"/>
      <c r="J179" s="289"/>
      <c r="K179" s="288"/>
      <c r="L179" s="290"/>
      <c r="M179" s="290"/>
      <c r="N179" s="290"/>
      <c r="O179" s="290"/>
      <c r="P179" s="224"/>
      <c r="Q179" s="224"/>
      <c r="R179" s="224"/>
      <c r="S179" s="224"/>
      <c r="T179" s="224"/>
      <c r="U179" s="224"/>
      <c r="V179" s="224"/>
      <c r="W179" s="224"/>
      <c r="X179" s="224"/>
      <c r="Y179" s="224"/>
      <c r="Z179" s="224"/>
      <c r="AA179" s="224"/>
      <c r="AB179" s="224"/>
      <c r="AC179" s="224"/>
      <c r="AD179" s="224"/>
      <c r="AE179" s="224"/>
      <c r="AF179" s="224"/>
      <c r="AG179" s="224"/>
      <c r="AH179" s="224"/>
      <c r="AI179" s="224"/>
    </row>
    <row r="180" spans="1:35" ht="12.75" customHeight="1" x14ac:dyDescent="0.2">
      <c r="A180" s="288"/>
      <c r="B180" s="278"/>
      <c r="C180" s="278"/>
      <c r="D180" s="285"/>
      <c r="E180" s="286"/>
      <c r="F180" s="287"/>
      <c r="G180" s="288"/>
      <c r="H180" s="288"/>
      <c r="I180" s="288"/>
      <c r="J180" s="289"/>
      <c r="K180" s="288"/>
      <c r="L180" s="290"/>
      <c r="M180" s="290"/>
      <c r="N180" s="290"/>
      <c r="O180" s="290"/>
      <c r="P180" s="224"/>
      <c r="Q180" s="224"/>
      <c r="R180" s="224"/>
      <c r="S180" s="224"/>
      <c r="T180" s="224"/>
      <c r="U180" s="224"/>
      <c r="V180" s="224"/>
      <c r="W180" s="224"/>
      <c r="X180" s="224"/>
      <c r="Y180" s="224"/>
      <c r="Z180" s="224"/>
      <c r="AA180" s="224"/>
      <c r="AB180" s="224"/>
      <c r="AC180" s="224"/>
      <c r="AD180" s="224"/>
      <c r="AE180" s="224"/>
      <c r="AF180" s="224"/>
      <c r="AG180" s="224"/>
      <c r="AH180" s="224"/>
      <c r="AI180" s="224"/>
    </row>
    <row r="181" spans="1:35" ht="12.75" customHeight="1" x14ac:dyDescent="0.2">
      <c r="A181" s="288"/>
      <c r="B181" s="278"/>
      <c r="C181" s="278"/>
      <c r="D181" s="285"/>
      <c r="E181" s="286"/>
      <c r="F181" s="287"/>
      <c r="G181" s="288"/>
      <c r="H181" s="288"/>
      <c r="I181" s="288"/>
      <c r="J181" s="289"/>
      <c r="K181" s="288"/>
      <c r="L181" s="290"/>
      <c r="M181" s="290"/>
      <c r="N181" s="290"/>
      <c r="O181" s="290"/>
      <c r="P181" s="224"/>
      <c r="Q181" s="224"/>
      <c r="R181" s="224"/>
      <c r="S181" s="224"/>
      <c r="T181" s="224"/>
      <c r="U181" s="224"/>
      <c r="V181" s="224"/>
      <c r="W181" s="224"/>
      <c r="X181" s="224"/>
      <c r="Y181" s="224"/>
      <c r="Z181" s="224"/>
      <c r="AA181" s="224"/>
      <c r="AB181" s="224"/>
      <c r="AC181" s="224"/>
      <c r="AD181" s="224"/>
      <c r="AE181" s="224"/>
      <c r="AF181" s="224"/>
      <c r="AG181" s="224"/>
      <c r="AH181" s="224"/>
      <c r="AI181" s="224"/>
    </row>
    <row r="182" spans="1:35" ht="12.75" customHeight="1" x14ac:dyDescent="0.2">
      <c r="A182" s="288"/>
      <c r="B182" s="278"/>
      <c r="C182" s="278"/>
      <c r="D182" s="285"/>
      <c r="E182" s="286"/>
      <c r="F182" s="287"/>
      <c r="G182" s="288"/>
      <c r="H182" s="288"/>
      <c r="I182" s="288"/>
      <c r="J182" s="289"/>
      <c r="K182" s="288"/>
      <c r="L182" s="290"/>
      <c r="M182" s="290"/>
      <c r="N182" s="290"/>
      <c r="O182" s="290"/>
      <c r="P182" s="224"/>
      <c r="Q182" s="224"/>
      <c r="R182" s="224"/>
      <c r="S182" s="224"/>
      <c r="T182" s="224"/>
      <c r="U182" s="224"/>
      <c r="V182" s="224"/>
      <c r="W182" s="224"/>
      <c r="X182" s="224"/>
      <c r="Y182" s="224"/>
      <c r="Z182" s="224"/>
      <c r="AA182" s="224"/>
      <c r="AB182" s="224"/>
      <c r="AC182" s="224"/>
      <c r="AD182" s="224"/>
      <c r="AE182" s="224"/>
      <c r="AF182" s="224"/>
      <c r="AG182" s="224"/>
      <c r="AH182" s="224"/>
      <c r="AI182" s="224"/>
    </row>
    <row r="183" spans="1:35" ht="12.75" customHeight="1" x14ac:dyDescent="0.2">
      <c r="A183" s="288"/>
      <c r="B183" s="278"/>
      <c r="C183" s="278"/>
      <c r="D183" s="285"/>
      <c r="E183" s="286"/>
      <c r="F183" s="287"/>
      <c r="G183" s="288"/>
      <c r="H183" s="288"/>
      <c r="I183" s="288"/>
      <c r="J183" s="289"/>
      <c r="K183" s="288"/>
      <c r="L183" s="290"/>
      <c r="M183" s="290"/>
      <c r="N183" s="290"/>
      <c r="O183" s="290"/>
      <c r="P183" s="224"/>
      <c r="Q183" s="224"/>
      <c r="R183" s="224"/>
      <c r="S183" s="224"/>
      <c r="T183" s="224"/>
      <c r="U183" s="224"/>
      <c r="V183" s="224"/>
      <c r="W183" s="224"/>
      <c r="X183" s="224"/>
      <c r="Y183" s="224"/>
      <c r="Z183" s="224"/>
      <c r="AA183" s="224"/>
      <c r="AB183" s="224"/>
      <c r="AC183" s="224"/>
      <c r="AD183" s="224"/>
      <c r="AE183" s="224"/>
      <c r="AF183" s="224"/>
      <c r="AG183" s="224"/>
      <c r="AH183" s="224"/>
      <c r="AI183" s="224"/>
    </row>
    <row r="184" spans="1:35" ht="12.75" customHeight="1" x14ac:dyDescent="0.2">
      <c r="A184" s="288"/>
      <c r="B184" s="278"/>
      <c r="C184" s="278"/>
      <c r="D184" s="285"/>
      <c r="E184" s="286"/>
      <c r="F184" s="287"/>
      <c r="G184" s="288"/>
      <c r="H184" s="288"/>
      <c r="I184" s="288"/>
      <c r="J184" s="289"/>
      <c r="K184" s="288"/>
      <c r="L184" s="290"/>
      <c r="M184" s="290"/>
      <c r="N184" s="290"/>
      <c r="O184" s="290"/>
      <c r="P184" s="224"/>
      <c r="Q184" s="224"/>
      <c r="R184" s="224"/>
      <c r="S184" s="224"/>
      <c r="T184" s="224"/>
      <c r="U184" s="224"/>
      <c r="V184" s="224"/>
      <c r="W184" s="224"/>
      <c r="X184" s="224"/>
      <c r="Y184" s="224"/>
      <c r="Z184" s="224"/>
      <c r="AA184" s="224"/>
      <c r="AB184" s="224"/>
      <c r="AC184" s="224"/>
      <c r="AD184" s="224"/>
      <c r="AE184" s="224"/>
      <c r="AF184" s="224"/>
      <c r="AG184" s="224"/>
      <c r="AH184" s="224"/>
      <c r="AI184" s="224"/>
    </row>
    <row r="185" spans="1:35" ht="12.75" customHeight="1" x14ac:dyDescent="0.2">
      <c r="A185" s="288"/>
      <c r="B185" s="278"/>
      <c r="C185" s="278"/>
      <c r="D185" s="285"/>
      <c r="E185" s="286"/>
      <c r="F185" s="287"/>
      <c r="G185" s="288"/>
      <c r="H185" s="288"/>
      <c r="I185" s="288"/>
      <c r="J185" s="289"/>
      <c r="K185" s="288"/>
      <c r="L185" s="290"/>
      <c r="M185" s="290"/>
      <c r="N185" s="290"/>
      <c r="O185" s="290"/>
      <c r="P185" s="224"/>
      <c r="Q185" s="224"/>
      <c r="R185" s="224"/>
      <c r="S185" s="224"/>
      <c r="T185" s="224"/>
      <c r="U185" s="224"/>
      <c r="V185" s="224"/>
      <c r="W185" s="224"/>
      <c r="X185" s="224"/>
      <c r="Y185" s="224"/>
      <c r="Z185" s="224"/>
      <c r="AA185" s="224"/>
      <c r="AB185" s="224"/>
      <c r="AC185" s="224"/>
      <c r="AD185" s="224"/>
      <c r="AE185" s="224"/>
      <c r="AF185" s="224"/>
      <c r="AG185" s="224"/>
      <c r="AH185" s="224"/>
      <c r="AI185" s="224"/>
    </row>
    <row r="186" spans="1:35" ht="12.75" customHeight="1" x14ac:dyDescent="0.2">
      <c r="A186" s="288"/>
      <c r="B186" s="278"/>
      <c r="C186" s="278"/>
      <c r="D186" s="285"/>
      <c r="E186" s="286"/>
      <c r="F186" s="287"/>
      <c r="G186" s="288"/>
      <c r="H186" s="288"/>
      <c r="I186" s="288"/>
      <c r="J186" s="289"/>
      <c r="K186" s="288"/>
      <c r="L186" s="290"/>
      <c r="M186" s="290"/>
      <c r="N186" s="290"/>
      <c r="O186" s="290"/>
      <c r="P186" s="224"/>
      <c r="Q186" s="224"/>
      <c r="R186" s="224"/>
      <c r="S186" s="224"/>
      <c r="T186" s="224"/>
      <c r="U186" s="224"/>
      <c r="V186" s="224"/>
      <c r="W186" s="224"/>
      <c r="X186" s="224"/>
      <c r="Y186" s="224"/>
      <c r="Z186" s="224"/>
      <c r="AA186" s="224"/>
      <c r="AB186" s="224"/>
      <c r="AC186" s="224"/>
      <c r="AD186" s="224"/>
      <c r="AE186" s="224"/>
      <c r="AF186" s="224"/>
      <c r="AG186" s="224"/>
      <c r="AH186" s="224"/>
      <c r="AI186" s="224"/>
    </row>
    <row r="187" spans="1:35" ht="12.75" customHeight="1" x14ac:dyDescent="0.2">
      <c r="A187" s="288"/>
      <c r="B187" s="278"/>
      <c r="C187" s="278"/>
      <c r="D187" s="285"/>
      <c r="E187" s="286"/>
      <c r="F187" s="287"/>
      <c r="G187" s="288"/>
      <c r="H187" s="288"/>
      <c r="I187" s="288"/>
      <c r="J187" s="289"/>
      <c r="K187" s="288"/>
      <c r="L187" s="290"/>
      <c r="M187" s="290"/>
      <c r="N187" s="290"/>
      <c r="O187" s="290"/>
      <c r="P187" s="224"/>
      <c r="Q187" s="224"/>
      <c r="R187" s="224"/>
      <c r="S187" s="224"/>
      <c r="T187" s="224"/>
      <c r="U187" s="224"/>
      <c r="V187" s="224"/>
      <c r="W187" s="224"/>
      <c r="X187" s="224"/>
      <c r="Y187" s="224"/>
      <c r="Z187" s="224"/>
      <c r="AA187" s="224"/>
      <c r="AB187" s="224"/>
      <c r="AC187" s="224"/>
      <c r="AD187" s="224"/>
      <c r="AE187" s="224"/>
      <c r="AF187" s="224"/>
      <c r="AG187" s="224"/>
      <c r="AH187" s="224"/>
      <c r="AI187" s="224"/>
    </row>
    <row r="188" spans="1:35" ht="12.75" customHeight="1" x14ac:dyDescent="0.2">
      <c r="A188" s="288"/>
      <c r="B188" s="278"/>
      <c r="C188" s="278"/>
      <c r="D188" s="285"/>
      <c r="E188" s="286"/>
      <c r="F188" s="287"/>
      <c r="G188" s="288"/>
      <c r="H188" s="288"/>
      <c r="I188" s="288"/>
      <c r="J188" s="289"/>
      <c r="K188" s="288"/>
      <c r="L188" s="290"/>
      <c r="M188" s="290"/>
      <c r="N188" s="290"/>
      <c r="O188" s="290"/>
      <c r="P188" s="224"/>
      <c r="Q188" s="224"/>
      <c r="R188" s="224"/>
      <c r="S188" s="224"/>
      <c r="T188" s="224"/>
      <c r="U188" s="224"/>
      <c r="V188" s="224"/>
      <c r="W188" s="224"/>
      <c r="X188" s="224"/>
      <c r="Y188" s="224"/>
      <c r="Z188" s="224"/>
      <c r="AA188" s="224"/>
      <c r="AB188" s="224"/>
      <c r="AC188" s="224"/>
      <c r="AD188" s="224"/>
      <c r="AE188" s="224"/>
      <c r="AF188" s="224"/>
      <c r="AG188" s="224"/>
      <c r="AH188" s="224"/>
      <c r="AI188" s="224"/>
    </row>
    <row r="189" spans="1:35" ht="12.75" customHeight="1" x14ac:dyDescent="0.2">
      <c r="A189" s="288"/>
      <c r="B189" s="278"/>
      <c r="C189" s="278"/>
      <c r="D189" s="285"/>
      <c r="E189" s="286"/>
      <c r="F189" s="287"/>
      <c r="G189" s="288"/>
      <c r="H189" s="288"/>
      <c r="I189" s="288"/>
      <c r="J189" s="289"/>
      <c r="K189" s="288"/>
      <c r="L189" s="290"/>
      <c r="M189" s="290"/>
      <c r="N189" s="290"/>
      <c r="O189" s="290"/>
      <c r="P189" s="224"/>
      <c r="Q189" s="224"/>
      <c r="R189" s="224"/>
      <c r="S189" s="224"/>
      <c r="T189" s="224"/>
      <c r="U189" s="224"/>
      <c r="V189" s="224"/>
      <c r="W189" s="224"/>
      <c r="X189" s="224"/>
      <c r="Y189" s="224"/>
      <c r="Z189" s="224"/>
      <c r="AA189" s="224"/>
      <c r="AB189" s="224"/>
      <c r="AC189" s="224"/>
      <c r="AD189" s="224"/>
      <c r="AE189" s="224"/>
      <c r="AF189" s="224"/>
      <c r="AG189" s="224"/>
      <c r="AH189" s="224"/>
      <c r="AI189" s="224"/>
    </row>
    <row r="190" spans="1:35" ht="12.75" customHeight="1" x14ac:dyDescent="0.2">
      <c r="A190" s="288"/>
      <c r="B190" s="278"/>
      <c r="C190" s="278"/>
      <c r="D190" s="285"/>
      <c r="E190" s="286"/>
      <c r="F190" s="287"/>
      <c r="G190" s="288"/>
      <c r="H190" s="288"/>
      <c r="I190" s="288"/>
      <c r="J190" s="289"/>
      <c r="K190" s="288"/>
      <c r="L190" s="290"/>
      <c r="M190" s="290"/>
      <c r="N190" s="290"/>
      <c r="O190" s="290"/>
      <c r="P190" s="224"/>
      <c r="Q190" s="224"/>
      <c r="R190" s="224"/>
      <c r="S190" s="224"/>
      <c r="T190" s="224"/>
      <c r="U190" s="224"/>
      <c r="V190" s="224"/>
      <c r="W190" s="224"/>
      <c r="X190" s="224"/>
      <c r="Y190" s="224"/>
      <c r="Z190" s="224"/>
      <c r="AA190" s="224"/>
      <c r="AB190" s="224"/>
      <c r="AC190" s="224"/>
      <c r="AD190" s="224"/>
      <c r="AE190" s="224"/>
      <c r="AF190" s="224"/>
      <c r="AG190" s="224"/>
      <c r="AH190" s="224"/>
      <c r="AI190" s="224"/>
    </row>
    <row r="191" spans="1:35" ht="12.75" customHeight="1" x14ac:dyDescent="0.2">
      <c r="A191" s="288"/>
      <c r="B191" s="278"/>
      <c r="C191" s="278"/>
      <c r="D191" s="285"/>
      <c r="E191" s="286"/>
      <c r="F191" s="287"/>
      <c r="G191" s="288"/>
      <c r="H191" s="288"/>
      <c r="I191" s="288"/>
      <c r="J191" s="289"/>
      <c r="K191" s="288"/>
      <c r="L191" s="290"/>
      <c r="M191" s="290"/>
      <c r="N191" s="290"/>
      <c r="O191" s="290"/>
      <c r="P191" s="224"/>
      <c r="Q191" s="224"/>
      <c r="R191" s="224"/>
      <c r="S191" s="224"/>
      <c r="T191" s="224"/>
      <c r="U191" s="224"/>
      <c r="V191" s="224"/>
      <c r="W191" s="224"/>
      <c r="X191" s="224"/>
      <c r="Y191" s="224"/>
      <c r="Z191" s="224"/>
      <c r="AA191" s="224"/>
      <c r="AB191" s="224"/>
      <c r="AC191" s="224"/>
      <c r="AD191" s="224"/>
      <c r="AE191" s="224"/>
      <c r="AF191" s="224"/>
      <c r="AG191" s="224"/>
      <c r="AH191" s="224"/>
      <c r="AI191" s="224"/>
    </row>
    <row r="192" spans="1:35" ht="12.75" customHeight="1" x14ac:dyDescent="0.2">
      <c r="A192" s="288"/>
      <c r="B192" s="278"/>
      <c r="C192" s="278"/>
      <c r="D192" s="285"/>
      <c r="E192" s="286"/>
      <c r="F192" s="287"/>
      <c r="G192" s="288"/>
      <c r="H192" s="288"/>
      <c r="I192" s="288"/>
      <c r="J192" s="289"/>
      <c r="K192" s="288"/>
      <c r="L192" s="290"/>
      <c r="M192" s="290"/>
      <c r="N192" s="290"/>
      <c r="O192" s="290"/>
      <c r="P192" s="224"/>
      <c r="Q192" s="224"/>
      <c r="R192" s="224"/>
      <c r="S192" s="224"/>
      <c r="T192" s="224"/>
      <c r="U192" s="224"/>
      <c r="V192" s="224"/>
      <c r="W192" s="224"/>
      <c r="X192" s="224"/>
      <c r="Y192" s="224"/>
      <c r="Z192" s="224"/>
      <c r="AA192" s="224"/>
      <c r="AB192" s="224"/>
      <c r="AC192" s="224"/>
      <c r="AD192" s="224"/>
      <c r="AE192" s="224"/>
      <c r="AF192" s="224"/>
      <c r="AG192" s="224"/>
      <c r="AH192" s="224"/>
      <c r="AI192" s="224"/>
    </row>
    <row r="193" spans="1:35" ht="12.75" customHeight="1" x14ac:dyDescent="0.2">
      <c r="A193" s="288"/>
      <c r="B193" s="278"/>
      <c r="C193" s="278"/>
      <c r="D193" s="285"/>
      <c r="E193" s="286"/>
      <c r="F193" s="287"/>
      <c r="G193" s="288"/>
      <c r="H193" s="288"/>
      <c r="I193" s="288"/>
      <c r="J193" s="289"/>
      <c r="K193" s="288"/>
      <c r="L193" s="290"/>
      <c r="M193" s="290"/>
      <c r="N193" s="290"/>
      <c r="O193" s="290"/>
      <c r="P193" s="224"/>
      <c r="Q193" s="224"/>
      <c r="R193" s="224"/>
      <c r="S193" s="224"/>
      <c r="T193" s="224"/>
      <c r="U193" s="224"/>
      <c r="V193" s="224"/>
      <c r="W193" s="224"/>
      <c r="X193" s="224"/>
      <c r="Y193" s="224"/>
      <c r="Z193" s="224"/>
      <c r="AA193" s="224"/>
      <c r="AB193" s="224"/>
      <c r="AC193" s="224"/>
      <c r="AD193" s="224"/>
      <c r="AE193" s="224"/>
      <c r="AF193" s="224"/>
      <c r="AG193" s="224"/>
      <c r="AH193" s="224"/>
      <c r="AI193" s="224"/>
    </row>
    <row r="194" spans="1:35" ht="12.75" customHeight="1" x14ac:dyDescent="0.2">
      <c r="A194" s="288"/>
      <c r="B194" s="278"/>
      <c r="C194" s="278"/>
      <c r="D194" s="285"/>
      <c r="E194" s="286"/>
      <c r="F194" s="287"/>
      <c r="G194" s="288"/>
      <c r="H194" s="288"/>
      <c r="I194" s="288"/>
      <c r="J194" s="289"/>
      <c r="K194" s="288"/>
      <c r="L194" s="290"/>
      <c r="M194" s="290"/>
      <c r="N194" s="290"/>
      <c r="O194" s="290"/>
      <c r="P194" s="224"/>
      <c r="Q194" s="224"/>
      <c r="R194" s="224"/>
      <c r="S194" s="224"/>
      <c r="T194" s="224"/>
      <c r="U194" s="224"/>
      <c r="V194" s="224"/>
      <c r="W194" s="224"/>
      <c r="X194" s="224"/>
      <c r="Y194" s="224"/>
      <c r="Z194" s="224"/>
      <c r="AA194" s="224"/>
      <c r="AB194" s="224"/>
      <c r="AC194" s="224"/>
      <c r="AD194" s="224"/>
      <c r="AE194" s="224"/>
      <c r="AF194" s="224"/>
      <c r="AG194" s="224"/>
      <c r="AH194" s="224"/>
      <c r="AI194" s="224"/>
    </row>
    <row r="195" spans="1:35" ht="12.75" customHeight="1" x14ac:dyDescent="0.2">
      <c r="A195" s="288"/>
      <c r="B195" s="278"/>
      <c r="C195" s="278"/>
      <c r="D195" s="285"/>
      <c r="E195" s="286"/>
      <c r="F195" s="287"/>
      <c r="G195" s="288"/>
      <c r="H195" s="288"/>
      <c r="I195" s="288"/>
      <c r="J195" s="289"/>
      <c r="K195" s="288"/>
      <c r="L195" s="290"/>
      <c r="M195" s="290"/>
      <c r="N195" s="290"/>
      <c r="O195" s="290"/>
      <c r="P195" s="224"/>
      <c r="Q195" s="224"/>
      <c r="R195" s="224"/>
      <c r="S195" s="224"/>
      <c r="T195" s="224"/>
      <c r="U195" s="224"/>
      <c r="V195" s="224"/>
      <c r="W195" s="224"/>
      <c r="X195" s="224"/>
      <c r="Y195" s="224"/>
      <c r="Z195" s="224"/>
      <c r="AA195" s="224"/>
      <c r="AB195" s="224"/>
      <c r="AC195" s="224"/>
      <c r="AD195" s="224"/>
      <c r="AE195" s="224"/>
      <c r="AF195" s="224"/>
      <c r="AG195" s="224"/>
      <c r="AH195" s="224"/>
      <c r="AI195" s="224"/>
    </row>
    <row r="196" spans="1:35" ht="12.75" customHeight="1" x14ac:dyDescent="0.2">
      <c r="A196" s="288"/>
      <c r="B196" s="278"/>
      <c r="C196" s="278"/>
      <c r="D196" s="285"/>
      <c r="E196" s="286"/>
      <c r="F196" s="287"/>
      <c r="G196" s="288"/>
      <c r="H196" s="288"/>
      <c r="I196" s="288"/>
      <c r="J196" s="289"/>
      <c r="K196" s="288"/>
      <c r="L196" s="290"/>
      <c r="M196" s="290"/>
      <c r="N196" s="290"/>
      <c r="O196" s="290"/>
      <c r="P196" s="224"/>
      <c r="Q196" s="224"/>
      <c r="R196" s="224"/>
      <c r="S196" s="224"/>
      <c r="T196" s="224"/>
      <c r="U196" s="224"/>
      <c r="V196" s="224"/>
      <c r="W196" s="224"/>
      <c r="X196" s="224"/>
      <c r="Y196" s="224"/>
      <c r="Z196" s="224"/>
      <c r="AA196" s="224"/>
      <c r="AB196" s="224"/>
      <c r="AC196" s="224"/>
      <c r="AD196" s="224"/>
      <c r="AE196" s="224"/>
      <c r="AF196" s="224"/>
      <c r="AG196" s="224"/>
      <c r="AH196" s="224"/>
      <c r="AI196" s="224"/>
    </row>
    <row r="197" spans="1:35" ht="12.75" customHeight="1" x14ac:dyDescent="0.2">
      <c r="A197" s="288"/>
      <c r="B197" s="278"/>
      <c r="C197" s="278"/>
      <c r="D197" s="285"/>
      <c r="E197" s="286"/>
      <c r="F197" s="287"/>
      <c r="G197" s="288"/>
      <c r="H197" s="288"/>
      <c r="I197" s="288"/>
      <c r="J197" s="289"/>
      <c r="K197" s="288"/>
      <c r="L197" s="290"/>
      <c r="M197" s="290"/>
      <c r="N197" s="290"/>
      <c r="O197" s="290"/>
      <c r="P197" s="224"/>
      <c r="Q197" s="224"/>
      <c r="R197" s="224"/>
      <c r="S197" s="224"/>
      <c r="T197" s="224"/>
      <c r="U197" s="224"/>
      <c r="V197" s="224"/>
      <c r="W197" s="224"/>
      <c r="X197" s="224"/>
      <c r="Y197" s="224"/>
      <c r="Z197" s="224"/>
      <c r="AA197" s="224"/>
      <c r="AB197" s="224"/>
      <c r="AC197" s="224"/>
      <c r="AD197" s="224"/>
      <c r="AE197" s="224"/>
      <c r="AF197" s="224"/>
      <c r="AG197" s="224"/>
      <c r="AH197" s="224"/>
      <c r="AI197" s="224"/>
    </row>
    <row r="198" spans="1:35" ht="12.75" customHeight="1" x14ac:dyDescent="0.2">
      <c r="A198" s="288"/>
      <c r="B198" s="278"/>
      <c r="C198" s="278"/>
      <c r="D198" s="285"/>
      <c r="E198" s="286"/>
      <c r="F198" s="287"/>
      <c r="G198" s="288"/>
      <c r="H198" s="288"/>
      <c r="I198" s="288"/>
      <c r="J198" s="289"/>
      <c r="K198" s="288"/>
      <c r="L198" s="290"/>
      <c r="M198" s="290"/>
      <c r="N198" s="290"/>
      <c r="O198" s="290"/>
      <c r="P198" s="224"/>
      <c r="Q198" s="224"/>
      <c r="R198" s="224"/>
      <c r="S198" s="224"/>
      <c r="T198" s="224"/>
      <c r="U198" s="224"/>
      <c r="V198" s="224"/>
      <c r="W198" s="224"/>
      <c r="X198" s="224"/>
      <c r="Y198" s="224"/>
      <c r="Z198" s="224"/>
      <c r="AA198" s="224"/>
      <c r="AB198" s="224"/>
      <c r="AC198" s="224"/>
      <c r="AD198" s="224"/>
      <c r="AE198" s="224"/>
      <c r="AF198" s="224"/>
      <c r="AG198" s="224"/>
      <c r="AH198" s="224"/>
      <c r="AI198" s="224"/>
    </row>
    <row r="199" spans="1:35" ht="12.75" customHeight="1" x14ac:dyDescent="0.2">
      <c r="A199" s="288"/>
      <c r="B199" s="278"/>
      <c r="C199" s="278"/>
      <c r="D199" s="285"/>
      <c r="E199" s="286"/>
      <c r="F199" s="287"/>
      <c r="G199" s="288"/>
      <c r="H199" s="288"/>
      <c r="I199" s="288"/>
      <c r="J199" s="289"/>
      <c r="K199" s="288"/>
      <c r="L199" s="290"/>
      <c r="M199" s="290"/>
      <c r="N199" s="290"/>
      <c r="O199" s="290"/>
      <c r="P199" s="224"/>
      <c r="Q199" s="224"/>
      <c r="R199" s="224"/>
      <c r="S199" s="224"/>
      <c r="T199" s="224"/>
      <c r="U199" s="224"/>
      <c r="V199" s="224"/>
      <c r="W199" s="224"/>
      <c r="X199" s="224"/>
      <c r="Y199" s="224"/>
      <c r="Z199" s="224"/>
      <c r="AA199" s="224"/>
      <c r="AB199" s="224"/>
      <c r="AC199" s="224"/>
      <c r="AD199" s="224"/>
      <c r="AE199" s="224"/>
      <c r="AF199" s="224"/>
      <c r="AG199" s="224"/>
      <c r="AH199" s="224"/>
      <c r="AI199" s="224"/>
    </row>
    <row r="200" spans="1:35" ht="12.75" customHeight="1" x14ac:dyDescent="0.2">
      <c r="A200" s="288"/>
      <c r="B200" s="278"/>
      <c r="C200" s="278"/>
      <c r="D200" s="285"/>
      <c r="E200" s="286"/>
      <c r="F200" s="287"/>
      <c r="G200" s="288"/>
      <c r="H200" s="288"/>
      <c r="I200" s="288"/>
      <c r="J200" s="289"/>
      <c r="K200" s="288"/>
      <c r="L200" s="290"/>
      <c r="M200" s="290"/>
      <c r="N200" s="290"/>
      <c r="O200" s="290"/>
      <c r="P200" s="224"/>
      <c r="Q200" s="224"/>
      <c r="R200" s="224"/>
      <c r="S200" s="224"/>
      <c r="T200" s="224"/>
      <c r="U200" s="224"/>
      <c r="V200" s="224"/>
      <c r="W200" s="224"/>
      <c r="X200" s="224"/>
      <c r="Y200" s="224"/>
      <c r="Z200" s="224"/>
      <c r="AA200" s="224"/>
      <c r="AB200" s="224"/>
      <c r="AC200" s="224"/>
      <c r="AD200" s="224"/>
      <c r="AE200" s="224"/>
      <c r="AF200" s="224"/>
      <c r="AG200" s="224"/>
      <c r="AH200" s="224"/>
      <c r="AI200" s="224"/>
    </row>
    <row r="201" spans="1:35" ht="12.75" customHeight="1" x14ac:dyDescent="0.2">
      <c r="A201" s="288"/>
      <c r="B201" s="278"/>
      <c r="C201" s="278"/>
      <c r="D201" s="285"/>
      <c r="E201" s="286"/>
      <c r="F201" s="287"/>
      <c r="G201" s="288"/>
      <c r="H201" s="288"/>
      <c r="I201" s="288"/>
      <c r="J201" s="289"/>
      <c r="K201" s="288"/>
      <c r="L201" s="290"/>
      <c r="M201" s="290"/>
      <c r="N201" s="290"/>
      <c r="O201" s="290"/>
      <c r="P201" s="224"/>
      <c r="Q201" s="224"/>
      <c r="R201" s="224"/>
      <c r="S201" s="224"/>
      <c r="T201" s="224"/>
      <c r="U201" s="224"/>
      <c r="V201" s="224"/>
      <c r="W201" s="224"/>
      <c r="X201" s="224"/>
      <c r="Y201" s="224"/>
      <c r="Z201" s="224"/>
      <c r="AA201" s="224"/>
      <c r="AB201" s="224"/>
      <c r="AC201" s="224"/>
      <c r="AD201" s="224"/>
      <c r="AE201" s="224"/>
      <c r="AF201" s="224"/>
      <c r="AG201" s="224"/>
      <c r="AH201" s="224"/>
      <c r="AI201" s="224"/>
    </row>
    <row r="202" spans="1:35" ht="12.75" customHeight="1" x14ac:dyDescent="0.2">
      <c r="A202" s="288"/>
      <c r="B202" s="278"/>
      <c r="C202" s="278"/>
      <c r="D202" s="285"/>
      <c r="E202" s="286"/>
      <c r="F202" s="287"/>
      <c r="G202" s="288"/>
      <c r="H202" s="288"/>
      <c r="I202" s="288"/>
      <c r="J202" s="289"/>
      <c r="K202" s="288"/>
      <c r="L202" s="290"/>
      <c r="M202" s="290"/>
      <c r="N202" s="290"/>
      <c r="O202" s="290"/>
      <c r="P202" s="224"/>
      <c r="Q202" s="224"/>
      <c r="R202" s="224"/>
      <c r="S202" s="224"/>
      <c r="T202" s="224"/>
      <c r="U202" s="224"/>
      <c r="V202" s="224"/>
      <c r="W202" s="224"/>
      <c r="X202" s="224"/>
      <c r="Y202" s="224"/>
      <c r="Z202" s="224"/>
      <c r="AA202" s="224"/>
      <c r="AB202" s="224"/>
      <c r="AC202" s="224"/>
      <c r="AD202" s="224"/>
      <c r="AE202" s="224"/>
      <c r="AF202" s="224"/>
      <c r="AG202" s="224"/>
      <c r="AH202" s="224"/>
      <c r="AI202" s="224"/>
    </row>
    <row r="203" spans="1:35" ht="12.75" customHeight="1" x14ac:dyDescent="0.2">
      <c r="A203" s="288"/>
      <c r="B203" s="278"/>
      <c r="C203" s="278"/>
      <c r="D203" s="285"/>
      <c r="E203" s="286"/>
      <c r="F203" s="287"/>
      <c r="G203" s="288"/>
      <c r="H203" s="288"/>
      <c r="I203" s="288"/>
      <c r="J203" s="289"/>
      <c r="K203" s="288"/>
      <c r="L203" s="290"/>
      <c r="M203" s="290"/>
      <c r="N203" s="290"/>
      <c r="O203" s="290"/>
      <c r="P203" s="224"/>
      <c r="Q203" s="224"/>
      <c r="R203" s="224"/>
      <c r="S203" s="224"/>
      <c r="T203" s="224"/>
      <c r="U203" s="224"/>
      <c r="V203" s="224"/>
      <c r="W203" s="224"/>
      <c r="X203" s="224"/>
      <c r="Y203" s="224"/>
      <c r="Z203" s="224"/>
      <c r="AA203" s="224"/>
      <c r="AB203" s="224"/>
      <c r="AC203" s="224"/>
      <c r="AD203" s="224"/>
      <c r="AE203" s="224"/>
      <c r="AF203" s="224"/>
      <c r="AG203" s="224"/>
      <c r="AH203" s="224"/>
      <c r="AI203" s="224"/>
    </row>
    <row r="204" spans="1:35" ht="12.75" customHeight="1" x14ac:dyDescent="0.2">
      <c r="A204" s="288"/>
      <c r="B204" s="278"/>
      <c r="C204" s="278"/>
      <c r="D204" s="285"/>
      <c r="E204" s="286"/>
      <c r="F204" s="287"/>
      <c r="G204" s="288"/>
      <c r="H204" s="288"/>
      <c r="I204" s="288"/>
      <c r="J204" s="289"/>
      <c r="K204" s="288"/>
      <c r="L204" s="290"/>
      <c r="M204" s="290"/>
      <c r="N204" s="290"/>
      <c r="O204" s="290"/>
      <c r="P204" s="224"/>
      <c r="Q204" s="224"/>
      <c r="R204" s="224"/>
      <c r="S204" s="224"/>
      <c r="T204" s="224"/>
      <c r="U204" s="224"/>
      <c r="V204" s="224"/>
      <c r="W204" s="224"/>
      <c r="X204" s="224"/>
      <c r="Y204" s="224"/>
      <c r="Z204" s="224"/>
      <c r="AA204" s="224"/>
      <c r="AB204" s="224"/>
      <c r="AC204" s="224"/>
      <c r="AD204" s="224"/>
      <c r="AE204" s="224"/>
      <c r="AF204" s="224"/>
      <c r="AG204" s="224"/>
      <c r="AH204" s="224"/>
      <c r="AI204" s="224"/>
    </row>
    <row r="205" spans="1:35" ht="12.75" customHeight="1" x14ac:dyDescent="0.2">
      <c r="A205" s="288"/>
      <c r="B205" s="278"/>
      <c r="C205" s="278"/>
      <c r="D205" s="285"/>
      <c r="E205" s="286"/>
      <c r="F205" s="287"/>
      <c r="G205" s="288"/>
      <c r="H205" s="288"/>
      <c r="I205" s="288"/>
      <c r="J205" s="289"/>
      <c r="K205" s="288"/>
      <c r="L205" s="290"/>
      <c r="M205" s="290"/>
      <c r="N205" s="290"/>
      <c r="O205" s="290"/>
      <c r="P205" s="224"/>
      <c r="Q205" s="224"/>
      <c r="R205" s="224"/>
      <c r="S205" s="224"/>
      <c r="T205" s="224"/>
      <c r="U205" s="224"/>
      <c r="V205" s="224"/>
      <c r="W205" s="224"/>
      <c r="X205" s="224"/>
      <c r="Y205" s="224"/>
      <c r="Z205" s="224"/>
      <c r="AA205" s="224"/>
      <c r="AB205" s="224"/>
      <c r="AC205" s="224"/>
      <c r="AD205" s="224"/>
      <c r="AE205" s="224"/>
      <c r="AF205" s="224"/>
      <c r="AG205" s="224"/>
      <c r="AH205" s="224"/>
      <c r="AI205" s="224"/>
    </row>
    <row r="206" spans="1:35" ht="12.75" customHeight="1" x14ac:dyDescent="0.2">
      <c r="A206" s="288"/>
      <c r="B206" s="278"/>
      <c r="C206" s="278"/>
      <c r="D206" s="285"/>
      <c r="E206" s="286"/>
      <c r="F206" s="287"/>
      <c r="G206" s="288"/>
      <c r="H206" s="288"/>
      <c r="I206" s="288"/>
      <c r="J206" s="289"/>
      <c r="K206" s="288"/>
      <c r="L206" s="290"/>
      <c r="M206" s="290"/>
      <c r="N206" s="290"/>
      <c r="O206" s="290"/>
      <c r="P206" s="224"/>
      <c r="Q206" s="224"/>
      <c r="R206" s="224"/>
      <c r="S206" s="224"/>
      <c r="T206" s="224"/>
      <c r="U206" s="224"/>
      <c r="V206" s="224"/>
      <c r="W206" s="224"/>
      <c r="X206" s="224"/>
      <c r="Y206" s="224"/>
      <c r="Z206" s="224"/>
      <c r="AA206" s="224"/>
      <c r="AB206" s="224"/>
      <c r="AC206" s="224"/>
      <c r="AD206" s="224"/>
      <c r="AE206" s="224"/>
      <c r="AF206" s="224"/>
      <c r="AG206" s="224"/>
      <c r="AH206" s="224"/>
      <c r="AI206" s="224"/>
    </row>
    <row r="207" spans="1:35" ht="12.75" customHeight="1" x14ac:dyDescent="0.2">
      <c r="A207" s="288"/>
      <c r="B207" s="278"/>
      <c r="C207" s="278"/>
      <c r="D207" s="285"/>
      <c r="E207" s="286"/>
      <c r="F207" s="287"/>
      <c r="G207" s="288"/>
      <c r="H207" s="288"/>
      <c r="I207" s="288"/>
      <c r="J207" s="289"/>
      <c r="K207" s="288"/>
      <c r="L207" s="290"/>
      <c r="M207" s="290"/>
      <c r="N207" s="290"/>
      <c r="O207" s="290"/>
      <c r="P207" s="224"/>
      <c r="Q207" s="224"/>
      <c r="R207" s="224"/>
      <c r="S207" s="224"/>
      <c r="T207" s="224"/>
      <c r="U207" s="224"/>
      <c r="V207" s="224"/>
      <c r="W207" s="224"/>
      <c r="X207" s="224"/>
      <c r="Y207" s="224"/>
      <c r="Z207" s="224"/>
      <c r="AA207" s="224"/>
      <c r="AB207" s="224"/>
      <c r="AC207" s="224"/>
      <c r="AD207" s="224"/>
      <c r="AE207" s="224"/>
      <c r="AF207" s="224"/>
      <c r="AG207" s="224"/>
      <c r="AH207" s="224"/>
      <c r="AI207" s="224"/>
    </row>
    <row r="208" spans="1:35" ht="12.75" customHeight="1" x14ac:dyDescent="0.2">
      <c r="A208" s="288"/>
      <c r="B208" s="278"/>
      <c r="C208" s="278"/>
      <c r="D208" s="285"/>
      <c r="E208" s="286"/>
      <c r="F208" s="287"/>
      <c r="G208" s="288"/>
      <c r="H208" s="288"/>
      <c r="I208" s="288"/>
      <c r="J208" s="289"/>
      <c r="K208" s="288"/>
      <c r="L208" s="290"/>
      <c r="M208" s="290"/>
      <c r="N208" s="290"/>
      <c r="O208" s="290"/>
      <c r="P208" s="224"/>
      <c r="Q208" s="224"/>
      <c r="R208" s="224"/>
      <c r="S208" s="224"/>
      <c r="T208" s="224"/>
      <c r="U208" s="224"/>
      <c r="V208" s="224"/>
      <c r="W208" s="224"/>
      <c r="X208" s="224"/>
      <c r="Y208" s="224"/>
      <c r="Z208" s="224"/>
      <c r="AA208" s="224"/>
      <c r="AB208" s="224"/>
      <c r="AC208" s="224"/>
      <c r="AD208" s="224"/>
      <c r="AE208" s="224"/>
      <c r="AF208" s="224"/>
      <c r="AG208" s="224"/>
      <c r="AH208" s="224"/>
      <c r="AI208" s="224"/>
    </row>
    <row r="209" spans="1:35" ht="12.75" customHeight="1" x14ac:dyDescent="0.2">
      <c r="A209" s="288"/>
      <c r="B209" s="278"/>
      <c r="C209" s="278"/>
      <c r="D209" s="285"/>
      <c r="E209" s="286"/>
      <c r="F209" s="287"/>
      <c r="G209" s="288"/>
      <c r="H209" s="288"/>
      <c r="I209" s="288"/>
      <c r="J209" s="289"/>
      <c r="K209" s="288"/>
      <c r="L209" s="290"/>
      <c r="M209" s="290"/>
      <c r="N209" s="290"/>
      <c r="O209" s="290"/>
      <c r="P209" s="224"/>
      <c r="Q209" s="224"/>
      <c r="R209" s="224"/>
      <c r="S209" s="224"/>
      <c r="T209" s="224"/>
      <c r="U209" s="224"/>
      <c r="V209" s="224"/>
      <c r="W209" s="224"/>
      <c r="X209" s="224"/>
      <c r="Y209" s="224"/>
      <c r="Z209" s="224"/>
      <c r="AA209" s="224"/>
      <c r="AB209" s="224"/>
      <c r="AC209" s="224"/>
      <c r="AD209" s="224"/>
      <c r="AE209" s="224"/>
      <c r="AF209" s="224"/>
      <c r="AG209" s="224"/>
      <c r="AH209" s="224"/>
      <c r="AI209" s="224"/>
    </row>
    <row r="210" spans="1:35" ht="12.75" customHeight="1" x14ac:dyDescent="0.2">
      <c r="A210" s="288"/>
      <c r="B210" s="278"/>
      <c r="C210" s="278"/>
      <c r="D210" s="285"/>
      <c r="E210" s="286"/>
      <c r="F210" s="287"/>
      <c r="G210" s="288"/>
      <c r="H210" s="288"/>
      <c r="I210" s="288"/>
      <c r="J210" s="289"/>
      <c r="K210" s="288"/>
      <c r="L210" s="290"/>
      <c r="M210" s="290"/>
      <c r="N210" s="290"/>
      <c r="O210" s="290"/>
      <c r="P210" s="224"/>
      <c r="Q210" s="224"/>
      <c r="R210" s="224"/>
      <c r="S210" s="224"/>
      <c r="T210" s="224"/>
      <c r="U210" s="224"/>
      <c r="V210" s="224"/>
      <c r="W210" s="224"/>
      <c r="X210" s="224"/>
      <c r="Y210" s="224"/>
      <c r="Z210" s="224"/>
      <c r="AA210" s="224"/>
      <c r="AB210" s="224"/>
      <c r="AC210" s="224"/>
      <c r="AD210" s="224"/>
      <c r="AE210" s="224"/>
      <c r="AF210" s="224"/>
      <c r="AG210" s="224"/>
      <c r="AH210" s="224"/>
      <c r="AI210" s="224"/>
    </row>
    <row r="211" spans="1:35" ht="12.75" customHeight="1" x14ac:dyDescent="0.2">
      <c r="A211" s="288"/>
      <c r="B211" s="278"/>
      <c r="C211" s="278"/>
      <c r="D211" s="285"/>
      <c r="E211" s="286"/>
      <c r="F211" s="287"/>
      <c r="G211" s="288"/>
      <c r="H211" s="288"/>
      <c r="I211" s="288"/>
      <c r="J211" s="289"/>
      <c r="K211" s="288"/>
      <c r="L211" s="290"/>
      <c r="M211" s="290"/>
      <c r="N211" s="290"/>
      <c r="O211" s="290"/>
      <c r="P211" s="224"/>
      <c r="Q211" s="224"/>
      <c r="R211" s="224"/>
      <c r="S211" s="224"/>
      <c r="T211" s="224"/>
      <c r="U211" s="224"/>
      <c r="V211" s="224"/>
      <c r="W211" s="224"/>
      <c r="X211" s="224"/>
      <c r="Y211" s="224"/>
      <c r="Z211" s="224"/>
      <c r="AA211" s="224"/>
      <c r="AB211" s="224"/>
      <c r="AC211" s="224"/>
      <c r="AD211" s="224"/>
      <c r="AE211" s="224"/>
      <c r="AF211" s="224"/>
      <c r="AG211" s="224"/>
      <c r="AH211" s="224"/>
      <c r="AI211" s="224"/>
    </row>
    <row r="212" spans="1:35" ht="12.75" customHeight="1" x14ac:dyDescent="0.2">
      <c r="A212" s="288"/>
      <c r="B212" s="278"/>
      <c r="C212" s="278"/>
      <c r="D212" s="285"/>
      <c r="E212" s="286"/>
      <c r="F212" s="287"/>
      <c r="G212" s="288"/>
      <c r="H212" s="288"/>
      <c r="I212" s="288"/>
      <c r="J212" s="289"/>
      <c r="K212" s="288"/>
      <c r="L212" s="290"/>
      <c r="M212" s="290"/>
      <c r="N212" s="290"/>
      <c r="O212" s="290"/>
      <c r="P212" s="224"/>
      <c r="Q212" s="224"/>
      <c r="R212" s="224"/>
      <c r="S212" s="224"/>
      <c r="T212" s="224"/>
      <c r="U212" s="224"/>
      <c r="V212" s="224"/>
      <c r="W212" s="224"/>
      <c r="X212" s="224"/>
      <c r="Y212" s="224"/>
      <c r="Z212" s="224"/>
      <c r="AA212" s="224"/>
      <c r="AB212" s="224"/>
      <c r="AC212" s="224"/>
      <c r="AD212" s="224"/>
      <c r="AE212" s="224"/>
      <c r="AF212" s="224"/>
      <c r="AG212" s="224"/>
      <c r="AH212" s="224"/>
      <c r="AI212" s="224"/>
    </row>
    <row r="213" spans="1:35" ht="12.75" customHeight="1" x14ac:dyDescent="0.2">
      <c r="A213" s="288"/>
      <c r="B213" s="278"/>
      <c r="C213" s="278"/>
      <c r="D213" s="285"/>
      <c r="E213" s="286"/>
      <c r="F213" s="287"/>
      <c r="G213" s="288"/>
      <c r="H213" s="288"/>
      <c r="I213" s="288"/>
      <c r="J213" s="289"/>
      <c r="K213" s="288"/>
      <c r="L213" s="290"/>
      <c r="M213" s="290"/>
      <c r="N213" s="290"/>
      <c r="O213" s="290"/>
      <c r="P213" s="224"/>
      <c r="Q213" s="224"/>
      <c r="R213" s="224"/>
      <c r="S213" s="224"/>
      <c r="T213" s="224"/>
      <c r="U213" s="224"/>
      <c r="V213" s="224"/>
      <c r="W213" s="224"/>
      <c r="X213" s="224"/>
      <c r="Y213" s="224"/>
      <c r="Z213" s="224"/>
      <c r="AA213" s="224"/>
      <c r="AB213" s="224"/>
      <c r="AC213" s="224"/>
      <c r="AD213" s="224"/>
      <c r="AE213" s="224"/>
      <c r="AF213" s="224"/>
      <c r="AG213" s="224"/>
      <c r="AH213" s="224"/>
      <c r="AI213" s="224"/>
    </row>
    <row r="214" spans="1:35" ht="12.75" customHeight="1" x14ac:dyDescent="0.2">
      <c r="A214" s="288"/>
      <c r="B214" s="278"/>
      <c r="C214" s="278"/>
      <c r="D214" s="285"/>
      <c r="E214" s="286"/>
      <c r="F214" s="287"/>
      <c r="G214" s="288"/>
      <c r="H214" s="288"/>
      <c r="I214" s="288"/>
      <c r="J214" s="289"/>
      <c r="K214" s="288"/>
      <c r="L214" s="290"/>
      <c r="M214" s="290"/>
      <c r="N214" s="290"/>
      <c r="O214" s="290"/>
      <c r="P214" s="224"/>
      <c r="Q214" s="224"/>
      <c r="R214" s="224"/>
      <c r="S214" s="224"/>
      <c r="T214" s="224"/>
      <c r="U214" s="224"/>
      <c r="V214" s="224"/>
      <c r="W214" s="224"/>
      <c r="X214" s="224"/>
      <c r="Y214" s="224"/>
      <c r="Z214" s="224"/>
      <c r="AA214" s="224"/>
      <c r="AB214" s="224"/>
      <c r="AC214" s="224"/>
      <c r="AD214" s="224"/>
      <c r="AE214" s="224"/>
      <c r="AF214" s="224"/>
      <c r="AG214" s="224"/>
      <c r="AH214" s="224"/>
      <c r="AI214" s="224"/>
    </row>
    <row r="215" spans="1:35" ht="12.75" customHeight="1" x14ac:dyDescent="0.2">
      <c r="A215" s="288"/>
      <c r="B215" s="278"/>
      <c r="C215" s="278"/>
      <c r="D215" s="285"/>
      <c r="E215" s="286"/>
      <c r="F215" s="287"/>
      <c r="G215" s="288"/>
      <c r="H215" s="288"/>
      <c r="I215" s="288"/>
      <c r="J215" s="289"/>
      <c r="K215" s="288"/>
      <c r="L215" s="290"/>
      <c r="M215" s="290"/>
      <c r="N215" s="290"/>
      <c r="O215" s="290"/>
      <c r="P215" s="224"/>
      <c r="Q215" s="224"/>
      <c r="R215" s="224"/>
      <c r="S215" s="224"/>
      <c r="T215" s="224"/>
      <c r="U215" s="224"/>
      <c r="V215" s="224"/>
      <c r="W215" s="224"/>
      <c r="X215" s="224"/>
      <c r="Y215" s="224"/>
      <c r="Z215" s="224"/>
      <c r="AA215" s="224"/>
      <c r="AB215" s="224"/>
      <c r="AC215" s="224"/>
      <c r="AD215" s="224"/>
      <c r="AE215" s="224"/>
      <c r="AF215" s="224"/>
      <c r="AG215" s="224"/>
      <c r="AH215" s="224"/>
      <c r="AI215" s="224"/>
    </row>
    <row r="216" spans="1:35" ht="12.75" customHeight="1" x14ac:dyDescent="0.2">
      <c r="A216" s="288"/>
      <c r="B216" s="278"/>
      <c r="C216" s="278"/>
      <c r="D216" s="285"/>
      <c r="E216" s="286"/>
      <c r="F216" s="287"/>
      <c r="G216" s="288"/>
      <c r="H216" s="288"/>
      <c r="I216" s="288"/>
      <c r="J216" s="289"/>
      <c r="K216" s="288"/>
      <c r="L216" s="290"/>
      <c r="M216" s="290"/>
      <c r="N216" s="290"/>
      <c r="O216" s="290"/>
      <c r="P216" s="224"/>
      <c r="Q216" s="224"/>
      <c r="R216" s="224"/>
      <c r="S216" s="224"/>
      <c r="T216" s="224"/>
      <c r="U216" s="224"/>
      <c r="V216" s="224"/>
      <c r="W216" s="224"/>
      <c r="X216" s="224"/>
      <c r="Y216" s="224"/>
      <c r="Z216" s="224"/>
      <c r="AA216" s="224"/>
      <c r="AB216" s="224"/>
      <c r="AC216" s="224"/>
      <c r="AD216" s="224"/>
      <c r="AE216" s="224"/>
      <c r="AF216" s="224"/>
      <c r="AG216" s="224"/>
      <c r="AH216" s="224"/>
      <c r="AI216" s="224"/>
    </row>
    <row r="217" spans="1:35" ht="12.75" customHeight="1" x14ac:dyDescent="0.2">
      <c r="A217" s="288"/>
      <c r="B217" s="278"/>
      <c r="C217" s="278"/>
      <c r="D217" s="285"/>
      <c r="E217" s="286"/>
      <c r="F217" s="287"/>
      <c r="G217" s="288"/>
      <c r="H217" s="288"/>
      <c r="I217" s="288"/>
      <c r="J217" s="289"/>
      <c r="K217" s="288"/>
      <c r="L217" s="290"/>
      <c r="M217" s="290"/>
      <c r="N217" s="290"/>
      <c r="O217" s="290"/>
      <c r="P217" s="224"/>
      <c r="Q217" s="224"/>
      <c r="R217" s="224"/>
      <c r="S217" s="224"/>
      <c r="T217" s="224"/>
      <c r="U217" s="224"/>
      <c r="V217" s="224"/>
      <c r="W217" s="224"/>
      <c r="X217" s="224"/>
      <c r="Y217" s="224"/>
      <c r="Z217" s="224"/>
      <c r="AA217" s="224"/>
      <c r="AB217" s="224"/>
      <c r="AC217" s="224"/>
      <c r="AD217" s="224"/>
      <c r="AE217" s="224"/>
      <c r="AF217" s="224"/>
      <c r="AG217" s="224"/>
      <c r="AH217" s="224"/>
      <c r="AI217" s="224"/>
    </row>
    <row r="218" spans="1:35" ht="12.75" customHeight="1" x14ac:dyDescent="0.2">
      <c r="A218" s="288"/>
      <c r="B218" s="278"/>
      <c r="C218" s="278"/>
      <c r="D218" s="285"/>
      <c r="E218" s="286"/>
      <c r="F218" s="287"/>
      <c r="G218" s="288"/>
      <c r="H218" s="288"/>
      <c r="I218" s="288"/>
      <c r="J218" s="289"/>
      <c r="K218" s="288"/>
      <c r="L218" s="290"/>
      <c r="M218" s="290"/>
      <c r="N218" s="290"/>
      <c r="O218" s="290"/>
      <c r="P218" s="224"/>
      <c r="Q218" s="224"/>
      <c r="R218" s="224"/>
      <c r="S218" s="224"/>
      <c r="T218" s="224"/>
      <c r="U218" s="224"/>
      <c r="V218" s="224"/>
      <c r="W218" s="224"/>
      <c r="X218" s="224"/>
      <c r="Y218" s="224"/>
      <c r="Z218" s="224"/>
      <c r="AA218" s="224"/>
      <c r="AB218" s="224"/>
      <c r="AC218" s="224"/>
      <c r="AD218" s="224"/>
      <c r="AE218" s="224"/>
      <c r="AF218" s="224"/>
      <c r="AG218" s="224"/>
      <c r="AH218" s="224"/>
      <c r="AI218" s="224"/>
    </row>
    <row r="219" spans="1:35" ht="12.75" customHeight="1" x14ac:dyDescent="0.2">
      <c r="A219" s="288"/>
      <c r="B219" s="278"/>
      <c r="C219" s="278"/>
      <c r="D219" s="285"/>
      <c r="E219" s="286"/>
      <c r="F219" s="287"/>
      <c r="G219" s="288"/>
      <c r="H219" s="288"/>
      <c r="I219" s="288"/>
      <c r="J219" s="289"/>
      <c r="K219" s="288"/>
      <c r="L219" s="290"/>
      <c r="M219" s="290"/>
      <c r="N219" s="290"/>
      <c r="O219" s="290"/>
      <c r="P219" s="224"/>
      <c r="Q219" s="224"/>
      <c r="R219" s="224"/>
      <c r="S219" s="224"/>
      <c r="T219" s="224"/>
      <c r="U219" s="224"/>
      <c r="V219" s="224"/>
      <c r="W219" s="224"/>
      <c r="X219" s="224"/>
      <c r="Y219" s="224"/>
      <c r="Z219" s="224"/>
      <c r="AA219" s="224"/>
      <c r="AB219" s="224"/>
      <c r="AC219" s="224"/>
      <c r="AD219" s="224"/>
      <c r="AE219" s="224"/>
      <c r="AF219" s="224"/>
      <c r="AG219" s="224"/>
      <c r="AH219" s="224"/>
      <c r="AI219" s="224"/>
    </row>
    <row r="220" spans="1:35" ht="12.75" customHeight="1" x14ac:dyDescent="0.2">
      <c r="A220" s="224"/>
      <c r="B220" s="278"/>
      <c r="C220" s="278"/>
      <c r="D220" s="285"/>
      <c r="E220" s="286"/>
      <c r="F220" s="287"/>
      <c r="G220" s="288"/>
      <c r="H220" s="288"/>
      <c r="I220" s="288"/>
      <c r="J220" s="289"/>
      <c r="K220" s="288"/>
      <c r="L220" s="290"/>
      <c r="M220" s="290"/>
      <c r="N220" s="290"/>
      <c r="O220" s="290"/>
      <c r="P220" s="224"/>
      <c r="Q220" s="224"/>
      <c r="R220" s="224"/>
      <c r="S220" s="224"/>
      <c r="T220" s="224"/>
      <c r="U220" s="224"/>
      <c r="V220" s="224"/>
      <c r="W220" s="224"/>
      <c r="X220" s="224"/>
      <c r="Y220" s="224"/>
      <c r="Z220" s="224"/>
      <c r="AA220" s="224"/>
      <c r="AB220" s="224"/>
      <c r="AC220" s="224"/>
      <c r="AD220" s="224"/>
      <c r="AE220" s="224"/>
      <c r="AF220" s="224"/>
      <c r="AG220" s="224"/>
      <c r="AH220" s="224"/>
      <c r="AI220" s="224"/>
    </row>
    <row r="221" spans="1:35" ht="12.75" customHeight="1" x14ac:dyDescent="0.2">
      <c r="A221" s="224"/>
      <c r="B221" s="278"/>
      <c r="C221" s="278"/>
      <c r="D221" s="285"/>
      <c r="E221" s="286"/>
      <c r="F221" s="287"/>
      <c r="G221" s="288"/>
      <c r="H221" s="288"/>
      <c r="I221" s="288"/>
      <c r="J221" s="289"/>
      <c r="K221" s="288"/>
      <c r="L221" s="290"/>
      <c r="M221" s="290"/>
      <c r="N221" s="290"/>
      <c r="O221" s="290"/>
      <c r="P221" s="224"/>
      <c r="Q221" s="224"/>
      <c r="R221" s="224"/>
      <c r="S221" s="224"/>
      <c r="T221" s="224"/>
      <c r="U221" s="224"/>
      <c r="V221" s="224"/>
      <c r="W221" s="224"/>
      <c r="X221" s="224"/>
      <c r="Y221" s="224"/>
      <c r="Z221" s="224"/>
      <c r="AA221" s="224"/>
      <c r="AB221" s="224"/>
      <c r="AC221" s="224"/>
      <c r="AD221" s="224"/>
      <c r="AE221" s="224"/>
      <c r="AF221" s="224"/>
      <c r="AG221" s="224"/>
      <c r="AH221" s="224"/>
      <c r="AI221" s="224"/>
    </row>
    <row r="222" spans="1:35" ht="12.75" customHeight="1" x14ac:dyDescent="0.2">
      <c r="A222" s="224"/>
      <c r="B222" s="278"/>
      <c r="C222" s="278"/>
      <c r="D222" s="285"/>
      <c r="E222" s="286"/>
      <c r="F222" s="287"/>
      <c r="G222" s="288"/>
      <c r="H222" s="288"/>
      <c r="I222" s="288"/>
      <c r="J222" s="289"/>
      <c r="K222" s="288"/>
      <c r="L222" s="290"/>
      <c r="M222" s="290"/>
      <c r="N222" s="290"/>
      <c r="O222" s="290"/>
      <c r="P222" s="224"/>
      <c r="Q222" s="224"/>
      <c r="R222" s="224"/>
      <c r="S222" s="224"/>
      <c r="T222" s="224"/>
      <c r="U222" s="224"/>
      <c r="V222" s="224"/>
      <c r="W222" s="224"/>
      <c r="X222" s="224"/>
      <c r="Y222" s="224"/>
      <c r="Z222" s="224"/>
      <c r="AA222" s="224"/>
      <c r="AB222" s="224"/>
      <c r="AC222" s="224"/>
      <c r="AD222" s="224"/>
      <c r="AE222" s="224"/>
      <c r="AF222" s="224"/>
      <c r="AG222" s="224"/>
      <c r="AH222" s="224"/>
      <c r="AI222" s="224"/>
    </row>
    <row r="223" spans="1:35" ht="12.75" customHeight="1" x14ac:dyDescent="0.2">
      <c r="A223" s="224"/>
      <c r="B223" s="278"/>
      <c r="C223" s="278"/>
      <c r="D223" s="285"/>
      <c r="E223" s="286"/>
      <c r="F223" s="287"/>
      <c r="G223" s="288"/>
      <c r="H223" s="288"/>
      <c r="I223" s="288"/>
      <c r="J223" s="289"/>
      <c r="K223" s="288"/>
      <c r="L223" s="290"/>
      <c r="M223" s="290"/>
      <c r="N223" s="290"/>
      <c r="O223" s="290"/>
      <c r="P223" s="224"/>
      <c r="Q223" s="224"/>
      <c r="R223" s="224"/>
      <c r="S223" s="224"/>
      <c r="T223" s="224"/>
      <c r="U223" s="224"/>
      <c r="V223" s="224"/>
      <c r="W223" s="224"/>
      <c r="X223" s="224"/>
      <c r="Y223" s="224"/>
      <c r="Z223" s="224"/>
      <c r="AA223" s="224"/>
      <c r="AB223" s="224"/>
      <c r="AC223" s="224"/>
      <c r="AD223" s="224"/>
      <c r="AE223" s="224"/>
      <c r="AF223" s="224"/>
      <c r="AG223" s="224"/>
      <c r="AH223" s="224"/>
      <c r="AI223" s="224"/>
    </row>
    <row r="224" spans="1:35" ht="12.75" customHeight="1" x14ac:dyDescent="0.2">
      <c r="A224" s="224"/>
      <c r="B224" s="278"/>
      <c r="C224" s="278"/>
      <c r="D224" s="285"/>
      <c r="E224" s="286"/>
      <c r="F224" s="287"/>
      <c r="G224" s="288"/>
      <c r="H224" s="288"/>
      <c r="I224" s="288"/>
      <c r="J224" s="289"/>
      <c r="K224" s="288"/>
      <c r="L224" s="290"/>
      <c r="M224" s="290"/>
      <c r="N224" s="290"/>
      <c r="O224" s="290"/>
      <c r="P224" s="224"/>
      <c r="Q224" s="224"/>
      <c r="R224" s="224"/>
      <c r="S224" s="224"/>
      <c r="T224" s="224"/>
      <c r="U224" s="224"/>
      <c r="V224" s="224"/>
      <c r="W224" s="224"/>
      <c r="X224" s="224"/>
      <c r="Y224" s="224"/>
      <c r="Z224" s="224"/>
      <c r="AA224" s="224"/>
      <c r="AB224" s="224"/>
      <c r="AC224" s="224"/>
      <c r="AD224" s="224"/>
      <c r="AE224" s="224"/>
      <c r="AF224" s="224"/>
      <c r="AG224" s="224"/>
      <c r="AH224" s="224"/>
      <c r="AI224" s="224"/>
    </row>
    <row r="225" spans="1:35" ht="12.75" customHeight="1" x14ac:dyDescent="0.2">
      <c r="A225" s="224"/>
      <c r="B225" s="278"/>
      <c r="C225" s="278"/>
      <c r="D225" s="285"/>
      <c r="E225" s="286"/>
      <c r="F225" s="287"/>
      <c r="G225" s="288"/>
      <c r="H225" s="288"/>
      <c r="I225" s="288"/>
      <c r="J225" s="289"/>
      <c r="K225" s="288"/>
      <c r="L225" s="290"/>
      <c r="M225" s="290"/>
      <c r="N225" s="290"/>
      <c r="O225" s="290"/>
      <c r="P225" s="224"/>
      <c r="Q225" s="224"/>
      <c r="R225" s="224"/>
      <c r="S225" s="224"/>
      <c r="T225" s="224"/>
      <c r="U225" s="224"/>
      <c r="V225" s="224"/>
      <c r="W225" s="224"/>
      <c r="X225" s="224"/>
      <c r="Y225" s="224"/>
      <c r="Z225" s="224"/>
      <c r="AA225" s="224"/>
      <c r="AB225" s="224"/>
      <c r="AC225" s="224"/>
      <c r="AD225" s="224"/>
      <c r="AE225" s="224"/>
      <c r="AF225" s="224"/>
      <c r="AG225" s="224"/>
      <c r="AH225" s="224"/>
      <c r="AI225" s="224"/>
    </row>
    <row r="226" spans="1:35" ht="12.75" customHeight="1" x14ac:dyDescent="0.2">
      <c r="A226" s="224"/>
      <c r="B226" s="278"/>
      <c r="C226" s="278"/>
      <c r="D226" s="285"/>
      <c r="E226" s="286"/>
      <c r="F226" s="287"/>
      <c r="G226" s="288"/>
      <c r="H226" s="288"/>
      <c r="I226" s="288"/>
      <c r="J226" s="289"/>
      <c r="K226" s="288"/>
      <c r="L226" s="290"/>
      <c r="M226" s="290"/>
      <c r="N226" s="290"/>
      <c r="O226" s="290"/>
      <c r="P226" s="224"/>
      <c r="Q226" s="224"/>
      <c r="R226" s="224"/>
      <c r="S226" s="224"/>
      <c r="T226" s="224"/>
      <c r="U226" s="224"/>
      <c r="V226" s="224"/>
      <c r="W226" s="224"/>
      <c r="X226" s="224"/>
      <c r="Y226" s="224"/>
      <c r="Z226" s="224"/>
      <c r="AA226" s="224"/>
      <c r="AB226" s="224"/>
      <c r="AC226" s="224"/>
      <c r="AD226" s="224"/>
      <c r="AE226" s="224"/>
      <c r="AF226" s="224"/>
      <c r="AG226" s="224"/>
      <c r="AH226" s="224"/>
      <c r="AI226" s="224"/>
    </row>
    <row r="227" spans="1:35" ht="12.75" customHeight="1" x14ac:dyDescent="0.2">
      <c r="A227" s="224"/>
      <c r="B227" s="278"/>
      <c r="C227" s="278"/>
      <c r="D227" s="285"/>
      <c r="E227" s="286"/>
      <c r="F227" s="287"/>
      <c r="G227" s="288"/>
      <c r="H227" s="288"/>
      <c r="I227" s="288"/>
      <c r="J227" s="289"/>
      <c r="K227" s="288"/>
      <c r="L227" s="290"/>
      <c r="M227" s="290"/>
      <c r="N227" s="290"/>
      <c r="O227" s="290"/>
      <c r="P227" s="224"/>
      <c r="Q227" s="224"/>
      <c r="R227" s="224"/>
      <c r="S227" s="224"/>
      <c r="T227" s="224"/>
      <c r="U227" s="224"/>
      <c r="V227" s="224"/>
      <c r="W227" s="224"/>
      <c r="X227" s="224"/>
      <c r="Y227" s="224"/>
      <c r="Z227" s="224"/>
      <c r="AA227" s="224"/>
      <c r="AB227" s="224"/>
      <c r="AC227" s="224"/>
      <c r="AD227" s="224"/>
      <c r="AE227" s="224"/>
      <c r="AF227" s="224"/>
      <c r="AG227" s="224"/>
      <c r="AH227" s="224"/>
      <c r="AI227" s="224"/>
    </row>
    <row r="228" spans="1:35" ht="12.75" customHeight="1" x14ac:dyDescent="0.2">
      <c r="A228" s="224"/>
      <c r="B228" s="278"/>
      <c r="C228" s="278"/>
      <c r="D228" s="285"/>
      <c r="E228" s="286"/>
      <c r="F228" s="287"/>
      <c r="G228" s="288"/>
      <c r="H228" s="288"/>
      <c r="I228" s="288"/>
      <c r="J228" s="289"/>
      <c r="K228" s="288"/>
      <c r="L228" s="290"/>
      <c r="M228" s="290"/>
      <c r="N228" s="290"/>
      <c r="O228" s="290"/>
      <c r="P228" s="224"/>
      <c r="Q228" s="224"/>
      <c r="R228" s="224"/>
      <c r="S228" s="224"/>
      <c r="T228" s="224"/>
      <c r="U228" s="224"/>
      <c r="V228" s="224"/>
      <c r="W228" s="224"/>
      <c r="X228" s="224"/>
      <c r="Y228" s="224"/>
      <c r="Z228" s="224"/>
      <c r="AA228" s="224"/>
      <c r="AB228" s="224"/>
      <c r="AC228" s="224"/>
      <c r="AD228" s="224"/>
      <c r="AE228" s="224"/>
      <c r="AF228" s="224"/>
      <c r="AG228" s="224"/>
      <c r="AH228" s="224"/>
      <c r="AI228" s="224"/>
    </row>
    <row r="229" spans="1:35" ht="12.75" customHeight="1" x14ac:dyDescent="0.2">
      <c r="A229" s="224"/>
      <c r="B229" s="278"/>
      <c r="C229" s="278"/>
      <c r="D229" s="285"/>
      <c r="E229" s="286"/>
      <c r="F229" s="287"/>
      <c r="G229" s="288"/>
      <c r="H229" s="288"/>
      <c r="I229" s="288"/>
      <c r="J229" s="289"/>
      <c r="K229" s="288"/>
      <c r="L229" s="290"/>
      <c r="M229" s="290"/>
      <c r="N229" s="290"/>
      <c r="O229" s="290"/>
      <c r="P229" s="224"/>
      <c r="Q229" s="224"/>
      <c r="R229" s="224"/>
      <c r="S229" s="224"/>
      <c r="T229" s="224"/>
      <c r="U229" s="224"/>
      <c r="V229" s="224"/>
      <c r="W229" s="224"/>
      <c r="X229" s="224"/>
      <c r="Y229" s="224"/>
      <c r="Z229" s="224"/>
      <c r="AA229" s="224"/>
      <c r="AB229" s="224"/>
      <c r="AC229" s="224"/>
      <c r="AD229" s="224"/>
      <c r="AE229" s="224"/>
      <c r="AF229" s="224"/>
      <c r="AG229" s="224"/>
      <c r="AH229" s="224"/>
      <c r="AI229" s="224"/>
    </row>
    <row r="230" spans="1:35" ht="12.75" customHeight="1" x14ac:dyDescent="0.2">
      <c r="A230" s="224"/>
      <c r="B230" s="278"/>
      <c r="C230" s="278"/>
      <c r="D230" s="285"/>
      <c r="E230" s="286"/>
      <c r="F230" s="287"/>
      <c r="G230" s="288"/>
      <c r="H230" s="288"/>
      <c r="I230" s="288"/>
      <c r="J230" s="289"/>
      <c r="K230" s="288"/>
      <c r="L230" s="290"/>
      <c r="M230" s="290"/>
      <c r="N230" s="290"/>
      <c r="O230" s="290"/>
      <c r="P230" s="224"/>
      <c r="Q230" s="224"/>
      <c r="R230" s="224"/>
      <c r="S230" s="224"/>
      <c r="T230" s="224"/>
      <c r="U230" s="224"/>
      <c r="V230" s="224"/>
      <c r="W230" s="224"/>
      <c r="X230" s="224"/>
      <c r="Y230" s="224"/>
      <c r="Z230" s="224"/>
      <c r="AA230" s="224"/>
      <c r="AB230" s="224"/>
      <c r="AC230" s="224"/>
      <c r="AD230" s="224"/>
      <c r="AE230" s="224"/>
      <c r="AF230" s="224"/>
      <c r="AG230" s="224"/>
      <c r="AH230" s="224"/>
      <c r="AI230" s="224"/>
    </row>
    <row r="231" spans="1:35" ht="12.75" customHeight="1" x14ac:dyDescent="0.2">
      <c r="A231" s="224"/>
      <c r="B231" s="278"/>
      <c r="C231" s="278"/>
      <c r="D231" s="285"/>
      <c r="E231" s="286"/>
      <c r="F231" s="287"/>
      <c r="G231" s="288"/>
      <c r="H231" s="288"/>
      <c r="I231" s="288"/>
      <c r="J231" s="289"/>
      <c r="K231" s="288"/>
      <c r="L231" s="290"/>
      <c r="M231" s="290"/>
      <c r="N231" s="290"/>
      <c r="O231" s="290"/>
      <c r="P231" s="224"/>
      <c r="Q231" s="224"/>
      <c r="R231" s="224"/>
      <c r="S231" s="224"/>
      <c r="T231" s="224"/>
      <c r="U231" s="224"/>
      <c r="V231" s="224"/>
      <c r="W231" s="224"/>
      <c r="X231" s="224"/>
      <c r="Y231" s="224"/>
      <c r="Z231" s="224"/>
      <c r="AA231" s="224"/>
      <c r="AB231" s="224"/>
      <c r="AC231" s="224"/>
      <c r="AD231" s="224"/>
      <c r="AE231" s="224"/>
      <c r="AF231" s="224"/>
      <c r="AG231" s="224"/>
      <c r="AH231" s="224"/>
      <c r="AI231" s="224"/>
    </row>
    <row r="232" spans="1:35" ht="12.75" customHeight="1" x14ac:dyDescent="0.2">
      <c r="A232" s="224"/>
      <c r="B232" s="278"/>
      <c r="C232" s="278"/>
      <c r="D232" s="285"/>
      <c r="E232" s="286"/>
      <c r="F232" s="287"/>
      <c r="G232" s="288"/>
      <c r="H232" s="288"/>
      <c r="I232" s="288"/>
      <c r="J232" s="289"/>
      <c r="K232" s="288"/>
      <c r="L232" s="290"/>
      <c r="M232" s="290"/>
      <c r="N232" s="290"/>
      <c r="O232" s="290"/>
      <c r="P232" s="224"/>
      <c r="Q232" s="224"/>
      <c r="R232" s="224"/>
      <c r="S232" s="224"/>
      <c r="T232" s="224"/>
      <c r="U232" s="224"/>
      <c r="V232" s="224"/>
      <c r="W232" s="224"/>
      <c r="X232" s="224"/>
      <c r="Y232" s="224"/>
      <c r="Z232" s="224"/>
      <c r="AA232" s="224"/>
      <c r="AB232" s="224"/>
      <c r="AC232" s="224"/>
      <c r="AD232" s="224"/>
      <c r="AE232" s="224"/>
      <c r="AF232" s="224"/>
      <c r="AG232" s="224"/>
      <c r="AH232" s="224"/>
      <c r="AI232" s="224"/>
    </row>
    <row r="233" spans="1:35" ht="12.75" customHeight="1" x14ac:dyDescent="0.2">
      <c r="A233" s="224"/>
      <c r="B233" s="278"/>
      <c r="C233" s="278"/>
      <c r="D233" s="285"/>
      <c r="E233" s="286"/>
      <c r="F233" s="287"/>
      <c r="G233" s="288"/>
      <c r="H233" s="288"/>
      <c r="I233" s="288"/>
      <c r="J233" s="289"/>
      <c r="K233" s="288"/>
      <c r="L233" s="290"/>
      <c r="M233" s="290"/>
      <c r="N233" s="290"/>
      <c r="O233" s="290"/>
      <c r="P233" s="224"/>
      <c r="Q233" s="224"/>
      <c r="R233" s="224"/>
      <c r="S233" s="224"/>
      <c r="T233" s="224"/>
      <c r="U233" s="224"/>
      <c r="V233" s="224"/>
      <c r="W233" s="224"/>
      <c r="X233" s="224"/>
      <c r="Y233" s="224"/>
      <c r="Z233" s="224"/>
      <c r="AA233" s="224"/>
      <c r="AB233" s="224"/>
      <c r="AC233" s="224"/>
      <c r="AD233" s="224"/>
      <c r="AE233" s="224"/>
      <c r="AF233" s="224"/>
      <c r="AG233" s="224"/>
      <c r="AH233" s="224"/>
      <c r="AI233" s="224"/>
    </row>
    <row r="234" spans="1:35" ht="12.75" customHeight="1" x14ac:dyDescent="0.2">
      <c r="A234" s="224"/>
      <c r="B234" s="278"/>
      <c r="C234" s="278"/>
      <c r="D234" s="285"/>
      <c r="E234" s="286"/>
      <c r="F234" s="287"/>
      <c r="G234" s="288"/>
      <c r="H234" s="288"/>
      <c r="I234" s="288"/>
      <c r="J234" s="289"/>
      <c r="K234" s="288"/>
      <c r="L234" s="290"/>
      <c r="M234" s="290"/>
      <c r="N234" s="290"/>
      <c r="O234" s="290"/>
      <c r="P234" s="224"/>
      <c r="Q234" s="224"/>
      <c r="R234" s="224"/>
      <c r="S234" s="224"/>
      <c r="T234" s="224"/>
      <c r="U234" s="224"/>
      <c r="V234" s="224"/>
      <c r="W234" s="224"/>
      <c r="X234" s="224"/>
      <c r="Y234" s="224"/>
      <c r="Z234" s="224"/>
      <c r="AA234" s="224"/>
      <c r="AB234" s="224"/>
      <c r="AC234" s="224"/>
      <c r="AD234" s="224"/>
      <c r="AE234" s="224"/>
      <c r="AF234" s="224"/>
      <c r="AG234" s="224"/>
      <c r="AH234" s="224"/>
      <c r="AI234" s="224"/>
    </row>
    <row r="235" spans="1:35" ht="12.75" customHeight="1" x14ac:dyDescent="0.2">
      <c r="A235" s="224"/>
      <c r="B235" s="278"/>
      <c r="C235" s="278"/>
      <c r="D235" s="285"/>
      <c r="E235" s="286"/>
      <c r="F235" s="287"/>
      <c r="G235" s="288"/>
      <c r="H235" s="288"/>
      <c r="I235" s="288"/>
      <c r="J235" s="289"/>
      <c r="K235" s="288"/>
      <c r="L235" s="290"/>
      <c r="M235" s="290"/>
      <c r="N235" s="290"/>
      <c r="O235" s="290"/>
      <c r="P235" s="224"/>
      <c r="Q235" s="224"/>
      <c r="R235" s="224"/>
      <c r="S235" s="224"/>
      <c r="T235" s="224"/>
      <c r="U235" s="224"/>
      <c r="V235" s="224"/>
      <c r="W235" s="224"/>
      <c r="X235" s="224"/>
      <c r="Y235" s="224"/>
      <c r="Z235" s="224"/>
      <c r="AA235" s="224"/>
      <c r="AB235" s="224"/>
      <c r="AC235" s="224"/>
      <c r="AD235" s="224"/>
      <c r="AE235" s="224"/>
      <c r="AF235" s="224"/>
      <c r="AG235" s="224"/>
      <c r="AH235" s="224"/>
      <c r="AI235" s="224"/>
    </row>
    <row r="236" spans="1:35" ht="12.75" customHeight="1" x14ac:dyDescent="0.2">
      <c r="A236" s="224"/>
      <c r="B236" s="278"/>
      <c r="C236" s="278"/>
      <c r="D236" s="285"/>
      <c r="E236" s="286"/>
      <c r="F236" s="287"/>
      <c r="G236" s="288"/>
      <c r="H236" s="288"/>
      <c r="I236" s="288"/>
      <c r="J236" s="289"/>
      <c r="K236" s="288"/>
      <c r="L236" s="290"/>
      <c r="M236" s="290"/>
      <c r="N236" s="290"/>
      <c r="O236" s="290"/>
      <c r="P236" s="224"/>
      <c r="Q236" s="224"/>
      <c r="R236" s="224"/>
      <c r="S236" s="224"/>
      <c r="T236" s="224"/>
      <c r="U236" s="224"/>
      <c r="V236" s="224"/>
      <c r="W236" s="224"/>
      <c r="X236" s="224"/>
      <c r="Y236" s="224"/>
      <c r="Z236" s="224"/>
      <c r="AA236" s="224"/>
      <c r="AB236" s="224"/>
      <c r="AC236" s="224"/>
      <c r="AD236" s="224"/>
      <c r="AE236" s="224"/>
      <c r="AF236" s="224"/>
      <c r="AG236" s="224"/>
      <c r="AH236" s="224"/>
      <c r="AI236" s="224"/>
    </row>
    <row r="237" spans="1:35" ht="12.75" customHeight="1" x14ac:dyDescent="0.2">
      <c r="A237" s="224"/>
      <c r="B237" s="278"/>
      <c r="C237" s="278"/>
      <c r="D237" s="285"/>
      <c r="E237" s="286"/>
      <c r="F237" s="287"/>
      <c r="G237" s="288"/>
      <c r="H237" s="288"/>
      <c r="I237" s="288"/>
      <c r="J237" s="289"/>
      <c r="K237" s="288"/>
      <c r="L237" s="290"/>
      <c r="M237" s="290"/>
      <c r="N237" s="290"/>
      <c r="O237" s="290"/>
      <c r="P237" s="224"/>
      <c r="Q237" s="224"/>
      <c r="R237" s="224"/>
      <c r="S237" s="224"/>
      <c r="T237" s="224"/>
      <c r="U237" s="224"/>
      <c r="V237" s="224"/>
      <c r="W237" s="224"/>
      <c r="X237" s="224"/>
      <c r="Y237" s="224"/>
      <c r="Z237" s="224"/>
      <c r="AA237" s="224"/>
      <c r="AB237" s="224"/>
      <c r="AC237" s="224"/>
      <c r="AD237" s="224"/>
      <c r="AE237" s="224"/>
      <c r="AF237" s="224"/>
      <c r="AG237" s="224"/>
      <c r="AH237" s="224"/>
      <c r="AI237" s="224"/>
    </row>
    <row r="238" spans="1:35" ht="12.75" customHeight="1" x14ac:dyDescent="0.2">
      <c r="A238" s="224"/>
      <c r="B238" s="278"/>
      <c r="C238" s="278"/>
      <c r="D238" s="285"/>
      <c r="E238" s="286"/>
      <c r="F238" s="287"/>
      <c r="G238" s="288"/>
      <c r="H238" s="288"/>
      <c r="I238" s="288"/>
      <c r="J238" s="289"/>
      <c r="K238" s="288"/>
      <c r="L238" s="290"/>
      <c r="M238" s="290"/>
      <c r="N238" s="290"/>
      <c r="O238" s="290"/>
      <c r="P238" s="224"/>
      <c r="Q238" s="224"/>
      <c r="R238" s="224"/>
      <c r="S238" s="224"/>
      <c r="T238" s="224"/>
      <c r="U238" s="224"/>
      <c r="V238" s="224"/>
      <c r="W238" s="224"/>
      <c r="X238" s="224"/>
      <c r="Y238" s="224"/>
      <c r="Z238" s="224"/>
      <c r="AA238" s="224"/>
      <c r="AB238" s="224"/>
      <c r="AC238" s="224"/>
      <c r="AD238" s="224"/>
      <c r="AE238" s="224"/>
      <c r="AF238" s="224"/>
      <c r="AG238" s="224"/>
      <c r="AH238" s="224"/>
      <c r="AI238" s="224"/>
    </row>
    <row r="239" spans="1:35" ht="12.75" customHeight="1" x14ac:dyDescent="0.2">
      <c r="A239" s="288"/>
      <c r="B239" s="288"/>
      <c r="C239" s="288"/>
      <c r="D239" s="288"/>
      <c r="E239" s="288"/>
      <c r="F239" s="288"/>
      <c r="G239" s="288"/>
      <c r="H239" s="288"/>
      <c r="I239" s="288"/>
      <c r="J239" s="288"/>
      <c r="K239" s="288"/>
      <c r="L239" s="288"/>
      <c r="M239" s="288"/>
      <c r="N239" s="288"/>
      <c r="O239" s="288"/>
      <c r="P239" s="288"/>
      <c r="Q239" s="288"/>
      <c r="R239" s="288"/>
      <c r="S239" s="288"/>
      <c r="T239" s="288"/>
      <c r="U239" s="288"/>
      <c r="V239" s="288"/>
      <c r="W239" s="288"/>
      <c r="X239" s="288"/>
      <c r="Y239" s="288"/>
      <c r="Z239" s="288"/>
      <c r="AA239" s="288"/>
      <c r="AB239" s="288"/>
      <c r="AC239" s="288"/>
      <c r="AD239" s="288"/>
      <c r="AE239" s="288"/>
      <c r="AF239" s="288"/>
      <c r="AG239" s="288"/>
      <c r="AH239" s="288"/>
      <c r="AI239" s="288"/>
    </row>
    <row r="240" spans="1:35" ht="12.75" customHeight="1" x14ac:dyDescent="0.2">
      <c r="A240" s="288"/>
      <c r="B240" s="288"/>
      <c r="C240" s="288"/>
      <c r="D240" s="288"/>
      <c r="E240" s="288"/>
      <c r="F240" s="288"/>
      <c r="G240" s="288"/>
      <c r="H240" s="288"/>
      <c r="I240" s="288"/>
      <c r="J240" s="288"/>
      <c r="K240" s="288"/>
      <c r="L240" s="288"/>
      <c r="M240" s="288"/>
      <c r="N240" s="288"/>
      <c r="O240" s="288"/>
      <c r="P240" s="288"/>
      <c r="Q240" s="288"/>
      <c r="R240" s="288"/>
      <c r="S240" s="288"/>
      <c r="T240" s="288"/>
      <c r="U240" s="288"/>
      <c r="V240" s="288"/>
      <c r="W240" s="288"/>
      <c r="X240" s="288"/>
      <c r="Y240" s="288"/>
      <c r="Z240" s="288"/>
      <c r="AA240" s="288"/>
      <c r="AB240" s="288"/>
      <c r="AC240" s="288"/>
      <c r="AD240" s="288"/>
      <c r="AE240" s="288"/>
      <c r="AF240" s="288"/>
      <c r="AG240" s="288"/>
      <c r="AH240" s="288"/>
      <c r="AI240" s="288"/>
    </row>
    <row r="241" spans="1:35" ht="12.75" customHeight="1" x14ac:dyDescent="0.2">
      <c r="A241" s="288"/>
      <c r="B241" s="288"/>
      <c r="C241" s="288"/>
      <c r="D241" s="288"/>
      <c r="E241" s="288"/>
      <c r="F241" s="288"/>
      <c r="G241" s="288"/>
      <c r="H241" s="288"/>
      <c r="I241" s="288"/>
      <c r="J241" s="288"/>
      <c r="K241" s="288"/>
      <c r="L241" s="288"/>
      <c r="M241" s="288"/>
      <c r="N241" s="288"/>
      <c r="O241" s="288"/>
      <c r="P241" s="288"/>
      <c r="Q241" s="288"/>
      <c r="R241" s="288"/>
      <c r="S241" s="288"/>
      <c r="T241" s="288"/>
      <c r="U241" s="288"/>
      <c r="V241" s="288"/>
      <c r="W241" s="288"/>
      <c r="X241" s="288"/>
      <c r="Y241" s="288"/>
      <c r="Z241" s="288"/>
      <c r="AA241" s="288"/>
      <c r="AB241" s="288"/>
      <c r="AC241" s="288"/>
      <c r="AD241" s="288"/>
      <c r="AE241" s="288"/>
      <c r="AF241" s="288"/>
      <c r="AG241" s="288"/>
      <c r="AH241" s="288"/>
      <c r="AI241" s="288"/>
    </row>
    <row r="242" spans="1:35" ht="12.75" customHeight="1" x14ac:dyDescent="0.2">
      <c r="A242" s="288"/>
      <c r="B242" s="288"/>
      <c r="C242" s="288"/>
      <c r="D242" s="288"/>
      <c r="E242" s="288"/>
      <c r="F242" s="288"/>
      <c r="G242" s="288"/>
      <c r="H242" s="288"/>
      <c r="I242" s="288"/>
      <c r="J242" s="288"/>
      <c r="K242" s="288"/>
      <c r="L242" s="288"/>
      <c r="M242" s="288"/>
      <c r="N242" s="288"/>
      <c r="O242" s="288"/>
      <c r="P242" s="288"/>
      <c r="Q242" s="288"/>
      <c r="R242" s="288"/>
      <c r="S242" s="288"/>
      <c r="T242" s="288"/>
      <c r="U242" s="288"/>
      <c r="V242" s="288"/>
      <c r="W242" s="288"/>
      <c r="X242" s="288"/>
      <c r="Y242" s="288"/>
      <c r="Z242" s="288"/>
      <c r="AA242" s="288"/>
      <c r="AB242" s="288"/>
      <c r="AC242" s="288"/>
      <c r="AD242" s="288"/>
      <c r="AE242" s="288"/>
      <c r="AF242" s="288"/>
      <c r="AG242" s="288"/>
      <c r="AH242" s="288"/>
      <c r="AI242" s="288"/>
    </row>
    <row r="243" spans="1:35" ht="12.75" customHeight="1" x14ac:dyDescent="0.2">
      <c r="A243" s="288"/>
      <c r="B243" s="288"/>
      <c r="C243" s="288"/>
      <c r="D243" s="288"/>
      <c r="E243" s="288"/>
      <c r="F243" s="288"/>
      <c r="G243" s="288"/>
      <c r="H243" s="288"/>
      <c r="I243" s="288"/>
      <c r="J243" s="288"/>
      <c r="K243" s="288"/>
      <c r="L243" s="288"/>
      <c r="M243" s="288"/>
      <c r="N243" s="288"/>
      <c r="O243" s="288"/>
      <c r="P243" s="288"/>
      <c r="Q243" s="288"/>
      <c r="R243" s="288"/>
      <c r="S243" s="288"/>
      <c r="T243" s="288"/>
      <c r="U243" s="288"/>
      <c r="V243" s="288"/>
      <c r="W243" s="288"/>
      <c r="X243" s="288"/>
      <c r="Y243" s="288"/>
      <c r="Z243" s="288"/>
      <c r="AA243" s="288"/>
      <c r="AB243" s="288"/>
      <c r="AC243" s="288"/>
      <c r="AD243" s="288"/>
      <c r="AE243" s="288"/>
      <c r="AF243" s="288"/>
      <c r="AG243" s="288"/>
      <c r="AH243" s="288"/>
      <c r="AI243" s="288"/>
    </row>
    <row r="244" spans="1:35" ht="12.75" customHeight="1" x14ac:dyDescent="0.2">
      <c r="A244" s="288"/>
      <c r="B244" s="288"/>
      <c r="C244" s="288"/>
      <c r="D244" s="288"/>
      <c r="E244" s="288"/>
      <c r="F244" s="288"/>
      <c r="G244" s="288"/>
      <c r="H244" s="288"/>
      <c r="I244" s="288"/>
      <c r="J244" s="288"/>
      <c r="K244" s="288"/>
      <c r="L244" s="288"/>
      <c r="M244" s="288"/>
      <c r="N244" s="288"/>
      <c r="O244" s="288"/>
      <c r="P244" s="288"/>
      <c r="Q244" s="288"/>
      <c r="R244" s="288"/>
      <c r="S244" s="288"/>
      <c r="T244" s="288"/>
      <c r="U244" s="288"/>
      <c r="V244" s="288"/>
      <c r="W244" s="288"/>
      <c r="X244" s="288"/>
      <c r="Y244" s="288"/>
      <c r="Z244" s="288"/>
      <c r="AA244" s="288"/>
      <c r="AB244" s="288"/>
      <c r="AC244" s="288"/>
      <c r="AD244" s="288"/>
      <c r="AE244" s="288"/>
      <c r="AF244" s="288"/>
      <c r="AG244" s="288"/>
      <c r="AH244" s="288"/>
      <c r="AI244" s="288"/>
    </row>
    <row r="245" spans="1:35" ht="12.75" customHeight="1" x14ac:dyDescent="0.2">
      <c r="A245" s="288"/>
      <c r="B245" s="288"/>
      <c r="C245" s="288"/>
      <c r="D245" s="288"/>
      <c r="E245" s="288"/>
      <c r="F245" s="288"/>
      <c r="G245" s="288"/>
      <c r="H245" s="288"/>
      <c r="I245" s="288"/>
      <c r="J245" s="288"/>
      <c r="K245" s="288"/>
      <c r="L245" s="288"/>
      <c r="M245" s="288"/>
      <c r="N245" s="288"/>
      <c r="O245" s="288"/>
      <c r="P245" s="288"/>
      <c r="Q245" s="288"/>
      <c r="R245" s="288"/>
      <c r="S245" s="288"/>
      <c r="T245" s="288"/>
      <c r="U245" s="288"/>
      <c r="V245" s="288"/>
      <c r="W245" s="288"/>
      <c r="X245" s="288"/>
      <c r="Y245" s="288"/>
      <c r="Z245" s="288"/>
      <c r="AA245" s="288"/>
      <c r="AB245" s="288"/>
      <c r="AC245" s="288"/>
      <c r="AD245" s="288"/>
      <c r="AE245" s="288"/>
      <c r="AF245" s="288"/>
      <c r="AG245" s="288"/>
      <c r="AH245" s="288"/>
      <c r="AI245" s="288"/>
    </row>
    <row r="246" spans="1:35" ht="12.75" customHeight="1" x14ac:dyDescent="0.2">
      <c r="A246" s="288"/>
      <c r="B246" s="288"/>
      <c r="C246" s="288"/>
      <c r="D246" s="288"/>
      <c r="E246" s="288"/>
      <c r="F246" s="288"/>
      <c r="G246" s="288"/>
      <c r="H246" s="288"/>
      <c r="I246" s="288"/>
      <c r="J246" s="288"/>
      <c r="K246" s="288"/>
      <c r="L246" s="288"/>
      <c r="M246" s="288"/>
      <c r="N246" s="288"/>
      <c r="O246" s="288"/>
      <c r="P246" s="288"/>
      <c r="Q246" s="288"/>
      <c r="R246" s="288"/>
      <c r="S246" s="288"/>
      <c r="T246" s="288"/>
      <c r="U246" s="288"/>
      <c r="V246" s="288"/>
      <c r="W246" s="288"/>
      <c r="X246" s="288"/>
      <c r="Y246" s="288"/>
      <c r="Z246" s="288"/>
      <c r="AA246" s="288"/>
      <c r="AB246" s="288"/>
      <c r="AC246" s="288"/>
      <c r="AD246" s="288"/>
      <c r="AE246" s="288"/>
      <c r="AF246" s="288"/>
      <c r="AG246" s="288"/>
      <c r="AH246" s="288"/>
      <c r="AI246" s="288"/>
    </row>
    <row r="247" spans="1:35" ht="12.75" customHeight="1" x14ac:dyDescent="0.2">
      <c r="A247" s="288"/>
      <c r="B247" s="288"/>
      <c r="C247" s="288"/>
      <c r="D247" s="288"/>
      <c r="E247" s="288"/>
      <c r="F247" s="288"/>
      <c r="G247" s="288"/>
      <c r="H247" s="288"/>
      <c r="I247" s="288"/>
      <c r="J247" s="288"/>
      <c r="K247" s="288"/>
      <c r="L247" s="288"/>
      <c r="M247" s="288"/>
      <c r="N247" s="288"/>
      <c r="O247" s="288"/>
      <c r="P247" s="288"/>
      <c r="Q247" s="288"/>
      <c r="R247" s="288"/>
      <c r="S247" s="288"/>
      <c r="T247" s="288"/>
      <c r="U247" s="288"/>
      <c r="V247" s="288"/>
      <c r="W247" s="288"/>
      <c r="X247" s="288"/>
      <c r="Y247" s="288"/>
      <c r="Z247" s="288"/>
      <c r="AA247" s="288"/>
      <c r="AB247" s="288"/>
      <c r="AC247" s="288"/>
      <c r="AD247" s="288"/>
      <c r="AE247" s="288"/>
      <c r="AF247" s="288"/>
      <c r="AG247" s="288"/>
      <c r="AH247" s="288"/>
      <c r="AI247" s="288"/>
    </row>
    <row r="248" spans="1:35" ht="12.75" customHeight="1" x14ac:dyDescent="0.2">
      <c r="A248" s="288"/>
      <c r="B248" s="288"/>
      <c r="C248" s="288"/>
      <c r="D248" s="288"/>
      <c r="E248" s="288"/>
      <c r="F248" s="288"/>
      <c r="G248" s="288"/>
      <c r="H248" s="288"/>
      <c r="I248" s="288"/>
      <c r="J248" s="288"/>
      <c r="K248" s="288"/>
      <c r="L248" s="288"/>
      <c r="M248" s="288"/>
      <c r="N248" s="288"/>
      <c r="O248" s="288"/>
      <c r="P248" s="288"/>
      <c r="Q248" s="288"/>
      <c r="R248" s="288"/>
      <c r="S248" s="288"/>
      <c r="T248" s="288"/>
      <c r="U248" s="288"/>
      <c r="V248" s="288"/>
      <c r="W248" s="288"/>
      <c r="X248" s="288"/>
      <c r="Y248" s="288"/>
      <c r="Z248" s="288"/>
      <c r="AA248" s="288"/>
      <c r="AB248" s="288"/>
      <c r="AC248" s="288"/>
      <c r="AD248" s="288"/>
      <c r="AE248" s="288"/>
      <c r="AF248" s="288"/>
      <c r="AG248" s="288"/>
      <c r="AH248" s="288"/>
      <c r="AI248" s="288"/>
    </row>
    <row r="249" spans="1:35" ht="12.75" customHeight="1" x14ac:dyDescent="0.2">
      <c r="A249" s="288"/>
      <c r="B249" s="288"/>
      <c r="C249" s="288"/>
      <c r="D249" s="288"/>
      <c r="E249" s="288"/>
      <c r="F249" s="288"/>
      <c r="G249" s="288"/>
      <c r="H249" s="288"/>
      <c r="I249" s="288"/>
      <c r="J249" s="288"/>
      <c r="K249" s="288"/>
      <c r="L249" s="288"/>
      <c r="M249" s="288"/>
      <c r="N249" s="288"/>
      <c r="O249" s="288"/>
      <c r="P249" s="288"/>
      <c r="Q249" s="288"/>
      <c r="R249" s="288"/>
      <c r="S249" s="288"/>
      <c r="T249" s="288"/>
      <c r="U249" s="288"/>
      <c r="V249" s="288"/>
      <c r="W249" s="288"/>
      <c r="X249" s="288"/>
      <c r="Y249" s="288"/>
      <c r="Z249" s="288"/>
      <c r="AA249" s="288"/>
      <c r="AB249" s="288"/>
      <c r="AC249" s="288"/>
      <c r="AD249" s="288"/>
      <c r="AE249" s="288"/>
      <c r="AF249" s="288"/>
      <c r="AG249" s="288"/>
      <c r="AH249" s="288"/>
      <c r="AI249" s="288"/>
    </row>
    <row r="250" spans="1:35" ht="12.75" customHeight="1" x14ac:dyDescent="0.2">
      <c r="A250" s="288"/>
      <c r="B250" s="288"/>
      <c r="C250" s="288"/>
      <c r="D250" s="288"/>
      <c r="E250" s="288"/>
      <c r="F250" s="288"/>
      <c r="G250" s="288"/>
      <c r="H250" s="288"/>
      <c r="I250" s="288"/>
      <c r="J250" s="288"/>
      <c r="K250" s="288"/>
      <c r="L250" s="288"/>
      <c r="M250" s="288"/>
      <c r="N250" s="288"/>
      <c r="O250" s="288"/>
      <c r="P250" s="288"/>
      <c r="Q250" s="288"/>
      <c r="R250" s="288"/>
      <c r="S250" s="288"/>
      <c r="T250" s="288"/>
      <c r="U250" s="288"/>
      <c r="V250" s="288"/>
      <c r="W250" s="288"/>
      <c r="X250" s="288"/>
      <c r="Y250" s="288"/>
      <c r="Z250" s="288"/>
      <c r="AA250" s="288"/>
      <c r="AB250" s="288"/>
      <c r="AC250" s="288"/>
      <c r="AD250" s="288"/>
      <c r="AE250" s="288"/>
      <c r="AF250" s="288"/>
      <c r="AG250" s="288"/>
      <c r="AH250" s="288"/>
      <c r="AI250" s="288"/>
    </row>
    <row r="251" spans="1:35" ht="12.75" customHeight="1" x14ac:dyDescent="0.2">
      <c r="A251" s="288"/>
      <c r="B251" s="288"/>
      <c r="C251" s="288"/>
      <c r="D251" s="288"/>
      <c r="E251" s="288"/>
      <c r="F251" s="288"/>
      <c r="G251" s="288"/>
      <c r="H251" s="288"/>
      <c r="I251" s="288"/>
      <c r="J251" s="288"/>
      <c r="K251" s="288"/>
      <c r="L251" s="288"/>
      <c r="M251" s="288"/>
      <c r="N251" s="288"/>
      <c r="O251" s="288"/>
      <c r="P251" s="288"/>
      <c r="Q251" s="288"/>
      <c r="R251" s="288"/>
      <c r="S251" s="288"/>
      <c r="T251" s="288"/>
      <c r="U251" s="288"/>
      <c r="V251" s="288"/>
      <c r="W251" s="288"/>
      <c r="X251" s="288"/>
      <c r="Y251" s="288"/>
      <c r="Z251" s="288"/>
      <c r="AA251" s="288"/>
      <c r="AB251" s="288"/>
      <c r="AC251" s="288"/>
      <c r="AD251" s="288"/>
      <c r="AE251" s="288"/>
      <c r="AF251" s="288"/>
      <c r="AG251" s="288"/>
      <c r="AH251" s="288"/>
      <c r="AI251" s="288"/>
    </row>
    <row r="252" spans="1:35" ht="12.75" customHeight="1" x14ac:dyDescent="0.2">
      <c r="A252" s="288"/>
      <c r="B252" s="288"/>
      <c r="C252" s="288"/>
      <c r="D252" s="288"/>
      <c r="E252" s="288"/>
      <c r="F252" s="288"/>
      <c r="G252" s="288"/>
      <c r="H252" s="288"/>
      <c r="I252" s="288"/>
      <c r="J252" s="288"/>
      <c r="K252" s="288"/>
      <c r="L252" s="288"/>
      <c r="M252" s="288"/>
      <c r="N252" s="288"/>
      <c r="O252" s="288"/>
      <c r="P252" s="288"/>
      <c r="Q252" s="288"/>
      <c r="R252" s="288"/>
      <c r="S252" s="288"/>
      <c r="T252" s="288"/>
      <c r="U252" s="288"/>
      <c r="V252" s="288"/>
      <c r="W252" s="288"/>
      <c r="X252" s="288"/>
      <c r="Y252" s="288"/>
      <c r="Z252" s="288"/>
      <c r="AA252" s="288"/>
      <c r="AB252" s="288"/>
      <c r="AC252" s="288"/>
      <c r="AD252" s="288"/>
      <c r="AE252" s="288"/>
      <c r="AF252" s="288"/>
      <c r="AG252" s="288"/>
      <c r="AH252" s="288"/>
      <c r="AI252" s="288"/>
    </row>
    <row r="253" spans="1:35" ht="12.75" customHeight="1" x14ac:dyDescent="0.2">
      <c r="A253" s="288"/>
      <c r="B253" s="288"/>
      <c r="C253" s="288"/>
      <c r="D253" s="288"/>
      <c r="E253" s="288"/>
      <c r="F253" s="288"/>
      <c r="G253" s="288"/>
      <c r="H253" s="288"/>
      <c r="I253" s="288"/>
      <c r="J253" s="288"/>
      <c r="K253" s="288"/>
      <c r="L253" s="288"/>
      <c r="M253" s="288"/>
      <c r="N253" s="288"/>
      <c r="O253" s="288"/>
      <c r="P253" s="288"/>
      <c r="Q253" s="288"/>
      <c r="R253" s="288"/>
      <c r="S253" s="288"/>
      <c r="T253" s="288"/>
      <c r="U253" s="288"/>
      <c r="V253" s="288"/>
      <c r="W253" s="288"/>
      <c r="X253" s="288"/>
      <c r="Y253" s="288"/>
      <c r="Z253" s="288"/>
      <c r="AA253" s="288"/>
      <c r="AB253" s="288"/>
      <c r="AC253" s="288"/>
      <c r="AD253" s="288"/>
      <c r="AE253" s="288"/>
      <c r="AF253" s="288"/>
      <c r="AG253" s="288"/>
      <c r="AH253" s="288"/>
      <c r="AI253" s="288"/>
    </row>
    <row r="254" spans="1:35" ht="12.75" customHeight="1" x14ac:dyDescent="0.2">
      <c r="A254" s="288"/>
      <c r="B254" s="288"/>
      <c r="C254" s="288"/>
      <c r="D254" s="288"/>
      <c r="E254" s="288"/>
      <c r="F254" s="288"/>
      <c r="G254" s="288"/>
      <c r="H254" s="288"/>
      <c r="I254" s="288"/>
      <c r="J254" s="288"/>
      <c r="K254" s="288"/>
      <c r="L254" s="288"/>
      <c r="M254" s="288"/>
      <c r="N254" s="288"/>
      <c r="O254" s="288"/>
      <c r="P254" s="288"/>
      <c r="Q254" s="288"/>
      <c r="R254" s="288"/>
      <c r="S254" s="288"/>
      <c r="T254" s="288"/>
      <c r="U254" s="288"/>
      <c r="V254" s="288"/>
      <c r="W254" s="288"/>
      <c r="X254" s="288"/>
      <c r="Y254" s="288"/>
      <c r="Z254" s="288"/>
      <c r="AA254" s="288"/>
      <c r="AB254" s="288"/>
      <c r="AC254" s="288"/>
      <c r="AD254" s="288"/>
      <c r="AE254" s="288"/>
      <c r="AF254" s="288"/>
      <c r="AG254" s="288"/>
      <c r="AH254" s="288"/>
      <c r="AI254" s="288"/>
    </row>
    <row r="255" spans="1:35" ht="12.75" customHeight="1" x14ac:dyDescent="0.2">
      <c r="A255" s="288"/>
      <c r="B255" s="288"/>
      <c r="C255" s="288"/>
      <c r="D255" s="288"/>
      <c r="E255" s="288"/>
      <c r="F255" s="288"/>
      <c r="G255" s="288"/>
      <c r="H255" s="288"/>
      <c r="I255" s="288"/>
      <c r="J255" s="288"/>
      <c r="K255" s="288"/>
      <c r="L255" s="288"/>
      <c r="M255" s="288"/>
      <c r="N255" s="288"/>
      <c r="O255" s="288"/>
      <c r="P255" s="288"/>
      <c r="Q255" s="288"/>
      <c r="R255" s="288"/>
      <c r="S255" s="288"/>
      <c r="T255" s="288"/>
      <c r="U255" s="288"/>
      <c r="V255" s="288"/>
      <c r="W255" s="288"/>
      <c r="X255" s="288"/>
      <c r="Y255" s="288"/>
      <c r="Z255" s="288"/>
      <c r="AA255" s="288"/>
      <c r="AB255" s="288"/>
      <c r="AC255" s="288"/>
      <c r="AD255" s="288"/>
      <c r="AE255" s="288"/>
      <c r="AF255" s="288"/>
      <c r="AG255" s="288"/>
      <c r="AH255" s="288"/>
      <c r="AI255" s="288"/>
    </row>
    <row r="256" spans="1:35" ht="12.75" customHeight="1" x14ac:dyDescent="0.2">
      <c r="A256" s="288"/>
      <c r="B256" s="288"/>
      <c r="C256" s="288"/>
      <c r="D256" s="288"/>
      <c r="E256" s="288"/>
      <c r="F256" s="288"/>
      <c r="G256" s="288"/>
      <c r="H256" s="288"/>
      <c r="I256" s="288"/>
      <c r="J256" s="288"/>
      <c r="K256" s="288"/>
      <c r="L256" s="288"/>
      <c r="M256" s="288"/>
      <c r="N256" s="288"/>
      <c r="O256" s="288"/>
      <c r="P256" s="288"/>
      <c r="Q256" s="288"/>
      <c r="R256" s="288"/>
      <c r="S256" s="288"/>
      <c r="T256" s="288"/>
      <c r="U256" s="288"/>
      <c r="V256" s="288"/>
      <c r="W256" s="288"/>
      <c r="X256" s="288"/>
      <c r="Y256" s="288"/>
      <c r="Z256" s="288"/>
      <c r="AA256" s="288"/>
      <c r="AB256" s="288"/>
      <c r="AC256" s="288"/>
      <c r="AD256" s="288"/>
      <c r="AE256" s="288"/>
      <c r="AF256" s="288"/>
      <c r="AG256" s="288"/>
      <c r="AH256" s="288"/>
      <c r="AI256" s="288"/>
    </row>
    <row r="257" spans="1:35" ht="12.75" customHeight="1" x14ac:dyDescent="0.2">
      <c r="A257" s="288"/>
      <c r="B257" s="288"/>
      <c r="C257" s="288"/>
      <c r="D257" s="288"/>
      <c r="E257" s="288"/>
      <c r="F257" s="288"/>
      <c r="G257" s="288"/>
      <c r="H257" s="288"/>
      <c r="I257" s="288"/>
      <c r="J257" s="288"/>
      <c r="K257" s="288"/>
      <c r="L257" s="288"/>
      <c r="M257" s="288"/>
      <c r="N257" s="288"/>
      <c r="O257" s="288"/>
      <c r="P257" s="288"/>
      <c r="Q257" s="288"/>
      <c r="R257" s="288"/>
      <c r="S257" s="288"/>
      <c r="T257" s="288"/>
      <c r="U257" s="288"/>
      <c r="V257" s="288"/>
      <c r="W257" s="288"/>
      <c r="X257" s="288"/>
      <c r="Y257" s="288"/>
      <c r="Z257" s="288"/>
      <c r="AA257" s="288"/>
      <c r="AB257" s="288"/>
      <c r="AC257" s="288"/>
      <c r="AD257" s="288"/>
      <c r="AE257" s="288"/>
      <c r="AF257" s="288"/>
      <c r="AG257" s="288"/>
      <c r="AH257" s="288"/>
      <c r="AI257" s="288"/>
    </row>
    <row r="258" spans="1:35" ht="12.75" customHeight="1" x14ac:dyDescent="0.2">
      <c r="A258" s="288"/>
      <c r="B258" s="288"/>
      <c r="C258" s="288"/>
      <c r="D258" s="288"/>
      <c r="E258" s="288"/>
      <c r="F258" s="288"/>
      <c r="G258" s="288"/>
      <c r="H258" s="288"/>
      <c r="I258" s="288"/>
      <c r="J258" s="288"/>
      <c r="K258" s="288"/>
      <c r="L258" s="288"/>
      <c r="M258" s="288"/>
      <c r="N258" s="288"/>
      <c r="O258" s="288"/>
      <c r="P258" s="288"/>
      <c r="Q258" s="288"/>
      <c r="R258" s="288"/>
      <c r="S258" s="288"/>
      <c r="T258" s="288"/>
      <c r="U258" s="288"/>
      <c r="V258" s="288"/>
      <c r="W258" s="288"/>
      <c r="X258" s="288"/>
      <c r="Y258" s="288"/>
      <c r="Z258" s="288"/>
      <c r="AA258" s="288"/>
      <c r="AB258" s="288"/>
      <c r="AC258" s="288"/>
      <c r="AD258" s="288"/>
      <c r="AE258" s="288"/>
      <c r="AF258" s="288"/>
      <c r="AG258" s="288"/>
      <c r="AH258" s="288"/>
      <c r="AI258" s="288"/>
    </row>
    <row r="259" spans="1:35" ht="12.75" customHeight="1" x14ac:dyDescent="0.2">
      <c r="A259" s="288"/>
      <c r="B259" s="288"/>
      <c r="C259" s="288"/>
      <c r="D259" s="288"/>
      <c r="E259" s="288"/>
      <c r="F259" s="288"/>
      <c r="G259" s="288"/>
      <c r="H259" s="288"/>
      <c r="I259" s="288"/>
      <c r="J259" s="288"/>
      <c r="K259" s="288"/>
      <c r="L259" s="288"/>
      <c r="M259" s="288"/>
      <c r="N259" s="288"/>
      <c r="O259" s="288"/>
      <c r="P259" s="288"/>
      <c r="Q259" s="288"/>
      <c r="R259" s="288"/>
      <c r="S259" s="288"/>
      <c r="T259" s="288"/>
      <c r="U259" s="288"/>
      <c r="V259" s="288"/>
      <c r="W259" s="288"/>
      <c r="X259" s="288"/>
      <c r="Y259" s="288"/>
      <c r="Z259" s="288"/>
      <c r="AA259" s="288"/>
      <c r="AB259" s="288"/>
      <c r="AC259" s="288"/>
      <c r="AD259" s="288"/>
      <c r="AE259" s="288"/>
      <c r="AF259" s="288"/>
      <c r="AG259" s="288"/>
      <c r="AH259" s="288"/>
      <c r="AI259" s="288"/>
    </row>
    <row r="260" spans="1:35" ht="12.75" customHeight="1" x14ac:dyDescent="0.2">
      <c r="A260" s="288"/>
      <c r="B260" s="288"/>
      <c r="C260" s="288"/>
      <c r="D260" s="288"/>
      <c r="E260" s="288"/>
      <c r="F260" s="288"/>
      <c r="G260" s="288"/>
      <c r="H260" s="288"/>
      <c r="I260" s="288"/>
      <c r="J260" s="288"/>
      <c r="K260" s="288"/>
      <c r="L260" s="288"/>
      <c r="M260" s="288"/>
      <c r="N260" s="288"/>
      <c r="O260" s="288"/>
      <c r="P260" s="288"/>
      <c r="Q260" s="288"/>
      <c r="R260" s="288"/>
      <c r="S260" s="288"/>
      <c r="T260" s="288"/>
      <c r="U260" s="288"/>
      <c r="V260" s="288"/>
      <c r="W260" s="288"/>
      <c r="X260" s="288"/>
      <c r="Y260" s="288"/>
      <c r="Z260" s="288"/>
      <c r="AA260" s="288"/>
      <c r="AB260" s="288"/>
      <c r="AC260" s="288"/>
      <c r="AD260" s="288"/>
      <c r="AE260" s="288"/>
      <c r="AF260" s="288"/>
      <c r="AG260" s="288"/>
      <c r="AH260" s="288"/>
      <c r="AI260" s="288"/>
    </row>
    <row r="261" spans="1:35" ht="12.75" customHeight="1" x14ac:dyDescent="0.2">
      <c r="A261" s="288"/>
      <c r="B261" s="288"/>
      <c r="C261" s="288"/>
      <c r="D261" s="288"/>
      <c r="E261" s="288"/>
      <c r="F261" s="288"/>
      <c r="G261" s="288"/>
      <c r="H261" s="288"/>
      <c r="I261" s="288"/>
      <c r="J261" s="288"/>
      <c r="K261" s="288"/>
      <c r="L261" s="288"/>
      <c r="M261" s="288"/>
      <c r="N261" s="288"/>
      <c r="O261" s="288"/>
      <c r="P261" s="288"/>
      <c r="Q261" s="288"/>
      <c r="R261" s="288"/>
      <c r="S261" s="288"/>
      <c r="T261" s="288"/>
      <c r="U261" s="288"/>
      <c r="V261" s="288"/>
      <c r="W261" s="288"/>
      <c r="X261" s="288"/>
      <c r="Y261" s="288"/>
      <c r="Z261" s="288"/>
      <c r="AA261" s="288"/>
      <c r="AB261" s="288"/>
      <c r="AC261" s="288"/>
      <c r="AD261" s="288"/>
      <c r="AE261" s="288"/>
      <c r="AF261" s="288"/>
      <c r="AG261" s="288"/>
      <c r="AH261" s="288"/>
      <c r="AI261" s="288"/>
    </row>
    <row r="262" spans="1:35" ht="12.75" customHeight="1" x14ac:dyDescent="0.2">
      <c r="A262" s="288"/>
      <c r="B262" s="288"/>
      <c r="C262" s="288"/>
      <c r="D262" s="288"/>
      <c r="E262" s="288"/>
      <c r="F262" s="288"/>
      <c r="G262" s="288"/>
      <c r="H262" s="288"/>
      <c r="I262" s="288"/>
      <c r="J262" s="288"/>
      <c r="K262" s="288"/>
      <c r="L262" s="288"/>
      <c r="M262" s="288"/>
      <c r="N262" s="288"/>
      <c r="O262" s="288"/>
      <c r="P262" s="288"/>
      <c r="Q262" s="288"/>
      <c r="R262" s="288"/>
      <c r="S262" s="288"/>
      <c r="T262" s="288"/>
      <c r="U262" s="288"/>
      <c r="V262" s="288"/>
      <c r="W262" s="288"/>
      <c r="X262" s="288"/>
      <c r="Y262" s="288"/>
      <c r="Z262" s="288"/>
      <c r="AA262" s="288"/>
      <c r="AB262" s="288"/>
      <c r="AC262" s="288"/>
      <c r="AD262" s="288"/>
      <c r="AE262" s="288"/>
      <c r="AF262" s="288"/>
      <c r="AG262" s="288"/>
      <c r="AH262" s="288"/>
      <c r="AI262" s="288"/>
    </row>
    <row r="263" spans="1:35" ht="12.75" customHeight="1" x14ac:dyDescent="0.2">
      <c r="A263" s="288"/>
      <c r="B263" s="288"/>
      <c r="C263" s="288"/>
      <c r="D263" s="288"/>
      <c r="E263" s="288"/>
      <c r="F263" s="288"/>
      <c r="G263" s="288"/>
      <c r="H263" s="288"/>
      <c r="I263" s="288"/>
      <c r="J263" s="288"/>
      <c r="K263" s="288"/>
      <c r="L263" s="288"/>
      <c r="M263" s="288"/>
      <c r="N263" s="288"/>
      <c r="O263" s="288"/>
      <c r="P263" s="288"/>
      <c r="Q263" s="288"/>
      <c r="R263" s="288"/>
      <c r="S263" s="288"/>
      <c r="T263" s="288"/>
      <c r="U263" s="288"/>
      <c r="V263" s="288"/>
      <c r="W263" s="288"/>
      <c r="X263" s="288"/>
      <c r="Y263" s="288"/>
      <c r="Z263" s="288"/>
      <c r="AA263" s="288"/>
      <c r="AB263" s="288"/>
      <c r="AC263" s="288"/>
      <c r="AD263" s="288"/>
      <c r="AE263" s="288"/>
      <c r="AF263" s="288"/>
      <c r="AG263" s="288"/>
      <c r="AH263" s="288"/>
      <c r="AI263" s="288"/>
    </row>
    <row r="264" spans="1:35" ht="12.75" customHeight="1" x14ac:dyDescent="0.2">
      <c r="A264" s="288"/>
      <c r="B264" s="288"/>
      <c r="C264" s="288"/>
      <c r="D264" s="288"/>
      <c r="E264" s="288"/>
      <c r="F264" s="288"/>
      <c r="G264" s="288"/>
      <c r="H264" s="288"/>
      <c r="I264" s="288"/>
      <c r="J264" s="288"/>
      <c r="K264" s="288"/>
      <c r="L264" s="288"/>
      <c r="M264" s="288"/>
      <c r="N264" s="288"/>
      <c r="O264" s="288"/>
      <c r="P264" s="288"/>
      <c r="Q264" s="288"/>
      <c r="R264" s="288"/>
      <c r="S264" s="288"/>
      <c r="T264" s="288"/>
      <c r="U264" s="288"/>
      <c r="V264" s="288"/>
      <c r="W264" s="288"/>
      <c r="X264" s="288"/>
      <c r="Y264" s="288"/>
      <c r="Z264" s="288"/>
      <c r="AA264" s="288"/>
      <c r="AB264" s="288"/>
      <c r="AC264" s="288"/>
      <c r="AD264" s="288"/>
      <c r="AE264" s="288"/>
      <c r="AF264" s="288"/>
      <c r="AG264" s="288"/>
      <c r="AH264" s="288"/>
      <c r="AI264" s="288"/>
    </row>
    <row r="265" spans="1:35" ht="12.75" customHeight="1" x14ac:dyDescent="0.2">
      <c r="A265" s="288"/>
      <c r="B265" s="288"/>
      <c r="C265" s="288"/>
      <c r="D265" s="288"/>
      <c r="E265" s="288"/>
      <c r="F265" s="288"/>
      <c r="G265" s="288"/>
      <c r="H265" s="288"/>
      <c r="I265" s="288"/>
      <c r="J265" s="288"/>
      <c r="K265" s="288"/>
      <c r="L265" s="288"/>
      <c r="M265" s="288"/>
      <c r="N265" s="288"/>
      <c r="O265" s="288"/>
      <c r="P265" s="288"/>
      <c r="Q265" s="288"/>
      <c r="R265" s="288"/>
      <c r="S265" s="288"/>
      <c r="T265" s="288"/>
      <c r="U265" s="288"/>
      <c r="V265" s="288"/>
      <c r="W265" s="288"/>
      <c r="X265" s="288"/>
      <c r="Y265" s="288"/>
      <c r="Z265" s="288"/>
      <c r="AA265" s="288"/>
      <c r="AB265" s="288"/>
      <c r="AC265" s="288"/>
      <c r="AD265" s="288"/>
      <c r="AE265" s="288"/>
      <c r="AF265" s="288"/>
      <c r="AG265" s="288"/>
      <c r="AH265" s="288"/>
      <c r="AI265" s="288"/>
    </row>
    <row r="266" spans="1:35" ht="12.75" customHeight="1" x14ac:dyDescent="0.2">
      <c r="A266" s="288"/>
      <c r="B266" s="288"/>
      <c r="C266" s="288"/>
      <c r="D266" s="288"/>
      <c r="E266" s="288"/>
      <c r="F266" s="288"/>
      <c r="G266" s="288"/>
      <c r="H266" s="288"/>
      <c r="I266" s="288"/>
      <c r="J266" s="288"/>
      <c r="K266" s="288"/>
      <c r="L266" s="288"/>
      <c r="M266" s="288"/>
      <c r="N266" s="288"/>
      <c r="O266" s="288"/>
      <c r="P266" s="288"/>
      <c r="Q266" s="288"/>
      <c r="R266" s="288"/>
      <c r="S266" s="288"/>
      <c r="T266" s="288"/>
      <c r="U266" s="288"/>
      <c r="V266" s="288"/>
      <c r="W266" s="288"/>
      <c r="X266" s="288"/>
      <c r="Y266" s="288"/>
      <c r="Z266" s="288"/>
      <c r="AA266" s="288"/>
      <c r="AB266" s="288"/>
      <c r="AC266" s="288"/>
      <c r="AD266" s="288"/>
      <c r="AE266" s="288"/>
      <c r="AF266" s="288"/>
      <c r="AG266" s="288"/>
      <c r="AH266" s="288"/>
      <c r="AI266" s="288"/>
    </row>
    <row r="267" spans="1:35" ht="12.75" customHeight="1" x14ac:dyDescent="0.2">
      <c r="A267" s="288"/>
      <c r="B267" s="288"/>
      <c r="C267" s="288"/>
      <c r="D267" s="288"/>
      <c r="E267" s="288"/>
      <c r="F267" s="288"/>
      <c r="G267" s="288"/>
      <c r="H267" s="288"/>
      <c r="I267" s="288"/>
      <c r="J267" s="288"/>
      <c r="K267" s="288"/>
      <c r="L267" s="288"/>
      <c r="M267" s="288"/>
      <c r="N267" s="288"/>
      <c r="O267" s="288"/>
      <c r="P267" s="288"/>
      <c r="Q267" s="288"/>
      <c r="R267" s="288"/>
      <c r="S267" s="288"/>
      <c r="T267" s="288"/>
      <c r="U267" s="288"/>
      <c r="V267" s="288"/>
      <c r="W267" s="288"/>
      <c r="X267" s="288"/>
      <c r="Y267" s="288"/>
      <c r="Z267" s="288"/>
      <c r="AA267" s="288"/>
      <c r="AB267" s="288"/>
      <c r="AC267" s="288"/>
      <c r="AD267" s="288"/>
      <c r="AE267" s="288"/>
      <c r="AF267" s="288"/>
      <c r="AG267" s="288"/>
      <c r="AH267" s="288"/>
      <c r="AI267" s="288"/>
    </row>
    <row r="268" spans="1:35" ht="12.75" customHeight="1" x14ac:dyDescent="0.2">
      <c r="A268" s="288"/>
      <c r="B268" s="288"/>
      <c r="C268" s="288"/>
      <c r="D268" s="288"/>
      <c r="E268" s="288"/>
      <c r="F268" s="288"/>
      <c r="G268" s="288"/>
      <c r="H268" s="288"/>
      <c r="I268" s="288"/>
      <c r="J268" s="288"/>
      <c r="K268" s="288"/>
      <c r="L268" s="288"/>
      <c r="M268" s="288"/>
      <c r="N268" s="288"/>
      <c r="O268" s="288"/>
      <c r="P268" s="288"/>
      <c r="Q268" s="288"/>
      <c r="R268" s="288"/>
      <c r="S268" s="288"/>
      <c r="T268" s="288"/>
      <c r="U268" s="288"/>
      <c r="V268" s="288"/>
      <c r="W268" s="288"/>
      <c r="X268" s="288"/>
      <c r="Y268" s="288"/>
      <c r="Z268" s="288"/>
      <c r="AA268" s="288"/>
      <c r="AB268" s="288"/>
      <c r="AC268" s="288"/>
      <c r="AD268" s="288"/>
      <c r="AE268" s="288"/>
      <c r="AF268" s="288"/>
      <c r="AG268" s="288"/>
      <c r="AH268" s="288"/>
      <c r="AI268" s="288"/>
    </row>
    <row r="269" spans="1:35" ht="12.75" customHeight="1" x14ac:dyDescent="0.2">
      <c r="A269" s="288"/>
      <c r="B269" s="288"/>
      <c r="C269" s="288"/>
      <c r="D269" s="288"/>
      <c r="E269" s="288"/>
      <c r="F269" s="288"/>
      <c r="G269" s="288"/>
      <c r="H269" s="288"/>
      <c r="I269" s="288"/>
      <c r="J269" s="288"/>
      <c r="K269" s="288"/>
      <c r="L269" s="288"/>
      <c r="M269" s="288"/>
      <c r="N269" s="288"/>
      <c r="O269" s="288"/>
      <c r="P269" s="288"/>
      <c r="Q269" s="288"/>
      <c r="R269" s="288"/>
      <c r="S269" s="288"/>
      <c r="T269" s="288"/>
      <c r="U269" s="288"/>
      <c r="V269" s="288"/>
      <c r="W269" s="288"/>
      <c r="X269" s="288"/>
      <c r="Y269" s="288"/>
      <c r="Z269" s="288"/>
      <c r="AA269" s="288"/>
      <c r="AB269" s="288"/>
      <c r="AC269" s="288"/>
      <c r="AD269" s="288"/>
      <c r="AE269" s="288"/>
      <c r="AF269" s="288"/>
      <c r="AG269" s="288"/>
      <c r="AH269" s="288"/>
      <c r="AI269" s="288"/>
    </row>
    <row r="270" spans="1:35" ht="12.75" customHeight="1" x14ac:dyDescent="0.2">
      <c r="A270" s="288"/>
      <c r="B270" s="288"/>
      <c r="C270" s="288"/>
      <c r="D270" s="288"/>
      <c r="E270" s="288"/>
      <c r="F270" s="288"/>
      <c r="G270" s="288"/>
      <c r="H270" s="288"/>
      <c r="I270" s="288"/>
      <c r="J270" s="288"/>
      <c r="K270" s="288"/>
      <c r="L270" s="288"/>
      <c r="M270" s="288"/>
      <c r="N270" s="288"/>
      <c r="O270" s="288"/>
      <c r="P270" s="288"/>
      <c r="Q270" s="288"/>
      <c r="R270" s="288"/>
      <c r="S270" s="288"/>
      <c r="T270" s="288"/>
      <c r="U270" s="288"/>
      <c r="V270" s="288"/>
      <c r="W270" s="288"/>
      <c r="X270" s="288"/>
      <c r="Y270" s="288"/>
      <c r="Z270" s="288"/>
      <c r="AA270" s="288"/>
      <c r="AB270" s="288"/>
      <c r="AC270" s="288"/>
      <c r="AD270" s="288"/>
      <c r="AE270" s="288"/>
      <c r="AF270" s="288"/>
      <c r="AG270" s="288"/>
      <c r="AH270" s="288"/>
      <c r="AI270" s="288"/>
    </row>
    <row r="271" spans="1:35" ht="12.75" customHeight="1" x14ac:dyDescent="0.2">
      <c r="A271" s="288"/>
      <c r="B271" s="288"/>
      <c r="C271" s="288"/>
      <c r="D271" s="288"/>
      <c r="E271" s="288"/>
      <c r="F271" s="288"/>
      <c r="G271" s="288"/>
      <c r="H271" s="288"/>
      <c r="I271" s="288"/>
      <c r="J271" s="288"/>
      <c r="K271" s="288"/>
      <c r="L271" s="288"/>
      <c r="M271" s="288"/>
      <c r="N271" s="288"/>
      <c r="O271" s="288"/>
      <c r="P271" s="288"/>
      <c r="Q271" s="288"/>
      <c r="R271" s="288"/>
      <c r="S271" s="288"/>
      <c r="T271" s="288"/>
      <c r="U271" s="288"/>
      <c r="V271" s="288"/>
      <c r="W271" s="288"/>
      <c r="X271" s="288"/>
      <c r="Y271" s="288"/>
      <c r="Z271" s="288"/>
      <c r="AA271" s="288"/>
      <c r="AB271" s="288"/>
      <c r="AC271" s="288"/>
      <c r="AD271" s="288"/>
      <c r="AE271" s="288"/>
      <c r="AF271" s="288"/>
      <c r="AG271" s="288"/>
      <c r="AH271" s="288"/>
      <c r="AI271" s="288"/>
    </row>
    <row r="272" spans="1:35" ht="12.75" customHeight="1" x14ac:dyDescent="0.2">
      <c r="A272" s="288"/>
      <c r="B272" s="288"/>
      <c r="C272" s="288"/>
      <c r="D272" s="288"/>
      <c r="E272" s="288"/>
      <c r="F272" s="288"/>
      <c r="G272" s="288"/>
      <c r="H272" s="288"/>
      <c r="I272" s="288"/>
      <c r="J272" s="288"/>
      <c r="K272" s="288"/>
      <c r="L272" s="288"/>
      <c r="M272" s="288"/>
      <c r="N272" s="288"/>
      <c r="O272" s="288"/>
      <c r="P272" s="288"/>
      <c r="Q272" s="288"/>
      <c r="R272" s="288"/>
      <c r="S272" s="288"/>
      <c r="T272" s="288"/>
      <c r="U272" s="288"/>
      <c r="V272" s="288"/>
      <c r="W272" s="288"/>
      <c r="X272" s="288"/>
      <c r="Y272" s="288"/>
      <c r="Z272" s="288"/>
      <c r="AA272" s="288"/>
      <c r="AB272" s="288"/>
      <c r="AC272" s="288"/>
      <c r="AD272" s="288"/>
      <c r="AE272" s="288"/>
      <c r="AF272" s="288"/>
      <c r="AG272" s="288"/>
      <c r="AH272" s="288"/>
      <c r="AI272" s="288"/>
    </row>
    <row r="273" spans="1:35" ht="12.75" customHeight="1" x14ac:dyDescent="0.2">
      <c r="A273" s="288"/>
      <c r="B273" s="288"/>
      <c r="C273" s="288"/>
      <c r="D273" s="288"/>
      <c r="E273" s="288"/>
      <c r="F273" s="288"/>
      <c r="G273" s="288"/>
      <c r="H273" s="288"/>
      <c r="I273" s="288"/>
      <c r="J273" s="288"/>
      <c r="K273" s="288"/>
      <c r="L273" s="288"/>
      <c r="M273" s="288"/>
      <c r="N273" s="288"/>
      <c r="O273" s="288"/>
      <c r="P273" s="288"/>
      <c r="Q273" s="288"/>
      <c r="R273" s="288"/>
      <c r="S273" s="288"/>
      <c r="T273" s="288"/>
      <c r="U273" s="288"/>
      <c r="V273" s="288"/>
      <c r="W273" s="288"/>
      <c r="X273" s="288"/>
      <c r="Y273" s="288"/>
      <c r="Z273" s="288"/>
      <c r="AA273" s="288"/>
      <c r="AB273" s="288"/>
      <c r="AC273" s="288"/>
      <c r="AD273" s="288"/>
      <c r="AE273" s="288"/>
      <c r="AF273" s="288"/>
      <c r="AG273" s="288"/>
      <c r="AH273" s="288"/>
      <c r="AI273" s="288"/>
    </row>
    <row r="274" spans="1:35" ht="12.75" customHeight="1" x14ac:dyDescent="0.2">
      <c r="A274" s="288"/>
      <c r="B274" s="288"/>
      <c r="C274" s="288"/>
      <c r="D274" s="288"/>
      <c r="E274" s="288"/>
      <c r="F274" s="288"/>
      <c r="G274" s="288"/>
      <c r="H274" s="288"/>
      <c r="I274" s="288"/>
      <c r="J274" s="288"/>
      <c r="K274" s="288"/>
      <c r="L274" s="288"/>
      <c r="M274" s="288"/>
      <c r="N274" s="288"/>
      <c r="O274" s="288"/>
      <c r="P274" s="288"/>
      <c r="Q274" s="288"/>
      <c r="R274" s="288"/>
      <c r="S274" s="288"/>
      <c r="T274" s="288"/>
      <c r="U274" s="288"/>
      <c r="V274" s="288"/>
      <c r="W274" s="288"/>
      <c r="X274" s="288"/>
      <c r="Y274" s="288"/>
      <c r="Z274" s="288"/>
      <c r="AA274" s="288"/>
      <c r="AB274" s="288"/>
      <c r="AC274" s="288"/>
      <c r="AD274" s="288"/>
      <c r="AE274" s="288"/>
      <c r="AF274" s="288"/>
      <c r="AG274" s="288"/>
      <c r="AH274" s="288"/>
      <c r="AI274" s="288"/>
    </row>
    <row r="275" spans="1:35" ht="12.75" customHeight="1" x14ac:dyDescent="0.2">
      <c r="A275" s="288"/>
      <c r="B275" s="288"/>
      <c r="C275" s="288"/>
      <c r="D275" s="288"/>
      <c r="E275" s="288"/>
      <c r="F275" s="288"/>
      <c r="G275" s="288"/>
      <c r="H275" s="288"/>
      <c r="I275" s="288"/>
      <c r="J275" s="288"/>
      <c r="K275" s="288"/>
      <c r="L275" s="288"/>
      <c r="M275" s="288"/>
      <c r="N275" s="288"/>
      <c r="O275" s="288"/>
      <c r="P275" s="288"/>
      <c r="Q275" s="288"/>
      <c r="R275" s="288"/>
      <c r="S275" s="288"/>
      <c r="T275" s="288"/>
      <c r="U275" s="288"/>
      <c r="V275" s="288"/>
      <c r="W275" s="288"/>
      <c r="X275" s="288"/>
      <c r="Y275" s="288"/>
      <c r="Z275" s="288"/>
      <c r="AA275" s="288"/>
      <c r="AB275" s="288"/>
      <c r="AC275" s="288"/>
      <c r="AD275" s="288"/>
      <c r="AE275" s="288"/>
      <c r="AF275" s="288"/>
      <c r="AG275" s="288"/>
      <c r="AH275" s="288"/>
      <c r="AI275" s="288"/>
    </row>
    <row r="276" spans="1:35" ht="12.75" customHeight="1" x14ac:dyDescent="0.2">
      <c r="A276" s="288"/>
      <c r="B276" s="288"/>
      <c r="C276" s="288"/>
      <c r="D276" s="288"/>
      <c r="E276" s="288"/>
      <c r="F276" s="288"/>
      <c r="G276" s="288"/>
      <c r="H276" s="288"/>
      <c r="I276" s="288"/>
      <c r="J276" s="288"/>
      <c r="K276" s="288"/>
      <c r="L276" s="288"/>
      <c r="M276" s="288"/>
      <c r="N276" s="288"/>
      <c r="O276" s="288"/>
      <c r="P276" s="288"/>
      <c r="Q276" s="288"/>
      <c r="R276" s="288"/>
      <c r="S276" s="288"/>
      <c r="T276" s="288"/>
      <c r="U276" s="288"/>
      <c r="V276" s="288"/>
      <c r="W276" s="288"/>
      <c r="X276" s="288"/>
      <c r="Y276" s="288"/>
      <c r="Z276" s="288"/>
      <c r="AA276" s="288"/>
      <c r="AB276" s="288"/>
      <c r="AC276" s="288"/>
      <c r="AD276" s="288"/>
      <c r="AE276" s="288"/>
      <c r="AF276" s="288"/>
      <c r="AG276" s="288"/>
      <c r="AH276" s="288"/>
      <c r="AI276" s="288"/>
    </row>
    <row r="277" spans="1:35" ht="12.75" customHeight="1" x14ac:dyDescent="0.2">
      <c r="A277" s="288"/>
      <c r="B277" s="288"/>
      <c r="C277" s="288"/>
      <c r="D277" s="288"/>
      <c r="E277" s="288"/>
      <c r="F277" s="288"/>
      <c r="G277" s="288"/>
      <c r="H277" s="288"/>
      <c r="I277" s="288"/>
      <c r="J277" s="288"/>
      <c r="K277" s="288"/>
      <c r="L277" s="288"/>
      <c r="M277" s="288"/>
      <c r="N277" s="288"/>
      <c r="O277" s="288"/>
      <c r="P277" s="288"/>
      <c r="Q277" s="288"/>
      <c r="R277" s="288"/>
      <c r="S277" s="288"/>
      <c r="T277" s="288"/>
      <c r="U277" s="288"/>
      <c r="V277" s="288"/>
      <c r="W277" s="288"/>
      <c r="X277" s="288"/>
      <c r="Y277" s="288"/>
      <c r="Z277" s="288"/>
      <c r="AA277" s="288"/>
      <c r="AB277" s="288"/>
      <c r="AC277" s="288"/>
      <c r="AD277" s="288"/>
      <c r="AE277" s="288"/>
      <c r="AF277" s="288"/>
      <c r="AG277" s="288"/>
      <c r="AH277" s="288"/>
      <c r="AI277" s="288"/>
    </row>
    <row r="278" spans="1:35" ht="12.75" customHeight="1" x14ac:dyDescent="0.2">
      <c r="A278" s="288"/>
      <c r="B278" s="288"/>
      <c r="C278" s="288"/>
      <c r="D278" s="288"/>
      <c r="E278" s="288"/>
      <c r="F278" s="288"/>
      <c r="G278" s="288"/>
      <c r="H278" s="288"/>
      <c r="I278" s="288"/>
      <c r="J278" s="288"/>
      <c r="K278" s="288"/>
      <c r="L278" s="288"/>
      <c r="M278" s="288"/>
      <c r="N278" s="288"/>
      <c r="O278" s="288"/>
      <c r="P278" s="288"/>
      <c r="Q278" s="288"/>
      <c r="R278" s="288"/>
      <c r="S278" s="288"/>
      <c r="T278" s="288"/>
      <c r="U278" s="288"/>
      <c r="V278" s="288"/>
      <c r="W278" s="288"/>
      <c r="X278" s="288"/>
      <c r="Y278" s="288"/>
      <c r="Z278" s="288"/>
      <c r="AA278" s="288"/>
      <c r="AB278" s="288"/>
      <c r="AC278" s="288"/>
      <c r="AD278" s="288"/>
      <c r="AE278" s="288"/>
      <c r="AF278" s="288"/>
      <c r="AG278" s="288"/>
      <c r="AH278" s="288"/>
      <c r="AI278" s="288"/>
    </row>
    <row r="279" spans="1:35" ht="12.75" customHeight="1" x14ac:dyDescent="0.2">
      <c r="A279" s="288"/>
      <c r="B279" s="288"/>
      <c r="C279" s="288"/>
      <c r="D279" s="288"/>
      <c r="E279" s="288"/>
      <c r="F279" s="288"/>
      <c r="G279" s="288"/>
      <c r="H279" s="288"/>
      <c r="I279" s="288"/>
      <c r="J279" s="288"/>
      <c r="K279" s="288"/>
      <c r="L279" s="288"/>
      <c r="M279" s="288"/>
      <c r="N279" s="288"/>
      <c r="O279" s="288"/>
      <c r="P279" s="288"/>
      <c r="Q279" s="288"/>
      <c r="R279" s="288"/>
      <c r="S279" s="288"/>
      <c r="T279" s="288"/>
      <c r="U279" s="288"/>
      <c r="V279" s="288"/>
      <c r="W279" s="288"/>
      <c r="X279" s="288"/>
      <c r="Y279" s="288"/>
      <c r="Z279" s="288"/>
      <c r="AA279" s="288"/>
      <c r="AB279" s="288"/>
      <c r="AC279" s="288"/>
      <c r="AD279" s="288"/>
      <c r="AE279" s="288"/>
      <c r="AF279" s="288"/>
      <c r="AG279" s="288"/>
      <c r="AH279" s="288"/>
      <c r="AI279" s="288"/>
    </row>
    <row r="280" spans="1:35" ht="12.75" customHeight="1" x14ac:dyDescent="0.2">
      <c r="A280" s="288"/>
      <c r="B280" s="288"/>
      <c r="C280" s="288"/>
      <c r="D280" s="288"/>
      <c r="E280" s="288"/>
      <c r="F280" s="288"/>
      <c r="G280" s="288"/>
      <c r="H280" s="288"/>
      <c r="I280" s="288"/>
      <c r="J280" s="288"/>
      <c r="K280" s="288"/>
      <c r="L280" s="288"/>
      <c r="M280" s="288"/>
      <c r="N280" s="288"/>
      <c r="O280" s="288"/>
      <c r="P280" s="288"/>
      <c r="Q280" s="288"/>
      <c r="R280" s="288"/>
      <c r="S280" s="288"/>
      <c r="T280" s="288"/>
      <c r="U280" s="288"/>
      <c r="V280" s="288"/>
      <c r="W280" s="288"/>
      <c r="X280" s="288"/>
      <c r="Y280" s="288"/>
      <c r="Z280" s="288"/>
      <c r="AA280" s="288"/>
      <c r="AB280" s="288"/>
      <c r="AC280" s="288"/>
      <c r="AD280" s="288"/>
      <c r="AE280" s="288"/>
      <c r="AF280" s="288"/>
      <c r="AG280" s="288"/>
      <c r="AH280" s="288"/>
      <c r="AI280" s="288"/>
    </row>
    <row r="281" spans="1:35" ht="12.75" customHeight="1" x14ac:dyDescent="0.2">
      <c r="A281" s="288"/>
      <c r="B281" s="288"/>
      <c r="C281" s="288"/>
      <c r="D281" s="288"/>
      <c r="E281" s="288"/>
      <c r="F281" s="288"/>
      <c r="G281" s="288"/>
      <c r="H281" s="288"/>
      <c r="I281" s="288"/>
      <c r="J281" s="288"/>
      <c r="K281" s="288"/>
      <c r="L281" s="288"/>
      <c r="M281" s="288"/>
      <c r="N281" s="288"/>
      <c r="O281" s="288"/>
      <c r="P281" s="288"/>
      <c r="Q281" s="288"/>
      <c r="R281" s="288"/>
      <c r="S281" s="288"/>
      <c r="T281" s="288"/>
      <c r="U281" s="288"/>
      <c r="V281" s="288"/>
      <c r="W281" s="288"/>
      <c r="X281" s="288"/>
      <c r="Y281" s="288"/>
      <c r="Z281" s="288"/>
      <c r="AA281" s="288"/>
      <c r="AB281" s="288"/>
      <c r="AC281" s="288"/>
      <c r="AD281" s="288"/>
      <c r="AE281" s="288"/>
      <c r="AF281" s="288"/>
      <c r="AG281" s="288"/>
      <c r="AH281" s="288"/>
      <c r="AI281" s="288"/>
    </row>
    <row r="282" spans="1:35" ht="12.75" customHeight="1" x14ac:dyDescent="0.2">
      <c r="A282" s="288"/>
      <c r="B282" s="288"/>
      <c r="C282" s="288"/>
      <c r="D282" s="288"/>
      <c r="E282" s="288"/>
      <c r="F282" s="288"/>
      <c r="G282" s="288"/>
      <c r="H282" s="288"/>
      <c r="I282" s="288"/>
      <c r="J282" s="288"/>
      <c r="K282" s="288"/>
      <c r="L282" s="288"/>
      <c r="M282" s="288"/>
      <c r="N282" s="288"/>
      <c r="O282" s="288"/>
      <c r="P282" s="288"/>
      <c r="Q282" s="288"/>
      <c r="R282" s="288"/>
      <c r="S282" s="288"/>
      <c r="T282" s="288"/>
      <c r="U282" s="288"/>
      <c r="V282" s="288"/>
      <c r="W282" s="288"/>
      <c r="X282" s="288"/>
      <c r="Y282" s="288"/>
      <c r="Z282" s="288"/>
      <c r="AA282" s="288"/>
      <c r="AB282" s="288"/>
      <c r="AC282" s="288"/>
      <c r="AD282" s="288"/>
      <c r="AE282" s="288"/>
      <c r="AF282" s="288"/>
      <c r="AG282" s="288"/>
      <c r="AH282" s="288"/>
      <c r="AI282" s="288"/>
    </row>
    <row r="283" spans="1:35" ht="12.75" customHeight="1" x14ac:dyDescent="0.2">
      <c r="A283" s="288"/>
      <c r="B283" s="288"/>
      <c r="C283" s="288"/>
      <c r="D283" s="288"/>
      <c r="E283" s="288"/>
      <c r="F283" s="288"/>
      <c r="G283" s="288"/>
      <c r="H283" s="288"/>
      <c r="I283" s="288"/>
      <c r="J283" s="288"/>
      <c r="K283" s="288"/>
      <c r="L283" s="288"/>
      <c r="M283" s="288"/>
      <c r="N283" s="288"/>
      <c r="O283" s="288"/>
      <c r="P283" s="288"/>
      <c r="Q283" s="288"/>
      <c r="R283" s="288"/>
      <c r="S283" s="288"/>
      <c r="T283" s="288"/>
      <c r="U283" s="288"/>
      <c r="V283" s="288"/>
      <c r="W283" s="288"/>
      <c r="X283" s="288"/>
      <c r="Y283" s="288"/>
      <c r="Z283" s="288"/>
      <c r="AA283" s="288"/>
      <c r="AB283" s="288"/>
      <c r="AC283" s="288"/>
      <c r="AD283" s="288"/>
      <c r="AE283" s="288"/>
      <c r="AF283" s="288"/>
      <c r="AG283" s="288"/>
      <c r="AH283" s="288"/>
      <c r="AI283" s="288"/>
    </row>
    <row r="284" spans="1:35" ht="12.75" customHeight="1" x14ac:dyDescent="0.2">
      <c r="A284" s="288"/>
      <c r="B284" s="288"/>
      <c r="C284" s="288"/>
      <c r="D284" s="288"/>
      <c r="E284" s="288"/>
      <c r="F284" s="288"/>
      <c r="G284" s="288"/>
      <c r="H284" s="288"/>
      <c r="I284" s="288"/>
      <c r="J284" s="288"/>
      <c r="K284" s="288"/>
      <c r="L284" s="288"/>
      <c r="M284" s="288"/>
      <c r="N284" s="288"/>
      <c r="O284" s="288"/>
      <c r="P284" s="288"/>
      <c r="Q284" s="288"/>
      <c r="R284" s="288"/>
      <c r="S284" s="288"/>
      <c r="T284" s="288"/>
      <c r="U284" s="288"/>
      <c r="V284" s="288"/>
      <c r="W284" s="288"/>
      <c r="X284" s="288"/>
      <c r="Y284" s="288"/>
      <c r="Z284" s="288"/>
      <c r="AA284" s="288"/>
      <c r="AB284" s="288"/>
      <c r="AC284" s="288"/>
      <c r="AD284" s="288"/>
      <c r="AE284" s="288"/>
      <c r="AF284" s="288"/>
      <c r="AG284" s="288"/>
      <c r="AH284" s="288"/>
      <c r="AI284" s="288"/>
    </row>
    <row r="285" spans="1:35" ht="12.75" customHeight="1" x14ac:dyDescent="0.2">
      <c r="A285" s="288"/>
      <c r="B285" s="288"/>
      <c r="C285" s="288"/>
      <c r="D285" s="288"/>
      <c r="E285" s="288"/>
      <c r="F285" s="288"/>
      <c r="G285" s="288"/>
      <c r="H285" s="288"/>
      <c r="I285" s="288"/>
      <c r="J285" s="288"/>
      <c r="K285" s="288"/>
      <c r="L285" s="288"/>
      <c r="M285" s="288"/>
      <c r="N285" s="288"/>
      <c r="O285" s="288"/>
      <c r="P285" s="288"/>
      <c r="Q285" s="288"/>
      <c r="R285" s="288"/>
      <c r="S285" s="288"/>
      <c r="T285" s="288"/>
      <c r="U285" s="288"/>
      <c r="V285" s="288"/>
      <c r="W285" s="288"/>
      <c r="X285" s="288"/>
      <c r="Y285" s="288"/>
      <c r="Z285" s="288"/>
      <c r="AA285" s="288"/>
      <c r="AB285" s="288"/>
      <c r="AC285" s="288"/>
      <c r="AD285" s="288"/>
      <c r="AE285" s="288"/>
      <c r="AF285" s="288"/>
      <c r="AG285" s="288"/>
      <c r="AH285" s="288"/>
      <c r="AI285" s="288"/>
    </row>
    <row r="286" spans="1:35" ht="12.75" customHeight="1" x14ac:dyDescent="0.2">
      <c r="A286" s="288"/>
      <c r="B286" s="288"/>
      <c r="C286" s="288"/>
      <c r="D286" s="288"/>
      <c r="E286" s="288"/>
      <c r="F286" s="288"/>
      <c r="G286" s="288"/>
      <c r="H286" s="288"/>
      <c r="I286" s="288"/>
      <c r="J286" s="288"/>
      <c r="K286" s="288"/>
      <c r="L286" s="288"/>
      <c r="M286" s="288"/>
      <c r="N286" s="288"/>
      <c r="O286" s="288"/>
      <c r="P286" s="288"/>
      <c r="Q286" s="288"/>
      <c r="R286" s="288"/>
      <c r="S286" s="288"/>
      <c r="T286" s="288"/>
      <c r="U286" s="288"/>
      <c r="V286" s="288"/>
      <c r="W286" s="288"/>
      <c r="X286" s="288"/>
      <c r="Y286" s="288"/>
      <c r="Z286" s="288"/>
      <c r="AA286" s="288"/>
      <c r="AB286" s="288"/>
      <c r="AC286" s="288"/>
      <c r="AD286" s="288"/>
      <c r="AE286" s="288"/>
      <c r="AF286" s="288"/>
      <c r="AG286" s="288"/>
      <c r="AH286" s="288"/>
      <c r="AI286" s="288"/>
    </row>
    <row r="287" spans="1:35" ht="12.75" customHeight="1" x14ac:dyDescent="0.2">
      <c r="A287" s="288"/>
      <c r="B287" s="288"/>
      <c r="C287" s="288"/>
      <c r="D287" s="288"/>
      <c r="E287" s="288"/>
      <c r="F287" s="288"/>
      <c r="G287" s="288"/>
      <c r="H287" s="288"/>
      <c r="I287" s="288"/>
      <c r="J287" s="288"/>
      <c r="K287" s="288"/>
      <c r="L287" s="288"/>
      <c r="M287" s="288"/>
      <c r="N287" s="288"/>
      <c r="O287" s="288"/>
      <c r="P287" s="288"/>
      <c r="Q287" s="288"/>
      <c r="R287" s="288"/>
      <c r="S287" s="288"/>
      <c r="T287" s="288"/>
      <c r="U287" s="288"/>
      <c r="V287" s="288"/>
      <c r="W287" s="288"/>
      <c r="X287" s="288"/>
      <c r="Y287" s="288"/>
      <c r="Z287" s="288"/>
      <c r="AA287" s="288"/>
      <c r="AB287" s="288"/>
      <c r="AC287" s="288"/>
      <c r="AD287" s="288"/>
      <c r="AE287" s="288"/>
      <c r="AF287" s="288"/>
      <c r="AG287" s="288"/>
      <c r="AH287" s="288"/>
      <c r="AI287" s="288"/>
    </row>
    <row r="288" spans="1:35" ht="12.75" customHeight="1" x14ac:dyDescent="0.2">
      <c r="A288" s="288"/>
      <c r="B288" s="288"/>
      <c r="C288" s="288"/>
      <c r="D288" s="288"/>
      <c r="E288" s="288"/>
      <c r="F288" s="288"/>
      <c r="G288" s="288"/>
      <c r="H288" s="288"/>
      <c r="I288" s="288"/>
      <c r="J288" s="288"/>
      <c r="K288" s="288"/>
      <c r="L288" s="288"/>
      <c r="M288" s="288"/>
      <c r="N288" s="288"/>
      <c r="O288" s="288"/>
      <c r="P288" s="288"/>
      <c r="Q288" s="288"/>
      <c r="R288" s="288"/>
      <c r="S288" s="288"/>
      <c r="T288" s="288"/>
      <c r="U288" s="288"/>
      <c r="V288" s="288"/>
      <c r="W288" s="288"/>
      <c r="X288" s="288"/>
      <c r="Y288" s="288"/>
      <c r="Z288" s="288"/>
      <c r="AA288" s="288"/>
      <c r="AB288" s="288"/>
      <c r="AC288" s="288"/>
      <c r="AD288" s="288"/>
      <c r="AE288" s="288"/>
      <c r="AF288" s="288"/>
      <c r="AG288" s="288"/>
      <c r="AH288" s="288"/>
      <c r="AI288" s="288"/>
    </row>
    <row r="289" spans="1:35" ht="12.75" customHeight="1" x14ac:dyDescent="0.2">
      <c r="A289" s="288"/>
      <c r="B289" s="288"/>
      <c r="C289" s="288"/>
      <c r="D289" s="288"/>
      <c r="E289" s="288"/>
      <c r="F289" s="288"/>
      <c r="G289" s="288"/>
      <c r="H289" s="288"/>
      <c r="I289" s="288"/>
      <c r="J289" s="288"/>
      <c r="K289" s="288"/>
      <c r="L289" s="288"/>
      <c r="M289" s="288"/>
      <c r="N289" s="288"/>
      <c r="O289" s="288"/>
      <c r="P289" s="288"/>
      <c r="Q289" s="288"/>
      <c r="R289" s="288"/>
      <c r="S289" s="288"/>
      <c r="T289" s="288"/>
      <c r="U289" s="288"/>
      <c r="V289" s="288"/>
      <c r="W289" s="288"/>
      <c r="X289" s="288"/>
      <c r="Y289" s="288"/>
      <c r="Z289" s="288"/>
      <c r="AA289" s="288"/>
      <c r="AB289" s="288"/>
      <c r="AC289" s="288"/>
      <c r="AD289" s="288"/>
      <c r="AE289" s="288"/>
      <c r="AF289" s="288"/>
      <c r="AG289" s="288"/>
      <c r="AH289" s="288"/>
      <c r="AI289" s="288"/>
    </row>
    <row r="290" spans="1:35" ht="12.75" customHeight="1" x14ac:dyDescent="0.2">
      <c r="A290" s="288"/>
      <c r="B290" s="288"/>
      <c r="C290" s="288"/>
      <c r="D290" s="288"/>
      <c r="E290" s="288"/>
      <c r="F290" s="288"/>
      <c r="G290" s="288"/>
      <c r="H290" s="288"/>
      <c r="I290" s="288"/>
      <c r="J290" s="288"/>
      <c r="K290" s="288"/>
      <c r="L290" s="288"/>
      <c r="M290" s="288"/>
      <c r="N290" s="288"/>
      <c r="O290" s="288"/>
      <c r="P290" s="288"/>
      <c r="Q290" s="288"/>
      <c r="R290" s="288"/>
      <c r="S290" s="288"/>
      <c r="T290" s="288"/>
      <c r="U290" s="288"/>
      <c r="V290" s="288"/>
      <c r="W290" s="288"/>
      <c r="X290" s="288"/>
      <c r="Y290" s="288"/>
      <c r="Z290" s="288"/>
      <c r="AA290" s="288"/>
      <c r="AB290" s="288"/>
      <c r="AC290" s="288"/>
      <c r="AD290" s="288"/>
      <c r="AE290" s="288"/>
      <c r="AF290" s="288"/>
      <c r="AG290" s="288"/>
      <c r="AH290" s="288"/>
      <c r="AI290" s="288"/>
    </row>
    <row r="291" spans="1:35" ht="12.75" customHeight="1" x14ac:dyDescent="0.2">
      <c r="A291" s="288"/>
      <c r="B291" s="288"/>
      <c r="C291" s="288"/>
      <c r="D291" s="288"/>
      <c r="E291" s="288"/>
      <c r="F291" s="288"/>
      <c r="G291" s="288"/>
      <c r="H291" s="288"/>
      <c r="I291" s="288"/>
      <c r="J291" s="288"/>
      <c r="K291" s="288"/>
      <c r="L291" s="288"/>
      <c r="M291" s="288"/>
      <c r="N291" s="288"/>
      <c r="O291" s="288"/>
      <c r="P291" s="288"/>
      <c r="Q291" s="288"/>
      <c r="R291" s="288"/>
      <c r="S291" s="288"/>
      <c r="T291" s="288"/>
      <c r="U291" s="288"/>
      <c r="V291" s="288"/>
      <c r="W291" s="288"/>
      <c r="X291" s="288"/>
      <c r="Y291" s="288"/>
      <c r="Z291" s="288"/>
      <c r="AA291" s="288"/>
      <c r="AB291" s="288"/>
      <c r="AC291" s="288"/>
      <c r="AD291" s="288"/>
      <c r="AE291" s="288"/>
      <c r="AF291" s="288"/>
      <c r="AG291" s="288"/>
      <c r="AH291" s="288"/>
      <c r="AI291" s="288"/>
    </row>
    <row r="292" spans="1:35" ht="12.75" customHeight="1" x14ac:dyDescent="0.2">
      <c r="A292" s="288"/>
      <c r="B292" s="288"/>
      <c r="C292" s="288"/>
      <c r="D292" s="288"/>
      <c r="E292" s="288"/>
      <c r="F292" s="288"/>
      <c r="G292" s="288"/>
      <c r="H292" s="288"/>
      <c r="I292" s="288"/>
      <c r="J292" s="288"/>
      <c r="K292" s="288"/>
      <c r="L292" s="288"/>
      <c r="M292" s="288"/>
      <c r="N292" s="288"/>
      <c r="O292" s="288"/>
      <c r="P292" s="288"/>
      <c r="Q292" s="288"/>
      <c r="R292" s="288"/>
      <c r="S292" s="288"/>
      <c r="T292" s="288"/>
      <c r="U292" s="288"/>
      <c r="V292" s="288"/>
      <c r="W292" s="288"/>
      <c r="X292" s="288"/>
      <c r="Y292" s="288"/>
      <c r="Z292" s="288"/>
      <c r="AA292" s="288"/>
      <c r="AB292" s="288"/>
      <c r="AC292" s="288"/>
      <c r="AD292" s="288"/>
      <c r="AE292" s="288"/>
      <c r="AF292" s="288"/>
      <c r="AG292" s="288"/>
      <c r="AH292" s="288"/>
      <c r="AI292" s="288"/>
    </row>
    <row r="293" spans="1:35" ht="12.75" customHeight="1" x14ac:dyDescent="0.2">
      <c r="A293" s="288"/>
      <c r="B293" s="288"/>
      <c r="C293" s="288"/>
      <c r="D293" s="288"/>
      <c r="E293" s="288"/>
      <c r="F293" s="288"/>
      <c r="G293" s="288"/>
      <c r="H293" s="288"/>
      <c r="I293" s="288"/>
      <c r="J293" s="288"/>
      <c r="K293" s="288"/>
      <c r="L293" s="288"/>
      <c r="M293" s="288"/>
      <c r="N293" s="288"/>
      <c r="O293" s="288"/>
      <c r="P293" s="288"/>
      <c r="Q293" s="288"/>
      <c r="R293" s="288"/>
      <c r="S293" s="288"/>
      <c r="T293" s="288"/>
      <c r="U293" s="288"/>
      <c r="V293" s="288"/>
      <c r="W293" s="288"/>
      <c r="X293" s="288"/>
      <c r="Y293" s="288"/>
      <c r="Z293" s="288"/>
      <c r="AA293" s="288"/>
      <c r="AB293" s="288"/>
      <c r="AC293" s="288"/>
      <c r="AD293" s="288"/>
      <c r="AE293" s="288"/>
      <c r="AF293" s="288"/>
      <c r="AG293" s="288"/>
      <c r="AH293" s="288"/>
      <c r="AI293" s="288"/>
    </row>
    <row r="294" spans="1:35" ht="12.75" customHeight="1" x14ac:dyDescent="0.2">
      <c r="A294" s="288"/>
      <c r="B294" s="288"/>
      <c r="C294" s="288"/>
      <c r="D294" s="288"/>
      <c r="E294" s="288"/>
      <c r="F294" s="288"/>
      <c r="G294" s="288"/>
      <c r="H294" s="288"/>
      <c r="I294" s="288"/>
      <c r="J294" s="288"/>
      <c r="K294" s="288"/>
      <c r="L294" s="288"/>
      <c r="M294" s="288"/>
      <c r="N294" s="288"/>
      <c r="O294" s="288"/>
      <c r="P294" s="288"/>
      <c r="Q294" s="288"/>
      <c r="R294" s="288"/>
      <c r="S294" s="288"/>
      <c r="T294" s="288"/>
      <c r="U294" s="288"/>
      <c r="V294" s="288"/>
      <c r="W294" s="288"/>
      <c r="X294" s="288"/>
      <c r="Y294" s="288"/>
      <c r="Z294" s="288"/>
      <c r="AA294" s="288"/>
      <c r="AB294" s="288"/>
      <c r="AC294" s="288"/>
      <c r="AD294" s="288"/>
      <c r="AE294" s="288"/>
      <c r="AF294" s="288"/>
      <c r="AG294" s="288"/>
      <c r="AH294" s="288"/>
      <c r="AI294" s="288"/>
    </row>
    <row r="295" spans="1:35" ht="12.75" customHeight="1" x14ac:dyDescent="0.2">
      <c r="A295" s="288"/>
      <c r="B295" s="288"/>
      <c r="C295" s="288"/>
      <c r="D295" s="288"/>
      <c r="E295" s="288"/>
      <c r="F295" s="288"/>
      <c r="G295" s="288"/>
      <c r="H295" s="288"/>
      <c r="I295" s="288"/>
      <c r="J295" s="288"/>
      <c r="K295" s="288"/>
      <c r="L295" s="288"/>
      <c r="M295" s="288"/>
      <c r="N295" s="288"/>
      <c r="O295" s="288"/>
      <c r="P295" s="288"/>
      <c r="Q295" s="288"/>
      <c r="R295" s="288"/>
      <c r="S295" s="288"/>
      <c r="T295" s="288"/>
      <c r="U295" s="288"/>
      <c r="V295" s="288"/>
      <c r="W295" s="288"/>
      <c r="X295" s="288"/>
      <c r="Y295" s="288"/>
      <c r="Z295" s="288"/>
      <c r="AA295" s="288"/>
      <c r="AB295" s="288"/>
      <c r="AC295" s="288"/>
      <c r="AD295" s="288"/>
      <c r="AE295" s="288"/>
      <c r="AF295" s="288"/>
      <c r="AG295" s="288"/>
      <c r="AH295" s="288"/>
      <c r="AI295" s="288"/>
    </row>
    <row r="296" spans="1:35" ht="12.75" customHeight="1" x14ac:dyDescent="0.2">
      <c r="A296" s="288"/>
      <c r="B296" s="288"/>
      <c r="C296" s="288"/>
      <c r="D296" s="288"/>
      <c r="E296" s="288"/>
      <c r="F296" s="288"/>
      <c r="G296" s="288"/>
      <c r="H296" s="288"/>
      <c r="I296" s="288"/>
      <c r="J296" s="288"/>
      <c r="K296" s="288"/>
      <c r="L296" s="288"/>
      <c r="M296" s="288"/>
      <c r="N296" s="288"/>
      <c r="O296" s="288"/>
      <c r="P296" s="288"/>
      <c r="Q296" s="288"/>
      <c r="R296" s="288"/>
      <c r="S296" s="288"/>
      <c r="T296" s="288"/>
      <c r="U296" s="288"/>
      <c r="V296" s="288"/>
      <c r="W296" s="288"/>
      <c r="X296" s="288"/>
      <c r="Y296" s="288"/>
      <c r="Z296" s="288"/>
      <c r="AA296" s="288"/>
      <c r="AB296" s="288"/>
      <c r="AC296" s="288"/>
      <c r="AD296" s="288"/>
      <c r="AE296" s="288"/>
      <c r="AF296" s="288"/>
      <c r="AG296" s="288"/>
      <c r="AH296" s="288"/>
      <c r="AI296" s="288"/>
    </row>
    <row r="297" spans="1:35" ht="12.75" customHeight="1" x14ac:dyDescent="0.2">
      <c r="A297" s="288"/>
      <c r="B297" s="288"/>
      <c r="C297" s="288"/>
      <c r="D297" s="288"/>
      <c r="E297" s="288"/>
      <c r="F297" s="288"/>
      <c r="G297" s="288"/>
      <c r="H297" s="288"/>
      <c r="I297" s="288"/>
      <c r="J297" s="288"/>
      <c r="K297" s="288"/>
      <c r="L297" s="288"/>
      <c r="M297" s="288"/>
      <c r="N297" s="288"/>
      <c r="O297" s="288"/>
      <c r="P297" s="288"/>
      <c r="Q297" s="288"/>
      <c r="R297" s="288"/>
      <c r="S297" s="288"/>
      <c r="T297" s="288"/>
      <c r="U297" s="288"/>
      <c r="V297" s="288"/>
      <c r="W297" s="288"/>
      <c r="X297" s="288"/>
      <c r="Y297" s="288"/>
      <c r="Z297" s="288"/>
      <c r="AA297" s="288"/>
      <c r="AB297" s="288"/>
      <c r="AC297" s="288"/>
      <c r="AD297" s="288"/>
      <c r="AE297" s="288"/>
      <c r="AF297" s="288"/>
      <c r="AG297" s="288"/>
      <c r="AH297" s="288"/>
      <c r="AI297" s="288"/>
    </row>
    <row r="298" spans="1:35" ht="12.75" customHeight="1" x14ac:dyDescent="0.2">
      <c r="A298" s="288"/>
      <c r="B298" s="288"/>
      <c r="C298" s="288"/>
      <c r="D298" s="288"/>
      <c r="E298" s="288"/>
      <c r="F298" s="288"/>
      <c r="G298" s="288"/>
      <c r="H298" s="288"/>
      <c r="I298" s="288"/>
      <c r="J298" s="288"/>
      <c r="K298" s="288"/>
      <c r="L298" s="288"/>
      <c r="M298" s="288"/>
      <c r="N298" s="288"/>
      <c r="O298" s="288"/>
      <c r="P298" s="288"/>
      <c r="Q298" s="288"/>
      <c r="R298" s="288"/>
      <c r="S298" s="288"/>
      <c r="T298" s="288"/>
      <c r="U298" s="288"/>
      <c r="V298" s="288"/>
      <c r="W298" s="288"/>
      <c r="X298" s="288"/>
      <c r="Y298" s="288"/>
      <c r="Z298" s="288"/>
      <c r="AA298" s="288"/>
      <c r="AB298" s="288"/>
      <c r="AC298" s="288"/>
      <c r="AD298" s="288"/>
      <c r="AE298" s="288"/>
      <c r="AF298" s="288"/>
      <c r="AG298" s="288"/>
      <c r="AH298" s="288"/>
      <c r="AI298" s="288"/>
    </row>
    <row r="299" spans="1:35" ht="12.75" customHeight="1" x14ac:dyDescent="0.2">
      <c r="A299" s="288"/>
      <c r="B299" s="288"/>
      <c r="C299" s="288"/>
      <c r="D299" s="288"/>
      <c r="E299" s="288"/>
      <c r="F299" s="288"/>
      <c r="G299" s="288"/>
      <c r="H299" s="288"/>
      <c r="I299" s="288"/>
      <c r="J299" s="288"/>
      <c r="K299" s="288"/>
      <c r="L299" s="288"/>
      <c r="M299" s="288"/>
      <c r="N299" s="288"/>
      <c r="O299" s="288"/>
      <c r="P299" s="288"/>
      <c r="Q299" s="288"/>
      <c r="R299" s="288"/>
      <c r="S299" s="288"/>
      <c r="T299" s="288"/>
      <c r="U299" s="288"/>
      <c r="V299" s="288"/>
      <c r="W299" s="288"/>
      <c r="X299" s="288"/>
      <c r="Y299" s="288"/>
      <c r="Z299" s="288"/>
      <c r="AA299" s="288"/>
      <c r="AB299" s="288"/>
      <c r="AC299" s="288"/>
      <c r="AD299" s="288"/>
      <c r="AE299" s="288"/>
      <c r="AF299" s="288"/>
      <c r="AG299" s="288"/>
      <c r="AH299" s="288"/>
      <c r="AI299" s="288"/>
    </row>
    <row r="300" spans="1:35" ht="12.75" customHeight="1" x14ac:dyDescent="0.2">
      <c r="A300" s="288"/>
      <c r="B300" s="288"/>
      <c r="C300" s="288"/>
      <c r="D300" s="288"/>
      <c r="E300" s="288"/>
      <c r="F300" s="288"/>
      <c r="G300" s="288"/>
      <c r="H300" s="288"/>
      <c r="I300" s="288"/>
      <c r="J300" s="288"/>
      <c r="K300" s="288"/>
      <c r="L300" s="288"/>
      <c r="M300" s="288"/>
      <c r="N300" s="288"/>
      <c r="O300" s="288"/>
      <c r="P300" s="288"/>
      <c r="Q300" s="288"/>
      <c r="R300" s="288"/>
      <c r="S300" s="288"/>
      <c r="T300" s="288"/>
      <c r="U300" s="288"/>
      <c r="V300" s="288"/>
      <c r="W300" s="288"/>
      <c r="X300" s="288"/>
      <c r="Y300" s="288"/>
      <c r="Z300" s="288"/>
      <c r="AA300" s="288"/>
      <c r="AB300" s="288"/>
      <c r="AC300" s="288"/>
      <c r="AD300" s="288"/>
      <c r="AE300" s="288"/>
      <c r="AF300" s="288"/>
      <c r="AG300" s="288"/>
      <c r="AH300" s="288"/>
      <c r="AI300" s="288"/>
    </row>
    <row r="301" spans="1:35" ht="12.75" customHeight="1" x14ac:dyDescent="0.2">
      <c r="A301" s="288"/>
      <c r="B301" s="288"/>
      <c r="C301" s="288"/>
      <c r="D301" s="288"/>
      <c r="E301" s="288"/>
      <c r="F301" s="288"/>
      <c r="G301" s="288"/>
      <c r="H301" s="288"/>
      <c r="I301" s="288"/>
      <c r="J301" s="288"/>
      <c r="K301" s="288"/>
      <c r="L301" s="288"/>
      <c r="M301" s="288"/>
      <c r="N301" s="288"/>
      <c r="O301" s="288"/>
      <c r="P301" s="288"/>
      <c r="Q301" s="288"/>
      <c r="R301" s="288"/>
      <c r="S301" s="288"/>
      <c r="T301" s="288"/>
      <c r="U301" s="288"/>
      <c r="V301" s="288"/>
      <c r="W301" s="288"/>
      <c r="X301" s="288"/>
      <c r="Y301" s="288"/>
      <c r="Z301" s="288"/>
      <c r="AA301" s="288"/>
      <c r="AB301" s="288"/>
      <c r="AC301" s="288"/>
      <c r="AD301" s="288"/>
      <c r="AE301" s="288"/>
      <c r="AF301" s="288"/>
      <c r="AG301" s="288"/>
      <c r="AH301" s="288"/>
      <c r="AI301" s="288"/>
    </row>
    <row r="302" spans="1:35" ht="12.75" customHeight="1" x14ac:dyDescent="0.2">
      <c r="A302" s="288"/>
      <c r="B302" s="288"/>
      <c r="C302" s="288"/>
      <c r="D302" s="288"/>
      <c r="E302" s="288"/>
      <c r="F302" s="288"/>
      <c r="G302" s="288"/>
      <c r="H302" s="288"/>
      <c r="I302" s="288"/>
      <c r="J302" s="288"/>
      <c r="K302" s="288"/>
      <c r="L302" s="288"/>
      <c r="M302" s="288"/>
      <c r="N302" s="288"/>
      <c r="O302" s="288"/>
      <c r="P302" s="288"/>
      <c r="Q302" s="288"/>
      <c r="R302" s="288"/>
      <c r="S302" s="288"/>
      <c r="T302" s="288"/>
      <c r="U302" s="288"/>
      <c r="V302" s="288"/>
      <c r="W302" s="288"/>
      <c r="X302" s="288"/>
      <c r="Y302" s="288"/>
      <c r="Z302" s="288"/>
      <c r="AA302" s="288"/>
      <c r="AB302" s="288"/>
      <c r="AC302" s="288"/>
      <c r="AD302" s="288"/>
      <c r="AE302" s="288"/>
      <c r="AF302" s="288"/>
      <c r="AG302" s="288"/>
      <c r="AH302" s="288"/>
      <c r="AI302" s="288"/>
    </row>
    <row r="303" spans="1:35" ht="12.75" customHeight="1" x14ac:dyDescent="0.2">
      <c r="A303" s="288"/>
      <c r="B303" s="288"/>
      <c r="C303" s="288"/>
      <c r="D303" s="288"/>
      <c r="E303" s="288"/>
      <c r="F303" s="288"/>
      <c r="G303" s="288"/>
      <c r="H303" s="288"/>
      <c r="I303" s="288"/>
      <c r="J303" s="288"/>
      <c r="K303" s="288"/>
      <c r="L303" s="288"/>
      <c r="M303" s="288"/>
      <c r="N303" s="288"/>
      <c r="O303" s="288"/>
      <c r="P303" s="288"/>
      <c r="Q303" s="288"/>
      <c r="R303" s="288"/>
      <c r="S303" s="288"/>
      <c r="T303" s="288"/>
      <c r="U303" s="288"/>
      <c r="V303" s="288"/>
      <c r="W303" s="288"/>
      <c r="X303" s="288"/>
      <c r="Y303" s="288"/>
      <c r="Z303" s="288"/>
      <c r="AA303" s="288"/>
      <c r="AB303" s="288"/>
      <c r="AC303" s="288"/>
      <c r="AD303" s="288"/>
      <c r="AE303" s="288"/>
      <c r="AF303" s="288"/>
      <c r="AG303" s="288"/>
      <c r="AH303" s="288"/>
      <c r="AI303" s="288"/>
    </row>
    <row r="304" spans="1:35" ht="12.75" customHeight="1" x14ac:dyDescent="0.2">
      <c r="A304" s="288"/>
      <c r="B304" s="288"/>
      <c r="C304" s="288"/>
      <c r="D304" s="288"/>
      <c r="E304" s="288"/>
      <c r="F304" s="288"/>
      <c r="G304" s="288"/>
      <c r="H304" s="288"/>
      <c r="I304" s="288"/>
      <c r="J304" s="288"/>
      <c r="K304" s="288"/>
      <c r="L304" s="288"/>
      <c r="M304" s="288"/>
      <c r="N304" s="288"/>
      <c r="O304" s="288"/>
      <c r="P304" s="288"/>
      <c r="Q304" s="288"/>
      <c r="R304" s="288"/>
      <c r="S304" s="288"/>
      <c r="T304" s="288"/>
      <c r="U304" s="288"/>
      <c r="V304" s="288"/>
      <c r="W304" s="288"/>
      <c r="X304" s="288"/>
      <c r="Y304" s="288"/>
      <c r="Z304" s="288"/>
      <c r="AA304" s="288"/>
      <c r="AB304" s="288"/>
      <c r="AC304" s="288"/>
      <c r="AD304" s="288"/>
      <c r="AE304" s="288"/>
      <c r="AF304" s="288"/>
      <c r="AG304" s="288"/>
      <c r="AH304" s="288"/>
      <c r="AI304" s="288"/>
    </row>
    <row r="305" spans="1:35" ht="12.75" customHeight="1" x14ac:dyDescent="0.2">
      <c r="A305" s="288"/>
      <c r="B305" s="288"/>
      <c r="C305" s="288"/>
      <c r="D305" s="288"/>
      <c r="E305" s="288"/>
      <c r="F305" s="288"/>
      <c r="G305" s="288"/>
      <c r="H305" s="288"/>
      <c r="I305" s="288"/>
      <c r="J305" s="288"/>
      <c r="K305" s="288"/>
      <c r="L305" s="288"/>
      <c r="M305" s="288"/>
      <c r="N305" s="288"/>
      <c r="O305" s="288"/>
      <c r="P305" s="288"/>
      <c r="Q305" s="288"/>
      <c r="R305" s="288"/>
      <c r="S305" s="288"/>
      <c r="T305" s="288"/>
      <c r="U305" s="288"/>
      <c r="V305" s="288"/>
      <c r="W305" s="288"/>
      <c r="X305" s="288"/>
      <c r="Y305" s="288"/>
      <c r="Z305" s="288"/>
      <c r="AA305" s="288"/>
      <c r="AB305" s="288"/>
      <c r="AC305" s="288"/>
      <c r="AD305" s="288"/>
      <c r="AE305" s="288"/>
      <c r="AF305" s="288"/>
      <c r="AG305" s="288"/>
      <c r="AH305" s="288"/>
      <c r="AI305" s="288"/>
    </row>
    <row r="306" spans="1:35" ht="12.75" customHeight="1" x14ac:dyDescent="0.2">
      <c r="A306" s="288"/>
      <c r="B306" s="288"/>
      <c r="C306" s="288"/>
      <c r="D306" s="288"/>
      <c r="E306" s="288"/>
      <c r="F306" s="288"/>
      <c r="G306" s="288"/>
      <c r="H306" s="288"/>
      <c r="I306" s="288"/>
      <c r="J306" s="288"/>
      <c r="K306" s="288"/>
      <c r="L306" s="288"/>
      <c r="M306" s="288"/>
      <c r="N306" s="288"/>
      <c r="O306" s="288"/>
      <c r="P306" s="288"/>
      <c r="Q306" s="288"/>
      <c r="R306" s="288"/>
      <c r="S306" s="288"/>
      <c r="T306" s="288"/>
      <c r="U306" s="288"/>
      <c r="V306" s="288"/>
      <c r="W306" s="288"/>
      <c r="X306" s="288"/>
      <c r="Y306" s="288"/>
      <c r="Z306" s="288"/>
      <c r="AA306" s="288"/>
      <c r="AB306" s="288"/>
      <c r="AC306" s="288"/>
      <c r="AD306" s="288"/>
      <c r="AE306" s="288"/>
      <c r="AF306" s="288"/>
      <c r="AG306" s="288"/>
      <c r="AH306" s="288"/>
      <c r="AI306" s="288"/>
    </row>
    <row r="307" spans="1:35" ht="12.75" customHeight="1" x14ac:dyDescent="0.2">
      <c r="A307" s="288"/>
      <c r="B307" s="288"/>
      <c r="C307" s="288"/>
      <c r="D307" s="288"/>
      <c r="E307" s="288"/>
      <c r="F307" s="288"/>
      <c r="G307" s="288"/>
      <c r="H307" s="288"/>
      <c r="I307" s="288"/>
      <c r="J307" s="288"/>
      <c r="K307" s="288"/>
      <c r="L307" s="288"/>
      <c r="M307" s="288"/>
      <c r="N307" s="288"/>
      <c r="O307" s="288"/>
      <c r="P307" s="288"/>
      <c r="Q307" s="288"/>
      <c r="R307" s="288"/>
      <c r="S307" s="288"/>
      <c r="T307" s="288"/>
      <c r="U307" s="288"/>
      <c r="V307" s="288"/>
      <c r="W307" s="288"/>
      <c r="X307" s="288"/>
      <c r="Y307" s="288"/>
      <c r="Z307" s="288"/>
      <c r="AA307" s="288"/>
      <c r="AB307" s="288"/>
      <c r="AC307" s="288"/>
      <c r="AD307" s="288"/>
      <c r="AE307" s="288"/>
      <c r="AF307" s="288"/>
      <c r="AG307" s="288"/>
      <c r="AH307" s="288"/>
      <c r="AI307" s="288"/>
    </row>
    <row r="308" spans="1:35" ht="12.75" customHeight="1" x14ac:dyDescent="0.2">
      <c r="A308" s="288"/>
      <c r="B308" s="288"/>
      <c r="C308" s="288"/>
      <c r="D308" s="288"/>
      <c r="E308" s="288"/>
      <c r="F308" s="288"/>
      <c r="G308" s="288"/>
      <c r="H308" s="288"/>
      <c r="I308" s="288"/>
      <c r="J308" s="288"/>
      <c r="K308" s="288"/>
      <c r="L308" s="288"/>
      <c r="M308" s="288"/>
      <c r="N308" s="288"/>
      <c r="O308" s="288"/>
      <c r="P308" s="288"/>
      <c r="Q308" s="288"/>
      <c r="R308" s="288"/>
      <c r="S308" s="288"/>
      <c r="T308" s="288"/>
      <c r="U308" s="288"/>
      <c r="V308" s="288"/>
      <c r="W308" s="288"/>
      <c r="X308" s="288"/>
      <c r="Y308" s="288"/>
      <c r="Z308" s="288"/>
      <c r="AA308" s="288"/>
      <c r="AB308" s="288"/>
      <c r="AC308" s="288"/>
      <c r="AD308" s="288"/>
      <c r="AE308" s="288"/>
      <c r="AF308" s="288"/>
      <c r="AG308" s="288"/>
      <c r="AH308" s="288"/>
      <c r="AI308" s="288"/>
    </row>
    <row r="309" spans="1:35" ht="12.75" customHeight="1" x14ac:dyDescent="0.2">
      <c r="A309" s="288"/>
      <c r="B309" s="288"/>
      <c r="C309" s="288"/>
      <c r="D309" s="288"/>
      <c r="E309" s="288"/>
      <c r="F309" s="288"/>
      <c r="G309" s="288"/>
      <c r="H309" s="288"/>
      <c r="I309" s="288"/>
      <c r="J309" s="288"/>
      <c r="K309" s="288"/>
      <c r="L309" s="288"/>
      <c r="M309" s="288"/>
      <c r="N309" s="288"/>
      <c r="O309" s="288"/>
      <c r="P309" s="288"/>
      <c r="Q309" s="288"/>
      <c r="R309" s="288"/>
      <c r="S309" s="288"/>
      <c r="T309" s="288"/>
      <c r="U309" s="288"/>
      <c r="V309" s="288"/>
      <c r="W309" s="288"/>
      <c r="X309" s="288"/>
      <c r="Y309" s="288"/>
      <c r="Z309" s="288"/>
      <c r="AA309" s="288"/>
      <c r="AB309" s="288"/>
      <c r="AC309" s="288"/>
      <c r="AD309" s="288"/>
      <c r="AE309" s="288"/>
      <c r="AF309" s="288"/>
      <c r="AG309" s="288"/>
      <c r="AH309" s="288"/>
      <c r="AI309" s="288"/>
    </row>
    <row r="310" spans="1:35" ht="12.75" customHeight="1" x14ac:dyDescent="0.2">
      <c r="A310" s="288"/>
      <c r="B310" s="288"/>
      <c r="C310" s="288"/>
      <c r="D310" s="288"/>
      <c r="E310" s="288"/>
      <c r="F310" s="288"/>
      <c r="G310" s="288"/>
      <c r="H310" s="288"/>
      <c r="I310" s="288"/>
      <c r="J310" s="288"/>
      <c r="K310" s="288"/>
      <c r="L310" s="288"/>
      <c r="M310" s="288"/>
      <c r="N310" s="288"/>
      <c r="O310" s="288"/>
      <c r="P310" s="288"/>
      <c r="Q310" s="288"/>
      <c r="R310" s="288"/>
      <c r="S310" s="288"/>
      <c r="T310" s="288"/>
      <c r="U310" s="288"/>
      <c r="V310" s="288"/>
      <c r="W310" s="288"/>
      <c r="X310" s="288"/>
      <c r="Y310" s="288"/>
      <c r="Z310" s="288"/>
      <c r="AA310" s="288"/>
      <c r="AB310" s="288"/>
      <c r="AC310" s="288"/>
      <c r="AD310" s="288"/>
      <c r="AE310" s="288"/>
      <c r="AF310" s="288"/>
      <c r="AG310" s="288"/>
      <c r="AH310" s="288"/>
      <c r="AI310" s="288"/>
    </row>
    <row r="311" spans="1:35" ht="12.75" customHeight="1" x14ac:dyDescent="0.2">
      <c r="A311" s="288"/>
      <c r="B311" s="288"/>
      <c r="C311" s="288"/>
      <c r="D311" s="288"/>
      <c r="E311" s="288"/>
      <c r="F311" s="288"/>
      <c r="G311" s="288"/>
      <c r="H311" s="288"/>
      <c r="I311" s="288"/>
      <c r="J311" s="288"/>
      <c r="K311" s="288"/>
      <c r="L311" s="288"/>
      <c r="M311" s="288"/>
      <c r="N311" s="288"/>
      <c r="O311" s="288"/>
      <c r="P311" s="288"/>
      <c r="Q311" s="288"/>
      <c r="R311" s="288"/>
      <c r="S311" s="288"/>
      <c r="T311" s="288"/>
      <c r="U311" s="288"/>
      <c r="V311" s="288"/>
      <c r="W311" s="288"/>
      <c r="X311" s="288"/>
      <c r="Y311" s="288"/>
      <c r="Z311" s="288"/>
      <c r="AA311" s="288"/>
      <c r="AB311" s="288"/>
      <c r="AC311" s="288"/>
      <c r="AD311" s="288"/>
      <c r="AE311" s="288"/>
      <c r="AF311" s="288"/>
      <c r="AG311" s="288"/>
      <c r="AH311" s="288"/>
      <c r="AI311" s="288"/>
    </row>
    <row r="312" spans="1:35" ht="12.75" customHeight="1" x14ac:dyDescent="0.2">
      <c r="A312" s="288"/>
      <c r="B312" s="288"/>
      <c r="C312" s="288"/>
      <c r="D312" s="288"/>
      <c r="E312" s="288"/>
      <c r="F312" s="288"/>
      <c r="G312" s="288"/>
      <c r="H312" s="288"/>
      <c r="I312" s="288"/>
      <c r="J312" s="288"/>
      <c r="K312" s="288"/>
      <c r="L312" s="288"/>
      <c r="M312" s="288"/>
      <c r="N312" s="288"/>
      <c r="O312" s="288"/>
      <c r="P312" s="288"/>
      <c r="Q312" s="288"/>
      <c r="R312" s="288"/>
      <c r="S312" s="288"/>
      <c r="T312" s="288"/>
      <c r="U312" s="288"/>
      <c r="V312" s="288"/>
      <c r="W312" s="288"/>
      <c r="X312" s="288"/>
      <c r="Y312" s="288"/>
      <c r="Z312" s="288"/>
      <c r="AA312" s="288"/>
      <c r="AB312" s="288"/>
      <c r="AC312" s="288"/>
      <c r="AD312" s="288"/>
      <c r="AE312" s="288"/>
      <c r="AF312" s="288"/>
      <c r="AG312" s="288"/>
      <c r="AH312" s="288"/>
      <c r="AI312" s="288"/>
    </row>
    <row r="313" spans="1:35" ht="12.75" customHeight="1" x14ac:dyDescent="0.2">
      <c r="A313" s="288"/>
      <c r="B313" s="288"/>
      <c r="C313" s="288"/>
      <c r="D313" s="288"/>
      <c r="E313" s="288"/>
      <c r="F313" s="288"/>
      <c r="G313" s="288"/>
      <c r="H313" s="288"/>
      <c r="I313" s="288"/>
      <c r="J313" s="288"/>
      <c r="K313" s="288"/>
      <c r="L313" s="288"/>
      <c r="M313" s="288"/>
      <c r="N313" s="288"/>
      <c r="O313" s="288"/>
      <c r="P313" s="288"/>
      <c r="Q313" s="288"/>
      <c r="R313" s="288"/>
      <c r="S313" s="288"/>
      <c r="T313" s="288"/>
      <c r="U313" s="288"/>
      <c r="V313" s="288"/>
      <c r="W313" s="288"/>
      <c r="X313" s="288"/>
      <c r="Y313" s="288"/>
      <c r="Z313" s="288"/>
      <c r="AA313" s="288"/>
      <c r="AB313" s="288"/>
      <c r="AC313" s="288"/>
      <c r="AD313" s="288"/>
      <c r="AE313" s="288"/>
      <c r="AF313" s="288"/>
      <c r="AG313" s="288"/>
      <c r="AH313" s="288"/>
      <c r="AI313" s="288"/>
    </row>
    <row r="314" spans="1:35" ht="12.75" customHeight="1" x14ac:dyDescent="0.2">
      <c r="A314" s="288"/>
      <c r="B314" s="288"/>
      <c r="C314" s="288"/>
      <c r="D314" s="288"/>
      <c r="E314" s="288"/>
      <c r="F314" s="288"/>
      <c r="G314" s="288"/>
      <c r="H314" s="288"/>
      <c r="I314" s="288"/>
      <c r="J314" s="288"/>
      <c r="K314" s="288"/>
      <c r="L314" s="288"/>
      <c r="M314" s="288"/>
      <c r="N314" s="288"/>
      <c r="O314" s="288"/>
      <c r="P314" s="288"/>
      <c r="Q314" s="288"/>
      <c r="R314" s="288"/>
      <c r="S314" s="288"/>
      <c r="T314" s="288"/>
      <c r="U314" s="288"/>
      <c r="V314" s="288"/>
      <c r="W314" s="288"/>
      <c r="X314" s="288"/>
      <c r="Y314" s="288"/>
      <c r="Z314" s="288"/>
      <c r="AA314" s="288"/>
      <c r="AB314" s="288"/>
      <c r="AC314" s="288"/>
      <c r="AD314" s="288"/>
      <c r="AE314" s="288"/>
      <c r="AF314" s="288"/>
      <c r="AG314" s="288"/>
      <c r="AH314" s="288"/>
      <c r="AI314" s="288"/>
    </row>
    <row r="315" spans="1:35" ht="12.75" customHeight="1" x14ac:dyDescent="0.2">
      <c r="A315" s="288"/>
      <c r="B315" s="288"/>
      <c r="C315" s="288"/>
      <c r="D315" s="288"/>
      <c r="E315" s="288"/>
      <c r="F315" s="288"/>
      <c r="G315" s="288"/>
      <c r="H315" s="288"/>
      <c r="I315" s="288"/>
      <c r="J315" s="288"/>
      <c r="K315" s="288"/>
      <c r="L315" s="288"/>
      <c r="M315" s="288"/>
      <c r="N315" s="288"/>
      <c r="O315" s="288"/>
      <c r="P315" s="288"/>
      <c r="Q315" s="288"/>
      <c r="R315" s="288"/>
      <c r="S315" s="288"/>
      <c r="T315" s="288"/>
      <c r="U315" s="288"/>
      <c r="V315" s="288"/>
      <c r="W315" s="288"/>
      <c r="X315" s="288"/>
      <c r="Y315" s="288"/>
      <c r="Z315" s="288"/>
      <c r="AA315" s="288"/>
      <c r="AB315" s="288"/>
      <c r="AC315" s="288"/>
      <c r="AD315" s="288"/>
      <c r="AE315" s="288"/>
      <c r="AF315" s="288"/>
      <c r="AG315" s="288"/>
      <c r="AH315" s="288"/>
      <c r="AI315" s="288"/>
    </row>
    <row r="316" spans="1:35" ht="12.75" customHeight="1" x14ac:dyDescent="0.2">
      <c r="A316" s="288"/>
      <c r="B316" s="288"/>
      <c r="C316" s="288"/>
      <c r="D316" s="288"/>
      <c r="E316" s="288"/>
      <c r="F316" s="288"/>
      <c r="G316" s="288"/>
      <c r="H316" s="288"/>
      <c r="I316" s="288"/>
      <c r="J316" s="288"/>
      <c r="K316" s="288"/>
      <c r="L316" s="288"/>
      <c r="M316" s="288"/>
      <c r="N316" s="288"/>
      <c r="O316" s="288"/>
      <c r="P316" s="288"/>
      <c r="Q316" s="288"/>
      <c r="R316" s="288"/>
      <c r="S316" s="288"/>
      <c r="T316" s="288"/>
      <c r="U316" s="288"/>
      <c r="V316" s="288"/>
      <c r="W316" s="288"/>
      <c r="X316" s="288"/>
      <c r="Y316" s="288"/>
      <c r="Z316" s="288"/>
      <c r="AA316" s="288"/>
      <c r="AB316" s="288"/>
      <c r="AC316" s="288"/>
      <c r="AD316" s="288"/>
      <c r="AE316" s="288"/>
      <c r="AF316" s="288"/>
      <c r="AG316" s="288"/>
      <c r="AH316" s="288"/>
      <c r="AI316" s="288"/>
    </row>
    <row r="317" spans="1:35" ht="12.75" customHeight="1" x14ac:dyDescent="0.2">
      <c r="A317" s="288"/>
      <c r="B317" s="288"/>
      <c r="C317" s="288"/>
      <c r="D317" s="288"/>
      <c r="E317" s="288"/>
      <c r="F317" s="288"/>
      <c r="G317" s="288"/>
      <c r="H317" s="288"/>
      <c r="I317" s="288"/>
      <c r="J317" s="288"/>
      <c r="K317" s="288"/>
      <c r="L317" s="288"/>
      <c r="M317" s="288"/>
      <c r="N317" s="288"/>
      <c r="O317" s="288"/>
      <c r="P317" s="288"/>
      <c r="Q317" s="288"/>
      <c r="R317" s="288"/>
      <c r="S317" s="288"/>
      <c r="T317" s="288"/>
      <c r="U317" s="288"/>
      <c r="V317" s="288"/>
      <c r="W317" s="288"/>
      <c r="X317" s="288"/>
      <c r="Y317" s="288"/>
      <c r="Z317" s="288"/>
      <c r="AA317" s="288"/>
      <c r="AB317" s="288"/>
      <c r="AC317" s="288"/>
      <c r="AD317" s="288"/>
      <c r="AE317" s="288"/>
      <c r="AF317" s="288"/>
      <c r="AG317" s="288"/>
      <c r="AH317" s="288"/>
      <c r="AI317" s="288"/>
    </row>
    <row r="318" spans="1:35" ht="12.75" customHeight="1" x14ac:dyDescent="0.2">
      <c r="A318" s="288"/>
      <c r="B318" s="288"/>
      <c r="C318" s="288"/>
      <c r="D318" s="288"/>
      <c r="E318" s="288"/>
      <c r="F318" s="288"/>
      <c r="G318" s="288"/>
      <c r="H318" s="288"/>
      <c r="I318" s="288"/>
      <c r="J318" s="288"/>
      <c r="K318" s="288"/>
      <c r="L318" s="288"/>
      <c r="M318" s="288"/>
      <c r="N318" s="288"/>
      <c r="O318" s="288"/>
      <c r="P318" s="288"/>
      <c r="Q318" s="288"/>
      <c r="R318" s="288"/>
      <c r="S318" s="288"/>
      <c r="T318" s="288"/>
      <c r="U318" s="288"/>
      <c r="V318" s="288"/>
      <c r="W318" s="288"/>
      <c r="X318" s="288"/>
      <c r="Y318" s="288"/>
      <c r="Z318" s="288"/>
      <c r="AA318" s="288"/>
      <c r="AB318" s="288"/>
      <c r="AC318" s="288"/>
      <c r="AD318" s="288"/>
      <c r="AE318" s="288"/>
      <c r="AF318" s="288"/>
      <c r="AG318" s="288"/>
      <c r="AH318" s="288"/>
      <c r="AI318" s="288"/>
    </row>
    <row r="319" spans="1:35" ht="12.75" customHeight="1" x14ac:dyDescent="0.2">
      <c r="A319" s="288"/>
      <c r="B319" s="288"/>
      <c r="C319" s="288"/>
      <c r="D319" s="288"/>
      <c r="E319" s="288"/>
      <c r="F319" s="288"/>
      <c r="G319" s="288"/>
      <c r="H319" s="288"/>
      <c r="I319" s="288"/>
      <c r="J319" s="288"/>
      <c r="K319" s="288"/>
      <c r="L319" s="288"/>
      <c r="M319" s="288"/>
      <c r="N319" s="288"/>
      <c r="O319" s="288"/>
      <c r="P319" s="288"/>
      <c r="Q319" s="288"/>
      <c r="R319" s="288"/>
      <c r="S319" s="288"/>
      <c r="T319" s="288"/>
      <c r="U319" s="288"/>
      <c r="V319" s="288"/>
      <c r="W319" s="288"/>
      <c r="X319" s="288"/>
      <c r="Y319" s="288"/>
      <c r="Z319" s="288"/>
      <c r="AA319" s="288"/>
      <c r="AB319" s="288"/>
      <c r="AC319" s="288"/>
      <c r="AD319" s="288"/>
      <c r="AE319" s="288"/>
      <c r="AF319" s="288"/>
      <c r="AG319" s="288"/>
      <c r="AH319" s="288"/>
      <c r="AI319" s="288"/>
    </row>
    <row r="320" spans="1:35" ht="12.75" customHeight="1" x14ac:dyDescent="0.2">
      <c r="A320" s="288"/>
      <c r="B320" s="288"/>
      <c r="C320" s="288"/>
      <c r="D320" s="288"/>
      <c r="E320" s="288"/>
      <c r="F320" s="288"/>
      <c r="G320" s="288"/>
      <c r="H320" s="288"/>
      <c r="I320" s="288"/>
      <c r="J320" s="288"/>
      <c r="K320" s="288"/>
      <c r="L320" s="288"/>
      <c r="M320" s="288"/>
      <c r="N320" s="288"/>
      <c r="O320" s="288"/>
      <c r="P320" s="288"/>
      <c r="Q320" s="288"/>
      <c r="R320" s="288"/>
      <c r="S320" s="288"/>
      <c r="T320" s="288"/>
      <c r="U320" s="288"/>
      <c r="V320" s="288"/>
      <c r="W320" s="288"/>
      <c r="X320" s="288"/>
      <c r="Y320" s="288"/>
      <c r="Z320" s="288"/>
      <c r="AA320" s="288"/>
      <c r="AB320" s="288"/>
      <c r="AC320" s="288"/>
      <c r="AD320" s="288"/>
      <c r="AE320" s="288"/>
      <c r="AF320" s="288"/>
      <c r="AG320" s="288"/>
      <c r="AH320" s="288"/>
      <c r="AI320" s="288"/>
    </row>
    <row r="321" spans="1:35" ht="12.75" customHeight="1" x14ac:dyDescent="0.2">
      <c r="A321" s="288"/>
      <c r="B321" s="288"/>
      <c r="C321" s="288"/>
      <c r="D321" s="288"/>
      <c r="E321" s="288"/>
      <c r="F321" s="288"/>
      <c r="G321" s="288"/>
      <c r="H321" s="288"/>
      <c r="I321" s="288"/>
      <c r="J321" s="288"/>
      <c r="K321" s="288"/>
      <c r="L321" s="288"/>
      <c r="M321" s="288"/>
      <c r="N321" s="288"/>
      <c r="O321" s="288"/>
      <c r="P321" s="288"/>
      <c r="Q321" s="288"/>
      <c r="R321" s="288"/>
      <c r="S321" s="288"/>
      <c r="T321" s="288"/>
      <c r="U321" s="288"/>
      <c r="V321" s="288"/>
      <c r="W321" s="288"/>
      <c r="X321" s="288"/>
      <c r="Y321" s="288"/>
      <c r="Z321" s="288"/>
      <c r="AA321" s="288"/>
      <c r="AB321" s="288"/>
      <c r="AC321" s="288"/>
      <c r="AD321" s="288"/>
      <c r="AE321" s="288"/>
      <c r="AF321" s="288"/>
      <c r="AG321" s="288"/>
      <c r="AH321" s="288"/>
      <c r="AI321" s="288"/>
    </row>
    <row r="322" spans="1:35" ht="12.75" customHeight="1" x14ac:dyDescent="0.2">
      <c r="A322" s="288"/>
      <c r="B322" s="288"/>
      <c r="C322" s="288"/>
      <c r="D322" s="288"/>
      <c r="E322" s="288"/>
      <c r="F322" s="288"/>
      <c r="G322" s="288"/>
      <c r="H322" s="288"/>
      <c r="I322" s="288"/>
      <c r="J322" s="288"/>
      <c r="K322" s="288"/>
      <c r="L322" s="288"/>
      <c r="M322" s="288"/>
      <c r="N322" s="288"/>
      <c r="O322" s="288"/>
      <c r="P322" s="288"/>
      <c r="Q322" s="288"/>
      <c r="R322" s="288"/>
      <c r="S322" s="288"/>
      <c r="T322" s="288"/>
      <c r="U322" s="288"/>
      <c r="V322" s="288"/>
      <c r="W322" s="288"/>
      <c r="X322" s="288"/>
      <c r="Y322" s="288"/>
      <c r="Z322" s="288"/>
      <c r="AA322" s="288"/>
      <c r="AB322" s="288"/>
      <c r="AC322" s="288"/>
      <c r="AD322" s="288"/>
      <c r="AE322" s="288"/>
      <c r="AF322" s="288"/>
      <c r="AG322" s="288"/>
      <c r="AH322" s="288"/>
      <c r="AI322" s="288"/>
    </row>
    <row r="323" spans="1:35" ht="12.75" customHeight="1" x14ac:dyDescent="0.2">
      <c r="A323" s="288"/>
      <c r="B323" s="288"/>
      <c r="C323" s="288"/>
      <c r="D323" s="288"/>
      <c r="E323" s="288"/>
      <c r="F323" s="288"/>
      <c r="G323" s="288"/>
      <c r="H323" s="288"/>
      <c r="I323" s="288"/>
      <c r="J323" s="288"/>
      <c r="K323" s="288"/>
      <c r="L323" s="288"/>
      <c r="M323" s="288"/>
      <c r="N323" s="288"/>
      <c r="O323" s="288"/>
      <c r="P323" s="288"/>
      <c r="Q323" s="288"/>
      <c r="R323" s="288"/>
      <c r="S323" s="288"/>
      <c r="T323" s="288"/>
      <c r="U323" s="288"/>
      <c r="V323" s="288"/>
      <c r="W323" s="288"/>
      <c r="X323" s="288"/>
      <c r="Y323" s="288"/>
      <c r="Z323" s="288"/>
      <c r="AA323" s="288"/>
      <c r="AB323" s="288"/>
      <c r="AC323" s="288"/>
      <c r="AD323" s="288"/>
      <c r="AE323" s="288"/>
      <c r="AF323" s="288"/>
      <c r="AG323" s="288"/>
      <c r="AH323" s="288"/>
      <c r="AI323" s="288"/>
    </row>
    <row r="324" spans="1:35" ht="12.75" customHeight="1" x14ac:dyDescent="0.2">
      <c r="A324" s="288"/>
      <c r="B324" s="288"/>
      <c r="C324" s="288"/>
      <c r="D324" s="288"/>
      <c r="E324" s="288"/>
      <c r="F324" s="288"/>
      <c r="G324" s="288"/>
      <c r="H324" s="288"/>
      <c r="I324" s="288"/>
      <c r="J324" s="288"/>
      <c r="K324" s="288"/>
      <c r="L324" s="288"/>
      <c r="M324" s="288"/>
      <c r="N324" s="288"/>
      <c r="O324" s="288"/>
      <c r="P324" s="288"/>
      <c r="Q324" s="288"/>
      <c r="R324" s="288"/>
      <c r="S324" s="288"/>
      <c r="T324" s="288"/>
      <c r="U324" s="288"/>
      <c r="V324" s="288"/>
      <c r="W324" s="288"/>
      <c r="X324" s="288"/>
      <c r="Y324" s="288"/>
      <c r="Z324" s="288"/>
      <c r="AA324" s="288"/>
      <c r="AB324" s="288"/>
      <c r="AC324" s="288"/>
      <c r="AD324" s="288"/>
      <c r="AE324" s="288"/>
      <c r="AF324" s="288"/>
      <c r="AG324" s="288"/>
      <c r="AH324" s="288"/>
      <c r="AI324" s="288"/>
    </row>
    <row r="325" spans="1:35" ht="12.75" customHeight="1" x14ac:dyDescent="0.2">
      <c r="A325" s="288"/>
      <c r="B325" s="288"/>
      <c r="C325" s="288"/>
      <c r="D325" s="288"/>
      <c r="E325" s="288"/>
      <c r="F325" s="288"/>
      <c r="G325" s="288"/>
      <c r="H325" s="288"/>
      <c r="I325" s="288"/>
      <c r="J325" s="288"/>
      <c r="K325" s="288"/>
      <c r="L325" s="288"/>
      <c r="M325" s="288"/>
      <c r="N325" s="288"/>
      <c r="O325" s="288"/>
      <c r="P325" s="288"/>
      <c r="Q325" s="288"/>
      <c r="R325" s="288"/>
      <c r="S325" s="288"/>
      <c r="T325" s="288"/>
      <c r="U325" s="288"/>
      <c r="V325" s="288"/>
      <c r="W325" s="288"/>
      <c r="X325" s="288"/>
      <c r="Y325" s="288"/>
      <c r="Z325" s="288"/>
      <c r="AA325" s="288"/>
      <c r="AB325" s="288"/>
      <c r="AC325" s="288"/>
      <c r="AD325" s="288"/>
      <c r="AE325" s="288"/>
      <c r="AF325" s="288"/>
      <c r="AG325" s="288"/>
      <c r="AH325" s="288"/>
      <c r="AI325" s="288"/>
    </row>
    <row r="326" spans="1:35" ht="12.75" customHeight="1" x14ac:dyDescent="0.2">
      <c r="A326" s="288"/>
      <c r="B326" s="288"/>
      <c r="C326" s="288"/>
      <c r="D326" s="288"/>
      <c r="E326" s="288"/>
      <c r="F326" s="288"/>
      <c r="G326" s="288"/>
      <c r="H326" s="288"/>
      <c r="I326" s="288"/>
      <c r="J326" s="288"/>
      <c r="K326" s="288"/>
      <c r="L326" s="288"/>
      <c r="M326" s="288"/>
      <c r="N326" s="288"/>
      <c r="O326" s="288"/>
      <c r="P326" s="288"/>
      <c r="Q326" s="288"/>
      <c r="R326" s="288"/>
      <c r="S326" s="288"/>
      <c r="T326" s="288"/>
      <c r="U326" s="288"/>
      <c r="V326" s="288"/>
      <c r="W326" s="288"/>
      <c r="X326" s="288"/>
      <c r="Y326" s="288"/>
      <c r="Z326" s="288"/>
      <c r="AA326" s="288"/>
      <c r="AB326" s="288"/>
      <c r="AC326" s="288"/>
      <c r="AD326" s="288"/>
      <c r="AE326" s="288"/>
      <c r="AF326" s="288"/>
      <c r="AG326" s="288"/>
      <c r="AH326" s="288"/>
      <c r="AI326" s="288"/>
    </row>
    <row r="327" spans="1:35" ht="12.75" customHeight="1" x14ac:dyDescent="0.2">
      <c r="A327" s="288"/>
      <c r="B327" s="288"/>
      <c r="C327" s="288"/>
      <c r="D327" s="288"/>
      <c r="E327" s="288"/>
      <c r="F327" s="288"/>
      <c r="G327" s="288"/>
      <c r="H327" s="288"/>
      <c r="I327" s="288"/>
      <c r="J327" s="288"/>
      <c r="K327" s="288"/>
      <c r="L327" s="288"/>
      <c r="M327" s="288"/>
      <c r="N327" s="288"/>
      <c r="O327" s="288"/>
      <c r="P327" s="288"/>
      <c r="Q327" s="288"/>
      <c r="R327" s="288"/>
      <c r="S327" s="288"/>
      <c r="T327" s="288"/>
      <c r="U327" s="288"/>
      <c r="V327" s="288"/>
      <c r="W327" s="288"/>
      <c r="X327" s="288"/>
      <c r="Y327" s="288"/>
      <c r="Z327" s="288"/>
      <c r="AA327" s="288"/>
      <c r="AB327" s="288"/>
      <c r="AC327" s="288"/>
      <c r="AD327" s="288"/>
      <c r="AE327" s="288"/>
      <c r="AF327" s="288"/>
      <c r="AG327" s="288"/>
      <c r="AH327" s="288"/>
      <c r="AI327" s="288"/>
    </row>
    <row r="328" spans="1:35" ht="12.75" customHeight="1" x14ac:dyDescent="0.2">
      <c r="A328" s="288"/>
      <c r="B328" s="288"/>
      <c r="C328" s="288"/>
      <c r="D328" s="288"/>
      <c r="E328" s="288"/>
      <c r="F328" s="288"/>
      <c r="G328" s="288"/>
      <c r="H328" s="288"/>
      <c r="I328" s="288"/>
      <c r="J328" s="288"/>
      <c r="K328" s="288"/>
      <c r="L328" s="288"/>
      <c r="M328" s="288"/>
      <c r="N328" s="288"/>
      <c r="O328" s="288"/>
      <c r="P328" s="288"/>
      <c r="Q328" s="288"/>
      <c r="R328" s="288"/>
      <c r="S328" s="288"/>
      <c r="T328" s="288"/>
      <c r="U328" s="288"/>
      <c r="V328" s="288"/>
      <c r="W328" s="288"/>
      <c r="X328" s="288"/>
      <c r="Y328" s="288"/>
      <c r="Z328" s="288"/>
      <c r="AA328" s="288"/>
      <c r="AB328" s="288"/>
      <c r="AC328" s="288"/>
      <c r="AD328" s="288"/>
      <c r="AE328" s="288"/>
      <c r="AF328" s="288"/>
      <c r="AG328" s="288"/>
      <c r="AH328" s="288"/>
      <c r="AI328" s="288"/>
    </row>
    <row r="329" spans="1:35" ht="12.75" customHeight="1" x14ac:dyDescent="0.2">
      <c r="A329" s="288"/>
      <c r="B329" s="288"/>
      <c r="C329" s="288"/>
      <c r="D329" s="288"/>
      <c r="E329" s="288"/>
      <c r="F329" s="288"/>
      <c r="G329" s="288"/>
      <c r="H329" s="288"/>
      <c r="I329" s="288"/>
      <c r="J329" s="288"/>
      <c r="K329" s="288"/>
      <c r="L329" s="288"/>
      <c r="M329" s="288"/>
      <c r="N329" s="288"/>
      <c r="O329" s="288"/>
      <c r="P329" s="288"/>
      <c r="Q329" s="288"/>
      <c r="R329" s="288"/>
      <c r="S329" s="288"/>
      <c r="T329" s="288"/>
      <c r="U329" s="288"/>
      <c r="V329" s="288"/>
      <c r="W329" s="288"/>
      <c r="X329" s="288"/>
      <c r="Y329" s="288"/>
      <c r="Z329" s="288"/>
      <c r="AA329" s="288"/>
      <c r="AB329" s="288"/>
      <c r="AC329" s="288"/>
      <c r="AD329" s="288"/>
      <c r="AE329" s="288"/>
      <c r="AF329" s="288"/>
      <c r="AG329" s="288"/>
      <c r="AH329" s="288"/>
      <c r="AI329" s="288"/>
    </row>
    <row r="330" spans="1:35" ht="12.75" customHeight="1" x14ac:dyDescent="0.2">
      <c r="A330" s="288"/>
      <c r="B330" s="288"/>
      <c r="C330" s="288"/>
      <c r="D330" s="288"/>
      <c r="E330" s="288"/>
      <c r="F330" s="288"/>
      <c r="G330" s="288"/>
      <c r="H330" s="288"/>
      <c r="I330" s="288"/>
      <c r="J330" s="288"/>
      <c r="K330" s="288"/>
      <c r="L330" s="288"/>
      <c r="M330" s="288"/>
      <c r="N330" s="288"/>
      <c r="O330" s="288"/>
      <c r="P330" s="288"/>
      <c r="Q330" s="288"/>
      <c r="R330" s="288"/>
      <c r="S330" s="288"/>
      <c r="T330" s="288"/>
      <c r="U330" s="288"/>
      <c r="V330" s="288"/>
      <c r="W330" s="288"/>
      <c r="X330" s="288"/>
      <c r="Y330" s="288"/>
      <c r="Z330" s="288"/>
      <c r="AA330" s="288"/>
      <c r="AB330" s="288"/>
      <c r="AC330" s="288"/>
      <c r="AD330" s="288"/>
      <c r="AE330" s="288"/>
      <c r="AF330" s="288"/>
      <c r="AG330" s="288"/>
      <c r="AH330" s="288"/>
      <c r="AI330" s="288"/>
    </row>
    <row r="331" spans="1:35" ht="12.75" customHeight="1" x14ac:dyDescent="0.2">
      <c r="A331" s="288"/>
      <c r="B331" s="288"/>
      <c r="C331" s="288"/>
      <c r="D331" s="288"/>
      <c r="E331" s="288"/>
      <c r="F331" s="288"/>
      <c r="G331" s="288"/>
      <c r="H331" s="288"/>
      <c r="I331" s="288"/>
      <c r="J331" s="288"/>
      <c r="K331" s="288"/>
      <c r="L331" s="288"/>
      <c r="M331" s="288"/>
      <c r="N331" s="288"/>
      <c r="O331" s="288"/>
      <c r="P331" s="288"/>
      <c r="Q331" s="288"/>
      <c r="R331" s="288"/>
      <c r="S331" s="288"/>
      <c r="T331" s="288"/>
      <c r="U331" s="288"/>
      <c r="V331" s="288"/>
      <c r="W331" s="288"/>
      <c r="X331" s="288"/>
      <c r="Y331" s="288"/>
      <c r="Z331" s="288"/>
      <c r="AA331" s="288"/>
      <c r="AB331" s="288"/>
      <c r="AC331" s="288"/>
      <c r="AD331" s="288"/>
      <c r="AE331" s="288"/>
      <c r="AF331" s="288"/>
      <c r="AG331" s="288"/>
      <c r="AH331" s="288"/>
      <c r="AI331" s="288"/>
    </row>
    <row r="332" spans="1:35" ht="12.75" customHeight="1" x14ac:dyDescent="0.2">
      <c r="A332" s="288"/>
      <c r="B332" s="288"/>
      <c r="C332" s="288"/>
      <c r="D332" s="288"/>
      <c r="E332" s="288"/>
      <c r="F332" s="288"/>
      <c r="G332" s="288"/>
      <c r="H332" s="288"/>
      <c r="I332" s="288"/>
      <c r="J332" s="288"/>
      <c r="K332" s="288"/>
      <c r="L332" s="288"/>
      <c r="M332" s="288"/>
      <c r="N332" s="288"/>
      <c r="O332" s="288"/>
      <c r="P332" s="288"/>
      <c r="Q332" s="288"/>
      <c r="R332" s="288"/>
      <c r="S332" s="288"/>
      <c r="T332" s="288"/>
      <c r="U332" s="288"/>
      <c r="V332" s="288"/>
      <c r="W332" s="288"/>
      <c r="X332" s="288"/>
      <c r="Y332" s="288"/>
      <c r="Z332" s="288"/>
      <c r="AA332" s="288"/>
      <c r="AB332" s="288"/>
      <c r="AC332" s="288"/>
      <c r="AD332" s="288"/>
      <c r="AE332" s="288"/>
      <c r="AF332" s="288"/>
      <c r="AG332" s="288"/>
      <c r="AH332" s="288"/>
      <c r="AI332" s="288"/>
    </row>
    <row r="333" spans="1:35" ht="12.75" customHeight="1" x14ac:dyDescent="0.2">
      <c r="A333" s="288"/>
      <c r="B333" s="288"/>
      <c r="C333" s="288"/>
      <c r="D333" s="288"/>
      <c r="E333" s="288"/>
      <c r="F333" s="288"/>
      <c r="G333" s="288"/>
      <c r="H333" s="288"/>
      <c r="I333" s="288"/>
      <c r="J333" s="288"/>
      <c r="K333" s="288"/>
      <c r="L333" s="288"/>
      <c r="M333" s="288"/>
      <c r="N333" s="288"/>
      <c r="O333" s="288"/>
      <c r="P333" s="288"/>
      <c r="Q333" s="288"/>
      <c r="R333" s="288"/>
      <c r="S333" s="288"/>
      <c r="T333" s="288"/>
      <c r="U333" s="288"/>
      <c r="V333" s="288"/>
      <c r="W333" s="288"/>
      <c r="X333" s="288"/>
      <c r="Y333" s="288"/>
      <c r="Z333" s="288"/>
      <c r="AA333" s="288"/>
      <c r="AB333" s="288"/>
      <c r="AC333" s="288"/>
      <c r="AD333" s="288"/>
      <c r="AE333" s="288"/>
      <c r="AF333" s="288"/>
      <c r="AG333" s="288"/>
      <c r="AH333" s="288"/>
      <c r="AI333" s="288"/>
    </row>
    <row r="334" spans="1:35" ht="12.75" customHeight="1" x14ac:dyDescent="0.2">
      <c r="A334" s="288"/>
      <c r="B334" s="288"/>
      <c r="C334" s="288"/>
      <c r="D334" s="288"/>
      <c r="E334" s="288"/>
      <c r="F334" s="288"/>
      <c r="G334" s="288"/>
      <c r="H334" s="288"/>
      <c r="I334" s="288"/>
      <c r="J334" s="288"/>
      <c r="K334" s="288"/>
      <c r="L334" s="288"/>
      <c r="M334" s="288"/>
      <c r="N334" s="288"/>
      <c r="O334" s="288"/>
      <c r="P334" s="288"/>
      <c r="Q334" s="288"/>
      <c r="R334" s="288"/>
      <c r="S334" s="288"/>
      <c r="T334" s="288"/>
      <c r="U334" s="288"/>
      <c r="V334" s="288"/>
      <c r="W334" s="288"/>
      <c r="X334" s="288"/>
      <c r="Y334" s="288"/>
      <c r="Z334" s="288"/>
      <c r="AA334" s="288"/>
      <c r="AB334" s="288"/>
      <c r="AC334" s="288"/>
      <c r="AD334" s="288"/>
      <c r="AE334" s="288"/>
      <c r="AF334" s="288"/>
      <c r="AG334" s="288"/>
      <c r="AH334" s="288"/>
      <c r="AI334" s="288"/>
    </row>
    <row r="335" spans="1:35" ht="12.75" customHeight="1" x14ac:dyDescent="0.2">
      <c r="A335" s="288"/>
      <c r="B335" s="288"/>
      <c r="C335" s="288"/>
      <c r="D335" s="288"/>
      <c r="E335" s="288"/>
      <c r="F335" s="288"/>
      <c r="G335" s="288"/>
      <c r="H335" s="288"/>
      <c r="I335" s="288"/>
      <c r="J335" s="288"/>
      <c r="K335" s="288"/>
      <c r="L335" s="288"/>
      <c r="M335" s="288"/>
      <c r="N335" s="288"/>
      <c r="O335" s="288"/>
      <c r="P335" s="288"/>
      <c r="Q335" s="288"/>
      <c r="R335" s="288"/>
      <c r="S335" s="288"/>
      <c r="T335" s="288"/>
      <c r="U335" s="288"/>
      <c r="V335" s="288"/>
      <c r="W335" s="288"/>
      <c r="X335" s="288"/>
      <c r="Y335" s="288"/>
      <c r="Z335" s="288"/>
      <c r="AA335" s="288"/>
      <c r="AB335" s="288"/>
      <c r="AC335" s="288"/>
      <c r="AD335" s="288"/>
      <c r="AE335" s="288"/>
      <c r="AF335" s="288"/>
      <c r="AG335" s="288"/>
      <c r="AH335" s="288"/>
      <c r="AI335" s="288"/>
    </row>
    <row r="336" spans="1:35" ht="12.75" customHeight="1" x14ac:dyDescent="0.2">
      <c r="A336" s="288"/>
      <c r="B336" s="288"/>
      <c r="C336" s="288"/>
      <c r="D336" s="288"/>
      <c r="E336" s="288"/>
      <c r="F336" s="288"/>
      <c r="G336" s="288"/>
      <c r="H336" s="288"/>
      <c r="I336" s="288"/>
      <c r="J336" s="288"/>
      <c r="K336" s="288"/>
      <c r="L336" s="288"/>
      <c r="M336" s="288"/>
      <c r="N336" s="288"/>
      <c r="O336" s="288"/>
      <c r="P336" s="288"/>
      <c r="Q336" s="288"/>
      <c r="R336" s="288"/>
      <c r="S336" s="288"/>
      <c r="T336" s="288"/>
      <c r="U336" s="288"/>
      <c r="V336" s="288"/>
      <c r="W336" s="288"/>
      <c r="X336" s="288"/>
      <c r="Y336" s="288"/>
      <c r="Z336" s="288"/>
      <c r="AA336" s="288"/>
      <c r="AB336" s="288"/>
      <c r="AC336" s="288"/>
      <c r="AD336" s="288"/>
      <c r="AE336" s="288"/>
      <c r="AF336" s="288"/>
      <c r="AG336" s="288"/>
      <c r="AH336" s="288"/>
      <c r="AI336" s="288"/>
    </row>
    <row r="337" spans="1:35" ht="12.75" customHeight="1" x14ac:dyDescent="0.2">
      <c r="A337" s="288"/>
      <c r="B337" s="288"/>
      <c r="C337" s="288"/>
      <c r="D337" s="288"/>
      <c r="E337" s="288"/>
      <c r="F337" s="288"/>
      <c r="G337" s="288"/>
      <c r="H337" s="288"/>
      <c r="I337" s="288"/>
      <c r="J337" s="288"/>
      <c r="K337" s="288"/>
      <c r="L337" s="288"/>
      <c r="M337" s="288"/>
      <c r="N337" s="288"/>
      <c r="O337" s="288"/>
      <c r="P337" s="288"/>
      <c r="Q337" s="288"/>
      <c r="R337" s="288"/>
      <c r="S337" s="288"/>
      <c r="T337" s="288"/>
      <c r="U337" s="288"/>
      <c r="V337" s="288"/>
      <c r="W337" s="288"/>
      <c r="X337" s="288"/>
      <c r="Y337" s="288"/>
      <c r="Z337" s="288"/>
      <c r="AA337" s="288"/>
      <c r="AB337" s="288"/>
      <c r="AC337" s="288"/>
      <c r="AD337" s="288"/>
      <c r="AE337" s="288"/>
      <c r="AF337" s="288"/>
      <c r="AG337" s="288"/>
      <c r="AH337" s="288"/>
      <c r="AI337" s="288"/>
    </row>
    <row r="338" spans="1:35" ht="12.75" customHeight="1" x14ac:dyDescent="0.2">
      <c r="A338" s="288"/>
      <c r="B338" s="288"/>
      <c r="C338" s="288"/>
      <c r="D338" s="288"/>
      <c r="E338" s="288"/>
      <c r="F338" s="288"/>
      <c r="G338" s="288"/>
      <c r="H338" s="288"/>
      <c r="I338" s="288"/>
      <c r="J338" s="288"/>
      <c r="K338" s="288"/>
      <c r="L338" s="288"/>
      <c r="M338" s="288"/>
      <c r="N338" s="288"/>
      <c r="O338" s="288"/>
      <c r="P338" s="288"/>
      <c r="Q338" s="288"/>
      <c r="R338" s="288"/>
      <c r="S338" s="288"/>
      <c r="T338" s="288"/>
      <c r="U338" s="288"/>
      <c r="V338" s="288"/>
      <c r="W338" s="288"/>
      <c r="X338" s="288"/>
      <c r="Y338" s="288"/>
      <c r="Z338" s="288"/>
      <c r="AA338" s="288"/>
      <c r="AB338" s="288"/>
      <c r="AC338" s="288"/>
      <c r="AD338" s="288"/>
      <c r="AE338" s="288"/>
      <c r="AF338" s="288"/>
      <c r="AG338" s="288"/>
      <c r="AH338" s="288"/>
      <c r="AI338" s="288"/>
    </row>
    <row r="339" spans="1:35" ht="12.75" customHeight="1" x14ac:dyDescent="0.2">
      <c r="A339" s="288"/>
      <c r="B339" s="288"/>
      <c r="C339" s="288"/>
      <c r="D339" s="288"/>
      <c r="E339" s="288"/>
      <c r="F339" s="288"/>
      <c r="G339" s="288"/>
      <c r="H339" s="288"/>
      <c r="I339" s="288"/>
      <c r="J339" s="288"/>
      <c r="K339" s="288"/>
      <c r="L339" s="288"/>
      <c r="M339" s="288"/>
      <c r="N339" s="288"/>
      <c r="O339" s="288"/>
      <c r="P339" s="288"/>
      <c r="Q339" s="288"/>
      <c r="R339" s="288"/>
      <c r="S339" s="288"/>
      <c r="T339" s="288"/>
      <c r="U339" s="288"/>
      <c r="V339" s="288"/>
      <c r="W339" s="288"/>
      <c r="X339" s="288"/>
      <c r="Y339" s="288"/>
      <c r="Z339" s="288"/>
      <c r="AA339" s="288"/>
      <c r="AB339" s="288"/>
      <c r="AC339" s="288"/>
      <c r="AD339" s="288"/>
      <c r="AE339" s="288"/>
      <c r="AF339" s="288"/>
      <c r="AG339" s="288"/>
      <c r="AH339" s="288"/>
      <c r="AI339" s="288"/>
    </row>
    <row r="340" spans="1:35" ht="12.75" customHeight="1" x14ac:dyDescent="0.2">
      <c r="A340" s="288"/>
      <c r="B340" s="288"/>
      <c r="C340" s="288"/>
      <c r="D340" s="288"/>
      <c r="E340" s="288"/>
      <c r="F340" s="288"/>
      <c r="G340" s="288"/>
      <c r="H340" s="288"/>
      <c r="I340" s="288"/>
      <c r="J340" s="288"/>
      <c r="K340" s="288"/>
      <c r="L340" s="288"/>
      <c r="M340" s="288"/>
      <c r="N340" s="288"/>
      <c r="O340" s="288"/>
      <c r="P340" s="288"/>
      <c r="Q340" s="288"/>
      <c r="R340" s="288"/>
      <c r="S340" s="288"/>
      <c r="T340" s="288"/>
      <c r="U340" s="288"/>
      <c r="V340" s="288"/>
      <c r="W340" s="288"/>
      <c r="X340" s="288"/>
      <c r="Y340" s="288"/>
      <c r="Z340" s="288"/>
      <c r="AA340" s="288"/>
      <c r="AB340" s="288"/>
      <c r="AC340" s="288"/>
      <c r="AD340" s="288"/>
      <c r="AE340" s="288"/>
      <c r="AF340" s="288"/>
      <c r="AG340" s="288"/>
      <c r="AH340" s="288"/>
      <c r="AI340" s="288"/>
    </row>
    <row r="341" spans="1:35" ht="12.75" customHeight="1" x14ac:dyDescent="0.2">
      <c r="A341" s="288"/>
      <c r="B341" s="288"/>
      <c r="C341" s="288"/>
      <c r="D341" s="288"/>
      <c r="E341" s="288"/>
      <c r="F341" s="288"/>
      <c r="G341" s="288"/>
      <c r="H341" s="288"/>
      <c r="I341" s="288"/>
      <c r="J341" s="288"/>
      <c r="K341" s="288"/>
      <c r="L341" s="288"/>
      <c r="M341" s="288"/>
      <c r="N341" s="288"/>
      <c r="O341" s="288"/>
      <c r="P341" s="288"/>
      <c r="Q341" s="288"/>
      <c r="R341" s="288"/>
      <c r="S341" s="288"/>
      <c r="T341" s="288"/>
      <c r="U341" s="288"/>
      <c r="V341" s="288"/>
      <c r="W341" s="288"/>
      <c r="X341" s="288"/>
      <c r="Y341" s="288"/>
      <c r="Z341" s="288"/>
      <c r="AA341" s="288"/>
      <c r="AB341" s="288"/>
      <c r="AC341" s="288"/>
      <c r="AD341" s="288"/>
      <c r="AE341" s="288"/>
      <c r="AF341" s="288"/>
      <c r="AG341" s="288"/>
      <c r="AH341" s="288"/>
      <c r="AI341" s="288"/>
    </row>
    <row r="342" spans="1:35" ht="12.75" customHeight="1" x14ac:dyDescent="0.2">
      <c r="A342" s="288"/>
      <c r="B342" s="288"/>
      <c r="C342" s="288"/>
      <c r="D342" s="288"/>
      <c r="E342" s="288"/>
      <c r="F342" s="288"/>
      <c r="G342" s="288"/>
      <c r="H342" s="288"/>
      <c r="I342" s="288"/>
      <c r="J342" s="288"/>
      <c r="K342" s="288"/>
      <c r="L342" s="288"/>
      <c r="M342" s="288"/>
      <c r="N342" s="288"/>
      <c r="O342" s="288"/>
      <c r="P342" s="288"/>
      <c r="Q342" s="288"/>
      <c r="R342" s="288"/>
      <c r="S342" s="288"/>
      <c r="T342" s="288"/>
      <c r="U342" s="288"/>
      <c r="V342" s="288"/>
      <c r="W342" s="288"/>
      <c r="X342" s="288"/>
      <c r="Y342" s="288"/>
      <c r="Z342" s="288"/>
      <c r="AA342" s="288"/>
      <c r="AB342" s="288"/>
      <c r="AC342" s="288"/>
      <c r="AD342" s="288"/>
      <c r="AE342" s="288"/>
      <c r="AF342" s="288"/>
      <c r="AG342" s="288"/>
      <c r="AH342" s="288"/>
      <c r="AI342" s="288"/>
    </row>
    <row r="343" spans="1:35" ht="12.75" customHeight="1" x14ac:dyDescent="0.2">
      <c r="A343" s="288"/>
      <c r="B343" s="288"/>
      <c r="C343" s="288"/>
      <c r="D343" s="288"/>
      <c r="E343" s="288"/>
      <c r="F343" s="288"/>
      <c r="G343" s="288"/>
      <c r="H343" s="288"/>
      <c r="I343" s="288"/>
      <c r="J343" s="288"/>
      <c r="K343" s="288"/>
      <c r="L343" s="288"/>
      <c r="M343" s="288"/>
      <c r="N343" s="288"/>
      <c r="O343" s="288"/>
      <c r="P343" s="288"/>
      <c r="Q343" s="288"/>
      <c r="R343" s="288"/>
      <c r="S343" s="288"/>
      <c r="T343" s="288"/>
      <c r="U343" s="288"/>
      <c r="V343" s="288"/>
      <c r="W343" s="288"/>
      <c r="X343" s="288"/>
      <c r="Y343" s="288"/>
      <c r="Z343" s="288"/>
      <c r="AA343" s="288"/>
      <c r="AB343" s="288"/>
      <c r="AC343" s="288"/>
      <c r="AD343" s="288"/>
      <c r="AE343" s="288"/>
      <c r="AF343" s="288"/>
      <c r="AG343" s="288"/>
      <c r="AH343" s="288"/>
      <c r="AI343" s="288"/>
    </row>
    <row r="344" spans="1:35" ht="12.75" customHeight="1" x14ac:dyDescent="0.2">
      <c r="A344" s="288"/>
      <c r="B344" s="288"/>
      <c r="C344" s="288"/>
      <c r="D344" s="288"/>
      <c r="E344" s="288"/>
      <c r="F344" s="288"/>
      <c r="G344" s="288"/>
      <c r="H344" s="288"/>
      <c r="I344" s="288"/>
      <c r="J344" s="288"/>
      <c r="K344" s="288"/>
      <c r="L344" s="288"/>
      <c r="M344" s="288"/>
      <c r="N344" s="288"/>
      <c r="O344" s="288"/>
      <c r="P344" s="288"/>
      <c r="Q344" s="288"/>
      <c r="R344" s="288"/>
      <c r="S344" s="288"/>
      <c r="T344" s="288"/>
      <c r="U344" s="288"/>
      <c r="V344" s="288"/>
      <c r="W344" s="288"/>
      <c r="X344" s="288"/>
      <c r="Y344" s="288"/>
      <c r="Z344" s="288"/>
      <c r="AA344" s="288"/>
      <c r="AB344" s="288"/>
      <c r="AC344" s="288"/>
      <c r="AD344" s="288"/>
      <c r="AE344" s="288"/>
      <c r="AF344" s="288"/>
      <c r="AG344" s="288"/>
      <c r="AH344" s="288"/>
      <c r="AI344" s="288"/>
    </row>
    <row r="345" spans="1:35" ht="12.75" customHeight="1" x14ac:dyDescent="0.2">
      <c r="A345" s="288"/>
      <c r="B345" s="288"/>
      <c r="C345" s="288"/>
      <c r="D345" s="288"/>
      <c r="E345" s="288"/>
      <c r="F345" s="288"/>
      <c r="G345" s="288"/>
      <c r="H345" s="288"/>
      <c r="I345" s="288"/>
      <c r="J345" s="288"/>
      <c r="K345" s="288"/>
      <c r="L345" s="288"/>
      <c r="M345" s="288"/>
      <c r="N345" s="288"/>
      <c r="O345" s="288"/>
      <c r="P345" s="288"/>
      <c r="Q345" s="288"/>
      <c r="R345" s="288"/>
      <c r="S345" s="288"/>
      <c r="T345" s="288"/>
      <c r="U345" s="288"/>
      <c r="V345" s="288"/>
      <c r="W345" s="288"/>
      <c r="X345" s="288"/>
      <c r="Y345" s="288"/>
      <c r="Z345" s="288"/>
      <c r="AA345" s="288"/>
      <c r="AB345" s="288"/>
      <c r="AC345" s="288"/>
      <c r="AD345" s="288"/>
      <c r="AE345" s="288"/>
      <c r="AF345" s="288"/>
      <c r="AG345" s="288"/>
      <c r="AH345" s="288"/>
      <c r="AI345" s="288"/>
    </row>
    <row r="346" spans="1:35" ht="12.75" customHeight="1" x14ac:dyDescent="0.2">
      <c r="A346" s="288"/>
      <c r="B346" s="288"/>
      <c r="C346" s="288"/>
      <c r="D346" s="288"/>
      <c r="E346" s="288"/>
      <c r="F346" s="288"/>
      <c r="G346" s="288"/>
      <c r="H346" s="288"/>
      <c r="I346" s="288"/>
      <c r="J346" s="288"/>
      <c r="K346" s="288"/>
      <c r="L346" s="288"/>
      <c r="M346" s="288"/>
      <c r="N346" s="288"/>
      <c r="O346" s="288"/>
      <c r="P346" s="288"/>
      <c r="Q346" s="288"/>
      <c r="R346" s="288"/>
      <c r="S346" s="288"/>
      <c r="T346" s="288"/>
      <c r="U346" s="288"/>
      <c r="V346" s="288"/>
      <c r="W346" s="288"/>
      <c r="X346" s="288"/>
      <c r="Y346" s="288"/>
      <c r="Z346" s="288"/>
      <c r="AA346" s="288"/>
      <c r="AB346" s="288"/>
      <c r="AC346" s="288"/>
      <c r="AD346" s="288"/>
      <c r="AE346" s="288"/>
      <c r="AF346" s="288"/>
      <c r="AG346" s="288"/>
      <c r="AH346" s="288"/>
      <c r="AI346" s="288"/>
    </row>
    <row r="347" spans="1:35" ht="12.75" customHeight="1" x14ac:dyDescent="0.2">
      <c r="A347" s="288"/>
      <c r="B347" s="288"/>
      <c r="C347" s="288"/>
      <c r="D347" s="288"/>
      <c r="E347" s="288"/>
      <c r="F347" s="288"/>
      <c r="G347" s="288"/>
      <c r="H347" s="288"/>
      <c r="I347" s="288"/>
      <c r="J347" s="288"/>
      <c r="K347" s="288"/>
      <c r="L347" s="288"/>
      <c r="M347" s="288"/>
      <c r="N347" s="288"/>
      <c r="O347" s="288"/>
      <c r="P347" s="288"/>
      <c r="Q347" s="288"/>
      <c r="R347" s="288"/>
      <c r="S347" s="288"/>
      <c r="T347" s="288"/>
      <c r="U347" s="288"/>
      <c r="V347" s="288"/>
      <c r="W347" s="288"/>
      <c r="X347" s="288"/>
      <c r="Y347" s="288"/>
      <c r="Z347" s="288"/>
      <c r="AA347" s="288"/>
      <c r="AB347" s="288"/>
      <c r="AC347" s="288"/>
      <c r="AD347" s="288"/>
      <c r="AE347" s="288"/>
      <c r="AF347" s="288"/>
      <c r="AG347" s="288"/>
      <c r="AH347" s="288"/>
      <c r="AI347" s="288"/>
    </row>
    <row r="348" spans="1:35" ht="12.75" customHeight="1" x14ac:dyDescent="0.2">
      <c r="A348" s="288"/>
      <c r="B348" s="288"/>
      <c r="C348" s="288"/>
      <c r="D348" s="288"/>
      <c r="E348" s="288"/>
      <c r="F348" s="288"/>
      <c r="G348" s="288"/>
      <c r="H348" s="288"/>
      <c r="I348" s="288"/>
      <c r="J348" s="288"/>
      <c r="K348" s="288"/>
      <c r="L348" s="288"/>
      <c r="M348" s="288"/>
      <c r="N348" s="288"/>
      <c r="O348" s="288"/>
      <c r="P348" s="288"/>
      <c r="Q348" s="288"/>
      <c r="R348" s="288"/>
      <c r="S348" s="288"/>
      <c r="T348" s="288"/>
      <c r="U348" s="288"/>
      <c r="V348" s="288"/>
      <c r="W348" s="288"/>
      <c r="X348" s="288"/>
      <c r="Y348" s="288"/>
      <c r="Z348" s="288"/>
      <c r="AA348" s="288"/>
      <c r="AB348" s="288"/>
      <c r="AC348" s="288"/>
      <c r="AD348" s="288"/>
      <c r="AE348" s="288"/>
      <c r="AF348" s="288"/>
      <c r="AG348" s="288"/>
      <c r="AH348" s="288"/>
      <c r="AI348" s="288"/>
    </row>
    <row r="349" spans="1:35" ht="12.75" customHeight="1" x14ac:dyDescent="0.2">
      <c r="A349" s="288"/>
      <c r="B349" s="288"/>
      <c r="C349" s="288"/>
      <c r="D349" s="288"/>
      <c r="E349" s="288"/>
      <c r="F349" s="288"/>
      <c r="G349" s="288"/>
      <c r="H349" s="288"/>
      <c r="I349" s="288"/>
      <c r="J349" s="288"/>
      <c r="K349" s="288"/>
      <c r="L349" s="288"/>
      <c r="M349" s="288"/>
      <c r="N349" s="288"/>
      <c r="O349" s="288"/>
      <c r="P349" s="288"/>
      <c r="Q349" s="288"/>
      <c r="R349" s="288"/>
      <c r="S349" s="288"/>
      <c r="T349" s="288"/>
      <c r="U349" s="288"/>
      <c r="V349" s="288"/>
      <c r="W349" s="288"/>
      <c r="X349" s="288"/>
      <c r="Y349" s="288"/>
      <c r="Z349" s="288"/>
      <c r="AA349" s="288"/>
      <c r="AB349" s="288"/>
      <c r="AC349" s="288"/>
      <c r="AD349" s="288"/>
      <c r="AE349" s="288"/>
      <c r="AF349" s="288"/>
      <c r="AG349" s="288"/>
      <c r="AH349" s="288"/>
      <c r="AI349" s="288"/>
    </row>
    <row r="350" spans="1:35" ht="12.75" customHeight="1" x14ac:dyDescent="0.2">
      <c r="A350" s="288"/>
      <c r="B350" s="288"/>
      <c r="C350" s="288"/>
      <c r="D350" s="288"/>
      <c r="E350" s="288"/>
      <c r="F350" s="288"/>
      <c r="G350" s="288"/>
      <c r="H350" s="288"/>
      <c r="I350" s="288"/>
      <c r="J350" s="288"/>
      <c r="K350" s="288"/>
      <c r="L350" s="288"/>
      <c r="M350" s="288"/>
      <c r="N350" s="288"/>
      <c r="O350" s="288"/>
      <c r="P350" s="288"/>
      <c r="Q350" s="288"/>
      <c r="R350" s="288"/>
      <c r="S350" s="288"/>
      <c r="T350" s="288"/>
      <c r="U350" s="288"/>
      <c r="V350" s="288"/>
      <c r="W350" s="288"/>
      <c r="X350" s="288"/>
      <c r="Y350" s="288"/>
      <c r="Z350" s="288"/>
      <c r="AA350" s="288"/>
      <c r="AB350" s="288"/>
      <c r="AC350" s="288"/>
      <c r="AD350" s="288"/>
      <c r="AE350" s="288"/>
      <c r="AF350" s="288"/>
      <c r="AG350" s="288"/>
      <c r="AH350" s="288"/>
      <c r="AI350" s="288"/>
    </row>
    <row r="351" spans="1:35" ht="12.75" customHeight="1" x14ac:dyDescent="0.2">
      <c r="A351" s="288"/>
      <c r="B351" s="288"/>
      <c r="C351" s="288"/>
      <c r="D351" s="288"/>
      <c r="E351" s="288"/>
      <c r="F351" s="288"/>
      <c r="G351" s="288"/>
      <c r="H351" s="288"/>
      <c r="I351" s="288"/>
      <c r="J351" s="288"/>
      <c r="K351" s="288"/>
      <c r="L351" s="288"/>
      <c r="M351" s="288"/>
      <c r="N351" s="288"/>
      <c r="O351" s="288"/>
      <c r="P351" s="288"/>
      <c r="Q351" s="288"/>
      <c r="R351" s="288"/>
      <c r="S351" s="288"/>
      <c r="T351" s="288"/>
      <c r="U351" s="288"/>
      <c r="V351" s="288"/>
      <c r="W351" s="288"/>
      <c r="X351" s="288"/>
      <c r="Y351" s="288"/>
      <c r="Z351" s="288"/>
      <c r="AA351" s="288"/>
      <c r="AB351" s="288"/>
      <c r="AC351" s="288"/>
      <c r="AD351" s="288"/>
      <c r="AE351" s="288"/>
      <c r="AF351" s="288"/>
      <c r="AG351" s="288"/>
      <c r="AH351" s="288"/>
      <c r="AI351" s="288"/>
    </row>
    <row r="352" spans="1:35" ht="12.75" customHeight="1" x14ac:dyDescent="0.2">
      <c r="A352" s="288"/>
      <c r="B352" s="288"/>
      <c r="C352" s="288"/>
      <c r="D352" s="288"/>
      <c r="E352" s="288"/>
      <c r="F352" s="288"/>
      <c r="G352" s="288"/>
      <c r="H352" s="288"/>
      <c r="I352" s="288"/>
      <c r="J352" s="288"/>
      <c r="K352" s="288"/>
      <c r="L352" s="288"/>
      <c r="M352" s="288"/>
      <c r="N352" s="288"/>
      <c r="O352" s="288"/>
      <c r="P352" s="288"/>
      <c r="Q352" s="288"/>
      <c r="R352" s="288"/>
      <c r="S352" s="288"/>
      <c r="T352" s="288"/>
      <c r="U352" s="288"/>
      <c r="V352" s="288"/>
      <c r="W352" s="288"/>
      <c r="X352" s="288"/>
      <c r="Y352" s="288"/>
      <c r="Z352" s="288"/>
      <c r="AA352" s="288"/>
      <c r="AB352" s="288"/>
      <c r="AC352" s="288"/>
      <c r="AD352" s="288"/>
      <c r="AE352" s="288"/>
      <c r="AF352" s="288"/>
      <c r="AG352" s="288"/>
      <c r="AH352" s="288"/>
      <c r="AI352" s="288"/>
    </row>
    <row r="353" spans="1:35" ht="12.75" customHeight="1" x14ac:dyDescent="0.2">
      <c r="A353" s="288"/>
      <c r="B353" s="288"/>
      <c r="C353" s="288"/>
      <c r="D353" s="288"/>
      <c r="E353" s="288"/>
      <c r="F353" s="288"/>
      <c r="G353" s="288"/>
      <c r="H353" s="288"/>
      <c r="I353" s="288"/>
      <c r="J353" s="288"/>
      <c r="K353" s="288"/>
      <c r="L353" s="288"/>
      <c r="M353" s="288"/>
      <c r="N353" s="288"/>
      <c r="O353" s="288"/>
      <c r="P353" s="288"/>
      <c r="Q353" s="288"/>
      <c r="R353" s="288"/>
      <c r="S353" s="288"/>
      <c r="T353" s="288"/>
      <c r="U353" s="288"/>
      <c r="V353" s="288"/>
      <c r="W353" s="288"/>
      <c r="X353" s="288"/>
      <c r="Y353" s="288"/>
      <c r="Z353" s="288"/>
      <c r="AA353" s="288"/>
      <c r="AB353" s="288"/>
      <c r="AC353" s="288"/>
      <c r="AD353" s="288"/>
      <c r="AE353" s="288"/>
      <c r="AF353" s="288"/>
      <c r="AG353" s="288"/>
      <c r="AH353" s="288"/>
      <c r="AI353" s="288"/>
    </row>
    <row r="354" spans="1:35" ht="12.75" customHeight="1" x14ac:dyDescent="0.2">
      <c r="A354" s="288"/>
      <c r="B354" s="288"/>
      <c r="C354" s="288"/>
      <c r="D354" s="288"/>
      <c r="E354" s="288"/>
      <c r="F354" s="288"/>
      <c r="G354" s="288"/>
      <c r="H354" s="288"/>
      <c r="I354" s="288"/>
      <c r="J354" s="288"/>
      <c r="K354" s="288"/>
      <c r="L354" s="288"/>
      <c r="M354" s="288"/>
      <c r="N354" s="288"/>
      <c r="O354" s="288"/>
      <c r="P354" s="288"/>
      <c r="Q354" s="288"/>
      <c r="R354" s="288"/>
      <c r="S354" s="288"/>
      <c r="T354" s="288"/>
      <c r="U354" s="288"/>
      <c r="V354" s="288"/>
      <c r="W354" s="288"/>
      <c r="X354" s="288"/>
      <c r="Y354" s="288"/>
      <c r="Z354" s="288"/>
      <c r="AA354" s="288"/>
      <c r="AB354" s="288"/>
      <c r="AC354" s="288"/>
      <c r="AD354" s="288"/>
      <c r="AE354" s="288"/>
      <c r="AF354" s="288"/>
      <c r="AG354" s="288"/>
      <c r="AH354" s="288"/>
      <c r="AI354" s="288"/>
    </row>
    <row r="355" spans="1:35" ht="12.75" customHeight="1" x14ac:dyDescent="0.2">
      <c r="A355" s="288"/>
      <c r="B355" s="288"/>
      <c r="C355" s="288"/>
      <c r="D355" s="288"/>
      <c r="E355" s="288"/>
      <c r="F355" s="288"/>
      <c r="G355" s="288"/>
      <c r="H355" s="288"/>
      <c r="I355" s="288"/>
      <c r="J355" s="288"/>
      <c r="K355" s="288"/>
      <c r="L355" s="288"/>
      <c r="M355" s="288"/>
      <c r="N355" s="288"/>
      <c r="O355" s="288"/>
      <c r="P355" s="288"/>
      <c r="Q355" s="288"/>
      <c r="R355" s="288"/>
      <c r="S355" s="288"/>
      <c r="T355" s="288"/>
      <c r="U355" s="288"/>
      <c r="V355" s="288"/>
      <c r="W355" s="288"/>
      <c r="X355" s="288"/>
      <c r="Y355" s="288"/>
      <c r="Z355" s="288"/>
      <c r="AA355" s="288"/>
      <c r="AB355" s="288"/>
      <c r="AC355" s="288"/>
      <c r="AD355" s="288"/>
      <c r="AE355" s="288"/>
      <c r="AF355" s="288"/>
      <c r="AG355" s="288"/>
      <c r="AH355" s="288"/>
      <c r="AI355" s="288"/>
    </row>
    <row r="356" spans="1:35" ht="12.75" customHeight="1" x14ac:dyDescent="0.2">
      <c r="A356" s="288"/>
      <c r="B356" s="288"/>
      <c r="C356" s="288"/>
      <c r="D356" s="288"/>
      <c r="E356" s="288"/>
      <c r="F356" s="288"/>
      <c r="G356" s="288"/>
      <c r="H356" s="288"/>
      <c r="I356" s="288"/>
      <c r="J356" s="288"/>
      <c r="K356" s="288"/>
      <c r="L356" s="288"/>
      <c r="M356" s="288"/>
      <c r="N356" s="288"/>
      <c r="O356" s="288"/>
      <c r="P356" s="288"/>
      <c r="Q356" s="288"/>
      <c r="R356" s="288"/>
      <c r="S356" s="288"/>
      <c r="T356" s="288"/>
      <c r="U356" s="288"/>
      <c r="V356" s="288"/>
      <c r="W356" s="288"/>
      <c r="X356" s="288"/>
      <c r="Y356" s="288"/>
      <c r="Z356" s="288"/>
      <c r="AA356" s="288"/>
      <c r="AB356" s="288"/>
      <c r="AC356" s="288"/>
      <c r="AD356" s="288"/>
      <c r="AE356" s="288"/>
      <c r="AF356" s="288"/>
      <c r="AG356" s="288"/>
      <c r="AH356" s="288"/>
      <c r="AI356" s="288"/>
    </row>
    <row r="357" spans="1:35" ht="12.75" customHeight="1" x14ac:dyDescent="0.2">
      <c r="A357" s="288"/>
      <c r="B357" s="288"/>
      <c r="C357" s="288"/>
      <c r="D357" s="288"/>
      <c r="E357" s="288"/>
      <c r="F357" s="288"/>
      <c r="G357" s="288"/>
      <c r="H357" s="288"/>
      <c r="I357" s="288"/>
      <c r="J357" s="288"/>
      <c r="K357" s="288"/>
      <c r="L357" s="288"/>
      <c r="M357" s="288"/>
      <c r="N357" s="288"/>
      <c r="O357" s="288"/>
      <c r="P357" s="288"/>
      <c r="Q357" s="288"/>
      <c r="R357" s="288"/>
      <c r="S357" s="288"/>
      <c r="T357" s="288"/>
      <c r="U357" s="288"/>
      <c r="V357" s="288"/>
      <c r="W357" s="288"/>
      <c r="X357" s="288"/>
      <c r="Y357" s="288"/>
      <c r="Z357" s="288"/>
      <c r="AA357" s="288"/>
      <c r="AB357" s="288"/>
      <c r="AC357" s="288"/>
      <c r="AD357" s="288"/>
      <c r="AE357" s="288"/>
      <c r="AF357" s="288"/>
      <c r="AG357" s="288"/>
      <c r="AH357" s="288"/>
      <c r="AI357" s="288"/>
    </row>
    <row r="358" spans="1:35" ht="12.75" customHeight="1" x14ac:dyDescent="0.2">
      <c r="A358" s="288"/>
      <c r="B358" s="288"/>
      <c r="C358" s="288"/>
      <c r="D358" s="288"/>
      <c r="E358" s="288"/>
      <c r="F358" s="288"/>
      <c r="G358" s="288"/>
      <c r="H358" s="288"/>
      <c r="I358" s="288"/>
      <c r="J358" s="288"/>
      <c r="K358" s="288"/>
      <c r="L358" s="288"/>
      <c r="M358" s="288"/>
      <c r="N358" s="288"/>
      <c r="O358" s="288"/>
      <c r="P358" s="288"/>
      <c r="Q358" s="288"/>
      <c r="R358" s="288"/>
      <c r="S358" s="288"/>
      <c r="T358" s="288"/>
      <c r="U358" s="288"/>
      <c r="V358" s="288"/>
      <c r="W358" s="288"/>
      <c r="X358" s="288"/>
      <c r="Y358" s="288"/>
      <c r="Z358" s="288"/>
      <c r="AA358" s="288"/>
      <c r="AB358" s="288"/>
      <c r="AC358" s="288"/>
      <c r="AD358" s="288"/>
      <c r="AE358" s="288"/>
      <c r="AF358" s="288"/>
      <c r="AG358" s="288"/>
      <c r="AH358" s="288"/>
      <c r="AI358" s="288"/>
    </row>
    <row r="359" spans="1:35" ht="12.75" customHeight="1" x14ac:dyDescent="0.2">
      <c r="A359" s="288"/>
      <c r="B359" s="288"/>
      <c r="C359" s="288"/>
      <c r="D359" s="288"/>
      <c r="E359" s="288"/>
      <c r="F359" s="288"/>
      <c r="G359" s="288"/>
      <c r="H359" s="288"/>
      <c r="I359" s="288"/>
      <c r="J359" s="288"/>
      <c r="K359" s="288"/>
      <c r="L359" s="288"/>
      <c r="M359" s="288"/>
      <c r="N359" s="288"/>
      <c r="O359" s="288"/>
      <c r="P359" s="288"/>
      <c r="Q359" s="288"/>
      <c r="R359" s="288"/>
      <c r="S359" s="288"/>
      <c r="T359" s="288"/>
      <c r="U359" s="288"/>
      <c r="V359" s="288"/>
      <c r="W359" s="288"/>
      <c r="X359" s="288"/>
      <c r="Y359" s="288"/>
      <c r="Z359" s="288"/>
      <c r="AA359" s="288"/>
      <c r="AB359" s="288"/>
      <c r="AC359" s="288"/>
      <c r="AD359" s="288"/>
      <c r="AE359" s="288"/>
      <c r="AF359" s="288"/>
      <c r="AG359" s="288"/>
      <c r="AH359" s="288"/>
      <c r="AI359" s="288"/>
    </row>
    <row r="360" spans="1:35" ht="12.75" customHeight="1" x14ac:dyDescent="0.2">
      <c r="A360" s="288"/>
      <c r="B360" s="288"/>
      <c r="C360" s="288"/>
      <c r="D360" s="288"/>
      <c r="E360" s="288"/>
      <c r="F360" s="288"/>
      <c r="G360" s="288"/>
      <c r="H360" s="288"/>
      <c r="I360" s="288"/>
      <c r="J360" s="288"/>
      <c r="K360" s="288"/>
      <c r="L360" s="288"/>
      <c r="M360" s="288"/>
      <c r="N360" s="288"/>
      <c r="O360" s="288"/>
      <c r="P360" s="288"/>
      <c r="Q360" s="288"/>
      <c r="R360" s="288"/>
      <c r="S360" s="288"/>
      <c r="T360" s="288"/>
      <c r="U360" s="288"/>
      <c r="V360" s="288"/>
      <c r="W360" s="288"/>
      <c r="X360" s="288"/>
      <c r="Y360" s="288"/>
      <c r="Z360" s="288"/>
      <c r="AA360" s="288"/>
      <c r="AB360" s="288"/>
      <c r="AC360" s="288"/>
      <c r="AD360" s="288"/>
      <c r="AE360" s="288"/>
      <c r="AF360" s="288"/>
      <c r="AG360" s="288"/>
      <c r="AH360" s="288"/>
      <c r="AI360" s="288"/>
    </row>
    <row r="361" spans="1:35" ht="12.75" customHeight="1" x14ac:dyDescent="0.2">
      <c r="A361" s="288"/>
      <c r="B361" s="288"/>
      <c r="C361" s="288"/>
      <c r="D361" s="288"/>
      <c r="E361" s="288"/>
      <c r="F361" s="288"/>
      <c r="G361" s="288"/>
      <c r="H361" s="288"/>
      <c r="I361" s="288"/>
      <c r="J361" s="288"/>
      <c r="K361" s="288"/>
      <c r="L361" s="288"/>
      <c r="M361" s="288"/>
      <c r="N361" s="288"/>
      <c r="O361" s="288"/>
      <c r="P361" s="288"/>
      <c r="Q361" s="288"/>
      <c r="R361" s="288"/>
      <c r="S361" s="288"/>
      <c r="T361" s="288"/>
      <c r="U361" s="288"/>
      <c r="V361" s="288"/>
      <c r="W361" s="288"/>
      <c r="X361" s="288"/>
      <c r="Y361" s="288"/>
      <c r="Z361" s="288"/>
      <c r="AA361" s="288"/>
      <c r="AB361" s="288"/>
      <c r="AC361" s="288"/>
      <c r="AD361" s="288"/>
      <c r="AE361" s="288"/>
      <c r="AF361" s="288"/>
      <c r="AG361" s="288"/>
      <c r="AH361" s="288"/>
      <c r="AI361" s="288"/>
    </row>
    <row r="362" spans="1:35" ht="12.75" customHeight="1" x14ac:dyDescent="0.2">
      <c r="A362" s="288"/>
      <c r="B362" s="288"/>
      <c r="C362" s="288"/>
      <c r="D362" s="288"/>
      <c r="E362" s="288"/>
      <c r="F362" s="288"/>
      <c r="G362" s="288"/>
      <c r="H362" s="288"/>
      <c r="I362" s="288"/>
      <c r="J362" s="288"/>
      <c r="K362" s="288"/>
      <c r="L362" s="288"/>
      <c r="M362" s="288"/>
      <c r="N362" s="288"/>
      <c r="O362" s="288"/>
      <c r="P362" s="288"/>
      <c r="Q362" s="288"/>
      <c r="R362" s="288"/>
      <c r="S362" s="288"/>
      <c r="T362" s="288"/>
      <c r="U362" s="288"/>
      <c r="V362" s="288"/>
      <c r="W362" s="288"/>
      <c r="X362" s="288"/>
      <c r="Y362" s="288"/>
      <c r="Z362" s="288"/>
      <c r="AA362" s="288"/>
      <c r="AB362" s="288"/>
      <c r="AC362" s="288"/>
      <c r="AD362" s="288"/>
      <c r="AE362" s="288"/>
      <c r="AF362" s="288"/>
      <c r="AG362" s="288"/>
      <c r="AH362" s="288"/>
      <c r="AI362" s="288"/>
    </row>
    <row r="363" spans="1:35" ht="12.75" customHeight="1" x14ac:dyDescent="0.2">
      <c r="A363" s="288"/>
      <c r="B363" s="288"/>
      <c r="C363" s="288"/>
      <c r="D363" s="288"/>
      <c r="E363" s="288"/>
      <c r="F363" s="288"/>
      <c r="G363" s="288"/>
      <c r="H363" s="288"/>
      <c r="I363" s="288"/>
      <c r="J363" s="288"/>
      <c r="K363" s="288"/>
      <c r="L363" s="288"/>
      <c r="M363" s="288"/>
      <c r="N363" s="288"/>
      <c r="O363" s="288"/>
      <c r="P363" s="288"/>
      <c r="Q363" s="288"/>
      <c r="R363" s="288"/>
      <c r="S363" s="288"/>
      <c r="T363" s="288"/>
      <c r="U363" s="288"/>
      <c r="V363" s="288"/>
      <c r="W363" s="288"/>
      <c r="X363" s="288"/>
      <c r="Y363" s="288"/>
      <c r="Z363" s="288"/>
      <c r="AA363" s="288"/>
      <c r="AB363" s="288"/>
      <c r="AC363" s="288"/>
      <c r="AD363" s="288"/>
      <c r="AE363" s="288"/>
      <c r="AF363" s="288"/>
      <c r="AG363" s="288"/>
      <c r="AH363" s="288"/>
      <c r="AI363" s="288"/>
    </row>
    <row r="364" spans="1:35" ht="12.75" customHeight="1" x14ac:dyDescent="0.2">
      <c r="A364" s="288"/>
      <c r="B364" s="288"/>
      <c r="C364" s="288"/>
      <c r="D364" s="288"/>
      <c r="E364" s="288"/>
      <c r="F364" s="288"/>
      <c r="G364" s="288"/>
      <c r="H364" s="288"/>
      <c r="I364" s="288"/>
      <c r="J364" s="288"/>
      <c r="K364" s="288"/>
      <c r="L364" s="288"/>
      <c r="M364" s="288"/>
      <c r="N364" s="288"/>
      <c r="O364" s="288"/>
      <c r="P364" s="288"/>
      <c r="Q364" s="288"/>
      <c r="R364" s="288"/>
      <c r="S364" s="288"/>
      <c r="T364" s="288"/>
      <c r="U364" s="288"/>
      <c r="V364" s="288"/>
      <c r="W364" s="288"/>
      <c r="X364" s="288"/>
      <c r="Y364" s="288"/>
      <c r="Z364" s="288"/>
      <c r="AA364" s="288"/>
      <c r="AB364" s="288"/>
      <c r="AC364" s="288"/>
      <c r="AD364" s="288"/>
      <c r="AE364" s="288"/>
      <c r="AF364" s="288"/>
      <c r="AG364" s="288"/>
      <c r="AH364" s="288"/>
      <c r="AI364" s="288"/>
    </row>
    <row r="365" spans="1:35" ht="12.75" customHeight="1" x14ac:dyDescent="0.2">
      <c r="A365" s="288"/>
      <c r="B365" s="288"/>
      <c r="C365" s="288"/>
      <c r="D365" s="288"/>
      <c r="E365" s="288"/>
      <c r="F365" s="288"/>
      <c r="G365" s="288"/>
      <c r="H365" s="288"/>
      <c r="I365" s="288"/>
      <c r="J365" s="288"/>
      <c r="K365" s="288"/>
      <c r="L365" s="288"/>
      <c r="M365" s="288"/>
      <c r="N365" s="288"/>
      <c r="O365" s="288"/>
      <c r="P365" s="288"/>
      <c r="Q365" s="288"/>
      <c r="R365" s="288"/>
      <c r="S365" s="288"/>
      <c r="T365" s="288"/>
      <c r="U365" s="288"/>
      <c r="V365" s="288"/>
      <c r="W365" s="288"/>
      <c r="X365" s="288"/>
      <c r="Y365" s="288"/>
      <c r="Z365" s="288"/>
      <c r="AA365" s="288"/>
      <c r="AB365" s="288"/>
      <c r="AC365" s="288"/>
      <c r="AD365" s="288"/>
      <c r="AE365" s="288"/>
      <c r="AF365" s="288"/>
      <c r="AG365" s="288"/>
      <c r="AH365" s="288"/>
      <c r="AI365" s="288"/>
    </row>
    <row r="366" spans="1:35" ht="12.75" customHeight="1" x14ac:dyDescent="0.2">
      <c r="A366" s="288"/>
      <c r="B366" s="288"/>
      <c r="C366" s="288"/>
      <c r="D366" s="288"/>
      <c r="E366" s="288"/>
      <c r="F366" s="288"/>
      <c r="G366" s="288"/>
      <c r="H366" s="288"/>
      <c r="I366" s="288"/>
      <c r="J366" s="288"/>
      <c r="K366" s="288"/>
      <c r="L366" s="288"/>
      <c r="M366" s="288"/>
      <c r="N366" s="288"/>
      <c r="O366" s="288"/>
      <c r="P366" s="288"/>
      <c r="Q366" s="288"/>
      <c r="R366" s="288"/>
      <c r="S366" s="288"/>
      <c r="T366" s="288"/>
      <c r="U366" s="288"/>
      <c r="V366" s="288"/>
      <c r="W366" s="288"/>
      <c r="X366" s="288"/>
      <c r="Y366" s="288"/>
      <c r="Z366" s="288"/>
      <c r="AA366" s="288"/>
      <c r="AB366" s="288"/>
      <c r="AC366" s="288"/>
      <c r="AD366" s="288"/>
      <c r="AE366" s="288"/>
      <c r="AF366" s="288"/>
      <c r="AG366" s="288"/>
      <c r="AH366" s="288"/>
      <c r="AI366" s="288"/>
    </row>
    <row r="367" spans="1:35" ht="12.75" customHeight="1" x14ac:dyDescent="0.2">
      <c r="A367" s="288"/>
      <c r="B367" s="288"/>
      <c r="C367" s="288"/>
      <c r="D367" s="288"/>
      <c r="E367" s="288"/>
      <c r="F367" s="288"/>
      <c r="G367" s="288"/>
      <c r="H367" s="288"/>
      <c r="I367" s="288"/>
      <c r="J367" s="288"/>
      <c r="K367" s="288"/>
      <c r="L367" s="288"/>
      <c r="M367" s="288"/>
      <c r="N367" s="288"/>
      <c r="O367" s="288"/>
      <c r="P367" s="288"/>
      <c r="Q367" s="288"/>
      <c r="R367" s="288"/>
      <c r="S367" s="288"/>
      <c r="T367" s="288"/>
      <c r="U367" s="288"/>
      <c r="V367" s="288"/>
      <c r="W367" s="288"/>
      <c r="X367" s="288"/>
      <c r="Y367" s="288"/>
      <c r="Z367" s="288"/>
      <c r="AA367" s="288"/>
      <c r="AB367" s="288"/>
      <c r="AC367" s="288"/>
      <c r="AD367" s="288"/>
      <c r="AE367" s="288"/>
      <c r="AF367" s="288"/>
      <c r="AG367" s="288"/>
      <c r="AH367" s="288"/>
      <c r="AI367" s="288"/>
    </row>
    <row r="368" spans="1:35" ht="12.75" customHeight="1" x14ac:dyDescent="0.2">
      <c r="A368" s="288"/>
      <c r="B368" s="288"/>
      <c r="C368" s="288"/>
      <c r="D368" s="288"/>
      <c r="E368" s="288"/>
      <c r="F368" s="288"/>
      <c r="G368" s="288"/>
      <c r="H368" s="288"/>
      <c r="I368" s="288"/>
      <c r="J368" s="288"/>
      <c r="K368" s="288"/>
      <c r="L368" s="288"/>
      <c r="M368" s="288"/>
      <c r="N368" s="288"/>
      <c r="O368" s="288"/>
      <c r="P368" s="288"/>
      <c r="Q368" s="288"/>
      <c r="R368" s="288"/>
      <c r="S368" s="288"/>
      <c r="T368" s="288"/>
      <c r="U368" s="288"/>
      <c r="V368" s="288"/>
      <c r="W368" s="288"/>
      <c r="X368" s="288"/>
      <c r="Y368" s="288"/>
      <c r="Z368" s="288"/>
      <c r="AA368" s="288"/>
      <c r="AB368" s="288"/>
      <c r="AC368" s="288"/>
      <c r="AD368" s="288"/>
      <c r="AE368" s="288"/>
      <c r="AF368" s="288"/>
      <c r="AG368" s="288"/>
      <c r="AH368" s="288"/>
      <c r="AI368" s="288"/>
    </row>
    <row r="369" spans="1:35" ht="12.75" customHeight="1" x14ac:dyDescent="0.2">
      <c r="A369" s="288"/>
      <c r="B369" s="288"/>
      <c r="C369" s="288"/>
      <c r="D369" s="288"/>
      <c r="E369" s="288"/>
      <c r="F369" s="288"/>
      <c r="G369" s="288"/>
      <c r="H369" s="288"/>
      <c r="I369" s="288"/>
      <c r="J369" s="288"/>
      <c r="K369" s="288"/>
      <c r="L369" s="288"/>
      <c r="M369" s="288"/>
      <c r="N369" s="288"/>
      <c r="O369" s="288"/>
      <c r="P369" s="288"/>
      <c r="Q369" s="288"/>
      <c r="R369" s="288"/>
      <c r="S369" s="288"/>
      <c r="T369" s="288"/>
      <c r="U369" s="288"/>
      <c r="V369" s="288"/>
      <c r="W369" s="288"/>
      <c r="X369" s="288"/>
      <c r="Y369" s="288"/>
      <c r="Z369" s="288"/>
      <c r="AA369" s="288"/>
      <c r="AB369" s="288"/>
      <c r="AC369" s="288"/>
      <c r="AD369" s="288"/>
      <c r="AE369" s="288"/>
      <c r="AF369" s="288"/>
      <c r="AG369" s="288"/>
      <c r="AH369" s="288"/>
      <c r="AI369" s="288"/>
    </row>
    <row r="370" spans="1:35" ht="12.75" customHeight="1" x14ac:dyDescent="0.2">
      <c r="A370" s="288"/>
      <c r="B370" s="288"/>
      <c r="C370" s="288"/>
      <c r="D370" s="288"/>
      <c r="E370" s="288"/>
      <c r="F370" s="288"/>
      <c r="G370" s="288"/>
      <c r="H370" s="288"/>
      <c r="I370" s="288"/>
      <c r="J370" s="288"/>
      <c r="K370" s="288"/>
      <c r="L370" s="288"/>
      <c r="M370" s="288"/>
      <c r="N370" s="288"/>
      <c r="O370" s="288"/>
      <c r="P370" s="288"/>
      <c r="Q370" s="288"/>
      <c r="R370" s="288"/>
      <c r="S370" s="288"/>
      <c r="T370" s="288"/>
      <c r="U370" s="288"/>
      <c r="V370" s="288"/>
      <c r="W370" s="288"/>
      <c r="X370" s="288"/>
      <c r="Y370" s="288"/>
      <c r="Z370" s="288"/>
      <c r="AA370" s="288"/>
      <c r="AB370" s="288"/>
      <c r="AC370" s="288"/>
      <c r="AD370" s="288"/>
      <c r="AE370" s="288"/>
      <c r="AF370" s="288"/>
      <c r="AG370" s="288"/>
      <c r="AH370" s="288"/>
      <c r="AI370" s="288"/>
    </row>
    <row r="371" spans="1:35" ht="12.75" customHeight="1" x14ac:dyDescent="0.2">
      <c r="A371" s="288"/>
      <c r="B371" s="288"/>
      <c r="C371" s="288"/>
      <c r="D371" s="288"/>
      <c r="E371" s="288"/>
      <c r="F371" s="288"/>
      <c r="G371" s="288"/>
      <c r="H371" s="288"/>
      <c r="I371" s="288"/>
      <c r="J371" s="288"/>
      <c r="K371" s="288"/>
      <c r="L371" s="288"/>
      <c r="M371" s="288"/>
      <c r="N371" s="288"/>
      <c r="O371" s="288"/>
      <c r="P371" s="288"/>
      <c r="Q371" s="288"/>
      <c r="R371" s="288"/>
      <c r="S371" s="288"/>
      <c r="T371" s="288"/>
      <c r="U371" s="288"/>
      <c r="V371" s="288"/>
      <c r="W371" s="288"/>
      <c r="X371" s="288"/>
      <c r="Y371" s="288"/>
      <c r="Z371" s="288"/>
      <c r="AA371" s="288"/>
      <c r="AB371" s="288"/>
      <c r="AC371" s="288"/>
      <c r="AD371" s="288"/>
      <c r="AE371" s="288"/>
      <c r="AF371" s="288"/>
      <c r="AG371" s="288"/>
      <c r="AH371" s="288"/>
      <c r="AI371" s="288"/>
    </row>
    <row r="372" spans="1:35" ht="12.75" customHeight="1" x14ac:dyDescent="0.2">
      <c r="A372" s="288"/>
      <c r="B372" s="288"/>
      <c r="C372" s="288"/>
      <c r="D372" s="288"/>
      <c r="E372" s="288"/>
      <c r="F372" s="288"/>
      <c r="G372" s="288"/>
      <c r="H372" s="288"/>
      <c r="I372" s="288"/>
      <c r="J372" s="288"/>
      <c r="K372" s="288"/>
      <c r="L372" s="288"/>
      <c r="M372" s="288"/>
      <c r="N372" s="288"/>
      <c r="O372" s="288"/>
      <c r="P372" s="288"/>
      <c r="Q372" s="288"/>
      <c r="R372" s="288"/>
      <c r="S372" s="288"/>
      <c r="T372" s="288"/>
      <c r="U372" s="288"/>
      <c r="V372" s="288"/>
      <c r="W372" s="288"/>
      <c r="X372" s="288"/>
      <c r="Y372" s="288"/>
      <c r="Z372" s="288"/>
      <c r="AA372" s="288"/>
      <c r="AB372" s="288"/>
      <c r="AC372" s="288"/>
      <c r="AD372" s="288"/>
      <c r="AE372" s="288"/>
      <c r="AF372" s="288"/>
      <c r="AG372" s="288"/>
      <c r="AH372" s="288"/>
      <c r="AI372" s="288"/>
    </row>
    <row r="373" spans="1:35" ht="12.75" customHeight="1" x14ac:dyDescent="0.2">
      <c r="A373" s="288"/>
      <c r="B373" s="288"/>
      <c r="C373" s="288"/>
      <c r="D373" s="288"/>
      <c r="E373" s="288"/>
      <c r="F373" s="288"/>
      <c r="G373" s="288"/>
      <c r="H373" s="288"/>
      <c r="I373" s="288"/>
      <c r="J373" s="288"/>
      <c r="K373" s="288"/>
      <c r="L373" s="288"/>
      <c r="M373" s="288"/>
      <c r="N373" s="288"/>
      <c r="O373" s="288"/>
      <c r="P373" s="288"/>
      <c r="Q373" s="288"/>
      <c r="R373" s="288"/>
      <c r="S373" s="288"/>
      <c r="T373" s="288"/>
      <c r="U373" s="288"/>
      <c r="V373" s="288"/>
      <c r="W373" s="288"/>
      <c r="X373" s="288"/>
      <c r="Y373" s="288"/>
      <c r="Z373" s="288"/>
      <c r="AA373" s="288"/>
      <c r="AB373" s="288"/>
      <c r="AC373" s="288"/>
      <c r="AD373" s="288"/>
      <c r="AE373" s="288"/>
      <c r="AF373" s="288"/>
      <c r="AG373" s="288"/>
      <c r="AH373" s="288"/>
      <c r="AI373" s="288"/>
    </row>
    <row r="374" spans="1:35" ht="12.75" customHeight="1" x14ac:dyDescent="0.2">
      <c r="A374" s="288"/>
      <c r="B374" s="288"/>
      <c r="C374" s="288"/>
      <c r="D374" s="288"/>
      <c r="E374" s="288"/>
      <c r="F374" s="288"/>
      <c r="G374" s="288"/>
      <c r="H374" s="288"/>
      <c r="I374" s="288"/>
      <c r="J374" s="288"/>
      <c r="K374" s="288"/>
      <c r="L374" s="288"/>
      <c r="M374" s="288"/>
      <c r="N374" s="288"/>
      <c r="O374" s="288"/>
      <c r="P374" s="288"/>
      <c r="Q374" s="288"/>
      <c r="R374" s="288"/>
      <c r="S374" s="288"/>
      <c r="T374" s="288"/>
      <c r="U374" s="288"/>
      <c r="V374" s="288"/>
      <c r="W374" s="288"/>
      <c r="X374" s="288"/>
      <c r="Y374" s="288"/>
      <c r="Z374" s="288"/>
      <c r="AA374" s="288"/>
      <c r="AB374" s="288"/>
      <c r="AC374" s="288"/>
      <c r="AD374" s="288"/>
      <c r="AE374" s="288"/>
      <c r="AF374" s="288"/>
      <c r="AG374" s="288"/>
      <c r="AH374" s="288"/>
      <c r="AI374" s="288"/>
    </row>
    <row r="375" spans="1:35" ht="12.75" customHeight="1" x14ac:dyDescent="0.2">
      <c r="A375" s="288"/>
      <c r="B375" s="288"/>
      <c r="C375" s="288"/>
      <c r="D375" s="288"/>
      <c r="E375" s="288"/>
      <c r="F375" s="288"/>
      <c r="G375" s="288"/>
      <c r="H375" s="288"/>
      <c r="I375" s="288"/>
      <c r="J375" s="288"/>
      <c r="K375" s="288"/>
      <c r="L375" s="288"/>
      <c r="M375" s="288"/>
      <c r="N375" s="288"/>
      <c r="O375" s="288"/>
      <c r="P375" s="288"/>
      <c r="Q375" s="288"/>
      <c r="R375" s="288"/>
      <c r="S375" s="288"/>
      <c r="T375" s="288"/>
      <c r="U375" s="288"/>
      <c r="V375" s="288"/>
      <c r="W375" s="288"/>
      <c r="X375" s="288"/>
      <c r="Y375" s="288"/>
      <c r="Z375" s="288"/>
      <c r="AA375" s="288"/>
      <c r="AB375" s="288"/>
      <c r="AC375" s="288"/>
      <c r="AD375" s="288"/>
      <c r="AE375" s="288"/>
      <c r="AF375" s="288"/>
      <c r="AG375" s="288"/>
      <c r="AH375" s="288"/>
      <c r="AI375" s="288"/>
    </row>
    <row r="376" spans="1:35" ht="12.75" customHeight="1" x14ac:dyDescent="0.2">
      <c r="A376" s="288"/>
      <c r="B376" s="288"/>
      <c r="C376" s="288"/>
      <c r="D376" s="288"/>
      <c r="E376" s="288"/>
      <c r="F376" s="288"/>
      <c r="G376" s="288"/>
      <c r="H376" s="288"/>
      <c r="I376" s="288"/>
      <c r="J376" s="288"/>
      <c r="K376" s="288"/>
      <c r="L376" s="288"/>
      <c r="M376" s="288"/>
      <c r="N376" s="288"/>
      <c r="O376" s="288"/>
      <c r="P376" s="288"/>
      <c r="Q376" s="288"/>
      <c r="R376" s="288"/>
      <c r="S376" s="288"/>
      <c r="T376" s="288"/>
      <c r="U376" s="288"/>
      <c r="V376" s="288"/>
      <c r="W376" s="288"/>
      <c r="X376" s="288"/>
      <c r="Y376" s="288"/>
      <c r="Z376" s="288"/>
      <c r="AA376" s="288"/>
      <c r="AB376" s="288"/>
      <c r="AC376" s="288"/>
      <c r="AD376" s="288"/>
      <c r="AE376" s="288"/>
      <c r="AF376" s="288"/>
      <c r="AG376" s="288"/>
      <c r="AH376" s="288"/>
      <c r="AI376" s="288"/>
    </row>
    <row r="377" spans="1:35" ht="12.75" customHeight="1" x14ac:dyDescent="0.2">
      <c r="A377" s="288"/>
      <c r="B377" s="288"/>
      <c r="C377" s="288"/>
      <c r="D377" s="288"/>
      <c r="E377" s="288"/>
      <c r="F377" s="288"/>
      <c r="G377" s="288"/>
      <c r="H377" s="288"/>
      <c r="I377" s="288"/>
      <c r="J377" s="288"/>
      <c r="K377" s="288"/>
      <c r="L377" s="288"/>
      <c r="M377" s="288"/>
      <c r="N377" s="288"/>
      <c r="O377" s="288"/>
      <c r="P377" s="288"/>
      <c r="Q377" s="288"/>
      <c r="R377" s="288"/>
      <c r="S377" s="288"/>
      <c r="T377" s="288"/>
      <c r="U377" s="288"/>
      <c r="V377" s="288"/>
      <c r="W377" s="288"/>
      <c r="X377" s="288"/>
      <c r="Y377" s="288"/>
      <c r="Z377" s="288"/>
      <c r="AA377" s="288"/>
      <c r="AB377" s="288"/>
      <c r="AC377" s="288"/>
      <c r="AD377" s="288"/>
      <c r="AE377" s="288"/>
      <c r="AF377" s="288"/>
      <c r="AG377" s="288"/>
      <c r="AH377" s="288"/>
      <c r="AI377" s="288"/>
    </row>
    <row r="378" spans="1:35" ht="12.75" customHeight="1" x14ac:dyDescent="0.2">
      <c r="A378" s="288"/>
      <c r="B378" s="288"/>
      <c r="C378" s="288"/>
      <c r="D378" s="288"/>
      <c r="E378" s="288"/>
      <c r="F378" s="288"/>
      <c r="G378" s="288"/>
      <c r="H378" s="288"/>
      <c r="I378" s="288"/>
      <c r="J378" s="288"/>
      <c r="K378" s="288"/>
      <c r="L378" s="288"/>
      <c r="M378" s="288"/>
      <c r="N378" s="288"/>
      <c r="O378" s="288"/>
      <c r="P378" s="288"/>
      <c r="Q378" s="288"/>
      <c r="R378" s="288"/>
      <c r="S378" s="288"/>
      <c r="T378" s="288"/>
      <c r="U378" s="288"/>
      <c r="V378" s="288"/>
      <c r="W378" s="288"/>
      <c r="X378" s="288"/>
      <c r="Y378" s="288"/>
      <c r="Z378" s="288"/>
      <c r="AA378" s="288"/>
      <c r="AB378" s="288"/>
      <c r="AC378" s="288"/>
      <c r="AD378" s="288"/>
      <c r="AE378" s="288"/>
      <c r="AF378" s="288"/>
      <c r="AG378" s="288"/>
      <c r="AH378" s="288"/>
      <c r="AI378" s="288"/>
    </row>
    <row r="379" spans="1:35" ht="12.75" customHeight="1" x14ac:dyDescent="0.2">
      <c r="A379" s="288"/>
      <c r="B379" s="288"/>
      <c r="C379" s="288"/>
      <c r="D379" s="288"/>
      <c r="E379" s="288"/>
      <c r="F379" s="288"/>
      <c r="G379" s="288"/>
      <c r="H379" s="288"/>
      <c r="I379" s="288"/>
      <c r="J379" s="288"/>
      <c r="K379" s="288"/>
      <c r="L379" s="288"/>
      <c r="M379" s="288"/>
      <c r="N379" s="288"/>
      <c r="O379" s="288"/>
      <c r="P379" s="288"/>
      <c r="Q379" s="288"/>
      <c r="R379" s="288"/>
      <c r="S379" s="288"/>
      <c r="T379" s="288"/>
      <c r="U379" s="288"/>
      <c r="V379" s="288"/>
      <c r="W379" s="288"/>
      <c r="X379" s="288"/>
      <c r="Y379" s="288"/>
      <c r="Z379" s="288"/>
      <c r="AA379" s="288"/>
      <c r="AB379" s="288"/>
      <c r="AC379" s="288"/>
      <c r="AD379" s="288"/>
      <c r="AE379" s="288"/>
      <c r="AF379" s="288"/>
      <c r="AG379" s="288"/>
      <c r="AH379" s="288"/>
      <c r="AI379" s="288"/>
    </row>
    <row r="380" spans="1:35" ht="12.75" customHeight="1" x14ac:dyDescent="0.2">
      <c r="A380" s="288"/>
      <c r="B380" s="288"/>
      <c r="C380" s="288"/>
      <c r="D380" s="288"/>
      <c r="E380" s="288"/>
      <c r="F380" s="288"/>
      <c r="G380" s="288"/>
      <c r="H380" s="288"/>
      <c r="I380" s="288"/>
      <c r="J380" s="288"/>
      <c r="K380" s="288"/>
      <c r="L380" s="288"/>
      <c r="M380" s="288"/>
      <c r="N380" s="288"/>
      <c r="O380" s="288"/>
      <c r="P380" s="288"/>
      <c r="Q380" s="288"/>
      <c r="R380" s="288"/>
      <c r="S380" s="288"/>
      <c r="T380" s="288"/>
      <c r="U380" s="288"/>
      <c r="V380" s="288"/>
      <c r="W380" s="288"/>
      <c r="X380" s="288"/>
      <c r="Y380" s="288"/>
      <c r="Z380" s="288"/>
      <c r="AA380" s="288"/>
      <c r="AB380" s="288"/>
      <c r="AC380" s="288"/>
      <c r="AD380" s="288"/>
      <c r="AE380" s="288"/>
      <c r="AF380" s="288"/>
      <c r="AG380" s="288"/>
      <c r="AH380" s="288"/>
      <c r="AI380" s="288"/>
    </row>
    <row r="381" spans="1:35" ht="12.75" customHeight="1" x14ac:dyDescent="0.2">
      <c r="A381" s="288"/>
      <c r="B381" s="288"/>
      <c r="C381" s="288"/>
      <c r="D381" s="288"/>
      <c r="E381" s="288"/>
      <c r="F381" s="288"/>
      <c r="G381" s="288"/>
      <c r="H381" s="288"/>
      <c r="I381" s="288"/>
      <c r="J381" s="288"/>
      <c r="K381" s="288"/>
      <c r="L381" s="288"/>
      <c r="M381" s="288"/>
      <c r="N381" s="288"/>
      <c r="O381" s="288"/>
      <c r="P381" s="288"/>
      <c r="Q381" s="288"/>
      <c r="R381" s="288"/>
      <c r="S381" s="288"/>
      <c r="T381" s="288"/>
      <c r="U381" s="288"/>
      <c r="V381" s="288"/>
      <c r="W381" s="288"/>
      <c r="X381" s="288"/>
      <c r="Y381" s="288"/>
      <c r="Z381" s="288"/>
      <c r="AA381" s="288"/>
      <c r="AB381" s="288"/>
      <c r="AC381" s="288"/>
      <c r="AD381" s="288"/>
      <c r="AE381" s="288"/>
      <c r="AF381" s="288"/>
      <c r="AG381" s="288"/>
      <c r="AH381" s="288"/>
      <c r="AI381" s="288"/>
    </row>
    <row r="382" spans="1:35" ht="12.75" customHeight="1" x14ac:dyDescent="0.2">
      <c r="A382" s="288"/>
      <c r="B382" s="288"/>
      <c r="C382" s="288"/>
      <c r="D382" s="288"/>
      <c r="E382" s="288"/>
      <c r="F382" s="288"/>
      <c r="G382" s="288"/>
      <c r="H382" s="288"/>
      <c r="I382" s="288"/>
      <c r="J382" s="288"/>
      <c r="K382" s="288"/>
      <c r="L382" s="288"/>
      <c r="M382" s="288"/>
      <c r="N382" s="288"/>
      <c r="O382" s="288"/>
      <c r="P382" s="288"/>
      <c r="Q382" s="288"/>
      <c r="R382" s="288"/>
      <c r="S382" s="288"/>
      <c r="T382" s="288"/>
      <c r="U382" s="288"/>
      <c r="V382" s="288"/>
      <c r="W382" s="288"/>
      <c r="X382" s="288"/>
      <c r="Y382" s="288"/>
      <c r="Z382" s="288"/>
      <c r="AA382" s="288"/>
      <c r="AB382" s="288"/>
      <c r="AC382" s="288"/>
      <c r="AD382" s="288"/>
      <c r="AE382" s="288"/>
      <c r="AF382" s="288"/>
      <c r="AG382" s="288"/>
      <c r="AH382" s="288"/>
      <c r="AI382" s="288"/>
    </row>
    <row r="383" spans="1:35" ht="12.75" customHeight="1" x14ac:dyDescent="0.2">
      <c r="A383" s="288"/>
      <c r="B383" s="288"/>
      <c r="C383" s="288"/>
      <c r="D383" s="288"/>
      <c r="E383" s="288"/>
      <c r="F383" s="288"/>
      <c r="G383" s="288"/>
      <c r="H383" s="288"/>
      <c r="I383" s="288"/>
      <c r="J383" s="288"/>
      <c r="K383" s="288"/>
      <c r="L383" s="288"/>
      <c r="M383" s="288"/>
      <c r="N383" s="288"/>
      <c r="O383" s="288"/>
      <c r="P383" s="288"/>
      <c r="Q383" s="288"/>
      <c r="R383" s="288"/>
      <c r="S383" s="288"/>
      <c r="T383" s="288"/>
      <c r="U383" s="288"/>
      <c r="V383" s="288"/>
      <c r="W383" s="288"/>
      <c r="X383" s="288"/>
      <c r="Y383" s="288"/>
      <c r="Z383" s="288"/>
      <c r="AA383" s="288"/>
      <c r="AB383" s="288"/>
      <c r="AC383" s="288"/>
      <c r="AD383" s="288"/>
      <c r="AE383" s="288"/>
      <c r="AF383" s="288"/>
      <c r="AG383" s="288"/>
      <c r="AH383" s="288"/>
      <c r="AI383" s="288"/>
    </row>
    <row r="384" spans="1:35" ht="12.75" customHeight="1" x14ac:dyDescent="0.2">
      <c r="A384" s="288"/>
      <c r="B384" s="288"/>
      <c r="C384" s="288"/>
      <c r="D384" s="288"/>
      <c r="E384" s="288"/>
      <c r="F384" s="288"/>
      <c r="G384" s="288"/>
      <c r="H384" s="288"/>
      <c r="I384" s="288"/>
      <c r="J384" s="288"/>
      <c r="K384" s="288"/>
      <c r="L384" s="288"/>
      <c r="M384" s="288"/>
      <c r="N384" s="288"/>
      <c r="O384" s="288"/>
      <c r="P384" s="288"/>
      <c r="Q384" s="288"/>
      <c r="R384" s="288"/>
      <c r="S384" s="288"/>
      <c r="T384" s="288"/>
      <c r="U384" s="288"/>
      <c r="V384" s="288"/>
      <c r="W384" s="288"/>
      <c r="X384" s="288"/>
      <c r="Y384" s="288"/>
      <c r="Z384" s="288"/>
      <c r="AA384" s="288"/>
      <c r="AB384" s="288"/>
      <c r="AC384" s="288"/>
      <c r="AD384" s="288"/>
      <c r="AE384" s="288"/>
      <c r="AF384" s="288"/>
      <c r="AG384" s="288"/>
      <c r="AH384" s="288"/>
      <c r="AI384" s="288"/>
    </row>
    <row r="385" spans="1:35" ht="12.75" customHeight="1" x14ac:dyDescent="0.2">
      <c r="A385" s="288"/>
      <c r="B385" s="288"/>
      <c r="C385" s="288"/>
      <c r="D385" s="288"/>
      <c r="E385" s="288"/>
      <c r="F385" s="288"/>
      <c r="G385" s="288"/>
      <c r="H385" s="288"/>
      <c r="I385" s="288"/>
      <c r="J385" s="288"/>
      <c r="K385" s="288"/>
      <c r="L385" s="288"/>
      <c r="M385" s="288"/>
      <c r="N385" s="288"/>
      <c r="O385" s="288"/>
      <c r="P385" s="288"/>
      <c r="Q385" s="288"/>
      <c r="R385" s="288"/>
      <c r="S385" s="288"/>
      <c r="T385" s="288"/>
      <c r="U385" s="288"/>
      <c r="V385" s="288"/>
      <c r="W385" s="288"/>
      <c r="X385" s="288"/>
      <c r="Y385" s="288"/>
      <c r="Z385" s="288"/>
      <c r="AA385" s="288"/>
      <c r="AB385" s="288"/>
      <c r="AC385" s="288"/>
      <c r="AD385" s="288"/>
      <c r="AE385" s="288"/>
      <c r="AF385" s="288"/>
      <c r="AG385" s="288"/>
      <c r="AH385" s="288"/>
      <c r="AI385" s="288"/>
    </row>
    <row r="386" spans="1:35" ht="12.75" customHeight="1" x14ac:dyDescent="0.2">
      <c r="A386" s="288"/>
      <c r="B386" s="288"/>
      <c r="C386" s="288"/>
      <c r="D386" s="288"/>
      <c r="E386" s="288"/>
      <c r="F386" s="288"/>
      <c r="G386" s="288"/>
      <c r="H386" s="288"/>
      <c r="I386" s="288"/>
      <c r="J386" s="288"/>
      <c r="K386" s="288"/>
      <c r="L386" s="288"/>
      <c r="M386" s="288"/>
      <c r="N386" s="288"/>
      <c r="O386" s="288"/>
      <c r="P386" s="288"/>
      <c r="Q386" s="288"/>
      <c r="R386" s="288"/>
      <c r="S386" s="288"/>
      <c r="T386" s="288"/>
      <c r="U386" s="288"/>
      <c r="V386" s="288"/>
      <c r="W386" s="288"/>
      <c r="X386" s="288"/>
      <c r="Y386" s="288"/>
      <c r="Z386" s="288"/>
      <c r="AA386" s="288"/>
      <c r="AB386" s="288"/>
      <c r="AC386" s="288"/>
      <c r="AD386" s="288"/>
      <c r="AE386" s="288"/>
      <c r="AF386" s="288"/>
      <c r="AG386" s="288"/>
      <c r="AH386" s="288"/>
      <c r="AI386" s="288"/>
    </row>
    <row r="387" spans="1:35" ht="12.75" customHeight="1" x14ac:dyDescent="0.2">
      <c r="A387" s="288"/>
      <c r="B387" s="288"/>
      <c r="C387" s="288"/>
      <c r="D387" s="288"/>
      <c r="E387" s="288"/>
      <c r="F387" s="288"/>
      <c r="G387" s="288"/>
      <c r="H387" s="288"/>
      <c r="I387" s="288"/>
      <c r="J387" s="288"/>
      <c r="K387" s="288"/>
      <c r="L387" s="288"/>
      <c r="M387" s="288"/>
      <c r="N387" s="288"/>
      <c r="O387" s="288"/>
      <c r="P387" s="288"/>
      <c r="Q387" s="288"/>
      <c r="R387" s="288"/>
      <c r="S387" s="288"/>
      <c r="T387" s="288"/>
      <c r="U387" s="288"/>
      <c r="V387" s="288"/>
      <c r="W387" s="288"/>
      <c r="X387" s="288"/>
      <c r="Y387" s="288"/>
      <c r="Z387" s="288"/>
      <c r="AA387" s="288"/>
      <c r="AB387" s="288"/>
      <c r="AC387" s="288"/>
      <c r="AD387" s="288"/>
      <c r="AE387" s="288"/>
      <c r="AF387" s="288"/>
      <c r="AG387" s="288"/>
      <c r="AH387" s="288"/>
      <c r="AI387" s="288"/>
    </row>
    <row r="388" spans="1:35" ht="12.75" customHeight="1" x14ac:dyDescent="0.2">
      <c r="A388" s="288"/>
      <c r="B388" s="288"/>
      <c r="C388" s="288"/>
      <c r="D388" s="288"/>
      <c r="E388" s="288"/>
      <c r="F388" s="288"/>
      <c r="G388" s="288"/>
      <c r="H388" s="288"/>
      <c r="I388" s="288"/>
      <c r="J388" s="288"/>
      <c r="K388" s="288"/>
      <c r="L388" s="288"/>
      <c r="M388" s="288"/>
      <c r="N388" s="288"/>
      <c r="O388" s="288"/>
      <c r="P388" s="288"/>
      <c r="Q388" s="288"/>
      <c r="R388" s="288"/>
      <c r="S388" s="288"/>
      <c r="T388" s="288"/>
      <c r="U388" s="288"/>
      <c r="V388" s="288"/>
      <c r="W388" s="288"/>
      <c r="X388" s="288"/>
      <c r="Y388" s="288"/>
      <c r="Z388" s="288"/>
      <c r="AA388" s="288"/>
      <c r="AB388" s="288"/>
      <c r="AC388" s="288"/>
      <c r="AD388" s="288"/>
      <c r="AE388" s="288"/>
      <c r="AF388" s="288"/>
      <c r="AG388" s="288"/>
      <c r="AH388" s="288"/>
      <c r="AI388" s="288"/>
    </row>
    <row r="389" spans="1:35" ht="12.75" customHeight="1" x14ac:dyDescent="0.2">
      <c r="A389" s="288"/>
      <c r="B389" s="288"/>
      <c r="C389" s="288"/>
      <c r="D389" s="288"/>
      <c r="E389" s="288"/>
      <c r="F389" s="288"/>
      <c r="G389" s="288"/>
      <c r="H389" s="288"/>
      <c r="I389" s="288"/>
      <c r="J389" s="288"/>
      <c r="K389" s="288"/>
      <c r="L389" s="288"/>
      <c r="M389" s="288"/>
      <c r="N389" s="288"/>
      <c r="O389" s="288"/>
      <c r="P389" s="288"/>
      <c r="Q389" s="288"/>
      <c r="R389" s="288"/>
      <c r="S389" s="288"/>
      <c r="T389" s="288"/>
      <c r="U389" s="288"/>
      <c r="V389" s="288"/>
      <c r="W389" s="288"/>
      <c r="X389" s="288"/>
      <c r="Y389" s="288"/>
      <c r="Z389" s="288"/>
      <c r="AA389" s="288"/>
      <c r="AB389" s="288"/>
      <c r="AC389" s="288"/>
      <c r="AD389" s="288"/>
      <c r="AE389" s="288"/>
      <c r="AF389" s="288"/>
      <c r="AG389" s="288"/>
      <c r="AH389" s="288"/>
      <c r="AI389" s="288"/>
    </row>
    <row r="390" spans="1:35" ht="12.75" customHeight="1" x14ac:dyDescent="0.2">
      <c r="A390" s="288"/>
      <c r="B390" s="288"/>
      <c r="C390" s="288"/>
      <c r="D390" s="288"/>
      <c r="E390" s="288"/>
      <c r="F390" s="288"/>
      <c r="G390" s="288"/>
      <c r="H390" s="288"/>
      <c r="I390" s="288"/>
      <c r="J390" s="288"/>
      <c r="K390" s="288"/>
      <c r="L390" s="288"/>
      <c r="M390" s="288"/>
      <c r="N390" s="288"/>
      <c r="O390" s="288"/>
      <c r="P390" s="288"/>
      <c r="Q390" s="288"/>
      <c r="R390" s="288"/>
      <c r="S390" s="288"/>
      <c r="T390" s="288"/>
      <c r="U390" s="288"/>
      <c r="V390" s="288"/>
      <c r="W390" s="288"/>
      <c r="X390" s="288"/>
      <c r="Y390" s="288"/>
      <c r="Z390" s="288"/>
      <c r="AA390" s="288"/>
      <c r="AB390" s="288"/>
      <c r="AC390" s="288"/>
      <c r="AD390" s="288"/>
      <c r="AE390" s="288"/>
      <c r="AF390" s="288"/>
      <c r="AG390" s="288"/>
      <c r="AH390" s="288"/>
      <c r="AI390" s="288"/>
    </row>
    <row r="391" spans="1:35" ht="12.75" customHeight="1" x14ac:dyDescent="0.2">
      <c r="A391" s="288"/>
      <c r="B391" s="288"/>
      <c r="C391" s="288"/>
      <c r="D391" s="288"/>
      <c r="E391" s="288"/>
      <c r="F391" s="288"/>
      <c r="G391" s="288"/>
      <c r="H391" s="288"/>
      <c r="I391" s="288"/>
      <c r="J391" s="288"/>
      <c r="K391" s="288"/>
      <c r="L391" s="288"/>
      <c r="M391" s="288"/>
      <c r="N391" s="288"/>
      <c r="O391" s="288"/>
      <c r="P391" s="288"/>
      <c r="Q391" s="288"/>
      <c r="R391" s="288"/>
      <c r="S391" s="288"/>
      <c r="T391" s="288"/>
      <c r="U391" s="288"/>
      <c r="V391" s="288"/>
      <c r="W391" s="288"/>
      <c r="X391" s="288"/>
      <c r="Y391" s="288"/>
      <c r="Z391" s="288"/>
      <c r="AA391" s="288"/>
      <c r="AB391" s="288"/>
      <c r="AC391" s="288"/>
      <c r="AD391" s="288"/>
      <c r="AE391" s="288"/>
      <c r="AF391" s="288"/>
      <c r="AG391" s="288"/>
      <c r="AH391" s="288"/>
      <c r="AI391" s="288"/>
    </row>
    <row r="392" spans="1:35" ht="12.75" customHeight="1" x14ac:dyDescent="0.2">
      <c r="A392" s="288"/>
      <c r="B392" s="288"/>
      <c r="C392" s="288"/>
      <c r="D392" s="288"/>
      <c r="E392" s="288"/>
      <c r="F392" s="288"/>
      <c r="G392" s="288"/>
      <c r="H392" s="288"/>
      <c r="I392" s="288"/>
      <c r="J392" s="288"/>
      <c r="K392" s="288"/>
      <c r="L392" s="288"/>
      <c r="M392" s="288"/>
      <c r="N392" s="288"/>
      <c r="O392" s="288"/>
      <c r="P392" s="288"/>
      <c r="Q392" s="288"/>
      <c r="R392" s="288"/>
      <c r="S392" s="288"/>
      <c r="T392" s="288"/>
      <c r="U392" s="288"/>
      <c r="V392" s="288"/>
      <c r="W392" s="288"/>
      <c r="X392" s="288"/>
      <c r="Y392" s="288"/>
      <c r="Z392" s="288"/>
      <c r="AA392" s="288"/>
      <c r="AB392" s="288"/>
      <c r="AC392" s="288"/>
      <c r="AD392" s="288"/>
      <c r="AE392" s="288"/>
      <c r="AF392" s="288"/>
      <c r="AG392" s="288"/>
      <c r="AH392" s="288"/>
      <c r="AI392" s="288"/>
    </row>
    <row r="393" spans="1:35" ht="12.75" customHeight="1" x14ac:dyDescent="0.2">
      <c r="A393" s="288"/>
      <c r="B393" s="288"/>
      <c r="C393" s="288"/>
      <c r="D393" s="288"/>
      <c r="E393" s="288"/>
      <c r="F393" s="288"/>
      <c r="G393" s="288"/>
      <c r="H393" s="288"/>
      <c r="I393" s="288"/>
      <c r="J393" s="288"/>
      <c r="K393" s="288"/>
      <c r="L393" s="288"/>
      <c r="M393" s="288"/>
      <c r="N393" s="288"/>
      <c r="O393" s="288"/>
      <c r="P393" s="288"/>
      <c r="Q393" s="288"/>
      <c r="R393" s="288"/>
      <c r="S393" s="288"/>
      <c r="T393" s="288"/>
      <c r="U393" s="288"/>
      <c r="V393" s="288"/>
      <c r="W393" s="288"/>
      <c r="X393" s="288"/>
      <c r="Y393" s="288"/>
      <c r="Z393" s="288"/>
      <c r="AA393" s="288"/>
      <c r="AB393" s="288"/>
      <c r="AC393" s="288"/>
      <c r="AD393" s="288"/>
      <c r="AE393" s="288"/>
      <c r="AF393" s="288"/>
      <c r="AG393" s="288"/>
      <c r="AH393" s="288"/>
      <c r="AI393" s="288"/>
    </row>
    <row r="394" spans="1:35" ht="12.75" customHeight="1" x14ac:dyDescent="0.2">
      <c r="A394" s="288"/>
      <c r="B394" s="288"/>
      <c r="C394" s="288"/>
      <c r="D394" s="288"/>
      <c r="E394" s="288"/>
      <c r="F394" s="288"/>
      <c r="G394" s="288"/>
      <c r="H394" s="288"/>
      <c r="I394" s="288"/>
      <c r="J394" s="288"/>
      <c r="K394" s="288"/>
      <c r="L394" s="288"/>
      <c r="M394" s="288"/>
      <c r="N394" s="288"/>
      <c r="O394" s="288"/>
      <c r="P394" s="288"/>
      <c r="Q394" s="288"/>
      <c r="R394" s="288"/>
      <c r="S394" s="288"/>
      <c r="T394" s="288"/>
      <c r="U394" s="288"/>
      <c r="V394" s="288"/>
      <c r="W394" s="288"/>
      <c r="X394" s="288"/>
      <c r="Y394" s="288"/>
      <c r="Z394" s="288"/>
      <c r="AA394" s="288"/>
      <c r="AB394" s="288"/>
      <c r="AC394" s="288"/>
      <c r="AD394" s="288"/>
      <c r="AE394" s="288"/>
      <c r="AF394" s="288"/>
      <c r="AG394" s="288"/>
      <c r="AH394" s="288"/>
      <c r="AI394" s="288"/>
    </row>
    <row r="395" spans="1:35" ht="12.75" customHeight="1" x14ac:dyDescent="0.2">
      <c r="A395" s="288"/>
      <c r="B395" s="288"/>
      <c r="C395" s="288"/>
      <c r="D395" s="288"/>
      <c r="E395" s="288"/>
      <c r="F395" s="288"/>
      <c r="G395" s="288"/>
      <c r="H395" s="288"/>
      <c r="I395" s="288"/>
      <c r="J395" s="288"/>
      <c r="K395" s="288"/>
      <c r="L395" s="288"/>
      <c r="M395" s="288"/>
      <c r="N395" s="288"/>
      <c r="O395" s="288"/>
      <c r="P395" s="288"/>
      <c r="Q395" s="288"/>
      <c r="R395" s="288"/>
      <c r="S395" s="288"/>
      <c r="T395" s="288"/>
      <c r="U395" s="288"/>
      <c r="V395" s="288"/>
      <c r="W395" s="288"/>
      <c r="X395" s="288"/>
      <c r="Y395" s="288"/>
      <c r="Z395" s="288"/>
      <c r="AA395" s="288"/>
      <c r="AB395" s="288"/>
      <c r="AC395" s="288"/>
      <c r="AD395" s="288"/>
      <c r="AE395" s="288"/>
      <c r="AF395" s="288"/>
      <c r="AG395" s="288"/>
      <c r="AH395" s="288"/>
      <c r="AI395" s="288"/>
    </row>
    <row r="396" spans="1:35" ht="12.75" customHeight="1" x14ac:dyDescent="0.2">
      <c r="A396" s="288"/>
      <c r="B396" s="288"/>
      <c r="C396" s="288"/>
      <c r="D396" s="288"/>
      <c r="E396" s="288"/>
      <c r="F396" s="288"/>
      <c r="G396" s="288"/>
      <c r="H396" s="288"/>
      <c r="I396" s="288"/>
      <c r="J396" s="288"/>
      <c r="K396" s="288"/>
      <c r="L396" s="288"/>
      <c r="M396" s="288"/>
      <c r="N396" s="288"/>
      <c r="O396" s="288"/>
      <c r="P396" s="288"/>
      <c r="Q396" s="288"/>
      <c r="R396" s="288"/>
      <c r="S396" s="288"/>
      <c r="T396" s="288"/>
      <c r="U396" s="288"/>
      <c r="V396" s="288"/>
      <c r="W396" s="288"/>
      <c r="X396" s="288"/>
      <c r="Y396" s="288"/>
      <c r="Z396" s="288"/>
      <c r="AA396" s="288"/>
      <c r="AB396" s="288"/>
      <c r="AC396" s="288"/>
      <c r="AD396" s="288"/>
      <c r="AE396" s="288"/>
      <c r="AF396" s="288"/>
      <c r="AG396" s="288"/>
      <c r="AH396" s="288"/>
      <c r="AI396" s="288"/>
    </row>
    <row r="397" spans="1:35" ht="12.75" customHeight="1" x14ac:dyDescent="0.2">
      <c r="A397" s="288"/>
      <c r="B397" s="288"/>
      <c r="C397" s="288"/>
      <c r="D397" s="288"/>
      <c r="E397" s="288"/>
      <c r="F397" s="288"/>
      <c r="G397" s="288"/>
      <c r="H397" s="288"/>
      <c r="I397" s="288"/>
      <c r="J397" s="288"/>
      <c r="K397" s="288"/>
      <c r="L397" s="288"/>
      <c r="M397" s="288"/>
      <c r="N397" s="288"/>
      <c r="O397" s="288"/>
      <c r="P397" s="288"/>
      <c r="Q397" s="288"/>
      <c r="R397" s="288"/>
      <c r="S397" s="288"/>
      <c r="T397" s="288"/>
      <c r="U397" s="288"/>
      <c r="V397" s="288"/>
      <c r="W397" s="288"/>
      <c r="X397" s="288"/>
      <c r="Y397" s="288"/>
      <c r="Z397" s="288"/>
      <c r="AA397" s="288"/>
      <c r="AB397" s="288"/>
      <c r="AC397" s="288"/>
      <c r="AD397" s="288"/>
      <c r="AE397" s="288"/>
      <c r="AF397" s="288"/>
      <c r="AG397" s="288"/>
      <c r="AH397" s="288"/>
      <c r="AI397" s="288"/>
    </row>
    <row r="398" spans="1:35" ht="12.75" customHeight="1" x14ac:dyDescent="0.2">
      <c r="A398" s="288"/>
      <c r="B398" s="288"/>
      <c r="C398" s="288"/>
      <c r="D398" s="288"/>
      <c r="E398" s="288"/>
      <c r="F398" s="288"/>
      <c r="G398" s="288"/>
      <c r="H398" s="288"/>
      <c r="I398" s="288"/>
      <c r="J398" s="288"/>
      <c r="K398" s="288"/>
      <c r="L398" s="288"/>
      <c r="M398" s="288"/>
      <c r="N398" s="288"/>
      <c r="O398" s="288"/>
      <c r="P398" s="288"/>
      <c r="Q398" s="288"/>
      <c r="R398" s="288"/>
      <c r="S398" s="288"/>
      <c r="T398" s="288"/>
      <c r="U398" s="288"/>
      <c r="V398" s="288"/>
      <c r="W398" s="288"/>
      <c r="X398" s="288"/>
      <c r="Y398" s="288"/>
      <c r="Z398" s="288"/>
      <c r="AA398" s="288"/>
      <c r="AB398" s="288"/>
      <c r="AC398" s="288"/>
      <c r="AD398" s="288"/>
      <c r="AE398" s="288"/>
      <c r="AF398" s="288"/>
      <c r="AG398" s="288"/>
      <c r="AH398" s="288"/>
      <c r="AI398" s="288"/>
    </row>
    <row r="399" spans="1:35" ht="12.75" customHeight="1" x14ac:dyDescent="0.2">
      <c r="A399" s="288"/>
      <c r="B399" s="288"/>
      <c r="C399" s="288"/>
      <c r="D399" s="288"/>
      <c r="E399" s="288"/>
      <c r="F399" s="288"/>
      <c r="G399" s="288"/>
      <c r="H399" s="288"/>
      <c r="I399" s="288"/>
      <c r="J399" s="288"/>
      <c r="K399" s="288"/>
      <c r="L399" s="288"/>
      <c r="M399" s="288"/>
      <c r="N399" s="288"/>
      <c r="O399" s="288"/>
      <c r="P399" s="288"/>
      <c r="Q399" s="288"/>
      <c r="R399" s="288"/>
      <c r="S399" s="288"/>
      <c r="T399" s="288"/>
      <c r="U399" s="288"/>
      <c r="V399" s="288"/>
      <c r="W399" s="288"/>
      <c r="X399" s="288"/>
      <c r="Y399" s="288"/>
      <c r="Z399" s="288"/>
      <c r="AA399" s="288"/>
      <c r="AB399" s="288"/>
      <c r="AC399" s="288"/>
      <c r="AD399" s="288"/>
      <c r="AE399" s="288"/>
      <c r="AF399" s="288"/>
      <c r="AG399" s="288"/>
      <c r="AH399" s="288"/>
      <c r="AI399" s="288"/>
    </row>
    <row r="400" spans="1:35" ht="12.75" customHeight="1" x14ac:dyDescent="0.2">
      <c r="A400" s="288"/>
      <c r="B400" s="288"/>
      <c r="C400" s="288"/>
      <c r="D400" s="288"/>
      <c r="E400" s="288"/>
      <c r="F400" s="288"/>
      <c r="G400" s="288"/>
      <c r="H400" s="288"/>
      <c r="I400" s="288"/>
      <c r="J400" s="288"/>
      <c r="K400" s="288"/>
      <c r="L400" s="288"/>
      <c r="M400" s="288"/>
      <c r="N400" s="288"/>
      <c r="O400" s="288"/>
      <c r="P400" s="288"/>
      <c r="Q400" s="288"/>
      <c r="R400" s="288"/>
      <c r="S400" s="288"/>
      <c r="T400" s="288"/>
      <c r="U400" s="288"/>
      <c r="V400" s="288"/>
      <c r="W400" s="288"/>
      <c r="X400" s="288"/>
      <c r="Y400" s="288"/>
      <c r="Z400" s="288"/>
      <c r="AA400" s="288"/>
      <c r="AB400" s="288"/>
      <c r="AC400" s="288"/>
      <c r="AD400" s="288"/>
      <c r="AE400" s="288"/>
      <c r="AF400" s="288"/>
      <c r="AG400" s="288"/>
      <c r="AH400" s="288"/>
      <c r="AI400" s="288"/>
    </row>
    <row r="401" spans="1:35" ht="12.75" customHeight="1" x14ac:dyDescent="0.2">
      <c r="A401" s="288"/>
      <c r="B401" s="288"/>
      <c r="C401" s="288"/>
      <c r="D401" s="288"/>
      <c r="E401" s="288"/>
      <c r="F401" s="288"/>
      <c r="G401" s="288"/>
      <c r="H401" s="288"/>
      <c r="I401" s="288"/>
      <c r="J401" s="288"/>
      <c r="K401" s="288"/>
      <c r="L401" s="288"/>
      <c r="M401" s="288"/>
      <c r="N401" s="288"/>
      <c r="O401" s="288"/>
      <c r="P401" s="288"/>
      <c r="Q401" s="288"/>
      <c r="R401" s="288"/>
      <c r="S401" s="288"/>
      <c r="T401" s="288"/>
      <c r="U401" s="288"/>
      <c r="V401" s="288"/>
      <c r="W401" s="288"/>
      <c r="X401" s="288"/>
      <c r="Y401" s="288"/>
      <c r="Z401" s="288"/>
      <c r="AA401" s="288"/>
      <c r="AB401" s="288"/>
      <c r="AC401" s="288"/>
      <c r="AD401" s="288"/>
      <c r="AE401" s="288"/>
      <c r="AF401" s="288"/>
      <c r="AG401" s="288"/>
      <c r="AH401" s="288"/>
      <c r="AI401" s="288"/>
    </row>
    <row r="402" spans="1:35" ht="12.75" customHeight="1" x14ac:dyDescent="0.2">
      <c r="A402" s="288"/>
      <c r="B402" s="288"/>
      <c r="C402" s="288"/>
      <c r="D402" s="288"/>
      <c r="E402" s="288"/>
      <c r="F402" s="288"/>
      <c r="G402" s="288"/>
      <c r="H402" s="288"/>
      <c r="I402" s="288"/>
      <c r="J402" s="288"/>
      <c r="K402" s="288"/>
      <c r="L402" s="288"/>
      <c r="M402" s="288"/>
      <c r="N402" s="288"/>
      <c r="O402" s="288"/>
      <c r="P402" s="288"/>
      <c r="Q402" s="288"/>
      <c r="R402" s="288"/>
      <c r="S402" s="288"/>
      <c r="T402" s="288"/>
      <c r="U402" s="288"/>
      <c r="V402" s="288"/>
      <c r="W402" s="288"/>
      <c r="X402" s="288"/>
      <c r="Y402" s="288"/>
      <c r="Z402" s="288"/>
      <c r="AA402" s="288"/>
      <c r="AB402" s="288"/>
      <c r="AC402" s="288"/>
      <c r="AD402" s="288"/>
      <c r="AE402" s="288"/>
      <c r="AF402" s="288"/>
      <c r="AG402" s="288"/>
      <c r="AH402" s="288"/>
      <c r="AI402" s="288"/>
    </row>
    <row r="403" spans="1:35" ht="12.75" customHeight="1" x14ac:dyDescent="0.2">
      <c r="A403" s="288"/>
      <c r="B403" s="288"/>
      <c r="C403" s="288"/>
      <c r="D403" s="288"/>
      <c r="E403" s="288"/>
      <c r="F403" s="288"/>
      <c r="G403" s="288"/>
      <c r="H403" s="288"/>
      <c r="I403" s="288"/>
      <c r="J403" s="288"/>
      <c r="K403" s="288"/>
      <c r="L403" s="288"/>
      <c r="M403" s="288"/>
      <c r="N403" s="288"/>
      <c r="O403" s="288"/>
      <c r="P403" s="288"/>
      <c r="Q403" s="288"/>
      <c r="R403" s="288"/>
      <c r="S403" s="288"/>
      <c r="T403" s="288"/>
      <c r="U403" s="288"/>
      <c r="V403" s="288"/>
      <c r="W403" s="288"/>
      <c r="X403" s="288"/>
      <c r="Y403" s="288"/>
      <c r="Z403" s="288"/>
      <c r="AA403" s="288"/>
      <c r="AB403" s="288"/>
      <c r="AC403" s="288"/>
      <c r="AD403" s="288"/>
      <c r="AE403" s="288"/>
      <c r="AF403" s="288"/>
      <c r="AG403" s="288"/>
      <c r="AH403" s="288"/>
      <c r="AI403" s="288"/>
    </row>
    <row r="404" spans="1:35" ht="12.75" customHeight="1" x14ac:dyDescent="0.2">
      <c r="A404" s="288"/>
      <c r="B404" s="288"/>
      <c r="C404" s="288"/>
      <c r="D404" s="288"/>
      <c r="E404" s="288"/>
      <c r="F404" s="288"/>
      <c r="G404" s="288"/>
      <c r="H404" s="288"/>
      <c r="I404" s="288"/>
      <c r="J404" s="288"/>
      <c r="K404" s="288"/>
      <c r="L404" s="288"/>
      <c r="M404" s="288"/>
      <c r="N404" s="288"/>
      <c r="O404" s="288"/>
      <c r="P404" s="288"/>
      <c r="Q404" s="288"/>
      <c r="R404" s="288"/>
      <c r="S404" s="288"/>
      <c r="T404" s="288"/>
      <c r="U404" s="288"/>
      <c r="V404" s="288"/>
      <c r="W404" s="288"/>
      <c r="X404" s="288"/>
      <c r="Y404" s="288"/>
      <c r="Z404" s="288"/>
      <c r="AA404" s="288"/>
      <c r="AB404" s="288"/>
      <c r="AC404" s="288"/>
      <c r="AD404" s="288"/>
      <c r="AE404" s="288"/>
      <c r="AF404" s="288"/>
      <c r="AG404" s="288"/>
      <c r="AH404" s="288"/>
      <c r="AI404" s="288"/>
    </row>
    <row r="405" spans="1:35" ht="12.75" customHeight="1" x14ac:dyDescent="0.2">
      <c r="A405" s="288"/>
      <c r="B405" s="288"/>
      <c r="C405" s="288"/>
      <c r="D405" s="288"/>
      <c r="E405" s="288"/>
      <c r="F405" s="288"/>
      <c r="G405" s="288"/>
      <c r="H405" s="288"/>
      <c r="I405" s="288"/>
      <c r="J405" s="288"/>
      <c r="K405" s="288"/>
      <c r="L405" s="288"/>
      <c r="M405" s="288"/>
      <c r="N405" s="288"/>
      <c r="O405" s="288"/>
      <c r="P405" s="288"/>
      <c r="Q405" s="288"/>
      <c r="R405" s="288"/>
      <c r="S405" s="288"/>
      <c r="T405" s="288"/>
      <c r="U405" s="288"/>
      <c r="V405" s="288"/>
      <c r="W405" s="288"/>
      <c r="X405" s="288"/>
      <c r="Y405" s="288"/>
      <c r="Z405" s="288"/>
      <c r="AA405" s="288"/>
      <c r="AB405" s="288"/>
      <c r="AC405" s="288"/>
      <c r="AD405" s="288"/>
      <c r="AE405" s="288"/>
      <c r="AF405" s="288"/>
      <c r="AG405" s="288"/>
      <c r="AH405" s="288"/>
      <c r="AI405" s="288"/>
    </row>
    <row r="406" spans="1:35" ht="12.75" customHeight="1" x14ac:dyDescent="0.2">
      <c r="A406" s="288"/>
      <c r="B406" s="288"/>
      <c r="C406" s="288"/>
      <c r="D406" s="288"/>
      <c r="E406" s="288"/>
      <c r="F406" s="288"/>
      <c r="G406" s="288"/>
      <c r="H406" s="288"/>
      <c r="I406" s="288"/>
      <c r="J406" s="288"/>
      <c r="K406" s="288"/>
      <c r="L406" s="288"/>
      <c r="M406" s="288"/>
      <c r="N406" s="288"/>
      <c r="O406" s="288"/>
      <c r="P406" s="288"/>
      <c r="Q406" s="288"/>
      <c r="R406" s="288"/>
      <c r="S406" s="288"/>
      <c r="T406" s="288"/>
      <c r="U406" s="288"/>
      <c r="V406" s="288"/>
      <c r="W406" s="288"/>
      <c r="X406" s="288"/>
      <c r="Y406" s="288"/>
      <c r="Z406" s="288"/>
      <c r="AA406" s="288"/>
      <c r="AB406" s="288"/>
      <c r="AC406" s="288"/>
      <c r="AD406" s="288"/>
      <c r="AE406" s="288"/>
      <c r="AF406" s="288"/>
      <c r="AG406" s="288"/>
      <c r="AH406" s="288"/>
      <c r="AI406" s="288"/>
    </row>
    <row r="407" spans="1:35" ht="12.75" customHeight="1" x14ac:dyDescent="0.2">
      <c r="A407" s="288"/>
      <c r="B407" s="288"/>
      <c r="C407" s="288"/>
      <c r="D407" s="288"/>
      <c r="E407" s="288"/>
      <c r="F407" s="288"/>
      <c r="G407" s="288"/>
      <c r="H407" s="288"/>
      <c r="I407" s="288"/>
      <c r="J407" s="288"/>
      <c r="K407" s="288"/>
      <c r="L407" s="288"/>
      <c r="M407" s="288"/>
      <c r="N407" s="288"/>
      <c r="O407" s="288"/>
      <c r="P407" s="288"/>
      <c r="Q407" s="288"/>
      <c r="R407" s="288"/>
      <c r="S407" s="288"/>
      <c r="T407" s="288"/>
      <c r="U407" s="288"/>
      <c r="V407" s="288"/>
      <c r="W407" s="288"/>
      <c r="X407" s="288"/>
      <c r="Y407" s="288"/>
      <c r="Z407" s="288"/>
      <c r="AA407" s="288"/>
      <c r="AB407" s="288"/>
      <c r="AC407" s="288"/>
      <c r="AD407" s="288"/>
      <c r="AE407" s="288"/>
      <c r="AF407" s="288"/>
      <c r="AG407" s="288"/>
      <c r="AH407" s="288"/>
      <c r="AI407" s="288"/>
    </row>
    <row r="408" spans="1:35" ht="12.75" customHeight="1" x14ac:dyDescent="0.2">
      <c r="A408" s="288"/>
      <c r="B408" s="288"/>
      <c r="C408" s="288"/>
      <c r="D408" s="288"/>
      <c r="E408" s="288"/>
      <c r="F408" s="288"/>
      <c r="G408" s="288"/>
      <c r="H408" s="288"/>
      <c r="I408" s="288"/>
      <c r="J408" s="288"/>
      <c r="K408" s="288"/>
      <c r="L408" s="288"/>
      <c r="M408" s="288"/>
      <c r="N408" s="288"/>
      <c r="O408" s="288"/>
      <c r="P408" s="288"/>
      <c r="Q408" s="288"/>
      <c r="R408" s="288"/>
      <c r="S408" s="288"/>
      <c r="T408" s="288"/>
      <c r="U408" s="288"/>
      <c r="V408" s="288"/>
      <c r="W408" s="288"/>
      <c r="X408" s="288"/>
      <c r="Y408" s="288"/>
      <c r="Z408" s="288"/>
      <c r="AA408" s="288"/>
      <c r="AB408" s="288"/>
      <c r="AC408" s="288"/>
      <c r="AD408" s="288"/>
      <c r="AE408" s="288"/>
      <c r="AF408" s="288"/>
      <c r="AG408" s="288"/>
      <c r="AH408" s="288"/>
      <c r="AI408" s="288"/>
    </row>
    <row r="409" spans="1:35" ht="12.75" customHeight="1" x14ac:dyDescent="0.2">
      <c r="A409" s="288"/>
      <c r="B409" s="288"/>
      <c r="C409" s="288"/>
      <c r="D409" s="288"/>
      <c r="E409" s="288"/>
      <c r="F409" s="288"/>
      <c r="G409" s="288"/>
      <c r="H409" s="288"/>
      <c r="I409" s="288"/>
      <c r="J409" s="288"/>
      <c r="K409" s="288"/>
      <c r="L409" s="288"/>
      <c r="M409" s="288"/>
      <c r="N409" s="288"/>
      <c r="O409" s="288"/>
      <c r="P409" s="288"/>
      <c r="Q409" s="288"/>
      <c r="R409" s="288"/>
      <c r="S409" s="288"/>
      <c r="T409" s="288"/>
      <c r="U409" s="288"/>
      <c r="V409" s="288"/>
      <c r="W409" s="288"/>
      <c r="X409" s="288"/>
      <c r="Y409" s="288"/>
      <c r="Z409" s="288"/>
      <c r="AA409" s="288"/>
      <c r="AB409" s="288"/>
      <c r="AC409" s="288"/>
      <c r="AD409" s="288"/>
      <c r="AE409" s="288"/>
      <c r="AF409" s="288"/>
      <c r="AG409" s="288"/>
      <c r="AH409" s="288"/>
      <c r="AI409" s="288"/>
    </row>
    <row r="410" spans="1:35" ht="12.75" customHeight="1" x14ac:dyDescent="0.2">
      <c r="A410" s="288"/>
      <c r="B410" s="288"/>
      <c r="C410" s="288"/>
      <c r="D410" s="288"/>
      <c r="E410" s="288"/>
      <c r="F410" s="288"/>
      <c r="G410" s="288"/>
      <c r="H410" s="288"/>
      <c r="I410" s="288"/>
      <c r="J410" s="288"/>
      <c r="K410" s="288"/>
      <c r="L410" s="288"/>
      <c r="M410" s="288"/>
      <c r="N410" s="288"/>
      <c r="O410" s="288"/>
      <c r="P410" s="288"/>
      <c r="Q410" s="288"/>
      <c r="R410" s="288"/>
      <c r="S410" s="288"/>
      <c r="T410" s="288"/>
      <c r="U410" s="288"/>
      <c r="V410" s="288"/>
      <c r="W410" s="288"/>
      <c r="X410" s="288"/>
      <c r="Y410" s="288"/>
      <c r="Z410" s="288"/>
      <c r="AA410" s="288"/>
      <c r="AB410" s="288"/>
      <c r="AC410" s="288"/>
      <c r="AD410" s="288"/>
      <c r="AE410" s="288"/>
      <c r="AF410" s="288"/>
      <c r="AG410" s="288"/>
      <c r="AH410" s="288"/>
      <c r="AI410" s="288"/>
    </row>
    <row r="411" spans="1:35" ht="12.75" customHeight="1" x14ac:dyDescent="0.2">
      <c r="A411" s="288"/>
      <c r="B411" s="288"/>
      <c r="C411" s="288"/>
      <c r="D411" s="288"/>
      <c r="E411" s="288"/>
      <c r="F411" s="288"/>
      <c r="G411" s="288"/>
      <c r="H411" s="288"/>
      <c r="I411" s="288"/>
      <c r="J411" s="288"/>
      <c r="K411" s="288"/>
      <c r="L411" s="288"/>
      <c r="M411" s="288"/>
      <c r="N411" s="288"/>
      <c r="O411" s="288"/>
      <c r="P411" s="288"/>
      <c r="Q411" s="288"/>
      <c r="R411" s="288"/>
      <c r="S411" s="288"/>
      <c r="T411" s="288"/>
      <c r="U411" s="288"/>
      <c r="V411" s="288"/>
      <c r="W411" s="288"/>
      <c r="X411" s="288"/>
      <c r="Y411" s="288"/>
      <c r="Z411" s="288"/>
      <c r="AA411" s="288"/>
      <c r="AB411" s="288"/>
      <c r="AC411" s="288"/>
      <c r="AD411" s="288"/>
      <c r="AE411" s="288"/>
      <c r="AF411" s="288"/>
      <c r="AG411" s="288"/>
      <c r="AH411" s="288"/>
      <c r="AI411" s="288"/>
    </row>
    <row r="412" spans="1:35" ht="12.75" customHeight="1" x14ac:dyDescent="0.2">
      <c r="A412" s="288"/>
      <c r="B412" s="288"/>
      <c r="C412" s="288"/>
      <c r="D412" s="288"/>
      <c r="E412" s="288"/>
      <c r="F412" s="288"/>
      <c r="G412" s="288"/>
      <c r="H412" s="288"/>
      <c r="I412" s="288"/>
      <c r="J412" s="288"/>
      <c r="K412" s="288"/>
      <c r="L412" s="288"/>
      <c r="M412" s="288"/>
      <c r="N412" s="288"/>
      <c r="O412" s="288"/>
      <c r="P412" s="288"/>
      <c r="Q412" s="288"/>
      <c r="R412" s="288"/>
      <c r="S412" s="288"/>
      <c r="T412" s="288"/>
      <c r="U412" s="288"/>
      <c r="V412" s="288"/>
      <c r="W412" s="288"/>
      <c r="X412" s="288"/>
      <c r="Y412" s="288"/>
      <c r="Z412" s="288"/>
      <c r="AA412" s="288"/>
      <c r="AB412" s="288"/>
      <c r="AC412" s="288"/>
      <c r="AD412" s="288"/>
      <c r="AE412" s="288"/>
      <c r="AF412" s="288"/>
      <c r="AG412" s="288"/>
      <c r="AH412" s="288"/>
      <c r="AI412" s="288"/>
    </row>
    <row r="413" spans="1:35" ht="12.75" customHeight="1" x14ac:dyDescent="0.2">
      <c r="A413" s="288"/>
      <c r="B413" s="288"/>
      <c r="C413" s="288"/>
      <c r="D413" s="288"/>
      <c r="E413" s="288"/>
      <c r="F413" s="288"/>
      <c r="G413" s="288"/>
      <c r="H413" s="288"/>
      <c r="I413" s="288"/>
      <c r="J413" s="288"/>
      <c r="K413" s="288"/>
      <c r="L413" s="288"/>
      <c r="M413" s="288"/>
      <c r="N413" s="288"/>
      <c r="O413" s="288"/>
      <c r="P413" s="288"/>
      <c r="Q413" s="288"/>
      <c r="R413" s="288"/>
      <c r="S413" s="288"/>
      <c r="T413" s="288"/>
      <c r="U413" s="288"/>
      <c r="V413" s="288"/>
      <c r="W413" s="288"/>
      <c r="X413" s="288"/>
      <c r="Y413" s="288"/>
      <c r="Z413" s="288"/>
      <c r="AA413" s="288"/>
      <c r="AB413" s="288"/>
      <c r="AC413" s="288"/>
      <c r="AD413" s="288"/>
      <c r="AE413" s="288"/>
      <c r="AF413" s="288"/>
      <c r="AG413" s="288"/>
      <c r="AH413" s="288"/>
      <c r="AI413" s="288"/>
    </row>
    <row r="414" spans="1:35" ht="12.75" customHeight="1" x14ac:dyDescent="0.2">
      <c r="A414" s="288"/>
      <c r="B414" s="288"/>
      <c r="C414" s="288"/>
      <c r="D414" s="288"/>
      <c r="E414" s="288"/>
      <c r="F414" s="288"/>
      <c r="G414" s="288"/>
      <c r="H414" s="288"/>
      <c r="I414" s="288"/>
      <c r="J414" s="288"/>
      <c r="K414" s="288"/>
      <c r="L414" s="288"/>
      <c r="M414" s="288"/>
      <c r="N414" s="288"/>
      <c r="O414" s="288"/>
      <c r="P414" s="288"/>
      <c r="Q414" s="288"/>
      <c r="R414" s="288"/>
      <c r="S414" s="288"/>
      <c r="T414" s="288"/>
      <c r="U414" s="288"/>
      <c r="V414" s="288"/>
      <c r="W414" s="288"/>
      <c r="X414" s="288"/>
      <c r="Y414" s="288"/>
      <c r="Z414" s="288"/>
      <c r="AA414" s="288"/>
      <c r="AB414" s="288"/>
      <c r="AC414" s="288"/>
      <c r="AD414" s="288"/>
      <c r="AE414" s="288"/>
      <c r="AF414" s="288"/>
      <c r="AG414" s="288"/>
      <c r="AH414" s="288"/>
      <c r="AI414" s="288"/>
    </row>
    <row r="415" spans="1:35" ht="12.75" customHeight="1" x14ac:dyDescent="0.2">
      <c r="A415" s="288"/>
      <c r="B415" s="288"/>
      <c r="C415" s="288"/>
      <c r="D415" s="288"/>
      <c r="E415" s="288"/>
      <c r="F415" s="288"/>
      <c r="G415" s="288"/>
      <c r="H415" s="288"/>
      <c r="I415" s="288"/>
      <c r="J415" s="288"/>
      <c r="K415" s="288"/>
      <c r="L415" s="288"/>
      <c r="M415" s="288"/>
      <c r="N415" s="288"/>
      <c r="O415" s="288"/>
      <c r="P415" s="288"/>
      <c r="Q415" s="288"/>
      <c r="R415" s="288"/>
      <c r="S415" s="288"/>
      <c r="T415" s="288"/>
      <c r="U415" s="288"/>
      <c r="V415" s="288"/>
      <c r="W415" s="288"/>
      <c r="X415" s="288"/>
      <c r="Y415" s="288"/>
      <c r="Z415" s="288"/>
      <c r="AA415" s="288"/>
      <c r="AB415" s="288"/>
      <c r="AC415" s="288"/>
      <c r="AD415" s="288"/>
      <c r="AE415" s="288"/>
      <c r="AF415" s="288"/>
      <c r="AG415" s="288"/>
      <c r="AH415" s="288"/>
      <c r="AI415" s="288"/>
    </row>
    <row r="416" spans="1:35" ht="12.75" customHeight="1" x14ac:dyDescent="0.2">
      <c r="A416" s="288"/>
      <c r="B416" s="288"/>
      <c r="C416" s="288"/>
      <c r="D416" s="288"/>
      <c r="E416" s="288"/>
      <c r="F416" s="288"/>
      <c r="G416" s="288"/>
      <c r="H416" s="288"/>
      <c r="I416" s="288"/>
      <c r="J416" s="288"/>
      <c r="K416" s="288"/>
      <c r="L416" s="288"/>
      <c r="M416" s="288"/>
      <c r="N416" s="288"/>
      <c r="O416" s="288"/>
      <c r="P416" s="288"/>
      <c r="Q416" s="288"/>
      <c r="R416" s="288"/>
      <c r="S416" s="288"/>
      <c r="T416" s="288"/>
      <c r="U416" s="288"/>
      <c r="V416" s="288"/>
      <c r="W416" s="288"/>
      <c r="X416" s="288"/>
      <c r="Y416" s="288"/>
      <c r="Z416" s="288"/>
      <c r="AA416" s="288"/>
      <c r="AB416" s="288"/>
      <c r="AC416" s="288"/>
      <c r="AD416" s="288"/>
      <c r="AE416" s="288"/>
      <c r="AF416" s="288"/>
      <c r="AG416" s="288"/>
      <c r="AH416" s="288"/>
      <c r="AI416" s="288"/>
    </row>
    <row r="417" spans="1:35" ht="12.75" customHeight="1" x14ac:dyDescent="0.2">
      <c r="A417" s="288"/>
      <c r="B417" s="288"/>
      <c r="C417" s="288"/>
      <c r="D417" s="288"/>
      <c r="E417" s="288"/>
      <c r="F417" s="288"/>
      <c r="G417" s="288"/>
      <c r="H417" s="288"/>
      <c r="I417" s="288"/>
      <c r="J417" s="288"/>
      <c r="K417" s="288"/>
      <c r="L417" s="288"/>
      <c r="M417" s="288"/>
      <c r="N417" s="288"/>
      <c r="O417" s="288"/>
      <c r="P417" s="288"/>
      <c r="Q417" s="288"/>
      <c r="R417" s="288"/>
      <c r="S417" s="288"/>
      <c r="T417" s="288"/>
      <c r="U417" s="288"/>
      <c r="V417" s="288"/>
      <c r="W417" s="288"/>
      <c r="X417" s="288"/>
      <c r="Y417" s="288"/>
      <c r="Z417" s="288"/>
      <c r="AA417" s="288"/>
      <c r="AB417" s="288"/>
      <c r="AC417" s="288"/>
      <c r="AD417" s="288"/>
      <c r="AE417" s="288"/>
      <c r="AF417" s="288"/>
      <c r="AG417" s="288"/>
      <c r="AH417" s="288"/>
      <c r="AI417" s="288"/>
    </row>
    <row r="418" spans="1:35" ht="12.75" customHeight="1" x14ac:dyDescent="0.2">
      <c r="A418" s="288"/>
      <c r="B418" s="288"/>
      <c r="C418" s="288"/>
      <c r="D418" s="288"/>
      <c r="E418" s="288"/>
      <c r="F418" s="288"/>
      <c r="G418" s="288"/>
      <c r="H418" s="288"/>
      <c r="I418" s="288"/>
      <c r="J418" s="288"/>
      <c r="K418" s="288"/>
      <c r="L418" s="288"/>
      <c r="M418" s="288"/>
      <c r="N418" s="288"/>
      <c r="O418" s="288"/>
      <c r="P418" s="288"/>
      <c r="Q418" s="288"/>
      <c r="R418" s="288"/>
      <c r="S418" s="288"/>
      <c r="T418" s="288"/>
      <c r="U418" s="288"/>
      <c r="V418" s="288"/>
      <c r="W418" s="288"/>
      <c r="X418" s="288"/>
      <c r="Y418" s="288"/>
      <c r="Z418" s="288"/>
      <c r="AA418" s="288"/>
      <c r="AB418" s="288"/>
      <c r="AC418" s="288"/>
      <c r="AD418" s="288"/>
      <c r="AE418" s="288"/>
      <c r="AF418" s="288"/>
      <c r="AG418" s="288"/>
      <c r="AH418" s="288"/>
      <c r="AI418" s="288"/>
    </row>
    <row r="419" spans="1:35" ht="12.75" customHeight="1" x14ac:dyDescent="0.2">
      <c r="A419" s="288"/>
      <c r="B419" s="288"/>
      <c r="C419" s="288"/>
      <c r="D419" s="288"/>
      <c r="E419" s="288"/>
      <c r="F419" s="288"/>
      <c r="G419" s="288"/>
      <c r="H419" s="288"/>
      <c r="I419" s="288"/>
      <c r="J419" s="288"/>
      <c r="K419" s="288"/>
      <c r="L419" s="288"/>
      <c r="M419" s="288"/>
      <c r="N419" s="288"/>
      <c r="O419" s="288"/>
      <c r="P419" s="288"/>
      <c r="Q419" s="288"/>
      <c r="R419" s="288"/>
      <c r="S419" s="288"/>
      <c r="T419" s="288"/>
      <c r="U419" s="288"/>
      <c r="V419" s="288"/>
      <c r="W419" s="288"/>
      <c r="X419" s="288"/>
      <c r="Y419" s="288"/>
      <c r="Z419" s="288"/>
      <c r="AA419" s="288"/>
      <c r="AB419" s="288"/>
      <c r="AC419" s="288"/>
      <c r="AD419" s="288"/>
      <c r="AE419" s="288"/>
      <c r="AF419" s="288"/>
      <c r="AG419" s="288"/>
      <c r="AH419" s="288"/>
      <c r="AI419" s="288"/>
    </row>
    <row r="420" spans="1:35" ht="12.75" customHeight="1" x14ac:dyDescent="0.2">
      <c r="A420" s="288"/>
      <c r="B420" s="288"/>
      <c r="C420" s="288"/>
      <c r="D420" s="288"/>
      <c r="E420" s="288"/>
      <c r="F420" s="288"/>
      <c r="G420" s="288"/>
      <c r="H420" s="288"/>
      <c r="I420" s="288"/>
      <c r="J420" s="288"/>
      <c r="K420" s="288"/>
      <c r="L420" s="288"/>
      <c r="M420" s="288"/>
      <c r="N420" s="288"/>
      <c r="O420" s="288"/>
      <c r="P420" s="288"/>
      <c r="Q420" s="288"/>
      <c r="R420" s="288"/>
      <c r="S420" s="288"/>
      <c r="T420" s="288"/>
      <c r="U420" s="288"/>
      <c r="V420" s="288"/>
      <c r="W420" s="288"/>
      <c r="X420" s="288"/>
      <c r="Y420" s="288"/>
      <c r="Z420" s="288"/>
      <c r="AA420" s="288"/>
      <c r="AB420" s="288"/>
      <c r="AC420" s="288"/>
      <c r="AD420" s="288"/>
      <c r="AE420" s="288"/>
      <c r="AF420" s="288"/>
      <c r="AG420" s="288"/>
      <c r="AH420" s="288"/>
      <c r="AI420" s="288"/>
    </row>
    <row r="421" spans="1:35" ht="12.75" customHeight="1" x14ac:dyDescent="0.2">
      <c r="A421" s="288"/>
      <c r="B421" s="288"/>
      <c r="C421" s="288"/>
      <c r="D421" s="288"/>
      <c r="E421" s="288"/>
      <c r="F421" s="288"/>
      <c r="G421" s="288"/>
      <c r="H421" s="288"/>
      <c r="I421" s="288"/>
      <c r="J421" s="288"/>
      <c r="K421" s="288"/>
      <c r="L421" s="288"/>
      <c r="M421" s="288"/>
      <c r="N421" s="288"/>
      <c r="O421" s="288"/>
      <c r="P421" s="288"/>
      <c r="Q421" s="288"/>
      <c r="R421" s="288"/>
      <c r="S421" s="288"/>
      <c r="T421" s="288"/>
      <c r="U421" s="288"/>
      <c r="V421" s="288"/>
      <c r="W421" s="288"/>
      <c r="X421" s="288"/>
      <c r="Y421" s="288"/>
      <c r="Z421" s="288"/>
      <c r="AA421" s="288"/>
      <c r="AB421" s="288"/>
      <c r="AC421" s="288"/>
      <c r="AD421" s="288"/>
      <c r="AE421" s="288"/>
      <c r="AF421" s="288"/>
      <c r="AG421" s="288"/>
      <c r="AH421" s="288"/>
      <c r="AI421" s="288"/>
    </row>
    <row r="422" spans="1:35" ht="12.75" customHeight="1" x14ac:dyDescent="0.2">
      <c r="A422" s="288"/>
      <c r="B422" s="288"/>
      <c r="C422" s="288"/>
      <c r="D422" s="288"/>
      <c r="E422" s="288"/>
      <c r="F422" s="288"/>
      <c r="G422" s="288"/>
      <c r="H422" s="288"/>
      <c r="I422" s="288"/>
      <c r="J422" s="288"/>
      <c r="K422" s="288"/>
      <c r="L422" s="288"/>
      <c r="M422" s="288"/>
      <c r="N422" s="288"/>
      <c r="O422" s="288"/>
      <c r="P422" s="288"/>
      <c r="Q422" s="288"/>
      <c r="R422" s="288"/>
      <c r="S422" s="288"/>
      <c r="T422" s="288"/>
      <c r="U422" s="288"/>
      <c r="V422" s="288"/>
      <c r="W422" s="288"/>
      <c r="X422" s="288"/>
      <c r="Y422" s="288"/>
      <c r="Z422" s="288"/>
      <c r="AA422" s="288"/>
      <c r="AB422" s="288"/>
      <c r="AC422" s="288"/>
      <c r="AD422" s="288"/>
      <c r="AE422" s="288"/>
      <c r="AF422" s="288"/>
      <c r="AG422" s="288"/>
      <c r="AH422" s="288"/>
      <c r="AI422" s="288"/>
    </row>
    <row r="423" spans="1:35" ht="12.75" customHeight="1" x14ac:dyDescent="0.2">
      <c r="A423" s="288"/>
      <c r="B423" s="288"/>
      <c r="C423" s="288"/>
      <c r="D423" s="288"/>
      <c r="E423" s="288"/>
      <c r="F423" s="288"/>
      <c r="G423" s="288"/>
      <c r="H423" s="288"/>
      <c r="I423" s="288"/>
      <c r="J423" s="288"/>
      <c r="K423" s="288"/>
      <c r="L423" s="288"/>
      <c r="M423" s="288"/>
      <c r="N423" s="288"/>
      <c r="O423" s="288"/>
      <c r="P423" s="288"/>
      <c r="Q423" s="288"/>
      <c r="R423" s="288"/>
      <c r="S423" s="288"/>
      <c r="T423" s="288"/>
      <c r="U423" s="288"/>
      <c r="V423" s="288"/>
      <c r="W423" s="288"/>
      <c r="X423" s="288"/>
      <c r="Y423" s="288"/>
      <c r="Z423" s="288"/>
      <c r="AA423" s="288"/>
      <c r="AB423" s="288"/>
      <c r="AC423" s="288"/>
      <c r="AD423" s="288"/>
      <c r="AE423" s="288"/>
      <c r="AF423" s="288"/>
      <c r="AG423" s="288"/>
      <c r="AH423" s="288"/>
      <c r="AI423" s="288"/>
    </row>
    <row r="424" spans="1:35" ht="12.75" customHeight="1" x14ac:dyDescent="0.2">
      <c r="A424" s="288"/>
      <c r="B424" s="288"/>
      <c r="C424" s="288"/>
      <c r="D424" s="288"/>
      <c r="E424" s="288"/>
      <c r="F424" s="288"/>
      <c r="G424" s="288"/>
      <c r="H424" s="288"/>
      <c r="I424" s="288"/>
      <c r="J424" s="288"/>
      <c r="K424" s="288"/>
      <c r="L424" s="288"/>
      <c r="M424" s="288"/>
      <c r="N424" s="288"/>
      <c r="O424" s="288"/>
      <c r="P424" s="288"/>
      <c r="Q424" s="288"/>
      <c r="R424" s="288"/>
      <c r="S424" s="288"/>
      <c r="T424" s="288"/>
      <c r="U424" s="288"/>
      <c r="V424" s="288"/>
      <c r="W424" s="288"/>
      <c r="X424" s="288"/>
      <c r="Y424" s="288"/>
      <c r="Z424" s="288"/>
      <c r="AA424" s="288"/>
      <c r="AB424" s="288"/>
      <c r="AC424" s="288"/>
      <c r="AD424" s="288"/>
      <c r="AE424" s="288"/>
      <c r="AF424" s="288"/>
      <c r="AG424" s="288"/>
      <c r="AH424" s="288"/>
      <c r="AI424" s="288"/>
    </row>
    <row r="425" spans="1:35" ht="12.75" customHeight="1" x14ac:dyDescent="0.2">
      <c r="A425" s="288"/>
      <c r="B425" s="288"/>
      <c r="C425" s="288"/>
      <c r="D425" s="288"/>
      <c r="E425" s="288"/>
      <c r="F425" s="288"/>
      <c r="G425" s="288"/>
      <c r="H425" s="288"/>
      <c r="I425" s="288"/>
      <c r="J425" s="288"/>
      <c r="K425" s="288"/>
      <c r="L425" s="288"/>
      <c r="M425" s="288"/>
      <c r="N425" s="288"/>
      <c r="O425" s="288"/>
      <c r="P425" s="288"/>
      <c r="Q425" s="288"/>
      <c r="R425" s="288"/>
      <c r="S425" s="288"/>
      <c r="T425" s="288"/>
      <c r="U425" s="288"/>
      <c r="V425" s="288"/>
      <c r="W425" s="288"/>
      <c r="X425" s="288"/>
      <c r="Y425" s="288"/>
      <c r="Z425" s="288"/>
      <c r="AA425" s="288"/>
      <c r="AB425" s="288"/>
      <c r="AC425" s="288"/>
      <c r="AD425" s="288"/>
      <c r="AE425" s="288"/>
      <c r="AF425" s="288"/>
      <c r="AG425" s="288"/>
      <c r="AH425" s="288"/>
      <c r="AI425" s="288"/>
    </row>
    <row r="426" spans="1:35" ht="12.75" customHeight="1" x14ac:dyDescent="0.2">
      <c r="A426" s="288"/>
      <c r="B426" s="288"/>
      <c r="C426" s="288"/>
      <c r="D426" s="288"/>
      <c r="E426" s="288"/>
      <c r="F426" s="288"/>
      <c r="G426" s="288"/>
      <c r="H426" s="288"/>
      <c r="I426" s="288"/>
      <c r="J426" s="288"/>
      <c r="K426" s="288"/>
      <c r="L426" s="288"/>
      <c r="M426" s="288"/>
      <c r="N426" s="288"/>
      <c r="O426" s="288"/>
      <c r="P426" s="288"/>
      <c r="Q426" s="288"/>
      <c r="R426" s="288"/>
      <c r="S426" s="288"/>
      <c r="T426" s="288"/>
      <c r="U426" s="288"/>
      <c r="V426" s="288"/>
      <c r="W426" s="288"/>
      <c r="X426" s="288"/>
      <c r="Y426" s="288"/>
      <c r="Z426" s="288"/>
      <c r="AA426" s="288"/>
      <c r="AB426" s="288"/>
      <c r="AC426" s="288"/>
      <c r="AD426" s="288"/>
      <c r="AE426" s="288"/>
      <c r="AF426" s="288"/>
      <c r="AG426" s="288"/>
      <c r="AH426" s="288"/>
      <c r="AI426" s="288"/>
    </row>
    <row r="427" spans="1:35" ht="12.75" customHeight="1" x14ac:dyDescent="0.2">
      <c r="A427" s="288"/>
      <c r="B427" s="288"/>
      <c r="C427" s="288"/>
      <c r="D427" s="288"/>
      <c r="E427" s="288"/>
      <c r="F427" s="288"/>
      <c r="G427" s="288"/>
      <c r="H427" s="288"/>
      <c r="I427" s="288"/>
      <c r="J427" s="288"/>
      <c r="K427" s="288"/>
      <c r="L427" s="288"/>
      <c r="M427" s="288"/>
      <c r="N427" s="288"/>
      <c r="O427" s="288"/>
      <c r="P427" s="288"/>
      <c r="Q427" s="288"/>
      <c r="R427" s="288"/>
      <c r="S427" s="288"/>
      <c r="T427" s="288"/>
      <c r="U427" s="288"/>
      <c r="V427" s="288"/>
      <c r="W427" s="288"/>
      <c r="X427" s="288"/>
      <c r="Y427" s="288"/>
      <c r="Z427" s="288"/>
      <c r="AA427" s="288"/>
      <c r="AB427" s="288"/>
      <c r="AC427" s="288"/>
      <c r="AD427" s="288"/>
      <c r="AE427" s="288"/>
      <c r="AF427" s="288"/>
      <c r="AG427" s="288"/>
      <c r="AH427" s="288"/>
      <c r="AI427" s="288"/>
    </row>
    <row r="428" spans="1:35" ht="12.75" customHeight="1" x14ac:dyDescent="0.2">
      <c r="A428" s="288"/>
      <c r="B428" s="288"/>
      <c r="C428" s="288"/>
      <c r="D428" s="288"/>
      <c r="E428" s="288"/>
      <c r="F428" s="288"/>
      <c r="G428" s="288"/>
      <c r="H428" s="288"/>
      <c r="I428" s="288"/>
      <c r="J428" s="288"/>
      <c r="K428" s="288"/>
      <c r="L428" s="288"/>
      <c r="M428" s="288"/>
      <c r="N428" s="288"/>
      <c r="O428" s="288"/>
      <c r="P428" s="288"/>
      <c r="Q428" s="288"/>
      <c r="R428" s="288"/>
      <c r="S428" s="288"/>
      <c r="T428" s="288"/>
      <c r="U428" s="288"/>
      <c r="V428" s="288"/>
      <c r="W428" s="288"/>
      <c r="X428" s="288"/>
      <c r="Y428" s="288"/>
      <c r="Z428" s="288"/>
      <c r="AA428" s="288"/>
      <c r="AB428" s="288"/>
      <c r="AC428" s="288"/>
      <c r="AD428" s="288"/>
      <c r="AE428" s="288"/>
      <c r="AF428" s="288"/>
      <c r="AG428" s="288"/>
      <c r="AH428" s="288"/>
      <c r="AI428" s="288"/>
    </row>
    <row r="429" spans="1:35" ht="12.75" customHeight="1" x14ac:dyDescent="0.2">
      <c r="A429" s="288"/>
      <c r="B429" s="288"/>
      <c r="C429" s="288"/>
      <c r="D429" s="288"/>
      <c r="E429" s="288"/>
      <c r="F429" s="288"/>
      <c r="G429" s="288"/>
      <c r="H429" s="288"/>
      <c r="I429" s="288"/>
      <c r="J429" s="288"/>
      <c r="K429" s="288"/>
      <c r="L429" s="288"/>
      <c r="M429" s="288"/>
      <c r="N429" s="288"/>
      <c r="O429" s="288"/>
      <c r="P429" s="288"/>
      <c r="Q429" s="288"/>
      <c r="R429" s="288"/>
      <c r="S429" s="288"/>
      <c r="T429" s="288"/>
      <c r="U429" s="288"/>
      <c r="V429" s="288"/>
      <c r="W429" s="288"/>
      <c r="X429" s="288"/>
      <c r="Y429" s="288"/>
      <c r="Z429" s="288"/>
      <c r="AA429" s="288"/>
      <c r="AB429" s="288"/>
      <c r="AC429" s="288"/>
      <c r="AD429" s="288"/>
      <c r="AE429" s="288"/>
      <c r="AF429" s="288"/>
      <c r="AG429" s="288"/>
      <c r="AH429" s="288"/>
      <c r="AI429" s="288"/>
    </row>
    <row r="430" spans="1:35" ht="12.75" customHeight="1" x14ac:dyDescent="0.2">
      <c r="A430" s="288"/>
      <c r="B430" s="288"/>
      <c r="C430" s="288"/>
      <c r="D430" s="288"/>
      <c r="E430" s="288"/>
      <c r="F430" s="288"/>
      <c r="G430" s="288"/>
      <c r="H430" s="288"/>
      <c r="I430" s="288"/>
      <c r="J430" s="288"/>
      <c r="K430" s="288"/>
      <c r="L430" s="288"/>
      <c r="M430" s="288"/>
      <c r="N430" s="288"/>
      <c r="O430" s="288"/>
      <c r="P430" s="288"/>
      <c r="Q430" s="288"/>
      <c r="R430" s="288"/>
      <c r="S430" s="288"/>
      <c r="T430" s="288"/>
      <c r="U430" s="288"/>
      <c r="V430" s="288"/>
      <c r="W430" s="288"/>
      <c r="X430" s="288"/>
      <c r="Y430" s="288"/>
      <c r="Z430" s="288"/>
      <c r="AA430" s="288"/>
      <c r="AB430" s="288"/>
      <c r="AC430" s="288"/>
      <c r="AD430" s="288"/>
      <c r="AE430" s="288"/>
      <c r="AF430" s="288"/>
      <c r="AG430" s="288"/>
      <c r="AH430" s="288"/>
      <c r="AI430" s="288"/>
    </row>
    <row r="431" spans="1:35" ht="12.75" customHeight="1" x14ac:dyDescent="0.2">
      <c r="A431" s="288"/>
      <c r="B431" s="288"/>
      <c r="C431" s="288"/>
      <c r="D431" s="288"/>
      <c r="E431" s="288"/>
      <c r="F431" s="288"/>
      <c r="G431" s="288"/>
      <c r="H431" s="288"/>
      <c r="I431" s="288"/>
      <c r="J431" s="288"/>
      <c r="K431" s="288"/>
      <c r="L431" s="288"/>
      <c r="M431" s="288"/>
      <c r="N431" s="288"/>
      <c r="O431" s="288"/>
      <c r="P431" s="288"/>
      <c r="Q431" s="288"/>
      <c r="R431" s="288"/>
      <c r="S431" s="288"/>
      <c r="T431" s="288"/>
      <c r="U431" s="288"/>
      <c r="V431" s="288"/>
      <c r="W431" s="288"/>
      <c r="X431" s="288"/>
      <c r="Y431" s="288"/>
      <c r="Z431" s="288"/>
      <c r="AA431" s="288"/>
      <c r="AB431" s="288"/>
      <c r="AC431" s="288"/>
      <c r="AD431" s="288"/>
      <c r="AE431" s="288"/>
      <c r="AF431" s="288"/>
      <c r="AG431" s="288"/>
      <c r="AH431" s="288"/>
      <c r="AI431" s="288"/>
    </row>
    <row r="432" spans="1:35" ht="12.75" customHeight="1" x14ac:dyDescent="0.2">
      <c r="A432" s="288"/>
      <c r="B432" s="288"/>
      <c r="C432" s="288"/>
      <c r="D432" s="288"/>
      <c r="E432" s="288"/>
      <c r="F432" s="288"/>
      <c r="G432" s="288"/>
      <c r="H432" s="288"/>
      <c r="I432" s="288"/>
      <c r="J432" s="288"/>
      <c r="K432" s="288"/>
      <c r="L432" s="288"/>
      <c r="M432" s="288"/>
      <c r="N432" s="288"/>
      <c r="O432" s="288"/>
      <c r="P432" s="288"/>
      <c r="Q432" s="288"/>
      <c r="R432" s="288"/>
      <c r="S432" s="288"/>
      <c r="T432" s="288"/>
      <c r="U432" s="288"/>
      <c r="V432" s="288"/>
      <c r="W432" s="288"/>
      <c r="X432" s="288"/>
      <c r="Y432" s="288"/>
      <c r="Z432" s="288"/>
      <c r="AA432" s="288"/>
      <c r="AB432" s="288"/>
      <c r="AC432" s="288"/>
      <c r="AD432" s="288"/>
      <c r="AE432" s="288"/>
      <c r="AF432" s="288"/>
      <c r="AG432" s="288"/>
      <c r="AH432" s="288"/>
      <c r="AI432" s="288"/>
    </row>
    <row r="433" spans="1:35" ht="12.75" customHeight="1" x14ac:dyDescent="0.2">
      <c r="A433" s="288"/>
      <c r="B433" s="288"/>
      <c r="C433" s="288"/>
      <c r="D433" s="288"/>
      <c r="E433" s="288"/>
      <c r="F433" s="288"/>
      <c r="G433" s="288"/>
      <c r="H433" s="288"/>
      <c r="I433" s="288"/>
      <c r="J433" s="288"/>
      <c r="K433" s="288"/>
      <c r="L433" s="288"/>
      <c r="M433" s="288"/>
      <c r="N433" s="288"/>
      <c r="O433" s="288"/>
      <c r="P433" s="288"/>
      <c r="Q433" s="288"/>
      <c r="R433" s="288"/>
      <c r="S433" s="288"/>
      <c r="T433" s="288"/>
      <c r="U433" s="288"/>
      <c r="V433" s="288"/>
      <c r="W433" s="288"/>
      <c r="X433" s="288"/>
      <c r="Y433" s="288"/>
      <c r="Z433" s="288"/>
      <c r="AA433" s="288"/>
      <c r="AB433" s="288"/>
      <c r="AC433" s="288"/>
      <c r="AD433" s="288"/>
      <c r="AE433" s="288"/>
      <c r="AF433" s="288"/>
      <c r="AG433" s="288"/>
      <c r="AH433" s="288"/>
      <c r="AI433" s="288"/>
    </row>
    <row r="434" spans="1:35" ht="12.75" customHeight="1" x14ac:dyDescent="0.2">
      <c r="A434" s="288"/>
      <c r="B434" s="288"/>
      <c r="C434" s="288"/>
      <c r="D434" s="288"/>
      <c r="E434" s="288"/>
      <c r="F434" s="288"/>
      <c r="G434" s="288"/>
      <c r="H434" s="288"/>
      <c r="I434" s="288"/>
      <c r="J434" s="288"/>
      <c r="K434" s="288"/>
      <c r="L434" s="288"/>
      <c r="M434" s="288"/>
      <c r="N434" s="288"/>
      <c r="O434" s="288"/>
      <c r="P434" s="288"/>
      <c r="Q434" s="288"/>
      <c r="R434" s="288"/>
      <c r="S434" s="288"/>
      <c r="T434" s="288"/>
      <c r="U434" s="288"/>
      <c r="V434" s="288"/>
      <c r="W434" s="288"/>
      <c r="X434" s="288"/>
      <c r="Y434" s="288"/>
      <c r="Z434" s="288"/>
      <c r="AA434" s="288"/>
      <c r="AB434" s="288"/>
      <c r="AC434" s="288"/>
      <c r="AD434" s="288"/>
      <c r="AE434" s="288"/>
      <c r="AF434" s="288"/>
      <c r="AG434" s="288"/>
      <c r="AH434" s="288"/>
      <c r="AI434" s="288"/>
    </row>
    <row r="435" spans="1:35" ht="12.75" customHeight="1" x14ac:dyDescent="0.2">
      <c r="A435" s="288"/>
      <c r="B435" s="288"/>
      <c r="C435" s="288"/>
      <c r="D435" s="288"/>
      <c r="E435" s="288"/>
      <c r="F435" s="288"/>
      <c r="G435" s="288"/>
      <c r="H435" s="288"/>
      <c r="I435" s="288"/>
      <c r="J435" s="288"/>
      <c r="K435" s="288"/>
      <c r="L435" s="288"/>
      <c r="M435" s="288"/>
      <c r="N435" s="288"/>
      <c r="O435" s="288"/>
      <c r="P435" s="288"/>
      <c r="Q435" s="288"/>
      <c r="R435" s="288"/>
      <c r="S435" s="288"/>
      <c r="T435" s="288"/>
      <c r="U435" s="288"/>
      <c r="V435" s="288"/>
      <c r="W435" s="288"/>
      <c r="X435" s="288"/>
      <c r="Y435" s="288"/>
      <c r="Z435" s="288"/>
      <c r="AA435" s="288"/>
      <c r="AB435" s="288"/>
      <c r="AC435" s="288"/>
      <c r="AD435" s="288"/>
      <c r="AE435" s="288"/>
      <c r="AF435" s="288"/>
      <c r="AG435" s="288"/>
      <c r="AH435" s="288"/>
      <c r="AI435" s="288"/>
    </row>
    <row r="436" spans="1:35" ht="12.75" customHeight="1" x14ac:dyDescent="0.2">
      <c r="A436" s="288"/>
      <c r="B436" s="288"/>
      <c r="C436" s="288"/>
      <c r="D436" s="288"/>
      <c r="E436" s="288"/>
      <c r="F436" s="288"/>
      <c r="G436" s="288"/>
      <c r="H436" s="288"/>
      <c r="I436" s="288"/>
      <c r="J436" s="288"/>
      <c r="K436" s="288"/>
      <c r="L436" s="288"/>
      <c r="M436" s="288"/>
      <c r="N436" s="288"/>
      <c r="O436" s="288"/>
      <c r="P436" s="288"/>
      <c r="Q436" s="288"/>
      <c r="R436" s="288"/>
      <c r="S436" s="288"/>
      <c r="T436" s="288"/>
      <c r="U436" s="288"/>
      <c r="V436" s="288"/>
      <c r="W436" s="288"/>
      <c r="X436" s="288"/>
      <c r="Y436" s="288"/>
      <c r="Z436" s="288"/>
      <c r="AA436" s="288"/>
      <c r="AB436" s="288"/>
      <c r="AC436" s="288"/>
      <c r="AD436" s="288"/>
      <c r="AE436" s="288"/>
      <c r="AF436" s="288"/>
      <c r="AG436" s="288"/>
      <c r="AH436" s="288"/>
      <c r="AI436" s="288"/>
    </row>
    <row r="437" spans="1:35" ht="12.75" customHeight="1" x14ac:dyDescent="0.2">
      <c r="A437" s="288"/>
      <c r="B437" s="288"/>
      <c r="C437" s="288"/>
      <c r="D437" s="288"/>
      <c r="E437" s="288"/>
      <c r="F437" s="288"/>
      <c r="G437" s="288"/>
      <c r="H437" s="288"/>
      <c r="I437" s="288"/>
      <c r="J437" s="288"/>
      <c r="K437" s="288"/>
      <c r="L437" s="288"/>
      <c r="M437" s="288"/>
      <c r="N437" s="288"/>
      <c r="O437" s="288"/>
      <c r="P437" s="288"/>
      <c r="Q437" s="288"/>
      <c r="R437" s="288"/>
      <c r="S437" s="288"/>
      <c r="T437" s="288"/>
      <c r="U437" s="288"/>
      <c r="V437" s="288"/>
      <c r="W437" s="288"/>
      <c r="X437" s="288"/>
      <c r="Y437" s="288"/>
      <c r="Z437" s="288"/>
      <c r="AA437" s="288"/>
      <c r="AB437" s="288"/>
      <c r="AC437" s="288"/>
      <c r="AD437" s="288"/>
      <c r="AE437" s="288"/>
      <c r="AF437" s="288"/>
      <c r="AG437" s="288"/>
      <c r="AH437" s="288"/>
      <c r="AI437" s="288"/>
    </row>
    <row r="438" spans="1:35" ht="12.75" customHeight="1" x14ac:dyDescent="0.2">
      <c r="A438" s="288"/>
      <c r="B438" s="288"/>
      <c r="C438" s="288"/>
      <c r="D438" s="288"/>
      <c r="E438" s="288"/>
      <c r="F438" s="288"/>
      <c r="G438" s="288"/>
      <c r="H438" s="288"/>
      <c r="I438" s="288"/>
      <c r="J438" s="288"/>
      <c r="K438" s="288"/>
      <c r="L438" s="288"/>
      <c r="M438" s="288"/>
      <c r="N438" s="288"/>
      <c r="O438" s="288"/>
      <c r="P438" s="288"/>
      <c r="Q438" s="288"/>
      <c r="R438" s="288"/>
      <c r="S438" s="288"/>
      <c r="T438" s="288"/>
      <c r="U438" s="288"/>
      <c r="V438" s="288"/>
      <c r="W438" s="288"/>
      <c r="X438" s="288"/>
      <c r="Y438" s="288"/>
      <c r="Z438" s="288"/>
      <c r="AA438" s="288"/>
      <c r="AB438" s="288"/>
      <c r="AC438" s="288"/>
      <c r="AD438" s="288"/>
      <c r="AE438" s="288"/>
      <c r="AF438" s="288"/>
      <c r="AG438" s="288"/>
      <c r="AH438" s="288"/>
      <c r="AI438" s="288"/>
    </row>
    <row r="439" spans="1:35" ht="12.75" customHeight="1" x14ac:dyDescent="0.2">
      <c r="A439" s="288"/>
      <c r="B439" s="288"/>
      <c r="C439" s="288"/>
      <c r="D439" s="288"/>
      <c r="E439" s="288"/>
      <c r="F439" s="288"/>
      <c r="G439" s="288"/>
      <c r="H439" s="288"/>
      <c r="I439" s="288"/>
      <c r="J439" s="288"/>
      <c r="K439" s="288"/>
      <c r="L439" s="288"/>
      <c r="M439" s="288"/>
      <c r="N439" s="288"/>
      <c r="O439" s="288"/>
      <c r="P439" s="288"/>
      <c r="Q439" s="288"/>
      <c r="R439" s="288"/>
      <c r="S439" s="288"/>
      <c r="T439" s="288"/>
      <c r="U439" s="288"/>
      <c r="V439" s="288"/>
      <c r="W439" s="288"/>
      <c r="X439" s="288"/>
      <c r="Y439" s="288"/>
      <c r="Z439" s="288"/>
      <c r="AA439" s="288"/>
      <c r="AB439" s="288"/>
      <c r="AC439" s="288"/>
      <c r="AD439" s="288"/>
      <c r="AE439" s="288"/>
      <c r="AF439" s="288"/>
      <c r="AG439" s="288"/>
      <c r="AH439" s="288"/>
      <c r="AI439" s="288"/>
    </row>
    <row r="440" spans="1:35" ht="12.75" customHeight="1" x14ac:dyDescent="0.2">
      <c r="A440" s="288"/>
      <c r="B440" s="288"/>
      <c r="C440" s="288"/>
      <c r="D440" s="288"/>
      <c r="E440" s="288"/>
      <c r="F440" s="288"/>
      <c r="G440" s="288"/>
      <c r="H440" s="288"/>
      <c r="I440" s="288"/>
      <c r="J440" s="288"/>
      <c r="K440" s="288"/>
      <c r="L440" s="288"/>
      <c r="M440" s="288"/>
      <c r="N440" s="288"/>
      <c r="O440" s="288"/>
      <c r="P440" s="288"/>
      <c r="Q440" s="288"/>
      <c r="R440" s="288"/>
      <c r="S440" s="288"/>
      <c r="T440" s="288"/>
      <c r="U440" s="288"/>
      <c r="V440" s="288"/>
      <c r="W440" s="288"/>
      <c r="X440" s="288"/>
      <c r="Y440" s="288"/>
      <c r="Z440" s="288"/>
      <c r="AA440" s="288"/>
      <c r="AB440" s="288"/>
      <c r="AC440" s="288"/>
      <c r="AD440" s="288"/>
      <c r="AE440" s="288"/>
      <c r="AF440" s="288"/>
      <c r="AG440" s="288"/>
      <c r="AH440" s="288"/>
      <c r="AI440" s="288"/>
    </row>
    <row r="441" spans="1:35" ht="12.75" customHeight="1" x14ac:dyDescent="0.2">
      <c r="A441" s="288"/>
      <c r="B441" s="288"/>
      <c r="C441" s="288"/>
      <c r="D441" s="288"/>
      <c r="E441" s="288"/>
      <c r="F441" s="288"/>
      <c r="G441" s="288"/>
      <c r="H441" s="288"/>
      <c r="I441" s="288"/>
      <c r="J441" s="288"/>
      <c r="K441" s="288"/>
      <c r="L441" s="288"/>
      <c r="M441" s="288"/>
      <c r="N441" s="288"/>
      <c r="O441" s="288"/>
      <c r="P441" s="288"/>
      <c r="Q441" s="288"/>
      <c r="R441" s="288"/>
      <c r="S441" s="288"/>
      <c r="T441" s="288"/>
      <c r="U441" s="288"/>
      <c r="V441" s="288"/>
      <c r="W441" s="288"/>
      <c r="X441" s="288"/>
      <c r="Y441" s="288"/>
      <c r="Z441" s="288"/>
      <c r="AA441" s="288"/>
      <c r="AB441" s="288"/>
      <c r="AC441" s="288"/>
      <c r="AD441" s="288"/>
      <c r="AE441" s="288"/>
      <c r="AF441" s="288"/>
      <c r="AG441" s="288"/>
      <c r="AH441" s="288"/>
      <c r="AI441" s="288"/>
    </row>
    <row r="442" spans="1:35" ht="12.75" customHeight="1" x14ac:dyDescent="0.2">
      <c r="A442" s="288"/>
      <c r="B442" s="288"/>
      <c r="C442" s="288"/>
      <c r="D442" s="288"/>
      <c r="E442" s="288"/>
      <c r="F442" s="288"/>
      <c r="G442" s="288"/>
      <c r="H442" s="288"/>
      <c r="I442" s="288"/>
      <c r="J442" s="288"/>
      <c r="K442" s="288"/>
      <c r="L442" s="288"/>
      <c r="M442" s="288"/>
      <c r="N442" s="288"/>
      <c r="O442" s="288"/>
      <c r="P442" s="288"/>
      <c r="Q442" s="288"/>
      <c r="R442" s="288"/>
      <c r="S442" s="288"/>
      <c r="T442" s="288"/>
      <c r="U442" s="288"/>
      <c r="V442" s="288"/>
      <c r="W442" s="288"/>
      <c r="X442" s="288"/>
      <c r="Y442" s="288"/>
      <c r="Z442" s="288"/>
      <c r="AA442" s="288"/>
      <c r="AB442" s="288"/>
      <c r="AC442" s="288"/>
      <c r="AD442" s="288"/>
      <c r="AE442" s="288"/>
      <c r="AF442" s="288"/>
      <c r="AG442" s="288"/>
      <c r="AH442" s="288"/>
      <c r="AI442" s="288"/>
    </row>
    <row r="443" spans="1:35" ht="12.75" customHeight="1" x14ac:dyDescent="0.2">
      <c r="A443" s="288"/>
      <c r="B443" s="288"/>
      <c r="C443" s="288"/>
      <c r="D443" s="288"/>
      <c r="E443" s="288"/>
      <c r="F443" s="288"/>
      <c r="G443" s="288"/>
      <c r="H443" s="288"/>
      <c r="I443" s="288"/>
      <c r="J443" s="288"/>
      <c r="K443" s="288"/>
      <c r="L443" s="288"/>
      <c r="M443" s="288"/>
      <c r="N443" s="288"/>
      <c r="O443" s="288"/>
      <c r="P443" s="288"/>
      <c r="Q443" s="288"/>
      <c r="R443" s="288"/>
      <c r="S443" s="288"/>
      <c r="T443" s="288"/>
      <c r="U443" s="288"/>
      <c r="V443" s="288"/>
      <c r="W443" s="288"/>
      <c r="X443" s="288"/>
      <c r="Y443" s="288"/>
      <c r="Z443" s="288"/>
      <c r="AA443" s="288"/>
      <c r="AB443" s="288"/>
      <c r="AC443" s="288"/>
      <c r="AD443" s="288"/>
      <c r="AE443" s="288"/>
      <c r="AF443" s="288"/>
      <c r="AG443" s="288"/>
      <c r="AH443" s="288"/>
      <c r="AI443" s="288"/>
    </row>
    <row r="444" spans="1:35" ht="12.75" customHeight="1" x14ac:dyDescent="0.2">
      <c r="A444" s="288"/>
      <c r="B444" s="288"/>
      <c r="C444" s="288"/>
      <c r="D444" s="288"/>
      <c r="E444" s="288"/>
      <c r="F444" s="288"/>
      <c r="G444" s="288"/>
      <c r="H444" s="288"/>
      <c r="I444" s="288"/>
      <c r="J444" s="288"/>
      <c r="K444" s="288"/>
      <c r="L444" s="288"/>
      <c r="M444" s="288"/>
      <c r="N444" s="288"/>
      <c r="O444" s="288"/>
      <c r="P444" s="288"/>
      <c r="Q444" s="288"/>
      <c r="R444" s="288"/>
      <c r="S444" s="288"/>
      <c r="T444" s="288"/>
      <c r="U444" s="288"/>
      <c r="V444" s="288"/>
      <c r="W444" s="288"/>
      <c r="X444" s="288"/>
      <c r="Y444" s="288"/>
      <c r="Z444" s="288"/>
      <c r="AA444" s="288"/>
      <c r="AB444" s="288"/>
      <c r="AC444" s="288"/>
      <c r="AD444" s="288"/>
      <c r="AE444" s="288"/>
      <c r="AF444" s="288"/>
      <c r="AG444" s="288"/>
      <c r="AH444" s="288"/>
      <c r="AI444" s="288"/>
    </row>
    <row r="445" spans="1:35" ht="12.75" customHeight="1" x14ac:dyDescent="0.2">
      <c r="A445" s="288"/>
      <c r="B445" s="288"/>
      <c r="C445" s="288"/>
      <c r="D445" s="288"/>
      <c r="E445" s="288"/>
      <c r="F445" s="288"/>
      <c r="G445" s="288"/>
      <c r="H445" s="288"/>
      <c r="I445" s="288"/>
      <c r="J445" s="288"/>
      <c r="K445" s="288"/>
      <c r="L445" s="288"/>
      <c r="M445" s="288"/>
      <c r="N445" s="288"/>
      <c r="O445" s="288"/>
      <c r="P445" s="288"/>
      <c r="Q445" s="288"/>
      <c r="R445" s="288"/>
      <c r="S445" s="288"/>
      <c r="T445" s="288"/>
      <c r="U445" s="288"/>
      <c r="V445" s="288"/>
      <c r="W445" s="288"/>
      <c r="X445" s="288"/>
      <c r="Y445" s="288"/>
      <c r="Z445" s="288"/>
      <c r="AA445" s="288"/>
      <c r="AB445" s="288"/>
      <c r="AC445" s="288"/>
      <c r="AD445" s="288"/>
      <c r="AE445" s="288"/>
      <c r="AF445" s="288"/>
      <c r="AG445" s="288"/>
      <c r="AH445" s="288"/>
      <c r="AI445" s="288"/>
    </row>
    <row r="446" spans="1:35" ht="12.75" customHeight="1" x14ac:dyDescent="0.2">
      <c r="A446" s="288"/>
      <c r="B446" s="288"/>
      <c r="C446" s="288"/>
      <c r="D446" s="288"/>
      <c r="E446" s="288"/>
      <c r="F446" s="288"/>
      <c r="G446" s="288"/>
      <c r="H446" s="288"/>
      <c r="I446" s="288"/>
      <c r="J446" s="288"/>
      <c r="K446" s="288"/>
      <c r="L446" s="288"/>
      <c r="M446" s="288"/>
      <c r="N446" s="288"/>
      <c r="O446" s="288"/>
      <c r="P446" s="288"/>
      <c r="Q446" s="288"/>
      <c r="R446" s="288"/>
      <c r="S446" s="288"/>
      <c r="T446" s="288"/>
      <c r="U446" s="288"/>
      <c r="V446" s="288"/>
      <c r="W446" s="288"/>
      <c r="X446" s="288"/>
      <c r="Y446" s="288"/>
      <c r="Z446" s="288"/>
      <c r="AA446" s="288"/>
      <c r="AB446" s="288"/>
      <c r="AC446" s="288"/>
      <c r="AD446" s="288"/>
      <c r="AE446" s="288"/>
      <c r="AF446" s="288"/>
      <c r="AG446" s="288"/>
      <c r="AH446" s="288"/>
      <c r="AI446" s="288"/>
    </row>
    <row r="447" spans="1:35" ht="12.75" customHeight="1" x14ac:dyDescent="0.2">
      <c r="A447" s="288"/>
      <c r="B447" s="288"/>
      <c r="C447" s="288"/>
      <c r="D447" s="288"/>
      <c r="E447" s="288"/>
      <c r="F447" s="288"/>
      <c r="G447" s="288"/>
      <c r="H447" s="288"/>
      <c r="I447" s="288"/>
      <c r="J447" s="288"/>
      <c r="K447" s="288"/>
      <c r="L447" s="288"/>
      <c r="M447" s="288"/>
      <c r="N447" s="288"/>
      <c r="O447" s="288"/>
      <c r="P447" s="288"/>
      <c r="Q447" s="288"/>
      <c r="R447" s="288"/>
      <c r="S447" s="288"/>
      <c r="T447" s="288"/>
      <c r="U447" s="288"/>
      <c r="V447" s="288"/>
      <c r="W447" s="288"/>
      <c r="X447" s="288"/>
      <c r="Y447" s="288"/>
      <c r="Z447" s="288"/>
      <c r="AA447" s="288"/>
      <c r="AB447" s="288"/>
      <c r="AC447" s="288"/>
      <c r="AD447" s="288"/>
      <c r="AE447" s="288"/>
      <c r="AF447" s="288"/>
      <c r="AG447" s="288"/>
      <c r="AH447" s="288"/>
      <c r="AI447" s="288"/>
    </row>
    <row r="448" spans="1:35" ht="12.75" customHeight="1" x14ac:dyDescent="0.2">
      <c r="A448" s="288"/>
      <c r="B448" s="288"/>
      <c r="C448" s="288"/>
      <c r="D448" s="288"/>
      <c r="E448" s="288"/>
      <c r="F448" s="288"/>
      <c r="G448" s="288"/>
      <c r="H448" s="288"/>
      <c r="I448" s="288"/>
      <c r="J448" s="288"/>
      <c r="K448" s="288"/>
      <c r="L448" s="288"/>
      <c r="M448" s="288"/>
      <c r="N448" s="288"/>
      <c r="O448" s="288"/>
      <c r="P448" s="288"/>
      <c r="Q448" s="288"/>
      <c r="R448" s="288"/>
      <c r="S448" s="288"/>
      <c r="T448" s="288"/>
      <c r="U448" s="288"/>
      <c r="V448" s="288"/>
      <c r="W448" s="288"/>
      <c r="X448" s="288"/>
      <c r="Y448" s="288"/>
      <c r="Z448" s="288"/>
      <c r="AA448" s="288"/>
      <c r="AB448" s="288"/>
      <c r="AC448" s="288"/>
      <c r="AD448" s="288"/>
      <c r="AE448" s="288"/>
      <c r="AF448" s="288"/>
      <c r="AG448" s="288"/>
      <c r="AH448" s="288"/>
      <c r="AI448" s="288"/>
    </row>
    <row r="449" spans="1:35" ht="12.75" customHeight="1" x14ac:dyDescent="0.2">
      <c r="A449" s="288"/>
      <c r="B449" s="288"/>
      <c r="C449" s="288"/>
      <c r="D449" s="288"/>
      <c r="E449" s="288"/>
      <c r="F449" s="288"/>
      <c r="G449" s="288"/>
      <c r="H449" s="288"/>
      <c r="I449" s="288"/>
      <c r="J449" s="288"/>
      <c r="K449" s="288"/>
      <c r="L449" s="288"/>
      <c r="M449" s="288"/>
      <c r="N449" s="288"/>
      <c r="O449" s="288"/>
      <c r="P449" s="288"/>
      <c r="Q449" s="288"/>
      <c r="R449" s="288"/>
      <c r="S449" s="288"/>
      <c r="T449" s="288"/>
      <c r="U449" s="288"/>
      <c r="V449" s="288"/>
      <c r="W449" s="288"/>
      <c r="X449" s="288"/>
      <c r="Y449" s="288"/>
      <c r="Z449" s="288"/>
      <c r="AA449" s="288"/>
      <c r="AB449" s="288"/>
      <c r="AC449" s="288"/>
      <c r="AD449" s="288"/>
      <c r="AE449" s="288"/>
      <c r="AF449" s="288"/>
      <c r="AG449" s="288"/>
      <c r="AH449" s="288"/>
      <c r="AI449" s="288"/>
    </row>
    <row r="450" spans="1:35" ht="12.75" customHeight="1" x14ac:dyDescent="0.2">
      <c r="A450" s="288"/>
      <c r="B450" s="288"/>
      <c r="C450" s="288"/>
      <c r="D450" s="288"/>
      <c r="E450" s="288"/>
      <c r="F450" s="288"/>
      <c r="G450" s="288"/>
      <c r="H450" s="288"/>
      <c r="I450" s="288"/>
      <c r="J450" s="288"/>
      <c r="K450" s="288"/>
      <c r="L450" s="288"/>
      <c r="M450" s="288"/>
      <c r="N450" s="288"/>
      <c r="O450" s="288"/>
      <c r="P450" s="288"/>
      <c r="Q450" s="288"/>
      <c r="R450" s="288"/>
      <c r="S450" s="288"/>
      <c r="T450" s="288"/>
      <c r="U450" s="288"/>
      <c r="V450" s="288"/>
      <c r="W450" s="288"/>
      <c r="X450" s="288"/>
      <c r="Y450" s="288"/>
      <c r="Z450" s="288"/>
      <c r="AA450" s="288"/>
      <c r="AB450" s="288"/>
      <c r="AC450" s="288"/>
      <c r="AD450" s="288"/>
      <c r="AE450" s="288"/>
      <c r="AF450" s="288"/>
      <c r="AG450" s="288"/>
      <c r="AH450" s="288"/>
      <c r="AI450" s="288"/>
    </row>
    <row r="451" spans="1:35" ht="12.75" customHeight="1" x14ac:dyDescent="0.2">
      <c r="A451" s="288"/>
      <c r="B451" s="288"/>
      <c r="C451" s="288"/>
      <c r="D451" s="288"/>
      <c r="E451" s="288"/>
      <c r="F451" s="288"/>
      <c r="G451" s="288"/>
      <c r="H451" s="288"/>
      <c r="I451" s="288"/>
      <c r="J451" s="288"/>
      <c r="K451" s="288"/>
      <c r="L451" s="288"/>
      <c r="M451" s="288"/>
      <c r="N451" s="288"/>
      <c r="O451" s="288"/>
      <c r="P451" s="288"/>
      <c r="Q451" s="288"/>
      <c r="R451" s="288"/>
      <c r="S451" s="288"/>
      <c r="T451" s="288"/>
      <c r="U451" s="288"/>
      <c r="V451" s="288"/>
      <c r="W451" s="288"/>
      <c r="X451" s="288"/>
      <c r="Y451" s="288"/>
      <c r="Z451" s="288"/>
      <c r="AA451" s="288"/>
      <c r="AB451" s="288"/>
      <c r="AC451" s="288"/>
      <c r="AD451" s="288"/>
      <c r="AE451" s="288"/>
      <c r="AF451" s="288"/>
      <c r="AG451" s="288"/>
      <c r="AH451" s="288"/>
      <c r="AI451" s="288"/>
    </row>
    <row r="452" spans="1:35" ht="12.75" customHeight="1" x14ac:dyDescent="0.2">
      <c r="A452" s="288"/>
      <c r="B452" s="288"/>
      <c r="C452" s="288"/>
      <c r="D452" s="288"/>
      <c r="E452" s="288"/>
      <c r="F452" s="288"/>
      <c r="G452" s="288"/>
      <c r="H452" s="288"/>
      <c r="I452" s="288"/>
      <c r="J452" s="288"/>
      <c r="K452" s="288"/>
      <c r="L452" s="288"/>
      <c r="M452" s="288"/>
      <c r="N452" s="288"/>
      <c r="O452" s="288"/>
      <c r="P452" s="288"/>
      <c r="Q452" s="288"/>
      <c r="R452" s="288"/>
      <c r="S452" s="288"/>
      <c r="T452" s="288"/>
      <c r="U452" s="288"/>
      <c r="V452" s="288"/>
      <c r="W452" s="288"/>
      <c r="X452" s="288"/>
      <c r="Y452" s="288"/>
      <c r="Z452" s="288"/>
      <c r="AA452" s="288"/>
      <c r="AB452" s="288"/>
      <c r="AC452" s="288"/>
      <c r="AD452" s="288"/>
      <c r="AE452" s="288"/>
      <c r="AF452" s="288"/>
      <c r="AG452" s="288"/>
      <c r="AH452" s="288"/>
      <c r="AI452" s="288"/>
    </row>
    <row r="453" spans="1:35" ht="12.75" customHeight="1" x14ac:dyDescent="0.2">
      <c r="A453" s="288"/>
      <c r="B453" s="288"/>
      <c r="C453" s="288"/>
      <c r="D453" s="288"/>
      <c r="E453" s="288"/>
      <c r="F453" s="288"/>
      <c r="G453" s="288"/>
      <c r="H453" s="288"/>
      <c r="I453" s="288"/>
      <c r="J453" s="288"/>
      <c r="K453" s="288"/>
      <c r="L453" s="288"/>
      <c r="M453" s="288"/>
      <c r="N453" s="288"/>
      <c r="O453" s="288"/>
      <c r="P453" s="288"/>
      <c r="Q453" s="288"/>
      <c r="R453" s="288"/>
      <c r="S453" s="288"/>
      <c r="T453" s="288"/>
      <c r="U453" s="288"/>
      <c r="V453" s="288"/>
      <c r="W453" s="288"/>
      <c r="X453" s="288"/>
      <c r="Y453" s="288"/>
      <c r="Z453" s="288"/>
      <c r="AA453" s="288"/>
      <c r="AB453" s="288"/>
      <c r="AC453" s="288"/>
      <c r="AD453" s="288"/>
      <c r="AE453" s="288"/>
      <c r="AF453" s="288"/>
      <c r="AG453" s="288"/>
      <c r="AH453" s="288"/>
      <c r="AI453" s="288"/>
    </row>
    <row r="454" spans="1:35" ht="12.75" customHeight="1" x14ac:dyDescent="0.2">
      <c r="A454" s="288"/>
      <c r="B454" s="288"/>
      <c r="C454" s="288"/>
      <c r="D454" s="288"/>
      <c r="E454" s="288"/>
      <c r="F454" s="288"/>
      <c r="G454" s="288"/>
      <c r="H454" s="288"/>
      <c r="I454" s="288"/>
      <c r="J454" s="288"/>
      <c r="K454" s="288"/>
      <c r="L454" s="288"/>
      <c r="M454" s="288"/>
      <c r="N454" s="288"/>
      <c r="O454" s="288"/>
      <c r="P454" s="288"/>
      <c r="Q454" s="288"/>
      <c r="R454" s="288"/>
      <c r="S454" s="288"/>
      <c r="T454" s="288"/>
      <c r="U454" s="288"/>
      <c r="V454" s="288"/>
      <c r="W454" s="288"/>
      <c r="X454" s="288"/>
      <c r="Y454" s="288"/>
      <c r="Z454" s="288"/>
      <c r="AA454" s="288"/>
      <c r="AB454" s="288"/>
      <c r="AC454" s="288"/>
      <c r="AD454" s="288"/>
      <c r="AE454" s="288"/>
      <c r="AF454" s="288"/>
      <c r="AG454" s="288"/>
      <c r="AH454" s="288"/>
      <c r="AI454" s="288"/>
    </row>
    <row r="455" spans="1:35" ht="12.75" customHeight="1" x14ac:dyDescent="0.2">
      <c r="A455" s="288"/>
      <c r="B455" s="288"/>
      <c r="C455" s="288"/>
      <c r="D455" s="288"/>
      <c r="E455" s="288"/>
      <c r="F455" s="288"/>
      <c r="G455" s="288"/>
      <c r="H455" s="288"/>
      <c r="I455" s="288"/>
      <c r="J455" s="288"/>
      <c r="K455" s="288"/>
      <c r="L455" s="288"/>
      <c r="M455" s="288"/>
      <c r="N455" s="288"/>
      <c r="O455" s="288"/>
      <c r="P455" s="288"/>
      <c r="Q455" s="288"/>
      <c r="R455" s="288"/>
      <c r="S455" s="288"/>
      <c r="T455" s="288"/>
      <c r="U455" s="288"/>
      <c r="V455" s="288"/>
      <c r="W455" s="288"/>
      <c r="X455" s="288"/>
      <c r="Y455" s="288"/>
      <c r="Z455" s="288"/>
      <c r="AA455" s="288"/>
      <c r="AB455" s="288"/>
      <c r="AC455" s="288"/>
      <c r="AD455" s="288"/>
      <c r="AE455" s="288"/>
      <c r="AF455" s="288"/>
      <c r="AG455" s="288"/>
      <c r="AH455" s="288"/>
      <c r="AI455" s="288"/>
    </row>
    <row r="456" spans="1:35" ht="12.75" customHeight="1" x14ac:dyDescent="0.2">
      <c r="A456" s="288"/>
      <c r="B456" s="288"/>
      <c r="C456" s="288"/>
      <c r="D456" s="288"/>
      <c r="E456" s="288"/>
      <c r="F456" s="288"/>
      <c r="G456" s="288"/>
      <c r="H456" s="288"/>
      <c r="I456" s="288"/>
      <c r="J456" s="288"/>
      <c r="K456" s="288"/>
      <c r="L456" s="288"/>
      <c r="M456" s="288"/>
      <c r="N456" s="288"/>
      <c r="O456" s="288"/>
      <c r="P456" s="288"/>
      <c r="Q456" s="288"/>
      <c r="R456" s="288"/>
      <c r="S456" s="288"/>
      <c r="T456" s="288"/>
      <c r="U456" s="288"/>
      <c r="V456" s="288"/>
      <c r="W456" s="288"/>
      <c r="X456" s="288"/>
      <c r="Y456" s="288"/>
      <c r="Z456" s="288"/>
      <c r="AA456" s="288"/>
      <c r="AB456" s="288"/>
      <c r="AC456" s="288"/>
      <c r="AD456" s="288"/>
      <c r="AE456" s="288"/>
      <c r="AF456" s="288"/>
      <c r="AG456" s="288"/>
      <c r="AH456" s="288"/>
      <c r="AI456" s="288"/>
    </row>
    <row r="457" spans="1:35" ht="12.75" customHeight="1" x14ac:dyDescent="0.2">
      <c r="A457" s="288"/>
      <c r="B457" s="288"/>
      <c r="C457" s="288"/>
      <c r="D457" s="288"/>
      <c r="E457" s="288"/>
      <c r="F457" s="288"/>
      <c r="G457" s="288"/>
      <c r="H457" s="288"/>
      <c r="I457" s="288"/>
      <c r="J457" s="288"/>
      <c r="K457" s="288"/>
      <c r="L457" s="288"/>
      <c r="M457" s="288"/>
      <c r="N457" s="288"/>
      <c r="O457" s="288"/>
      <c r="P457" s="288"/>
      <c r="Q457" s="288"/>
      <c r="R457" s="288"/>
      <c r="S457" s="288"/>
      <c r="T457" s="288"/>
      <c r="U457" s="288"/>
      <c r="V457" s="288"/>
      <c r="W457" s="288"/>
      <c r="X457" s="288"/>
      <c r="Y457" s="288"/>
      <c r="Z457" s="288"/>
      <c r="AA457" s="288"/>
      <c r="AB457" s="288"/>
      <c r="AC457" s="288"/>
      <c r="AD457" s="288"/>
      <c r="AE457" s="288"/>
      <c r="AF457" s="288"/>
      <c r="AG457" s="288"/>
      <c r="AH457" s="288"/>
      <c r="AI457" s="288"/>
    </row>
    <row r="458" spans="1:35" ht="12.75" customHeight="1" x14ac:dyDescent="0.2">
      <c r="A458" s="288"/>
      <c r="B458" s="288"/>
      <c r="C458" s="288"/>
      <c r="D458" s="288"/>
      <c r="E458" s="288"/>
      <c r="F458" s="288"/>
      <c r="G458" s="288"/>
      <c r="H458" s="288"/>
      <c r="I458" s="288"/>
      <c r="J458" s="288"/>
      <c r="K458" s="288"/>
      <c r="L458" s="288"/>
      <c r="M458" s="288"/>
      <c r="N458" s="288"/>
      <c r="O458" s="288"/>
      <c r="P458" s="288"/>
      <c r="Q458" s="288"/>
      <c r="R458" s="288"/>
      <c r="S458" s="288"/>
      <c r="T458" s="288"/>
      <c r="U458" s="288"/>
      <c r="V458" s="288"/>
      <c r="W458" s="288"/>
      <c r="X458" s="288"/>
      <c r="Y458" s="288"/>
      <c r="Z458" s="288"/>
      <c r="AA458" s="288"/>
      <c r="AB458" s="288"/>
      <c r="AC458" s="288"/>
      <c r="AD458" s="288"/>
      <c r="AE458" s="288"/>
      <c r="AF458" s="288"/>
      <c r="AG458" s="288"/>
      <c r="AH458" s="288"/>
      <c r="AI458" s="288"/>
    </row>
    <row r="459" spans="1:35" ht="12.75" customHeight="1" x14ac:dyDescent="0.2">
      <c r="A459" s="288"/>
      <c r="B459" s="288"/>
      <c r="C459" s="288"/>
      <c r="D459" s="288"/>
      <c r="E459" s="288"/>
      <c r="F459" s="288"/>
      <c r="G459" s="288"/>
      <c r="H459" s="288"/>
      <c r="I459" s="288"/>
      <c r="J459" s="288"/>
      <c r="K459" s="288"/>
      <c r="L459" s="288"/>
      <c r="M459" s="288"/>
      <c r="N459" s="288"/>
      <c r="O459" s="288"/>
      <c r="P459" s="288"/>
      <c r="Q459" s="288"/>
      <c r="R459" s="288"/>
      <c r="S459" s="288"/>
      <c r="T459" s="288"/>
      <c r="U459" s="288"/>
      <c r="V459" s="288"/>
      <c r="W459" s="288"/>
      <c r="X459" s="288"/>
      <c r="Y459" s="288"/>
      <c r="Z459" s="288"/>
      <c r="AA459" s="288"/>
      <c r="AB459" s="288"/>
      <c r="AC459" s="288"/>
      <c r="AD459" s="288"/>
      <c r="AE459" s="288"/>
      <c r="AF459" s="288"/>
      <c r="AG459" s="288"/>
      <c r="AH459" s="288"/>
      <c r="AI459" s="288"/>
    </row>
    <row r="460" spans="1:35" ht="12.75" customHeight="1" x14ac:dyDescent="0.2">
      <c r="A460" s="288"/>
      <c r="B460" s="288"/>
      <c r="C460" s="288"/>
      <c r="D460" s="288"/>
      <c r="E460" s="288"/>
      <c r="F460" s="288"/>
      <c r="G460" s="288"/>
      <c r="H460" s="288"/>
      <c r="I460" s="288"/>
      <c r="J460" s="288"/>
      <c r="K460" s="288"/>
      <c r="L460" s="288"/>
      <c r="M460" s="288"/>
      <c r="N460" s="288"/>
      <c r="O460" s="288"/>
      <c r="P460" s="288"/>
      <c r="Q460" s="288"/>
      <c r="R460" s="288"/>
      <c r="S460" s="288"/>
      <c r="T460" s="288"/>
      <c r="U460" s="288"/>
      <c r="V460" s="288"/>
      <c r="W460" s="288"/>
      <c r="X460" s="288"/>
      <c r="Y460" s="288"/>
      <c r="Z460" s="288"/>
      <c r="AA460" s="288"/>
      <c r="AB460" s="288"/>
      <c r="AC460" s="288"/>
      <c r="AD460" s="288"/>
      <c r="AE460" s="288"/>
      <c r="AF460" s="288"/>
      <c r="AG460" s="288"/>
      <c r="AH460" s="288"/>
      <c r="AI460" s="288"/>
    </row>
    <row r="461" spans="1:35" ht="12.75" customHeight="1" x14ac:dyDescent="0.2">
      <c r="A461" s="288"/>
      <c r="B461" s="288"/>
      <c r="C461" s="288"/>
      <c r="D461" s="288"/>
      <c r="E461" s="288"/>
      <c r="F461" s="288"/>
      <c r="G461" s="288"/>
      <c r="H461" s="288"/>
      <c r="I461" s="288"/>
      <c r="J461" s="288"/>
      <c r="K461" s="288"/>
      <c r="L461" s="288"/>
      <c r="M461" s="288"/>
      <c r="N461" s="288"/>
      <c r="O461" s="288"/>
      <c r="P461" s="288"/>
      <c r="Q461" s="288"/>
      <c r="R461" s="288"/>
      <c r="S461" s="288"/>
      <c r="T461" s="288"/>
      <c r="U461" s="288"/>
      <c r="V461" s="288"/>
      <c r="W461" s="288"/>
      <c r="X461" s="288"/>
      <c r="Y461" s="288"/>
      <c r="Z461" s="288"/>
      <c r="AA461" s="288"/>
      <c r="AB461" s="288"/>
      <c r="AC461" s="288"/>
      <c r="AD461" s="288"/>
      <c r="AE461" s="288"/>
      <c r="AF461" s="288"/>
      <c r="AG461" s="288"/>
      <c r="AH461" s="288"/>
      <c r="AI461" s="288"/>
    </row>
    <row r="462" spans="1:35" ht="12.75" customHeight="1" x14ac:dyDescent="0.2">
      <c r="A462" s="288"/>
      <c r="B462" s="288"/>
      <c r="C462" s="288"/>
      <c r="D462" s="288"/>
      <c r="E462" s="288"/>
      <c r="F462" s="288"/>
      <c r="G462" s="288"/>
      <c r="H462" s="288"/>
      <c r="I462" s="288"/>
      <c r="J462" s="288"/>
      <c r="K462" s="288"/>
      <c r="L462" s="288"/>
      <c r="M462" s="288"/>
      <c r="N462" s="288"/>
      <c r="O462" s="288"/>
      <c r="P462" s="288"/>
      <c r="Q462" s="288"/>
      <c r="R462" s="288"/>
      <c r="S462" s="288"/>
      <c r="T462" s="288"/>
      <c r="U462" s="288"/>
      <c r="V462" s="288"/>
      <c r="W462" s="288"/>
      <c r="X462" s="288"/>
      <c r="Y462" s="288"/>
      <c r="Z462" s="288"/>
      <c r="AA462" s="288"/>
      <c r="AB462" s="288"/>
      <c r="AC462" s="288"/>
      <c r="AD462" s="288"/>
      <c r="AE462" s="288"/>
      <c r="AF462" s="288"/>
      <c r="AG462" s="288"/>
      <c r="AH462" s="288"/>
      <c r="AI462" s="288"/>
    </row>
    <row r="463" spans="1:35" ht="12.75" customHeight="1" x14ac:dyDescent="0.2">
      <c r="A463" s="288"/>
      <c r="B463" s="288"/>
      <c r="C463" s="288"/>
      <c r="D463" s="288"/>
      <c r="E463" s="288"/>
      <c r="F463" s="288"/>
      <c r="G463" s="288"/>
      <c r="H463" s="288"/>
      <c r="I463" s="288"/>
      <c r="J463" s="288"/>
      <c r="K463" s="288"/>
      <c r="L463" s="288"/>
      <c r="M463" s="288"/>
      <c r="N463" s="288"/>
      <c r="O463" s="288"/>
      <c r="P463" s="288"/>
      <c r="Q463" s="288"/>
      <c r="R463" s="288"/>
      <c r="S463" s="288"/>
      <c r="T463" s="288"/>
      <c r="U463" s="288"/>
      <c r="V463" s="288"/>
      <c r="W463" s="288"/>
      <c r="X463" s="288"/>
      <c r="Y463" s="288"/>
      <c r="Z463" s="288"/>
      <c r="AA463" s="288"/>
      <c r="AB463" s="288"/>
      <c r="AC463" s="288"/>
      <c r="AD463" s="288"/>
      <c r="AE463" s="288"/>
      <c r="AF463" s="288"/>
      <c r="AG463" s="288"/>
      <c r="AH463" s="288"/>
      <c r="AI463" s="288"/>
    </row>
    <row r="464" spans="1:35" ht="12.75" customHeight="1" x14ac:dyDescent="0.2">
      <c r="A464" s="288"/>
      <c r="B464" s="288"/>
      <c r="C464" s="288"/>
      <c r="D464" s="288"/>
      <c r="E464" s="288"/>
      <c r="F464" s="288"/>
      <c r="G464" s="288"/>
      <c r="H464" s="288"/>
      <c r="I464" s="288"/>
      <c r="J464" s="288"/>
      <c r="K464" s="288"/>
      <c r="L464" s="288"/>
      <c r="M464" s="288"/>
      <c r="N464" s="288"/>
      <c r="O464" s="288"/>
      <c r="P464" s="288"/>
      <c r="Q464" s="288"/>
      <c r="R464" s="288"/>
      <c r="S464" s="288"/>
      <c r="T464" s="288"/>
      <c r="U464" s="288"/>
      <c r="V464" s="288"/>
      <c r="W464" s="288"/>
      <c r="X464" s="288"/>
      <c r="Y464" s="288"/>
      <c r="Z464" s="288"/>
      <c r="AA464" s="288"/>
      <c r="AB464" s="288"/>
      <c r="AC464" s="288"/>
      <c r="AD464" s="288"/>
      <c r="AE464" s="288"/>
      <c r="AF464" s="288"/>
      <c r="AG464" s="288"/>
      <c r="AH464" s="288"/>
      <c r="AI464" s="288"/>
    </row>
    <row r="465" spans="1:35" ht="12.75" customHeight="1" x14ac:dyDescent="0.2">
      <c r="A465" s="288"/>
      <c r="B465" s="288"/>
      <c r="C465" s="288"/>
      <c r="D465" s="288"/>
      <c r="E465" s="288"/>
      <c r="F465" s="288"/>
      <c r="G465" s="288"/>
      <c r="H465" s="288"/>
      <c r="I465" s="288"/>
      <c r="J465" s="288"/>
      <c r="K465" s="288"/>
      <c r="L465" s="288"/>
      <c r="M465" s="288"/>
      <c r="N465" s="288"/>
      <c r="O465" s="288"/>
      <c r="P465" s="288"/>
      <c r="Q465" s="288"/>
      <c r="R465" s="288"/>
      <c r="S465" s="288"/>
      <c r="T465" s="288"/>
      <c r="U465" s="288"/>
      <c r="V465" s="288"/>
      <c r="W465" s="288"/>
      <c r="X465" s="288"/>
      <c r="Y465" s="288"/>
      <c r="Z465" s="288"/>
      <c r="AA465" s="288"/>
      <c r="AB465" s="288"/>
      <c r="AC465" s="288"/>
      <c r="AD465" s="288"/>
      <c r="AE465" s="288"/>
      <c r="AF465" s="288"/>
      <c r="AG465" s="288"/>
      <c r="AH465" s="288"/>
      <c r="AI465" s="288"/>
    </row>
    <row r="466" spans="1:35" ht="12.75" customHeight="1" x14ac:dyDescent="0.2">
      <c r="A466" s="288"/>
      <c r="B466" s="288"/>
      <c r="C466" s="288"/>
      <c r="D466" s="288"/>
      <c r="E466" s="288"/>
      <c r="F466" s="288"/>
      <c r="G466" s="288"/>
      <c r="H466" s="288"/>
      <c r="I466" s="288"/>
      <c r="J466" s="288"/>
      <c r="K466" s="288"/>
      <c r="L466" s="288"/>
      <c r="M466" s="288"/>
      <c r="N466" s="288"/>
      <c r="O466" s="288"/>
      <c r="P466" s="288"/>
      <c r="Q466" s="288"/>
      <c r="R466" s="288"/>
      <c r="S466" s="288"/>
      <c r="T466" s="288"/>
      <c r="U466" s="288"/>
      <c r="V466" s="288"/>
      <c r="W466" s="288"/>
      <c r="X466" s="288"/>
      <c r="Y466" s="288"/>
      <c r="Z466" s="288"/>
      <c r="AA466" s="288"/>
      <c r="AB466" s="288"/>
      <c r="AC466" s="288"/>
      <c r="AD466" s="288"/>
      <c r="AE466" s="288"/>
      <c r="AF466" s="288"/>
      <c r="AG466" s="288"/>
      <c r="AH466" s="288"/>
      <c r="AI466" s="288"/>
    </row>
    <row r="467" spans="1:35" ht="12.75" customHeight="1" x14ac:dyDescent="0.2">
      <c r="A467" s="288"/>
      <c r="B467" s="288"/>
      <c r="C467" s="288"/>
      <c r="D467" s="288"/>
      <c r="E467" s="288"/>
      <c r="F467" s="288"/>
      <c r="G467" s="288"/>
      <c r="H467" s="288"/>
      <c r="I467" s="288"/>
      <c r="J467" s="288"/>
      <c r="K467" s="288"/>
      <c r="L467" s="288"/>
      <c r="M467" s="288"/>
      <c r="N467" s="288"/>
      <c r="O467" s="288"/>
      <c r="P467" s="288"/>
      <c r="Q467" s="288"/>
      <c r="R467" s="288"/>
      <c r="S467" s="288"/>
      <c r="T467" s="288"/>
      <c r="U467" s="288"/>
      <c r="V467" s="288"/>
      <c r="W467" s="288"/>
      <c r="X467" s="288"/>
      <c r="Y467" s="288"/>
      <c r="Z467" s="288"/>
      <c r="AA467" s="288"/>
      <c r="AB467" s="288"/>
      <c r="AC467" s="288"/>
      <c r="AD467" s="288"/>
      <c r="AE467" s="288"/>
      <c r="AF467" s="288"/>
      <c r="AG467" s="288"/>
      <c r="AH467" s="288"/>
      <c r="AI467" s="288"/>
    </row>
    <row r="468" spans="1:35" ht="12.75" customHeight="1" x14ac:dyDescent="0.2">
      <c r="A468" s="288"/>
      <c r="B468" s="288"/>
      <c r="C468" s="288"/>
      <c r="D468" s="288"/>
      <c r="E468" s="288"/>
      <c r="F468" s="288"/>
      <c r="G468" s="288"/>
      <c r="H468" s="288"/>
      <c r="I468" s="288"/>
      <c r="J468" s="288"/>
      <c r="K468" s="288"/>
      <c r="L468" s="288"/>
      <c r="M468" s="288"/>
      <c r="N468" s="288"/>
      <c r="O468" s="288"/>
      <c r="P468" s="288"/>
      <c r="Q468" s="288"/>
      <c r="R468" s="288"/>
      <c r="S468" s="288"/>
      <c r="T468" s="288"/>
      <c r="U468" s="288"/>
      <c r="V468" s="288"/>
      <c r="W468" s="288"/>
      <c r="X468" s="288"/>
      <c r="Y468" s="288"/>
      <c r="Z468" s="288"/>
      <c r="AA468" s="288"/>
      <c r="AB468" s="288"/>
      <c r="AC468" s="288"/>
      <c r="AD468" s="288"/>
      <c r="AE468" s="288"/>
      <c r="AF468" s="288"/>
      <c r="AG468" s="288"/>
      <c r="AH468" s="288"/>
      <c r="AI468" s="288"/>
    </row>
    <row r="469" spans="1:35" ht="12.75" customHeight="1" x14ac:dyDescent="0.2">
      <c r="A469" s="288"/>
      <c r="B469" s="288"/>
      <c r="C469" s="288"/>
      <c r="D469" s="288"/>
      <c r="E469" s="288"/>
      <c r="F469" s="288"/>
      <c r="G469" s="288"/>
      <c r="H469" s="288"/>
      <c r="I469" s="288"/>
      <c r="J469" s="288"/>
      <c r="K469" s="288"/>
      <c r="L469" s="288"/>
      <c r="M469" s="288"/>
      <c r="N469" s="288"/>
      <c r="O469" s="288"/>
      <c r="P469" s="288"/>
      <c r="Q469" s="288"/>
      <c r="R469" s="288"/>
      <c r="S469" s="288"/>
      <c r="T469" s="288"/>
      <c r="U469" s="288"/>
      <c r="V469" s="288"/>
      <c r="W469" s="288"/>
      <c r="X469" s="288"/>
      <c r="Y469" s="288"/>
      <c r="Z469" s="288"/>
      <c r="AA469" s="288"/>
      <c r="AB469" s="288"/>
      <c r="AC469" s="288"/>
      <c r="AD469" s="288"/>
      <c r="AE469" s="288"/>
      <c r="AF469" s="288"/>
      <c r="AG469" s="288"/>
      <c r="AH469" s="288"/>
      <c r="AI469" s="288"/>
    </row>
    <row r="470" spans="1:35" ht="12.75" customHeight="1" x14ac:dyDescent="0.2">
      <c r="A470" s="288"/>
      <c r="B470" s="288"/>
      <c r="C470" s="288"/>
      <c r="D470" s="288"/>
      <c r="E470" s="288"/>
      <c r="F470" s="288"/>
      <c r="G470" s="288"/>
      <c r="H470" s="288"/>
      <c r="I470" s="288"/>
      <c r="J470" s="288"/>
      <c r="K470" s="288"/>
      <c r="L470" s="288"/>
      <c r="M470" s="288"/>
      <c r="N470" s="288"/>
      <c r="O470" s="288"/>
      <c r="P470" s="288"/>
      <c r="Q470" s="288"/>
      <c r="R470" s="288"/>
      <c r="S470" s="288"/>
      <c r="T470" s="288"/>
      <c r="U470" s="288"/>
      <c r="V470" s="288"/>
      <c r="W470" s="288"/>
      <c r="X470" s="288"/>
      <c r="Y470" s="288"/>
      <c r="Z470" s="288"/>
      <c r="AA470" s="288"/>
      <c r="AB470" s="288"/>
      <c r="AC470" s="288"/>
      <c r="AD470" s="288"/>
      <c r="AE470" s="288"/>
      <c r="AF470" s="288"/>
      <c r="AG470" s="288"/>
      <c r="AH470" s="288"/>
      <c r="AI470" s="288"/>
    </row>
    <row r="471" spans="1:35" ht="12.75" customHeight="1" x14ac:dyDescent="0.2">
      <c r="A471" s="288"/>
      <c r="B471" s="288"/>
      <c r="C471" s="288"/>
      <c r="D471" s="288"/>
      <c r="E471" s="288"/>
      <c r="F471" s="288"/>
      <c r="G471" s="288"/>
      <c r="H471" s="288"/>
      <c r="I471" s="288"/>
      <c r="J471" s="288"/>
      <c r="K471" s="288"/>
      <c r="L471" s="288"/>
      <c r="M471" s="288"/>
      <c r="N471" s="288"/>
      <c r="O471" s="288"/>
      <c r="P471" s="288"/>
      <c r="Q471" s="288"/>
      <c r="R471" s="288"/>
      <c r="S471" s="288"/>
      <c r="T471" s="288"/>
      <c r="U471" s="288"/>
      <c r="V471" s="288"/>
      <c r="W471" s="288"/>
      <c r="X471" s="288"/>
      <c r="Y471" s="288"/>
      <c r="Z471" s="288"/>
      <c r="AA471" s="288"/>
      <c r="AB471" s="288"/>
      <c r="AC471" s="288"/>
      <c r="AD471" s="288"/>
      <c r="AE471" s="288"/>
      <c r="AF471" s="288"/>
      <c r="AG471" s="288"/>
      <c r="AH471" s="288"/>
      <c r="AI471" s="288"/>
    </row>
    <row r="472" spans="1:35" ht="12.75" customHeight="1" x14ac:dyDescent="0.2">
      <c r="A472" s="288"/>
      <c r="B472" s="288"/>
      <c r="C472" s="288"/>
      <c r="D472" s="288"/>
      <c r="E472" s="288"/>
      <c r="F472" s="288"/>
      <c r="G472" s="288"/>
      <c r="H472" s="288"/>
      <c r="I472" s="288"/>
      <c r="J472" s="288"/>
      <c r="K472" s="288"/>
      <c r="L472" s="288"/>
      <c r="M472" s="288"/>
      <c r="N472" s="288"/>
      <c r="O472" s="288"/>
      <c r="P472" s="288"/>
      <c r="Q472" s="288"/>
      <c r="R472" s="288"/>
      <c r="S472" s="288"/>
      <c r="T472" s="288"/>
      <c r="U472" s="288"/>
      <c r="V472" s="288"/>
      <c r="W472" s="288"/>
      <c r="X472" s="288"/>
      <c r="Y472" s="288"/>
      <c r="Z472" s="288"/>
      <c r="AA472" s="288"/>
      <c r="AB472" s="288"/>
      <c r="AC472" s="288"/>
      <c r="AD472" s="288"/>
      <c r="AE472" s="288"/>
      <c r="AF472" s="288"/>
      <c r="AG472" s="288"/>
      <c r="AH472" s="288"/>
      <c r="AI472" s="288"/>
    </row>
    <row r="473" spans="1:35" ht="12.75" customHeight="1" x14ac:dyDescent="0.2">
      <c r="A473" s="288"/>
      <c r="B473" s="288"/>
      <c r="C473" s="288"/>
      <c r="D473" s="288"/>
      <c r="E473" s="288"/>
      <c r="F473" s="288"/>
      <c r="G473" s="288"/>
      <c r="H473" s="288"/>
      <c r="I473" s="288"/>
      <c r="J473" s="288"/>
      <c r="K473" s="288"/>
      <c r="L473" s="288"/>
      <c r="M473" s="288"/>
      <c r="N473" s="288"/>
      <c r="O473" s="288"/>
      <c r="P473" s="288"/>
      <c r="Q473" s="288"/>
      <c r="R473" s="288"/>
      <c r="S473" s="288"/>
      <c r="T473" s="288"/>
      <c r="U473" s="288"/>
      <c r="V473" s="288"/>
      <c r="W473" s="288"/>
      <c r="X473" s="288"/>
      <c r="Y473" s="288"/>
      <c r="Z473" s="288"/>
      <c r="AA473" s="288"/>
      <c r="AB473" s="288"/>
      <c r="AC473" s="288"/>
      <c r="AD473" s="288"/>
      <c r="AE473" s="288"/>
      <c r="AF473" s="288"/>
      <c r="AG473" s="288"/>
      <c r="AH473" s="288"/>
      <c r="AI473" s="288"/>
    </row>
    <row r="474" spans="1:35" ht="12.75" customHeight="1" x14ac:dyDescent="0.2">
      <c r="A474" s="288"/>
      <c r="B474" s="288"/>
      <c r="C474" s="288"/>
      <c r="D474" s="288"/>
      <c r="E474" s="288"/>
      <c r="F474" s="288"/>
      <c r="G474" s="288"/>
      <c r="H474" s="288"/>
      <c r="I474" s="288"/>
      <c r="J474" s="288"/>
      <c r="K474" s="288"/>
      <c r="L474" s="288"/>
      <c r="M474" s="288"/>
      <c r="N474" s="288"/>
      <c r="O474" s="288"/>
      <c r="P474" s="288"/>
      <c r="Q474" s="288"/>
      <c r="R474" s="288"/>
      <c r="S474" s="288"/>
      <c r="T474" s="288"/>
      <c r="U474" s="288"/>
      <c r="V474" s="288"/>
      <c r="W474" s="288"/>
      <c r="X474" s="288"/>
      <c r="Y474" s="288"/>
      <c r="Z474" s="288"/>
      <c r="AA474" s="288"/>
      <c r="AB474" s="288"/>
      <c r="AC474" s="288"/>
      <c r="AD474" s="288"/>
      <c r="AE474" s="288"/>
      <c r="AF474" s="288"/>
      <c r="AG474" s="288"/>
      <c r="AH474" s="288"/>
      <c r="AI474" s="288"/>
    </row>
    <row r="475" spans="1:35" ht="12.75" customHeight="1" x14ac:dyDescent="0.2">
      <c r="A475" s="288"/>
      <c r="B475" s="288"/>
      <c r="C475" s="288"/>
      <c r="D475" s="288"/>
      <c r="E475" s="288"/>
      <c r="F475" s="288"/>
      <c r="G475" s="288"/>
      <c r="H475" s="288"/>
      <c r="I475" s="288"/>
      <c r="J475" s="288"/>
      <c r="K475" s="288"/>
      <c r="L475" s="288"/>
      <c r="M475" s="288"/>
      <c r="N475" s="288"/>
      <c r="O475" s="288"/>
      <c r="P475" s="288"/>
      <c r="Q475" s="288"/>
      <c r="R475" s="288"/>
      <c r="S475" s="288"/>
      <c r="T475" s="288"/>
      <c r="U475" s="288"/>
      <c r="V475" s="288"/>
      <c r="W475" s="288"/>
      <c r="X475" s="288"/>
      <c r="Y475" s="288"/>
      <c r="Z475" s="288"/>
      <c r="AA475" s="288"/>
      <c r="AB475" s="288"/>
      <c r="AC475" s="288"/>
      <c r="AD475" s="288"/>
      <c r="AE475" s="288"/>
      <c r="AF475" s="288"/>
      <c r="AG475" s="288"/>
      <c r="AH475" s="288"/>
      <c r="AI475" s="288"/>
    </row>
    <row r="476" spans="1:35" ht="12.75" customHeight="1" x14ac:dyDescent="0.2">
      <c r="A476" s="288"/>
      <c r="B476" s="288"/>
      <c r="C476" s="288"/>
      <c r="D476" s="288"/>
      <c r="E476" s="288"/>
      <c r="F476" s="288"/>
      <c r="G476" s="288"/>
      <c r="H476" s="288"/>
      <c r="I476" s="288"/>
      <c r="J476" s="288"/>
      <c r="K476" s="288"/>
      <c r="L476" s="288"/>
      <c r="M476" s="288"/>
      <c r="N476" s="288"/>
      <c r="O476" s="288"/>
      <c r="P476" s="288"/>
      <c r="Q476" s="288"/>
      <c r="R476" s="288"/>
      <c r="S476" s="288"/>
      <c r="T476" s="288"/>
      <c r="U476" s="288"/>
      <c r="V476" s="288"/>
      <c r="W476" s="288"/>
      <c r="X476" s="288"/>
      <c r="Y476" s="288"/>
      <c r="Z476" s="288"/>
      <c r="AA476" s="288"/>
      <c r="AB476" s="288"/>
      <c r="AC476" s="288"/>
      <c r="AD476" s="288"/>
      <c r="AE476" s="288"/>
      <c r="AF476" s="288"/>
      <c r="AG476" s="288"/>
      <c r="AH476" s="288"/>
      <c r="AI476" s="288"/>
    </row>
    <row r="477" spans="1:35" ht="12.75" customHeight="1" x14ac:dyDescent="0.2">
      <c r="A477" s="288"/>
      <c r="B477" s="288"/>
      <c r="C477" s="288"/>
      <c r="D477" s="288"/>
      <c r="E477" s="288"/>
      <c r="F477" s="288"/>
      <c r="G477" s="288"/>
      <c r="H477" s="288"/>
      <c r="I477" s="288"/>
      <c r="J477" s="288"/>
      <c r="K477" s="288"/>
      <c r="L477" s="288"/>
      <c r="M477" s="288"/>
      <c r="N477" s="288"/>
      <c r="O477" s="288"/>
      <c r="P477" s="288"/>
      <c r="Q477" s="288"/>
      <c r="R477" s="288"/>
      <c r="S477" s="288"/>
      <c r="T477" s="288"/>
      <c r="U477" s="288"/>
      <c r="V477" s="288"/>
      <c r="W477" s="288"/>
      <c r="X477" s="288"/>
      <c r="Y477" s="288"/>
      <c r="Z477" s="288"/>
      <c r="AA477" s="288"/>
      <c r="AB477" s="288"/>
      <c r="AC477" s="288"/>
      <c r="AD477" s="288"/>
      <c r="AE477" s="288"/>
      <c r="AF477" s="288"/>
      <c r="AG477" s="288"/>
      <c r="AH477" s="288"/>
      <c r="AI477" s="288"/>
    </row>
    <row r="478" spans="1:35" ht="12.75" customHeight="1" x14ac:dyDescent="0.2">
      <c r="A478" s="288"/>
      <c r="B478" s="288"/>
      <c r="C478" s="288"/>
      <c r="D478" s="288"/>
      <c r="E478" s="288"/>
      <c r="F478" s="288"/>
      <c r="G478" s="288"/>
      <c r="H478" s="288"/>
      <c r="I478" s="288"/>
      <c r="J478" s="288"/>
      <c r="K478" s="288"/>
      <c r="L478" s="288"/>
      <c r="M478" s="288"/>
      <c r="N478" s="288"/>
      <c r="O478" s="288"/>
      <c r="P478" s="288"/>
      <c r="Q478" s="288"/>
      <c r="R478" s="288"/>
      <c r="S478" s="288"/>
      <c r="T478" s="288"/>
      <c r="U478" s="288"/>
      <c r="V478" s="288"/>
      <c r="W478" s="288"/>
      <c r="X478" s="288"/>
      <c r="Y478" s="288"/>
      <c r="Z478" s="288"/>
      <c r="AA478" s="288"/>
      <c r="AB478" s="288"/>
      <c r="AC478" s="288"/>
      <c r="AD478" s="288"/>
      <c r="AE478" s="288"/>
      <c r="AF478" s="288"/>
      <c r="AG478" s="288"/>
      <c r="AH478" s="288"/>
      <c r="AI478" s="288"/>
    </row>
    <row r="479" spans="1:35" ht="12.75" customHeight="1" x14ac:dyDescent="0.2">
      <c r="A479" s="288"/>
      <c r="B479" s="288"/>
      <c r="C479" s="288"/>
      <c r="D479" s="288"/>
      <c r="E479" s="288"/>
      <c r="F479" s="288"/>
      <c r="G479" s="288"/>
      <c r="H479" s="288"/>
      <c r="I479" s="288"/>
      <c r="J479" s="288"/>
      <c r="K479" s="288"/>
      <c r="L479" s="288"/>
      <c r="M479" s="288"/>
      <c r="N479" s="288"/>
      <c r="O479" s="288"/>
      <c r="P479" s="288"/>
      <c r="Q479" s="288"/>
      <c r="R479" s="288"/>
      <c r="S479" s="288"/>
      <c r="T479" s="288"/>
      <c r="U479" s="288"/>
      <c r="V479" s="288"/>
      <c r="W479" s="288"/>
      <c r="X479" s="288"/>
      <c r="Y479" s="288"/>
      <c r="Z479" s="288"/>
      <c r="AA479" s="288"/>
      <c r="AB479" s="288"/>
      <c r="AC479" s="288"/>
      <c r="AD479" s="288"/>
      <c r="AE479" s="288"/>
      <c r="AF479" s="288"/>
      <c r="AG479" s="288"/>
      <c r="AH479" s="288"/>
      <c r="AI479" s="288"/>
    </row>
    <row r="480" spans="1:35" ht="12.75" customHeight="1" x14ac:dyDescent="0.2">
      <c r="A480" s="288"/>
      <c r="B480" s="288"/>
      <c r="C480" s="288"/>
      <c r="D480" s="288"/>
      <c r="E480" s="288"/>
      <c r="F480" s="288"/>
      <c r="G480" s="288"/>
      <c r="H480" s="288"/>
      <c r="I480" s="288"/>
      <c r="J480" s="288"/>
      <c r="K480" s="288"/>
      <c r="L480" s="288"/>
      <c r="M480" s="288"/>
      <c r="N480" s="288"/>
      <c r="O480" s="288"/>
      <c r="P480" s="288"/>
      <c r="Q480" s="288"/>
      <c r="R480" s="288"/>
      <c r="S480" s="288"/>
      <c r="T480" s="288"/>
      <c r="U480" s="288"/>
      <c r="V480" s="288"/>
      <c r="W480" s="288"/>
      <c r="X480" s="288"/>
      <c r="Y480" s="288"/>
      <c r="Z480" s="288"/>
      <c r="AA480" s="288"/>
      <c r="AB480" s="288"/>
      <c r="AC480" s="288"/>
      <c r="AD480" s="288"/>
      <c r="AE480" s="288"/>
      <c r="AF480" s="288"/>
      <c r="AG480" s="288"/>
      <c r="AH480" s="288"/>
      <c r="AI480" s="288"/>
    </row>
    <row r="481" spans="1:35" ht="12.75" customHeight="1" x14ac:dyDescent="0.2">
      <c r="A481" s="288"/>
      <c r="B481" s="288"/>
      <c r="C481" s="288"/>
      <c r="D481" s="288"/>
      <c r="E481" s="288"/>
      <c r="F481" s="288"/>
      <c r="G481" s="288"/>
      <c r="H481" s="288"/>
      <c r="I481" s="288"/>
      <c r="J481" s="288"/>
      <c r="K481" s="288"/>
      <c r="L481" s="288"/>
      <c r="M481" s="288"/>
      <c r="N481" s="288"/>
      <c r="O481" s="288"/>
      <c r="P481" s="288"/>
      <c r="Q481" s="288"/>
      <c r="R481" s="288"/>
      <c r="S481" s="288"/>
      <c r="T481" s="288"/>
      <c r="U481" s="288"/>
      <c r="V481" s="288"/>
      <c r="W481" s="288"/>
      <c r="X481" s="288"/>
      <c r="Y481" s="288"/>
      <c r="Z481" s="288"/>
      <c r="AA481" s="288"/>
      <c r="AB481" s="288"/>
      <c r="AC481" s="288"/>
      <c r="AD481" s="288"/>
      <c r="AE481" s="288"/>
      <c r="AF481" s="288"/>
      <c r="AG481" s="288"/>
      <c r="AH481" s="288"/>
      <c r="AI481" s="288"/>
    </row>
    <row r="482" spans="1:35" ht="12.75" customHeight="1" x14ac:dyDescent="0.2">
      <c r="A482" s="288"/>
      <c r="B482" s="288"/>
      <c r="C482" s="288"/>
      <c r="D482" s="288"/>
      <c r="E482" s="288"/>
      <c r="F482" s="288"/>
      <c r="G482" s="288"/>
      <c r="H482" s="288"/>
      <c r="I482" s="288"/>
      <c r="J482" s="288"/>
      <c r="K482" s="288"/>
      <c r="L482" s="288"/>
      <c r="M482" s="288"/>
      <c r="N482" s="288"/>
      <c r="O482" s="288"/>
      <c r="P482" s="288"/>
      <c r="Q482" s="288"/>
      <c r="R482" s="288"/>
      <c r="S482" s="288"/>
      <c r="T482" s="288"/>
      <c r="U482" s="288"/>
      <c r="V482" s="288"/>
      <c r="W482" s="288"/>
      <c r="X482" s="288"/>
      <c r="Y482" s="288"/>
      <c r="Z482" s="288"/>
      <c r="AA482" s="288"/>
      <c r="AB482" s="288"/>
      <c r="AC482" s="288"/>
      <c r="AD482" s="288"/>
      <c r="AE482" s="288"/>
      <c r="AF482" s="288"/>
      <c r="AG482" s="288"/>
      <c r="AH482" s="288"/>
      <c r="AI482" s="288"/>
    </row>
    <row r="483" spans="1:35" ht="12.75" customHeight="1" x14ac:dyDescent="0.2">
      <c r="A483" s="288"/>
      <c r="B483" s="288"/>
      <c r="C483" s="288"/>
      <c r="D483" s="288"/>
      <c r="E483" s="288"/>
      <c r="F483" s="288"/>
      <c r="G483" s="288"/>
      <c r="H483" s="288"/>
      <c r="I483" s="288"/>
      <c r="J483" s="288"/>
      <c r="K483" s="288"/>
      <c r="L483" s="288"/>
      <c r="M483" s="288"/>
      <c r="N483" s="288"/>
      <c r="O483" s="288"/>
      <c r="P483" s="288"/>
      <c r="Q483" s="288"/>
      <c r="R483" s="288"/>
      <c r="S483" s="288"/>
      <c r="T483" s="288"/>
      <c r="U483" s="288"/>
      <c r="V483" s="288"/>
      <c r="W483" s="288"/>
      <c r="X483" s="288"/>
      <c r="Y483" s="288"/>
      <c r="Z483" s="288"/>
      <c r="AA483" s="288"/>
      <c r="AB483" s="288"/>
      <c r="AC483" s="288"/>
      <c r="AD483" s="288"/>
      <c r="AE483" s="288"/>
      <c r="AF483" s="288"/>
      <c r="AG483" s="288"/>
      <c r="AH483" s="288"/>
      <c r="AI483" s="288"/>
    </row>
    <row r="484" spans="1:35" ht="12.75" customHeight="1" x14ac:dyDescent="0.2">
      <c r="A484" s="288"/>
      <c r="B484" s="288"/>
      <c r="C484" s="288"/>
      <c r="D484" s="288"/>
      <c r="E484" s="288"/>
      <c r="F484" s="288"/>
      <c r="G484" s="288"/>
      <c r="H484" s="288"/>
      <c r="I484" s="288"/>
      <c r="J484" s="288"/>
      <c r="K484" s="288"/>
      <c r="L484" s="288"/>
      <c r="M484" s="288"/>
      <c r="N484" s="288"/>
      <c r="O484" s="288"/>
      <c r="P484" s="288"/>
      <c r="Q484" s="288"/>
      <c r="R484" s="288"/>
      <c r="S484" s="288"/>
      <c r="T484" s="288"/>
      <c r="U484" s="288"/>
      <c r="V484" s="288"/>
      <c r="W484" s="288"/>
      <c r="X484" s="288"/>
      <c r="Y484" s="288"/>
      <c r="Z484" s="288"/>
      <c r="AA484" s="288"/>
      <c r="AB484" s="288"/>
      <c r="AC484" s="288"/>
      <c r="AD484" s="288"/>
      <c r="AE484" s="288"/>
      <c r="AF484" s="288"/>
      <c r="AG484" s="288"/>
      <c r="AH484" s="288"/>
      <c r="AI484" s="288"/>
    </row>
    <row r="485" spans="1:35" ht="12.75" customHeight="1" x14ac:dyDescent="0.2">
      <c r="A485" s="288"/>
      <c r="B485" s="288"/>
      <c r="C485" s="288"/>
      <c r="D485" s="288"/>
      <c r="E485" s="288"/>
      <c r="F485" s="288"/>
      <c r="G485" s="288"/>
      <c r="H485" s="288"/>
      <c r="I485" s="288"/>
      <c r="J485" s="288"/>
      <c r="K485" s="288"/>
      <c r="L485" s="288"/>
      <c r="M485" s="288"/>
      <c r="N485" s="288"/>
      <c r="O485" s="288"/>
      <c r="P485" s="288"/>
      <c r="Q485" s="288"/>
      <c r="R485" s="288"/>
      <c r="S485" s="288"/>
      <c r="T485" s="288"/>
      <c r="U485" s="288"/>
      <c r="V485" s="288"/>
      <c r="W485" s="288"/>
      <c r="X485" s="288"/>
      <c r="Y485" s="288"/>
      <c r="Z485" s="288"/>
      <c r="AA485" s="288"/>
      <c r="AB485" s="288"/>
      <c r="AC485" s="288"/>
      <c r="AD485" s="288"/>
      <c r="AE485" s="288"/>
      <c r="AF485" s="288"/>
      <c r="AG485" s="288"/>
      <c r="AH485" s="288"/>
      <c r="AI485" s="288"/>
    </row>
    <row r="486" spans="1:35" ht="12.75" customHeight="1" x14ac:dyDescent="0.2">
      <c r="A486" s="288"/>
      <c r="B486" s="288"/>
      <c r="C486" s="288"/>
      <c r="D486" s="288"/>
      <c r="E486" s="288"/>
      <c r="F486" s="288"/>
      <c r="G486" s="288"/>
      <c r="H486" s="288"/>
      <c r="I486" s="288"/>
      <c r="J486" s="288"/>
      <c r="K486" s="288"/>
      <c r="L486" s="288"/>
      <c r="M486" s="288"/>
      <c r="N486" s="288"/>
      <c r="O486" s="288"/>
      <c r="P486" s="288"/>
      <c r="Q486" s="288"/>
      <c r="R486" s="288"/>
      <c r="S486" s="288"/>
      <c r="T486" s="288"/>
      <c r="U486" s="288"/>
      <c r="V486" s="288"/>
      <c r="W486" s="288"/>
      <c r="X486" s="288"/>
      <c r="Y486" s="288"/>
      <c r="Z486" s="288"/>
      <c r="AA486" s="288"/>
      <c r="AB486" s="288"/>
      <c r="AC486" s="288"/>
      <c r="AD486" s="288"/>
      <c r="AE486" s="288"/>
      <c r="AF486" s="288"/>
      <c r="AG486" s="288"/>
      <c r="AH486" s="288"/>
      <c r="AI486" s="288"/>
    </row>
    <row r="487" spans="1:35" ht="12.75" customHeight="1" x14ac:dyDescent="0.2">
      <c r="A487" s="288"/>
      <c r="B487" s="288"/>
      <c r="C487" s="288"/>
      <c r="D487" s="288"/>
      <c r="E487" s="288"/>
      <c r="F487" s="288"/>
      <c r="G487" s="288"/>
      <c r="H487" s="288"/>
      <c r="I487" s="288"/>
      <c r="J487" s="288"/>
      <c r="K487" s="288"/>
      <c r="L487" s="288"/>
      <c r="M487" s="288"/>
      <c r="N487" s="288"/>
      <c r="O487" s="288"/>
      <c r="P487" s="288"/>
      <c r="Q487" s="288"/>
      <c r="R487" s="288"/>
      <c r="S487" s="288"/>
      <c r="T487" s="288"/>
      <c r="U487" s="288"/>
      <c r="V487" s="288"/>
      <c r="W487" s="288"/>
      <c r="X487" s="288"/>
      <c r="Y487" s="288"/>
      <c r="Z487" s="288"/>
      <c r="AA487" s="288"/>
      <c r="AB487" s="288"/>
      <c r="AC487" s="288"/>
      <c r="AD487" s="288"/>
      <c r="AE487" s="288"/>
      <c r="AF487" s="288"/>
      <c r="AG487" s="288"/>
      <c r="AH487" s="288"/>
      <c r="AI487" s="288"/>
    </row>
    <row r="488" spans="1:35" ht="12.75" customHeight="1" x14ac:dyDescent="0.2">
      <c r="A488" s="288"/>
      <c r="B488" s="288"/>
      <c r="C488" s="288"/>
      <c r="D488" s="288"/>
      <c r="E488" s="288"/>
      <c r="F488" s="288"/>
      <c r="G488" s="288"/>
      <c r="H488" s="288"/>
      <c r="I488" s="288"/>
      <c r="J488" s="288"/>
      <c r="K488" s="288"/>
      <c r="L488" s="288"/>
      <c r="M488" s="288"/>
      <c r="N488" s="288"/>
      <c r="O488" s="288"/>
      <c r="P488" s="288"/>
      <c r="Q488" s="288"/>
      <c r="R488" s="288"/>
      <c r="S488" s="288"/>
      <c r="T488" s="288"/>
      <c r="U488" s="288"/>
      <c r="V488" s="288"/>
      <c r="W488" s="288"/>
      <c r="X488" s="288"/>
      <c r="Y488" s="288"/>
      <c r="Z488" s="288"/>
      <c r="AA488" s="288"/>
      <c r="AB488" s="288"/>
      <c r="AC488" s="288"/>
      <c r="AD488" s="288"/>
      <c r="AE488" s="288"/>
      <c r="AF488" s="288"/>
      <c r="AG488" s="288"/>
      <c r="AH488" s="288"/>
      <c r="AI488" s="288"/>
    </row>
    <row r="489" spans="1:35" ht="12.75" customHeight="1" x14ac:dyDescent="0.2">
      <c r="A489" s="288"/>
      <c r="B489" s="288"/>
      <c r="C489" s="288"/>
      <c r="D489" s="288"/>
      <c r="E489" s="288"/>
      <c r="F489" s="288"/>
      <c r="G489" s="288"/>
      <c r="H489" s="288"/>
      <c r="I489" s="288"/>
      <c r="J489" s="288"/>
      <c r="K489" s="288"/>
      <c r="L489" s="288"/>
      <c r="M489" s="288"/>
      <c r="N489" s="288"/>
      <c r="O489" s="288"/>
      <c r="P489" s="288"/>
      <c r="Q489" s="288"/>
      <c r="R489" s="288"/>
      <c r="S489" s="288"/>
      <c r="T489" s="288"/>
      <c r="U489" s="288"/>
      <c r="V489" s="288"/>
      <c r="W489" s="288"/>
      <c r="X489" s="288"/>
      <c r="Y489" s="288"/>
      <c r="Z489" s="288"/>
      <c r="AA489" s="288"/>
      <c r="AB489" s="288"/>
      <c r="AC489" s="288"/>
      <c r="AD489" s="288"/>
      <c r="AE489" s="288"/>
      <c r="AF489" s="288"/>
      <c r="AG489" s="288"/>
      <c r="AH489" s="288"/>
      <c r="AI489" s="288"/>
    </row>
    <row r="490" spans="1:35" ht="12.75" customHeight="1" x14ac:dyDescent="0.2">
      <c r="A490" s="288"/>
      <c r="B490" s="288"/>
      <c r="C490" s="288"/>
      <c r="D490" s="288"/>
      <c r="E490" s="288"/>
      <c r="F490" s="288"/>
      <c r="G490" s="288"/>
      <c r="H490" s="288"/>
      <c r="I490" s="288"/>
      <c r="J490" s="288"/>
      <c r="K490" s="288"/>
      <c r="L490" s="288"/>
      <c r="M490" s="288"/>
      <c r="N490" s="288"/>
      <c r="O490" s="288"/>
      <c r="P490" s="288"/>
      <c r="Q490" s="288"/>
      <c r="R490" s="288"/>
      <c r="S490" s="288"/>
      <c r="T490" s="288"/>
      <c r="U490" s="288"/>
      <c r="V490" s="288"/>
      <c r="W490" s="288"/>
      <c r="X490" s="288"/>
      <c r="Y490" s="288"/>
      <c r="Z490" s="288"/>
      <c r="AA490" s="288"/>
      <c r="AB490" s="288"/>
      <c r="AC490" s="288"/>
      <c r="AD490" s="288"/>
      <c r="AE490" s="288"/>
      <c r="AF490" s="288"/>
      <c r="AG490" s="288"/>
      <c r="AH490" s="288"/>
      <c r="AI490" s="288"/>
    </row>
    <row r="491" spans="1:35" ht="12.75" customHeight="1" x14ac:dyDescent="0.2">
      <c r="A491" s="288"/>
      <c r="B491" s="288"/>
      <c r="C491" s="288"/>
      <c r="D491" s="288"/>
      <c r="E491" s="288"/>
      <c r="F491" s="288"/>
      <c r="G491" s="288"/>
      <c r="H491" s="288"/>
      <c r="I491" s="288"/>
      <c r="J491" s="288"/>
      <c r="K491" s="288"/>
      <c r="L491" s="288"/>
      <c r="M491" s="288"/>
      <c r="N491" s="288"/>
      <c r="O491" s="288"/>
      <c r="P491" s="288"/>
      <c r="Q491" s="288"/>
      <c r="R491" s="288"/>
      <c r="S491" s="288"/>
      <c r="T491" s="288"/>
      <c r="U491" s="288"/>
      <c r="V491" s="288"/>
      <c r="W491" s="288"/>
      <c r="X491" s="288"/>
      <c r="Y491" s="288"/>
      <c r="Z491" s="288"/>
      <c r="AA491" s="288"/>
      <c r="AB491" s="288"/>
      <c r="AC491" s="288"/>
      <c r="AD491" s="288"/>
      <c r="AE491" s="288"/>
      <c r="AF491" s="288"/>
      <c r="AG491" s="288"/>
      <c r="AH491" s="288"/>
      <c r="AI491" s="288"/>
    </row>
    <row r="492" spans="1:35" ht="12.75" customHeight="1" x14ac:dyDescent="0.2">
      <c r="A492" s="288"/>
      <c r="B492" s="288"/>
      <c r="C492" s="288"/>
      <c r="D492" s="288"/>
      <c r="E492" s="288"/>
      <c r="F492" s="288"/>
      <c r="G492" s="288"/>
      <c r="H492" s="288"/>
      <c r="I492" s="288"/>
      <c r="J492" s="288"/>
      <c r="K492" s="288"/>
      <c r="L492" s="288"/>
      <c r="M492" s="288"/>
      <c r="N492" s="288"/>
      <c r="O492" s="288"/>
      <c r="P492" s="288"/>
      <c r="Q492" s="288"/>
      <c r="R492" s="288"/>
      <c r="S492" s="288"/>
      <c r="T492" s="288"/>
      <c r="U492" s="288"/>
      <c r="V492" s="288"/>
      <c r="W492" s="288"/>
      <c r="X492" s="288"/>
      <c r="Y492" s="288"/>
      <c r="Z492" s="288"/>
      <c r="AA492" s="288"/>
      <c r="AB492" s="288"/>
      <c r="AC492" s="288"/>
      <c r="AD492" s="288"/>
      <c r="AE492" s="288"/>
      <c r="AF492" s="288"/>
      <c r="AG492" s="288"/>
      <c r="AH492" s="288"/>
      <c r="AI492" s="288"/>
    </row>
    <row r="493" spans="1:35" ht="12.75" customHeight="1" x14ac:dyDescent="0.2">
      <c r="A493" s="288"/>
      <c r="B493" s="288"/>
      <c r="C493" s="288"/>
      <c r="D493" s="288"/>
      <c r="E493" s="288"/>
      <c r="F493" s="288"/>
      <c r="G493" s="288"/>
      <c r="H493" s="288"/>
      <c r="I493" s="288"/>
      <c r="J493" s="288"/>
      <c r="K493" s="288"/>
      <c r="L493" s="288"/>
      <c r="M493" s="288"/>
      <c r="N493" s="288"/>
      <c r="O493" s="288"/>
      <c r="P493" s="288"/>
      <c r="Q493" s="288"/>
      <c r="R493" s="288"/>
      <c r="S493" s="288"/>
      <c r="T493" s="288"/>
      <c r="U493" s="288"/>
      <c r="V493" s="288"/>
      <c r="W493" s="288"/>
      <c r="X493" s="288"/>
      <c r="Y493" s="288"/>
      <c r="Z493" s="288"/>
      <c r="AA493" s="288"/>
      <c r="AB493" s="288"/>
      <c r="AC493" s="288"/>
      <c r="AD493" s="288"/>
      <c r="AE493" s="288"/>
      <c r="AF493" s="288"/>
      <c r="AG493" s="288"/>
      <c r="AH493" s="288"/>
      <c r="AI493" s="288"/>
    </row>
    <row r="494" spans="1:35" ht="12.75" customHeight="1" x14ac:dyDescent="0.2">
      <c r="A494" s="288"/>
      <c r="B494" s="288"/>
      <c r="C494" s="288"/>
      <c r="D494" s="288"/>
      <c r="E494" s="288"/>
      <c r="F494" s="288"/>
      <c r="G494" s="288"/>
      <c r="H494" s="288"/>
      <c r="I494" s="288"/>
      <c r="J494" s="288"/>
      <c r="K494" s="288"/>
      <c r="L494" s="288"/>
      <c r="M494" s="288"/>
      <c r="N494" s="288"/>
      <c r="O494" s="288"/>
      <c r="P494" s="288"/>
      <c r="Q494" s="288"/>
      <c r="R494" s="288"/>
      <c r="S494" s="288"/>
      <c r="T494" s="288"/>
      <c r="U494" s="288"/>
      <c r="V494" s="288"/>
      <c r="W494" s="288"/>
      <c r="X494" s="288"/>
      <c r="Y494" s="288"/>
      <c r="Z494" s="288"/>
      <c r="AA494" s="288"/>
      <c r="AB494" s="288"/>
      <c r="AC494" s="288"/>
      <c r="AD494" s="288"/>
      <c r="AE494" s="288"/>
      <c r="AF494" s="288"/>
      <c r="AG494" s="288"/>
      <c r="AH494" s="288"/>
      <c r="AI494" s="288"/>
    </row>
    <row r="495" spans="1:35" ht="12.75" customHeight="1" x14ac:dyDescent="0.2">
      <c r="A495" s="288"/>
      <c r="B495" s="288"/>
      <c r="C495" s="288"/>
      <c r="D495" s="288"/>
      <c r="E495" s="288"/>
      <c r="F495" s="288"/>
      <c r="G495" s="288"/>
      <c r="H495" s="288"/>
      <c r="I495" s="288"/>
      <c r="J495" s="288"/>
      <c r="K495" s="288"/>
      <c r="L495" s="288"/>
      <c r="M495" s="288"/>
      <c r="N495" s="288"/>
      <c r="O495" s="288"/>
      <c r="P495" s="288"/>
      <c r="Q495" s="288"/>
      <c r="R495" s="288"/>
      <c r="S495" s="288"/>
      <c r="T495" s="288"/>
      <c r="U495" s="288"/>
      <c r="V495" s="288"/>
      <c r="W495" s="288"/>
      <c r="X495" s="288"/>
      <c r="Y495" s="288"/>
      <c r="Z495" s="288"/>
      <c r="AA495" s="288"/>
      <c r="AB495" s="288"/>
      <c r="AC495" s="288"/>
      <c r="AD495" s="288"/>
      <c r="AE495" s="288"/>
      <c r="AF495" s="288"/>
      <c r="AG495" s="288"/>
      <c r="AH495" s="288"/>
      <c r="AI495" s="288"/>
    </row>
    <row r="496" spans="1:35" ht="12.75" customHeight="1" x14ac:dyDescent="0.2">
      <c r="A496" s="288"/>
      <c r="B496" s="288"/>
      <c r="C496" s="288"/>
      <c r="D496" s="288"/>
      <c r="E496" s="288"/>
      <c r="F496" s="288"/>
      <c r="G496" s="288"/>
      <c r="H496" s="288"/>
      <c r="I496" s="288"/>
      <c r="J496" s="288"/>
      <c r="K496" s="288"/>
      <c r="L496" s="288"/>
      <c r="M496" s="288"/>
      <c r="N496" s="288"/>
      <c r="O496" s="288"/>
      <c r="P496" s="288"/>
      <c r="Q496" s="288"/>
      <c r="R496" s="288"/>
      <c r="S496" s="288"/>
      <c r="T496" s="288"/>
      <c r="U496" s="288"/>
      <c r="V496" s="288"/>
      <c r="W496" s="288"/>
      <c r="X496" s="288"/>
      <c r="Y496" s="288"/>
      <c r="Z496" s="288"/>
      <c r="AA496" s="288"/>
      <c r="AB496" s="288"/>
      <c r="AC496" s="288"/>
      <c r="AD496" s="288"/>
      <c r="AE496" s="288"/>
      <c r="AF496" s="288"/>
      <c r="AG496" s="288"/>
      <c r="AH496" s="288"/>
      <c r="AI496" s="288"/>
    </row>
    <row r="497" spans="1:35" ht="12.75" customHeight="1" x14ac:dyDescent="0.2">
      <c r="A497" s="288"/>
      <c r="B497" s="288"/>
      <c r="C497" s="288"/>
      <c r="D497" s="288"/>
      <c r="E497" s="288"/>
      <c r="F497" s="288"/>
      <c r="G497" s="288"/>
      <c r="H497" s="288"/>
      <c r="I497" s="288"/>
      <c r="J497" s="288"/>
      <c r="K497" s="288"/>
      <c r="L497" s="288"/>
      <c r="M497" s="288"/>
      <c r="N497" s="288"/>
      <c r="O497" s="288"/>
      <c r="P497" s="288"/>
      <c r="Q497" s="288"/>
      <c r="R497" s="288"/>
      <c r="S497" s="288"/>
      <c r="T497" s="288"/>
      <c r="U497" s="288"/>
      <c r="V497" s="288"/>
      <c r="W497" s="288"/>
      <c r="X497" s="288"/>
      <c r="Y497" s="288"/>
      <c r="Z497" s="288"/>
      <c r="AA497" s="288"/>
      <c r="AB497" s="288"/>
      <c r="AC497" s="288"/>
      <c r="AD497" s="288"/>
      <c r="AE497" s="288"/>
      <c r="AF497" s="288"/>
      <c r="AG497" s="288"/>
      <c r="AH497" s="288"/>
      <c r="AI497" s="288"/>
    </row>
    <row r="498" spans="1:35" ht="12.75" customHeight="1" x14ac:dyDescent="0.2">
      <c r="A498" s="288"/>
      <c r="B498" s="288"/>
      <c r="C498" s="288"/>
      <c r="D498" s="288"/>
      <c r="E498" s="288"/>
      <c r="F498" s="288"/>
      <c r="G498" s="288"/>
      <c r="H498" s="288"/>
      <c r="I498" s="288"/>
      <c r="J498" s="288"/>
      <c r="K498" s="288"/>
      <c r="L498" s="288"/>
      <c r="M498" s="288"/>
      <c r="N498" s="288"/>
      <c r="O498" s="288"/>
      <c r="P498" s="288"/>
      <c r="Q498" s="288"/>
      <c r="R498" s="288"/>
      <c r="S498" s="288"/>
      <c r="T498" s="288"/>
      <c r="U498" s="288"/>
      <c r="V498" s="288"/>
      <c r="W498" s="288"/>
      <c r="X498" s="288"/>
      <c r="Y498" s="288"/>
      <c r="Z498" s="288"/>
      <c r="AA498" s="288"/>
      <c r="AB498" s="288"/>
      <c r="AC498" s="288"/>
      <c r="AD498" s="288"/>
      <c r="AE498" s="288"/>
      <c r="AF498" s="288"/>
      <c r="AG498" s="288"/>
      <c r="AH498" s="288"/>
      <c r="AI498" s="288"/>
    </row>
    <row r="499" spans="1:35" ht="12.75" customHeight="1" x14ac:dyDescent="0.2">
      <c r="A499" s="288"/>
      <c r="B499" s="288"/>
      <c r="C499" s="288"/>
      <c r="D499" s="288"/>
      <c r="E499" s="288"/>
      <c r="F499" s="288"/>
      <c r="G499" s="288"/>
      <c r="H499" s="288"/>
      <c r="I499" s="288"/>
      <c r="J499" s="288"/>
      <c r="K499" s="288"/>
      <c r="L499" s="288"/>
      <c r="M499" s="288"/>
      <c r="N499" s="288"/>
      <c r="O499" s="288"/>
      <c r="P499" s="288"/>
      <c r="Q499" s="288"/>
      <c r="R499" s="288"/>
      <c r="S499" s="288"/>
      <c r="T499" s="288"/>
      <c r="U499" s="288"/>
      <c r="V499" s="288"/>
      <c r="W499" s="288"/>
      <c r="X499" s="288"/>
      <c r="Y499" s="288"/>
      <c r="Z499" s="288"/>
      <c r="AA499" s="288"/>
      <c r="AB499" s="288"/>
      <c r="AC499" s="288"/>
      <c r="AD499" s="288"/>
      <c r="AE499" s="288"/>
      <c r="AF499" s="288"/>
      <c r="AG499" s="288"/>
      <c r="AH499" s="288"/>
      <c r="AI499" s="288"/>
    </row>
    <row r="500" spans="1:35" ht="12.75" customHeight="1" x14ac:dyDescent="0.2">
      <c r="A500" s="288"/>
      <c r="B500" s="288"/>
      <c r="C500" s="288"/>
      <c r="D500" s="288"/>
      <c r="E500" s="288"/>
      <c r="F500" s="288"/>
      <c r="G500" s="288"/>
      <c r="H500" s="288"/>
      <c r="I500" s="288"/>
      <c r="J500" s="288"/>
      <c r="K500" s="288"/>
      <c r="L500" s="288"/>
      <c r="M500" s="288"/>
      <c r="N500" s="288"/>
      <c r="O500" s="288"/>
      <c r="P500" s="288"/>
      <c r="Q500" s="288"/>
      <c r="R500" s="288"/>
      <c r="S500" s="288"/>
      <c r="T500" s="288"/>
      <c r="U500" s="288"/>
      <c r="V500" s="288"/>
      <c r="W500" s="288"/>
      <c r="X500" s="288"/>
      <c r="Y500" s="288"/>
      <c r="Z500" s="288"/>
      <c r="AA500" s="288"/>
      <c r="AB500" s="288"/>
      <c r="AC500" s="288"/>
      <c r="AD500" s="288"/>
      <c r="AE500" s="288"/>
      <c r="AF500" s="288"/>
      <c r="AG500" s="288"/>
      <c r="AH500" s="288"/>
      <c r="AI500" s="288"/>
    </row>
    <row r="501" spans="1:35" ht="12.75" customHeight="1" x14ac:dyDescent="0.2">
      <c r="A501" s="288"/>
      <c r="B501" s="288"/>
      <c r="C501" s="288"/>
      <c r="D501" s="288"/>
      <c r="E501" s="288"/>
      <c r="F501" s="288"/>
      <c r="G501" s="288"/>
      <c r="H501" s="288"/>
      <c r="I501" s="288"/>
      <c r="J501" s="288"/>
      <c r="K501" s="288"/>
      <c r="L501" s="288"/>
      <c r="M501" s="288"/>
      <c r="N501" s="288"/>
      <c r="O501" s="288"/>
      <c r="P501" s="288"/>
      <c r="Q501" s="288"/>
      <c r="R501" s="288"/>
      <c r="S501" s="288"/>
      <c r="T501" s="288"/>
      <c r="U501" s="288"/>
      <c r="V501" s="288"/>
      <c r="W501" s="288"/>
      <c r="X501" s="288"/>
      <c r="Y501" s="288"/>
      <c r="Z501" s="288"/>
      <c r="AA501" s="288"/>
      <c r="AB501" s="288"/>
      <c r="AC501" s="288"/>
      <c r="AD501" s="288"/>
      <c r="AE501" s="288"/>
      <c r="AF501" s="288"/>
      <c r="AG501" s="288"/>
      <c r="AH501" s="288"/>
      <c r="AI501" s="288"/>
    </row>
    <row r="502" spans="1:35" ht="12.75" customHeight="1" x14ac:dyDescent="0.2">
      <c r="A502" s="288"/>
      <c r="B502" s="288"/>
      <c r="C502" s="288"/>
      <c r="D502" s="288"/>
      <c r="E502" s="288"/>
      <c r="F502" s="288"/>
      <c r="G502" s="288"/>
      <c r="H502" s="288"/>
      <c r="I502" s="288"/>
      <c r="J502" s="288"/>
      <c r="K502" s="288"/>
      <c r="L502" s="288"/>
      <c r="M502" s="288"/>
      <c r="N502" s="288"/>
      <c r="O502" s="288"/>
      <c r="P502" s="288"/>
      <c r="Q502" s="288"/>
      <c r="R502" s="288"/>
      <c r="S502" s="288"/>
      <c r="T502" s="288"/>
      <c r="U502" s="288"/>
      <c r="V502" s="288"/>
      <c r="W502" s="288"/>
      <c r="X502" s="288"/>
      <c r="Y502" s="288"/>
      <c r="Z502" s="288"/>
      <c r="AA502" s="288"/>
      <c r="AB502" s="288"/>
      <c r="AC502" s="288"/>
      <c r="AD502" s="288"/>
      <c r="AE502" s="288"/>
      <c r="AF502" s="288"/>
      <c r="AG502" s="288"/>
      <c r="AH502" s="288"/>
      <c r="AI502" s="288"/>
    </row>
    <row r="503" spans="1:35" ht="12.75" customHeight="1" x14ac:dyDescent="0.2">
      <c r="A503" s="288"/>
      <c r="B503" s="288"/>
      <c r="C503" s="288"/>
      <c r="D503" s="288"/>
      <c r="E503" s="288"/>
      <c r="F503" s="288"/>
      <c r="G503" s="288"/>
      <c r="H503" s="288"/>
      <c r="I503" s="288"/>
      <c r="J503" s="288"/>
      <c r="K503" s="288"/>
      <c r="L503" s="288"/>
      <c r="M503" s="288"/>
      <c r="N503" s="288"/>
      <c r="O503" s="288"/>
      <c r="P503" s="288"/>
      <c r="Q503" s="288"/>
      <c r="R503" s="288"/>
      <c r="S503" s="288"/>
      <c r="T503" s="288"/>
      <c r="U503" s="288"/>
      <c r="V503" s="288"/>
      <c r="W503" s="288"/>
      <c r="X503" s="288"/>
      <c r="Y503" s="288"/>
      <c r="Z503" s="288"/>
      <c r="AA503" s="288"/>
      <c r="AB503" s="288"/>
      <c r="AC503" s="288"/>
      <c r="AD503" s="288"/>
      <c r="AE503" s="288"/>
      <c r="AF503" s="288"/>
      <c r="AG503" s="288"/>
      <c r="AH503" s="288"/>
      <c r="AI503" s="288"/>
    </row>
    <row r="504" spans="1:35" ht="12.75" customHeight="1" x14ac:dyDescent="0.2">
      <c r="A504" s="288"/>
      <c r="B504" s="288"/>
      <c r="C504" s="288"/>
      <c r="D504" s="288"/>
      <c r="E504" s="288"/>
      <c r="F504" s="288"/>
      <c r="G504" s="288"/>
      <c r="H504" s="288"/>
      <c r="I504" s="288"/>
      <c r="J504" s="288"/>
      <c r="K504" s="288"/>
      <c r="L504" s="288"/>
      <c r="M504" s="288"/>
      <c r="N504" s="288"/>
      <c r="O504" s="288"/>
      <c r="P504" s="288"/>
      <c r="Q504" s="288"/>
      <c r="R504" s="288"/>
      <c r="S504" s="288"/>
      <c r="T504" s="288"/>
      <c r="U504" s="288"/>
      <c r="V504" s="288"/>
      <c r="W504" s="288"/>
      <c r="X504" s="288"/>
      <c r="Y504" s="288"/>
      <c r="Z504" s="288"/>
      <c r="AA504" s="288"/>
      <c r="AB504" s="288"/>
      <c r="AC504" s="288"/>
      <c r="AD504" s="288"/>
      <c r="AE504" s="288"/>
      <c r="AF504" s="288"/>
      <c r="AG504" s="288"/>
      <c r="AH504" s="288"/>
      <c r="AI504" s="288"/>
    </row>
    <row r="505" spans="1:35" ht="12.75" customHeight="1" x14ac:dyDescent="0.2">
      <c r="A505" s="288"/>
      <c r="B505" s="288"/>
      <c r="C505" s="288"/>
      <c r="D505" s="288"/>
      <c r="E505" s="288"/>
      <c r="F505" s="288"/>
      <c r="G505" s="288"/>
      <c r="H505" s="288"/>
      <c r="I505" s="288"/>
      <c r="J505" s="288"/>
      <c r="K505" s="288"/>
      <c r="L505" s="288"/>
      <c r="M505" s="288"/>
      <c r="N505" s="288"/>
      <c r="O505" s="288"/>
      <c r="P505" s="288"/>
      <c r="Q505" s="288"/>
      <c r="R505" s="288"/>
      <c r="S505" s="288"/>
      <c r="T505" s="288"/>
      <c r="U505" s="288"/>
      <c r="V505" s="288"/>
      <c r="W505" s="288"/>
      <c r="X505" s="288"/>
      <c r="Y505" s="288"/>
      <c r="Z505" s="288"/>
      <c r="AA505" s="288"/>
      <c r="AB505" s="288"/>
      <c r="AC505" s="288"/>
      <c r="AD505" s="288"/>
      <c r="AE505" s="288"/>
      <c r="AF505" s="288"/>
      <c r="AG505" s="288"/>
      <c r="AH505" s="288"/>
      <c r="AI505" s="288"/>
    </row>
    <row r="506" spans="1:35" ht="12.75" customHeight="1" x14ac:dyDescent="0.2">
      <c r="A506" s="288"/>
      <c r="B506" s="288"/>
      <c r="C506" s="288"/>
      <c r="D506" s="288"/>
      <c r="E506" s="288"/>
      <c r="F506" s="288"/>
      <c r="G506" s="288"/>
      <c r="H506" s="288"/>
      <c r="I506" s="288"/>
      <c r="J506" s="288"/>
      <c r="K506" s="288"/>
      <c r="L506" s="288"/>
      <c r="M506" s="288"/>
      <c r="N506" s="288"/>
      <c r="O506" s="288"/>
      <c r="P506" s="288"/>
      <c r="Q506" s="288"/>
      <c r="R506" s="288"/>
      <c r="S506" s="288"/>
      <c r="T506" s="288"/>
      <c r="U506" s="288"/>
      <c r="V506" s="288"/>
      <c r="W506" s="288"/>
      <c r="X506" s="288"/>
      <c r="Y506" s="288"/>
      <c r="Z506" s="288"/>
      <c r="AA506" s="288"/>
      <c r="AB506" s="288"/>
      <c r="AC506" s="288"/>
      <c r="AD506" s="288"/>
      <c r="AE506" s="288"/>
      <c r="AF506" s="288"/>
      <c r="AG506" s="288"/>
      <c r="AH506" s="288"/>
      <c r="AI506" s="288"/>
    </row>
    <row r="507" spans="1:35" ht="12.75" customHeight="1" x14ac:dyDescent="0.2">
      <c r="A507" s="288"/>
      <c r="B507" s="288"/>
      <c r="C507" s="288"/>
      <c r="D507" s="288"/>
      <c r="E507" s="288"/>
      <c r="F507" s="288"/>
      <c r="G507" s="288"/>
      <c r="H507" s="288"/>
      <c r="I507" s="288"/>
      <c r="J507" s="288"/>
      <c r="K507" s="288"/>
      <c r="L507" s="288"/>
      <c r="M507" s="288"/>
      <c r="N507" s="288"/>
      <c r="O507" s="288"/>
      <c r="P507" s="288"/>
      <c r="Q507" s="288"/>
      <c r="R507" s="288"/>
      <c r="S507" s="288"/>
      <c r="T507" s="288"/>
      <c r="U507" s="288"/>
      <c r="V507" s="288"/>
      <c r="W507" s="288"/>
      <c r="X507" s="288"/>
      <c r="Y507" s="288"/>
      <c r="Z507" s="288"/>
      <c r="AA507" s="288"/>
      <c r="AB507" s="288"/>
      <c r="AC507" s="288"/>
      <c r="AD507" s="288"/>
      <c r="AE507" s="288"/>
      <c r="AF507" s="288"/>
      <c r="AG507" s="288"/>
      <c r="AH507" s="288"/>
      <c r="AI507" s="288"/>
    </row>
    <row r="508" spans="1:35" ht="12.75" customHeight="1" x14ac:dyDescent="0.2">
      <c r="A508" s="288"/>
      <c r="B508" s="288"/>
      <c r="C508" s="288"/>
      <c r="D508" s="288"/>
      <c r="E508" s="288"/>
      <c r="F508" s="288"/>
      <c r="G508" s="288"/>
      <c r="H508" s="288"/>
      <c r="I508" s="288"/>
      <c r="J508" s="288"/>
      <c r="K508" s="288"/>
      <c r="L508" s="288"/>
      <c r="M508" s="288"/>
      <c r="N508" s="288"/>
      <c r="O508" s="288"/>
      <c r="P508" s="288"/>
      <c r="Q508" s="288"/>
      <c r="R508" s="288"/>
      <c r="S508" s="288"/>
      <c r="T508" s="288"/>
      <c r="U508" s="288"/>
      <c r="V508" s="288"/>
      <c r="W508" s="288"/>
      <c r="X508" s="288"/>
      <c r="Y508" s="288"/>
      <c r="Z508" s="288"/>
      <c r="AA508" s="288"/>
      <c r="AB508" s="288"/>
      <c r="AC508" s="288"/>
      <c r="AD508" s="288"/>
      <c r="AE508" s="288"/>
      <c r="AF508" s="288"/>
      <c r="AG508" s="288"/>
      <c r="AH508" s="288"/>
      <c r="AI508" s="288"/>
    </row>
    <row r="509" spans="1:35" ht="12.75" customHeight="1" x14ac:dyDescent="0.2">
      <c r="A509" s="288"/>
      <c r="B509" s="288"/>
      <c r="C509" s="288"/>
      <c r="D509" s="288"/>
      <c r="E509" s="288"/>
      <c r="F509" s="288"/>
      <c r="G509" s="288"/>
      <c r="H509" s="288"/>
      <c r="I509" s="288"/>
      <c r="J509" s="288"/>
      <c r="K509" s="288"/>
      <c r="L509" s="288"/>
      <c r="M509" s="288"/>
      <c r="N509" s="288"/>
      <c r="O509" s="288"/>
      <c r="P509" s="288"/>
      <c r="Q509" s="288"/>
      <c r="R509" s="288"/>
      <c r="S509" s="288"/>
      <c r="T509" s="288"/>
      <c r="U509" s="288"/>
      <c r="V509" s="288"/>
      <c r="W509" s="288"/>
      <c r="X509" s="288"/>
      <c r="Y509" s="288"/>
      <c r="Z509" s="288"/>
      <c r="AA509" s="288"/>
      <c r="AB509" s="288"/>
      <c r="AC509" s="288"/>
      <c r="AD509" s="288"/>
      <c r="AE509" s="288"/>
      <c r="AF509" s="288"/>
      <c r="AG509" s="288"/>
      <c r="AH509" s="288"/>
      <c r="AI509" s="288"/>
    </row>
    <row r="510" spans="1:35" ht="12.75" customHeight="1" x14ac:dyDescent="0.2">
      <c r="A510" s="288"/>
      <c r="B510" s="288"/>
      <c r="C510" s="288"/>
      <c r="D510" s="288"/>
      <c r="E510" s="288"/>
      <c r="F510" s="288"/>
      <c r="G510" s="288"/>
      <c r="H510" s="288"/>
      <c r="I510" s="288"/>
      <c r="J510" s="288"/>
      <c r="K510" s="288"/>
      <c r="L510" s="288"/>
      <c r="M510" s="288"/>
      <c r="N510" s="288"/>
      <c r="O510" s="288"/>
      <c r="P510" s="288"/>
      <c r="Q510" s="288"/>
      <c r="R510" s="288"/>
      <c r="S510" s="288"/>
      <c r="T510" s="288"/>
      <c r="U510" s="288"/>
      <c r="V510" s="288"/>
      <c r="W510" s="288"/>
      <c r="X510" s="288"/>
      <c r="Y510" s="288"/>
      <c r="Z510" s="288"/>
      <c r="AA510" s="288"/>
      <c r="AB510" s="288"/>
      <c r="AC510" s="288"/>
      <c r="AD510" s="288"/>
      <c r="AE510" s="288"/>
      <c r="AF510" s="288"/>
      <c r="AG510" s="288"/>
      <c r="AH510" s="288"/>
      <c r="AI510" s="288"/>
    </row>
    <row r="511" spans="1:35" ht="12.75" customHeight="1" x14ac:dyDescent="0.2">
      <c r="A511" s="288"/>
      <c r="B511" s="288"/>
      <c r="C511" s="288"/>
      <c r="D511" s="288"/>
      <c r="E511" s="288"/>
      <c r="F511" s="288"/>
      <c r="G511" s="288"/>
      <c r="H511" s="288"/>
      <c r="I511" s="288"/>
      <c r="J511" s="288"/>
      <c r="K511" s="288"/>
      <c r="L511" s="288"/>
      <c r="M511" s="288"/>
      <c r="N511" s="288"/>
      <c r="O511" s="288"/>
      <c r="P511" s="288"/>
      <c r="Q511" s="288"/>
      <c r="R511" s="288"/>
      <c r="S511" s="288"/>
      <c r="T511" s="288"/>
      <c r="U511" s="288"/>
      <c r="V511" s="288"/>
      <c r="W511" s="288"/>
      <c r="X511" s="288"/>
      <c r="Y511" s="288"/>
      <c r="Z511" s="288"/>
      <c r="AA511" s="288"/>
      <c r="AB511" s="288"/>
      <c r="AC511" s="288"/>
      <c r="AD511" s="288"/>
      <c r="AE511" s="288"/>
      <c r="AF511" s="288"/>
      <c r="AG511" s="288"/>
      <c r="AH511" s="288"/>
      <c r="AI511" s="288"/>
    </row>
    <row r="512" spans="1:35" ht="12.75" customHeight="1" x14ac:dyDescent="0.2">
      <c r="A512" s="288"/>
      <c r="B512" s="288"/>
      <c r="C512" s="288"/>
      <c r="D512" s="288"/>
      <c r="E512" s="288"/>
      <c r="F512" s="288"/>
      <c r="G512" s="288"/>
      <c r="H512" s="288"/>
      <c r="I512" s="288"/>
      <c r="J512" s="288"/>
      <c r="K512" s="288"/>
      <c r="L512" s="288"/>
      <c r="M512" s="288"/>
      <c r="N512" s="288"/>
      <c r="O512" s="288"/>
      <c r="P512" s="288"/>
      <c r="Q512" s="288"/>
      <c r="R512" s="288"/>
      <c r="S512" s="288"/>
      <c r="T512" s="288"/>
      <c r="U512" s="288"/>
      <c r="V512" s="288"/>
      <c r="W512" s="288"/>
      <c r="X512" s="288"/>
      <c r="Y512" s="288"/>
      <c r="Z512" s="288"/>
      <c r="AA512" s="288"/>
      <c r="AB512" s="288"/>
      <c r="AC512" s="288"/>
      <c r="AD512" s="288"/>
      <c r="AE512" s="288"/>
      <c r="AF512" s="288"/>
      <c r="AG512" s="288"/>
      <c r="AH512" s="288"/>
      <c r="AI512" s="288"/>
    </row>
    <row r="513" spans="1:35" ht="12.75" customHeight="1" x14ac:dyDescent="0.2">
      <c r="A513" s="288"/>
      <c r="B513" s="288"/>
      <c r="C513" s="288"/>
      <c r="D513" s="288"/>
      <c r="E513" s="288"/>
      <c r="F513" s="288"/>
      <c r="G513" s="288"/>
      <c r="H513" s="288"/>
      <c r="I513" s="288"/>
      <c r="J513" s="288"/>
      <c r="K513" s="288"/>
      <c r="L513" s="288"/>
      <c r="M513" s="288"/>
      <c r="N513" s="288"/>
      <c r="O513" s="288"/>
      <c r="P513" s="288"/>
      <c r="Q513" s="288"/>
      <c r="R513" s="288"/>
      <c r="S513" s="288"/>
      <c r="T513" s="288"/>
      <c r="U513" s="288"/>
      <c r="V513" s="288"/>
      <c r="W513" s="288"/>
      <c r="X513" s="288"/>
      <c r="Y513" s="288"/>
      <c r="Z513" s="288"/>
      <c r="AA513" s="288"/>
      <c r="AB513" s="288"/>
      <c r="AC513" s="288"/>
      <c r="AD513" s="288"/>
      <c r="AE513" s="288"/>
      <c r="AF513" s="288"/>
      <c r="AG513" s="288"/>
      <c r="AH513" s="288"/>
      <c r="AI513" s="288"/>
    </row>
    <row r="514" spans="1:35" ht="12.75" customHeight="1" x14ac:dyDescent="0.2">
      <c r="A514" s="288"/>
      <c r="B514" s="288"/>
      <c r="C514" s="288"/>
      <c r="D514" s="288"/>
      <c r="E514" s="288"/>
      <c r="F514" s="288"/>
      <c r="G514" s="288"/>
      <c r="H514" s="288"/>
      <c r="I514" s="288"/>
      <c r="J514" s="288"/>
      <c r="K514" s="288"/>
      <c r="L514" s="288"/>
      <c r="M514" s="288"/>
      <c r="N514" s="288"/>
      <c r="O514" s="288"/>
      <c r="P514" s="288"/>
      <c r="Q514" s="288"/>
      <c r="R514" s="288"/>
      <c r="S514" s="288"/>
      <c r="T514" s="288"/>
      <c r="U514" s="288"/>
      <c r="V514" s="288"/>
      <c r="W514" s="288"/>
      <c r="X514" s="288"/>
      <c r="Y514" s="288"/>
      <c r="Z514" s="288"/>
      <c r="AA514" s="288"/>
      <c r="AB514" s="288"/>
      <c r="AC514" s="288"/>
      <c r="AD514" s="288"/>
      <c r="AE514" s="288"/>
      <c r="AF514" s="288"/>
      <c r="AG514" s="288"/>
      <c r="AH514" s="288"/>
      <c r="AI514" s="288"/>
    </row>
    <row r="515" spans="1:35" ht="12.75" customHeight="1" x14ac:dyDescent="0.2">
      <c r="A515" s="288"/>
      <c r="B515" s="288"/>
      <c r="C515" s="288"/>
      <c r="D515" s="288"/>
      <c r="E515" s="288"/>
      <c r="F515" s="288"/>
      <c r="G515" s="288"/>
      <c r="H515" s="288"/>
      <c r="I515" s="288"/>
      <c r="J515" s="288"/>
      <c r="K515" s="288"/>
      <c r="L515" s="288"/>
      <c r="M515" s="288"/>
      <c r="N515" s="288"/>
      <c r="O515" s="288"/>
      <c r="P515" s="288"/>
      <c r="Q515" s="288"/>
      <c r="R515" s="288"/>
      <c r="S515" s="288"/>
      <c r="T515" s="288"/>
      <c r="U515" s="288"/>
      <c r="V515" s="288"/>
      <c r="W515" s="288"/>
      <c r="X515" s="288"/>
      <c r="Y515" s="288"/>
      <c r="Z515" s="288"/>
      <c r="AA515" s="288"/>
      <c r="AB515" s="288"/>
      <c r="AC515" s="288"/>
      <c r="AD515" s="288"/>
      <c r="AE515" s="288"/>
      <c r="AF515" s="288"/>
      <c r="AG515" s="288"/>
      <c r="AH515" s="288"/>
      <c r="AI515" s="288"/>
    </row>
    <row r="516" spans="1:35" ht="12.75" customHeight="1" x14ac:dyDescent="0.2">
      <c r="A516" s="288"/>
      <c r="B516" s="288"/>
      <c r="C516" s="288"/>
      <c r="D516" s="288"/>
      <c r="E516" s="288"/>
      <c r="F516" s="288"/>
      <c r="G516" s="288"/>
      <c r="H516" s="288"/>
      <c r="I516" s="288"/>
      <c r="J516" s="288"/>
      <c r="K516" s="288"/>
      <c r="L516" s="288"/>
      <c r="M516" s="288"/>
      <c r="N516" s="288"/>
      <c r="O516" s="288"/>
      <c r="P516" s="288"/>
      <c r="Q516" s="288"/>
      <c r="R516" s="288"/>
      <c r="S516" s="288"/>
      <c r="T516" s="288"/>
      <c r="U516" s="288"/>
      <c r="V516" s="288"/>
      <c r="W516" s="288"/>
      <c r="X516" s="288"/>
      <c r="Y516" s="288"/>
      <c r="Z516" s="288"/>
      <c r="AA516" s="288"/>
      <c r="AB516" s="288"/>
      <c r="AC516" s="288"/>
      <c r="AD516" s="288"/>
      <c r="AE516" s="288"/>
      <c r="AF516" s="288"/>
      <c r="AG516" s="288"/>
      <c r="AH516" s="288"/>
      <c r="AI516" s="288"/>
    </row>
    <row r="517" spans="1:35" ht="12.75" customHeight="1" x14ac:dyDescent="0.2">
      <c r="A517" s="288"/>
      <c r="B517" s="288"/>
      <c r="C517" s="288"/>
      <c r="D517" s="288"/>
      <c r="E517" s="288"/>
      <c r="F517" s="288"/>
      <c r="G517" s="288"/>
      <c r="H517" s="288"/>
      <c r="I517" s="288"/>
      <c r="J517" s="288"/>
      <c r="K517" s="288"/>
      <c r="L517" s="288"/>
      <c r="M517" s="288"/>
      <c r="N517" s="288"/>
      <c r="O517" s="288"/>
      <c r="P517" s="288"/>
      <c r="Q517" s="288"/>
      <c r="R517" s="288"/>
      <c r="S517" s="288"/>
      <c r="T517" s="288"/>
      <c r="U517" s="288"/>
      <c r="V517" s="288"/>
      <c r="W517" s="288"/>
      <c r="X517" s="288"/>
      <c r="Y517" s="288"/>
      <c r="Z517" s="288"/>
      <c r="AA517" s="288"/>
      <c r="AB517" s="288"/>
      <c r="AC517" s="288"/>
      <c r="AD517" s="288"/>
      <c r="AE517" s="288"/>
      <c r="AF517" s="288"/>
      <c r="AG517" s="288"/>
      <c r="AH517" s="288"/>
      <c r="AI517" s="288"/>
    </row>
    <row r="518" spans="1:35" ht="12.75" customHeight="1" x14ac:dyDescent="0.2">
      <c r="A518" s="288"/>
      <c r="B518" s="288"/>
      <c r="C518" s="288"/>
      <c r="D518" s="288"/>
      <c r="E518" s="288"/>
      <c r="F518" s="288"/>
      <c r="G518" s="288"/>
      <c r="H518" s="288"/>
      <c r="I518" s="288"/>
      <c r="J518" s="288"/>
      <c r="K518" s="288"/>
      <c r="L518" s="288"/>
      <c r="M518" s="288"/>
      <c r="N518" s="288"/>
      <c r="O518" s="288"/>
      <c r="P518" s="288"/>
      <c r="Q518" s="288"/>
      <c r="R518" s="288"/>
      <c r="S518" s="288"/>
      <c r="T518" s="288"/>
      <c r="U518" s="288"/>
      <c r="V518" s="288"/>
      <c r="W518" s="288"/>
      <c r="X518" s="288"/>
      <c r="Y518" s="288"/>
      <c r="Z518" s="288"/>
      <c r="AA518" s="288"/>
      <c r="AB518" s="288"/>
      <c r="AC518" s="288"/>
      <c r="AD518" s="288"/>
      <c r="AE518" s="288"/>
      <c r="AF518" s="288"/>
      <c r="AG518" s="288"/>
      <c r="AH518" s="288"/>
      <c r="AI518" s="288"/>
    </row>
    <row r="519" spans="1:35" ht="12.75" customHeight="1" x14ac:dyDescent="0.2">
      <c r="A519" s="288"/>
      <c r="B519" s="288"/>
      <c r="C519" s="288"/>
      <c r="D519" s="288"/>
      <c r="E519" s="288"/>
      <c r="F519" s="288"/>
      <c r="G519" s="288"/>
      <c r="H519" s="288"/>
      <c r="I519" s="288"/>
      <c r="J519" s="288"/>
      <c r="K519" s="288"/>
      <c r="L519" s="288"/>
      <c r="M519" s="288"/>
      <c r="N519" s="288"/>
      <c r="O519" s="288"/>
      <c r="P519" s="288"/>
      <c r="Q519" s="288"/>
      <c r="R519" s="288"/>
      <c r="S519" s="288"/>
      <c r="T519" s="288"/>
      <c r="U519" s="288"/>
      <c r="V519" s="288"/>
      <c r="W519" s="288"/>
      <c r="X519" s="288"/>
      <c r="Y519" s="288"/>
      <c r="Z519" s="288"/>
      <c r="AA519" s="288"/>
      <c r="AB519" s="288"/>
      <c r="AC519" s="288"/>
      <c r="AD519" s="288"/>
      <c r="AE519" s="288"/>
      <c r="AF519" s="288"/>
      <c r="AG519" s="288"/>
      <c r="AH519" s="288"/>
      <c r="AI519" s="288"/>
    </row>
    <row r="520" spans="1:35" ht="12.75" customHeight="1" x14ac:dyDescent="0.2">
      <c r="A520" s="288"/>
      <c r="B520" s="288"/>
      <c r="C520" s="288"/>
      <c r="D520" s="288"/>
      <c r="E520" s="288"/>
      <c r="F520" s="288"/>
      <c r="G520" s="288"/>
      <c r="H520" s="288"/>
      <c r="I520" s="288"/>
      <c r="J520" s="288"/>
      <c r="K520" s="288"/>
      <c r="L520" s="288"/>
      <c r="M520" s="288"/>
      <c r="N520" s="288"/>
      <c r="O520" s="288"/>
      <c r="P520" s="288"/>
      <c r="Q520" s="288"/>
      <c r="R520" s="288"/>
      <c r="S520" s="288"/>
      <c r="T520" s="288"/>
      <c r="U520" s="288"/>
      <c r="V520" s="288"/>
      <c r="W520" s="288"/>
      <c r="X520" s="288"/>
      <c r="Y520" s="288"/>
      <c r="Z520" s="288"/>
      <c r="AA520" s="288"/>
      <c r="AB520" s="288"/>
      <c r="AC520" s="288"/>
      <c r="AD520" s="288"/>
      <c r="AE520" s="288"/>
      <c r="AF520" s="288"/>
      <c r="AG520" s="288"/>
      <c r="AH520" s="288"/>
      <c r="AI520" s="288"/>
    </row>
    <row r="521" spans="1:35" ht="12.75" customHeight="1" x14ac:dyDescent="0.2">
      <c r="A521" s="288"/>
      <c r="B521" s="288"/>
      <c r="C521" s="288"/>
      <c r="D521" s="288"/>
      <c r="E521" s="288"/>
      <c r="F521" s="288"/>
      <c r="G521" s="288"/>
      <c r="H521" s="288"/>
      <c r="I521" s="288"/>
      <c r="J521" s="288"/>
      <c r="K521" s="288"/>
      <c r="L521" s="288"/>
      <c r="M521" s="288"/>
      <c r="N521" s="288"/>
      <c r="O521" s="288"/>
      <c r="P521" s="288"/>
      <c r="Q521" s="288"/>
      <c r="R521" s="288"/>
      <c r="S521" s="288"/>
      <c r="T521" s="288"/>
      <c r="U521" s="288"/>
      <c r="V521" s="288"/>
      <c r="W521" s="288"/>
      <c r="X521" s="288"/>
      <c r="Y521" s="288"/>
      <c r="Z521" s="288"/>
      <c r="AA521" s="288"/>
      <c r="AB521" s="288"/>
      <c r="AC521" s="288"/>
      <c r="AD521" s="288"/>
      <c r="AE521" s="288"/>
      <c r="AF521" s="288"/>
      <c r="AG521" s="288"/>
      <c r="AH521" s="288"/>
      <c r="AI521" s="288"/>
    </row>
    <row r="522" spans="1:35" ht="12.75" customHeight="1" x14ac:dyDescent="0.2">
      <c r="A522" s="288"/>
      <c r="B522" s="288"/>
      <c r="C522" s="288"/>
      <c r="D522" s="288"/>
      <c r="E522" s="288"/>
      <c r="F522" s="288"/>
      <c r="G522" s="288"/>
      <c r="H522" s="288"/>
      <c r="I522" s="288"/>
      <c r="J522" s="288"/>
      <c r="K522" s="288"/>
      <c r="L522" s="288"/>
      <c r="M522" s="288"/>
      <c r="N522" s="288"/>
      <c r="O522" s="288"/>
      <c r="P522" s="288"/>
      <c r="Q522" s="288"/>
      <c r="R522" s="288"/>
      <c r="S522" s="288"/>
      <c r="T522" s="288"/>
      <c r="U522" s="288"/>
      <c r="V522" s="288"/>
      <c r="W522" s="288"/>
      <c r="X522" s="288"/>
      <c r="Y522" s="288"/>
      <c r="Z522" s="288"/>
      <c r="AA522" s="288"/>
      <c r="AB522" s="288"/>
      <c r="AC522" s="288"/>
      <c r="AD522" s="288"/>
      <c r="AE522" s="288"/>
      <c r="AF522" s="288"/>
      <c r="AG522" s="288"/>
      <c r="AH522" s="288"/>
      <c r="AI522" s="288"/>
    </row>
    <row r="523" spans="1:35" ht="12.75" customHeight="1" x14ac:dyDescent="0.2">
      <c r="A523" s="288"/>
      <c r="B523" s="288"/>
      <c r="C523" s="288"/>
      <c r="D523" s="288"/>
      <c r="E523" s="288"/>
      <c r="F523" s="288"/>
      <c r="G523" s="288"/>
      <c r="H523" s="288"/>
      <c r="I523" s="288"/>
      <c r="J523" s="288"/>
      <c r="K523" s="288"/>
      <c r="L523" s="288"/>
      <c r="M523" s="288"/>
      <c r="N523" s="288"/>
      <c r="O523" s="288"/>
      <c r="P523" s="288"/>
      <c r="Q523" s="288"/>
      <c r="R523" s="288"/>
      <c r="S523" s="288"/>
      <c r="T523" s="288"/>
      <c r="U523" s="288"/>
      <c r="V523" s="288"/>
      <c r="W523" s="288"/>
      <c r="X523" s="288"/>
      <c r="Y523" s="288"/>
      <c r="Z523" s="288"/>
      <c r="AA523" s="288"/>
      <c r="AB523" s="288"/>
      <c r="AC523" s="288"/>
      <c r="AD523" s="288"/>
      <c r="AE523" s="288"/>
      <c r="AF523" s="288"/>
      <c r="AG523" s="288"/>
      <c r="AH523" s="288"/>
      <c r="AI523" s="288"/>
    </row>
    <row r="524" spans="1:35" ht="12.75" customHeight="1" x14ac:dyDescent="0.2">
      <c r="A524" s="288"/>
      <c r="B524" s="288"/>
      <c r="C524" s="288"/>
      <c r="D524" s="288"/>
      <c r="E524" s="288"/>
      <c r="F524" s="288"/>
      <c r="G524" s="288"/>
      <c r="H524" s="288"/>
      <c r="I524" s="288"/>
      <c r="J524" s="288"/>
      <c r="K524" s="288"/>
      <c r="L524" s="288"/>
      <c r="M524" s="288"/>
      <c r="N524" s="288"/>
      <c r="O524" s="288"/>
      <c r="P524" s="288"/>
      <c r="Q524" s="288"/>
      <c r="R524" s="288"/>
      <c r="S524" s="288"/>
      <c r="T524" s="288"/>
      <c r="U524" s="288"/>
      <c r="V524" s="288"/>
      <c r="W524" s="288"/>
      <c r="X524" s="288"/>
      <c r="Y524" s="288"/>
      <c r="Z524" s="288"/>
      <c r="AA524" s="288"/>
      <c r="AB524" s="288"/>
      <c r="AC524" s="288"/>
      <c r="AD524" s="288"/>
      <c r="AE524" s="288"/>
      <c r="AF524" s="288"/>
      <c r="AG524" s="288"/>
      <c r="AH524" s="288"/>
      <c r="AI524" s="288"/>
    </row>
    <row r="525" spans="1:35" ht="12.75" customHeight="1" x14ac:dyDescent="0.2">
      <c r="A525" s="288"/>
      <c r="B525" s="288"/>
      <c r="C525" s="288"/>
      <c r="D525" s="288"/>
      <c r="E525" s="288"/>
      <c r="F525" s="288"/>
      <c r="G525" s="288"/>
      <c r="H525" s="288"/>
      <c r="I525" s="288"/>
      <c r="J525" s="288"/>
      <c r="K525" s="288"/>
      <c r="L525" s="288"/>
      <c r="M525" s="288"/>
      <c r="N525" s="288"/>
      <c r="O525" s="288"/>
      <c r="P525" s="288"/>
      <c r="Q525" s="288"/>
      <c r="R525" s="288"/>
      <c r="S525" s="288"/>
      <c r="T525" s="288"/>
      <c r="U525" s="288"/>
      <c r="V525" s="288"/>
      <c r="W525" s="288"/>
      <c r="X525" s="288"/>
      <c r="Y525" s="288"/>
      <c r="Z525" s="288"/>
      <c r="AA525" s="288"/>
      <c r="AB525" s="288"/>
      <c r="AC525" s="288"/>
      <c r="AD525" s="288"/>
      <c r="AE525" s="288"/>
      <c r="AF525" s="288"/>
      <c r="AG525" s="288"/>
      <c r="AH525" s="288"/>
      <c r="AI525" s="288"/>
    </row>
    <row r="526" spans="1:35" ht="12.75" customHeight="1" x14ac:dyDescent="0.2">
      <c r="A526" s="288"/>
      <c r="B526" s="288"/>
      <c r="C526" s="288"/>
      <c r="D526" s="288"/>
      <c r="E526" s="288"/>
      <c r="F526" s="288"/>
      <c r="G526" s="288"/>
      <c r="H526" s="288"/>
      <c r="I526" s="288"/>
      <c r="J526" s="288"/>
      <c r="K526" s="288"/>
      <c r="L526" s="288"/>
      <c r="M526" s="288"/>
      <c r="N526" s="288"/>
      <c r="O526" s="288"/>
      <c r="P526" s="288"/>
      <c r="Q526" s="288"/>
      <c r="R526" s="288"/>
      <c r="S526" s="288"/>
      <c r="T526" s="288"/>
      <c r="U526" s="288"/>
      <c r="V526" s="288"/>
      <c r="W526" s="288"/>
      <c r="X526" s="288"/>
      <c r="Y526" s="288"/>
      <c r="Z526" s="288"/>
      <c r="AA526" s="288"/>
      <c r="AB526" s="288"/>
      <c r="AC526" s="288"/>
      <c r="AD526" s="288"/>
      <c r="AE526" s="288"/>
      <c r="AF526" s="288"/>
      <c r="AG526" s="288"/>
      <c r="AH526" s="288"/>
      <c r="AI526" s="288"/>
    </row>
    <row r="527" spans="1:35" ht="12.75" customHeight="1" x14ac:dyDescent="0.2">
      <c r="A527" s="288"/>
      <c r="B527" s="288"/>
      <c r="C527" s="288"/>
      <c r="D527" s="288"/>
      <c r="E527" s="288"/>
      <c r="F527" s="288"/>
      <c r="G527" s="288"/>
      <c r="H527" s="288"/>
      <c r="I527" s="288"/>
      <c r="J527" s="288"/>
      <c r="K527" s="288"/>
      <c r="L527" s="288"/>
      <c r="M527" s="288"/>
      <c r="N527" s="288"/>
      <c r="O527" s="288"/>
      <c r="P527" s="288"/>
      <c r="Q527" s="288"/>
      <c r="R527" s="288"/>
      <c r="S527" s="288"/>
      <c r="T527" s="288"/>
      <c r="U527" s="288"/>
      <c r="V527" s="288"/>
      <c r="W527" s="288"/>
      <c r="X527" s="288"/>
      <c r="Y527" s="288"/>
      <c r="Z527" s="288"/>
      <c r="AA527" s="288"/>
      <c r="AB527" s="288"/>
      <c r="AC527" s="288"/>
      <c r="AD527" s="288"/>
      <c r="AE527" s="288"/>
      <c r="AF527" s="288"/>
      <c r="AG527" s="288"/>
      <c r="AH527" s="288"/>
      <c r="AI527" s="288"/>
    </row>
    <row r="528" spans="1:35" ht="12.75" customHeight="1" x14ac:dyDescent="0.2">
      <c r="A528" s="288"/>
      <c r="B528" s="288"/>
      <c r="C528" s="288"/>
      <c r="D528" s="288"/>
      <c r="E528" s="288"/>
      <c r="F528" s="288"/>
      <c r="G528" s="288"/>
      <c r="H528" s="288"/>
      <c r="I528" s="288"/>
      <c r="J528" s="288"/>
      <c r="K528" s="288"/>
      <c r="L528" s="288"/>
      <c r="M528" s="288"/>
      <c r="N528" s="288"/>
      <c r="O528" s="288"/>
      <c r="P528" s="288"/>
      <c r="Q528" s="288"/>
      <c r="R528" s="288"/>
      <c r="S528" s="288"/>
      <c r="T528" s="288"/>
      <c r="U528" s="288"/>
      <c r="V528" s="288"/>
      <c r="W528" s="288"/>
      <c r="X528" s="288"/>
      <c r="Y528" s="288"/>
      <c r="Z528" s="288"/>
      <c r="AA528" s="288"/>
      <c r="AB528" s="288"/>
      <c r="AC528" s="288"/>
      <c r="AD528" s="288"/>
      <c r="AE528" s="288"/>
      <c r="AF528" s="288"/>
      <c r="AG528" s="288"/>
      <c r="AH528" s="288"/>
      <c r="AI528" s="288"/>
    </row>
    <row r="529" spans="1:35" ht="12.75" customHeight="1" x14ac:dyDescent="0.2">
      <c r="A529" s="288"/>
      <c r="B529" s="288"/>
      <c r="C529" s="288"/>
      <c r="D529" s="288"/>
      <c r="E529" s="288"/>
      <c r="F529" s="288"/>
      <c r="G529" s="288"/>
      <c r="H529" s="288"/>
      <c r="I529" s="288"/>
      <c r="J529" s="288"/>
      <c r="K529" s="288"/>
      <c r="L529" s="288"/>
      <c r="M529" s="288"/>
      <c r="N529" s="288"/>
      <c r="O529" s="288"/>
      <c r="P529" s="288"/>
      <c r="Q529" s="288"/>
      <c r="R529" s="288"/>
      <c r="S529" s="288"/>
      <c r="T529" s="288"/>
      <c r="U529" s="288"/>
      <c r="V529" s="288"/>
      <c r="W529" s="288"/>
      <c r="X529" s="288"/>
      <c r="Y529" s="288"/>
      <c r="Z529" s="288"/>
      <c r="AA529" s="288"/>
      <c r="AB529" s="288"/>
      <c r="AC529" s="288"/>
      <c r="AD529" s="288"/>
      <c r="AE529" s="288"/>
      <c r="AF529" s="288"/>
      <c r="AG529" s="288"/>
      <c r="AH529" s="288"/>
      <c r="AI529" s="288"/>
    </row>
    <row r="530" spans="1:35" ht="12.75" customHeight="1" x14ac:dyDescent="0.2">
      <c r="A530" s="288"/>
      <c r="B530" s="288"/>
      <c r="C530" s="288"/>
      <c r="D530" s="288"/>
      <c r="E530" s="288"/>
      <c r="F530" s="288"/>
      <c r="G530" s="288"/>
      <c r="H530" s="288"/>
      <c r="I530" s="288"/>
      <c r="J530" s="288"/>
      <c r="K530" s="288"/>
      <c r="L530" s="288"/>
      <c r="M530" s="288"/>
      <c r="N530" s="288"/>
      <c r="O530" s="288"/>
      <c r="P530" s="288"/>
      <c r="Q530" s="288"/>
      <c r="R530" s="288"/>
      <c r="S530" s="288"/>
      <c r="T530" s="288"/>
      <c r="U530" s="288"/>
      <c r="V530" s="288"/>
      <c r="W530" s="288"/>
      <c r="X530" s="288"/>
      <c r="Y530" s="288"/>
      <c r="Z530" s="288"/>
      <c r="AA530" s="288"/>
      <c r="AB530" s="288"/>
      <c r="AC530" s="288"/>
      <c r="AD530" s="288"/>
      <c r="AE530" s="288"/>
      <c r="AF530" s="288"/>
      <c r="AG530" s="288"/>
      <c r="AH530" s="288"/>
      <c r="AI530" s="288"/>
    </row>
    <row r="531" spans="1:35" ht="12.75" customHeight="1" x14ac:dyDescent="0.2">
      <c r="A531" s="288"/>
      <c r="B531" s="288"/>
      <c r="C531" s="288"/>
      <c r="D531" s="288"/>
      <c r="E531" s="288"/>
      <c r="F531" s="288"/>
      <c r="G531" s="288"/>
      <c r="H531" s="288"/>
      <c r="I531" s="288"/>
      <c r="J531" s="288"/>
      <c r="K531" s="288"/>
      <c r="L531" s="288"/>
      <c r="M531" s="288"/>
      <c r="N531" s="288"/>
      <c r="O531" s="288"/>
      <c r="P531" s="288"/>
      <c r="Q531" s="288"/>
      <c r="R531" s="288"/>
      <c r="S531" s="288"/>
      <c r="T531" s="288"/>
      <c r="U531" s="288"/>
      <c r="V531" s="288"/>
      <c r="W531" s="288"/>
      <c r="X531" s="288"/>
      <c r="Y531" s="288"/>
      <c r="Z531" s="288"/>
      <c r="AA531" s="288"/>
      <c r="AB531" s="288"/>
      <c r="AC531" s="288"/>
      <c r="AD531" s="288"/>
      <c r="AE531" s="288"/>
      <c r="AF531" s="288"/>
      <c r="AG531" s="288"/>
      <c r="AH531" s="288"/>
      <c r="AI531" s="288"/>
    </row>
    <row r="532" spans="1:35" ht="12.75" customHeight="1" x14ac:dyDescent="0.2">
      <c r="A532" s="288"/>
      <c r="B532" s="288"/>
      <c r="C532" s="288"/>
      <c r="D532" s="288"/>
      <c r="E532" s="288"/>
      <c r="F532" s="288"/>
      <c r="G532" s="288"/>
      <c r="H532" s="288"/>
      <c r="I532" s="288"/>
      <c r="J532" s="288"/>
      <c r="K532" s="288"/>
      <c r="L532" s="288"/>
      <c r="M532" s="288"/>
      <c r="N532" s="288"/>
      <c r="O532" s="288"/>
      <c r="P532" s="288"/>
      <c r="Q532" s="288"/>
      <c r="R532" s="288"/>
      <c r="S532" s="288"/>
      <c r="T532" s="288"/>
      <c r="U532" s="288"/>
      <c r="V532" s="288"/>
      <c r="W532" s="288"/>
      <c r="X532" s="288"/>
      <c r="Y532" s="288"/>
      <c r="Z532" s="288"/>
      <c r="AA532" s="288"/>
      <c r="AB532" s="288"/>
      <c r="AC532" s="288"/>
      <c r="AD532" s="288"/>
      <c r="AE532" s="288"/>
      <c r="AF532" s="288"/>
      <c r="AG532" s="288"/>
      <c r="AH532" s="288"/>
      <c r="AI532" s="288"/>
    </row>
    <row r="533" spans="1:35" ht="12.75" customHeight="1" x14ac:dyDescent="0.2">
      <c r="A533" s="288"/>
      <c r="B533" s="288"/>
      <c r="C533" s="288"/>
      <c r="D533" s="288"/>
      <c r="E533" s="288"/>
      <c r="F533" s="288"/>
      <c r="G533" s="288"/>
      <c r="H533" s="288"/>
      <c r="I533" s="288"/>
      <c r="J533" s="288"/>
      <c r="K533" s="288"/>
      <c r="L533" s="288"/>
      <c r="M533" s="288"/>
      <c r="N533" s="288"/>
      <c r="O533" s="288"/>
      <c r="P533" s="288"/>
      <c r="Q533" s="288"/>
      <c r="R533" s="288"/>
      <c r="S533" s="288"/>
      <c r="T533" s="288"/>
      <c r="U533" s="288"/>
      <c r="V533" s="288"/>
      <c r="W533" s="288"/>
      <c r="X533" s="288"/>
      <c r="Y533" s="288"/>
      <c r="Z533" s="288"/>
      <c r="AA533" s="288"/>
      <c r="AB533" s="288"/>
      <c r="AC533" s="288"/>
      <c r="AD533" s="288"/>
      <c r="AE533" s="288"/>
      <c r="AF533" s="288"/>
      <c r="AG533" s="288"/>
      <c r="AH533" s="288"/>
      <c r="AI533" s="288"/>
    </row>
    <row r="534" spans="1:35" ht="12.75" customHeight="1" x14ac:dyDescent="0.2">
      <c r="A534" s="288"/>
      <c r="B534" s="288"/>
      <c r="C534" s="288"/>
      <c r="D534" s="288"/>
      <c r="E534" s="288"/>
      <c r="F534" s="288"/>
      <c r="G534" s="288"/>
      <c r="H534" s="288"/>
      <c r="I534" s="288"/>
      <c r="J534" s="288"/>
      <c r="K534" s="288"/>
      <c r="L534" s="288"/>
      <c r="M534" s="288"/>
      <c r="N534" s="288"/>
      <c r="O534" s="288"/>
      <c r="P534" s="288"/>
      <c r="Q534" s="288"/>
      <c r="R534" s="288"/>
      <c r="S534" s="288"/>
      <c r="T534" s="288"/>
      <c r="U534" s="288"/>
      <c r="V534" s="288"/>
      <c r="W534" s="288"/>
      <c r="X534" s="288"/>
      <c r="Y534" s="288"/>
      <c r="Z534" s="288"/>
      <c r="AA534" s="288"/>
      <c r="AB534" s="288"/>
      <c r="AC534" s="288"/>
      <c r="AD534" s="288"/>
      <c r="AE534" s="288"/>
      <c r="AF534" s="288"/>
      <c r="AG534" s="288"/>
      <c r="AH534" s="288"/>
      <c r="AI534" s="288"/>
    </row>
    <row r="535" spans="1:35" ht="12.75" customHeight="1" x14ac:dyDescent="0.2">
      <c r="A535" s="288"/>
      <c r="B535" s="288"/>
      <c r="C535" s="288"/>
      <c r="D535" s="288"/>
      <c r="E535" s="288"/>
      <c r="F535" s="288"/>
      <c r="G535" s="288"/>
      <c r="H535" s="288"/>
      <c r="I535" s="288"/>
      <c r="J535" s="288"/>
      <c r="K535" s="288"/>
      <c r="L535" s="288"/>
      <c r="M535" s="288"/>
      <c r="N535" s="288"/>
      <c r="O535" s="288"/>
      <c r="P535" s="288"/>
      <c r="Q535" s="288"/>
      <c r="R535" s="288"/>
      <c r="S535" s="288"/>
      <c r="T535" s="288"/>
      <c r="U535" s="288"/>
      <c r="V535" s="288"/>
      <c r="W535" s="288"/>
      <c r="X535" s="288"/>
      <c r="Y535" s="288"/>
      <c r="Z535" s="288"/>
      <c r="AA535" s="288"/>
      <c r="AB535" s="288"/>
      <c r="AC535" s="288"/>
      <c r="AD535" s="288"/>
      <c r="AE535" s="288"/>
      <c r="AF535" s="288"/>
      <c r="AG535" s="288"/>
      <c r="AH535" s="288"/>
      <c r="AI535" s="288"/>
    </row>
    <row r="536" spans="1:35" ht="12.75" customHeight="1" x14ac:dyDescent="0.2">
      <c r="A536" s="288"/>
      <c r="B536" s="288"/>
      <c r="C536" s="288"/>
      <c r="D536" s="288"/>
      <c r="E536" s="288"/>
      <c r="F536" s="288"/>
      <c r="G536" s="288"/>
      <c r="H536" s="288"/>
      <c r="I536" s="288"/>
      <c r="J536" s="288"/>
      <c r="K536" s="288"/>
      <c r="L536" s="288"/>
      <c r="M536" s="288"/>
      <c r="N536" s="288"/>
      <c r="O536" s="288"/>
      <c r="P536" s="288"/>
      <c r="Q536" s="288"/>
      <c r="R536" s="288"/>
      <c r="S536" s="288"/>
      <c r="T536" s="288"/>
      <c r="U536" s="288"/>
      <c r="V536" s="288"/>
      <c r="W536" s="288"/>
      <c r="X536" s="288"/>
      <c r="Y536" s="288"/>
      <c r="Z536" s="288"/>
      <c r="AA536" s="288"/>
      <c r="AB536" s="288"/>
      <c r="AC536" s="288"/>
      <c r="AD536" s="288"/>
      <c r="AE536" s="288"/>
      <c r="AF536" s="288"/>
      <c r="AG536" s="288"/>
      <c r="AH536" s="288"/>
      <c r="AI536" s="288"/>
    </row>
    <row r="537" spans="1:35" ht="12.75" customHeight="1" x14ac:dyDescent="0.2">
      <c r="A537" s="288"/>
      <c r="B537" s="288"/>
      <c r="C537" s="288"/>
      <c r="D537" s="288"/>
      <c r="E537" s="288"/>
      <c r="F537" s="288"/>
      <c r="G537" s="288"/>
      <c r="H537" s="288"/>
      <c r="I537" s="288"/>
      <c r="J537" s="288"/>
      <c r="K537" s="288"/>
      <c r="L537" s="288"/>
      <c r="M537" s="288"/>
      <c r="N537" s="288"/>
      <c r="O537" s="288"/>
      <c r="P537" s="288"/>
      <c r="Q537" s="288"/>
      <c r="R537" s="288"/>
      <c r="S537" s="288"/>
      <c r="T537" s="288"/>
      <c r="U537" s="288"/>
      <c r="V537" s="288"/>
      <c r="W537" s="288"/>
      <c r="X537" s="288"/>
      <c r="Y537" s="288"/>
      <c r="Z537" s="288"/>
      <c r="AA537" s="288"/>
      <c r="AB537" s="288"/>
      <c r="AC537" s="288"/>
      <c r="AD537" s="288"/>
      <c r="AE537" s="288"/>
      <c r="AF537" s="288"/>
      <c r="AG537" s="288"/>
      <c r="AH537" s="288"/>
      <c r="AI537" s="288"/>
    </row>
    <row r="538" spans="1:35" ht="12.75" customHeight="1" x14ac:dyDescent="0.2">
      <c r="A538" s="288"/>
      <c r="B538" s="288"/>
      <c r="C538" s="288"/>
      <c r="D538" s="288"/>
      <c r="E538" s="288"/>
      <c r="F538" s="288"/>
      <c r="G538" s="288"/>
      <c r="H538" s="288"/>
      <c r="I538" s="288"/>
      <c r="J538" s="288"/>
      <c r="K538" s="288"/>
      <c r="L538" s="288"/>
      <c r="M538" s="288"/>
      <c r="N538" s="288"/>
      <c r="O538" s="288"/>
      <c r="P538" s="288"/>
      <c r="Q538" s="288"/>
      <c r="R538" s="288"/>
      <c r="S538" s="288"/>
      <c r="T538" s="288"/>
      <c r="U538" s="288"/>
      <c r="V538" s="288"/>
      <c r="W538" s="288"/>
      <c r="X538" s="288"/>
      <c r="Y538" s="288"/>
      <c r="Z538" s="288"/>
      <c r="AA538" s="288"/>
      <c r="AB538" s="288"/>
      <c r="AC538" s="288"/>
      <c r="AD538" s="288"/>
      <c r="AE538" s="288"/>
      <c r="AF538" s="288"/>
      <c r="AG538" s="288"/>
      <c r="AH538" s="288"/>
      <c r="AI538" s="288"/>
    </row>
    <row r="539" spans="1:35" ht="12.75" customHeight="1" x14ac:dyDescent="0.2">
      <c r="A539" s="288"/>
      <c r="B539" s="288"/>
      <c r="C539" s="288"/>
      <c r="D539" s="288"/>
      <c r="E539" s="288"/>
      <c r="F539" s="288"/>
      <c r="G539" s="288"/>
      <c r="H539" s="288"/>
      <c r="I539" s="288"/>
      <c r="J539" s="288"/>
      <c r="K539" s="288"/>
      <c r="L539" s="288"/>
      <c r="M539" s="288"/>
      <c r="N539" s="288"/>
      <c r="O539" s="288"/>
      <c r="P539" s="288"/>
      <c r="Q539" s="288"/>
      <c r="R539" s="288"/>
      <c r="S539" s="288"/>
      <c r="T539" s="288"/>
      <c r="U539" s="288"/>
      <c r="V539" s="288"/>
      <c r="W539" s="288"/>
      <c r="X539" s="288"/>
      <c r="Y539" s="288"/>
      <c r="Z539" s="288"/>
      <c r="AA539" s="288"/>
      <c r="AB539" s="288"/>
      <c r="AC539" s="288"/>
      <c r="AD539" s="288"/>
      <c r="AE539" s="288"/>
      <c r="AF539" s="288"/>
      <c r="AG539" s="288"/>
      <c r="AH539" s="288"/>
      <c r="AI539" s="288"/>
    </row>
    <row r="540" spans="1:35" ht="12.75" customHeight="1" x14ac:dyDescent="0.2">
      <c r="A540" s="288"/>
      <c r="B540" s="288"/>
      <c r="C540" s="288"/>
      <c r="D540" s="288"/>
      <c r="E540" s="288"/>
      <c r="F540" s="288"/>
      <c r="G540" s="288"/>
      <c r="H540" s="288"/>
      <c r="I540" s="288"/>
      <c r="J540" s="288"/>
      <c r="K540" s="288"/>
      <c r="L540" s="288"/>
      <c r="M540" s="288"/>
      <c r="N540" s="288"/>
      <c r="O540" s="288"/>
      <c r="P540" s="288"/>
      <c r="Q540" s="288"/>
      <c r="R540" s="288"/>
      <c r="S540" s="288"/>
      <c r="T540" s="288"/>
      <c r="U540" s="288"/>
      <c r="V540" s="288"/>
      <c r="W540" s="288"/>
      <c r="X540" s="288"/>
      <c r="Y540" s="288"/>
      <c r="Z540" s="288"/>
      <c r="AA540" s="288"/>
      <c r="AB540" s="288"/>
      <c r="AC540" s="288"/>
      <c r="AD540" s="288"/>
      <c r="AE540" s="288"/>
      <c r="AF540" s="288"/>
      <c r="AG540" s="288"/>
      <c r="AH540" s="288"/>
      <c r="AI540" s="288"/>
    </row>
    <row r="541" spans="1:35" ht="12.75" customHeight="1" x14ac:dyDescent="0.2">
      <c r="A541" s="288"/>
      <c r="B541" s="288"/>
      <c r="C541" s="288"/>
      <c r="D541" s="288"/>
      <c r="E541" s="288"/>
      <c r="F541" s="288"/>
      <c r="G541" s="288"/>
      <c r="H541" s="288"/>
      <c r="I541" s="288"/>
      <c r="J541" s="288"/>
      <c r="K541" s="288"/>
      <c r="L541" s="288"/>
      <c r="M541" s="288"/>
      <c r="N541" s="288"/>
      <c r="O541" s="288"/>
      <c r="P541" s="288"/>
      <c r="Q541" s="288"/>
      <c r="R541" s="288"/>
      <c r="S541" s="288"/>
      <c r="T541" s="288"/>
      <c r="U541" s="288"/>
      <c r="V541" s="288"/>
      <c r="W541" s="288"/>
      <c r="X541" s="288"/>
      <c r="Y541" s="288"/>
      <c r="Z541" s="288"/>
      <c r="AA541" s="288"/>
      <c r="AB541" s="288"/>
      <c r="AC541" s="288"/>
      <c r="AD541" s="288"/>
      <c r="AE541" s="288"/>
      <c r="AF541" s="288"/>
      <c r="AG541" s="288"/>
      <c r="AH541" s="288"/>
      <c r="AI541" s="288"/>
    </row>
    <row r="542" spans="1:35" ht="12.75" customHeight="1" x14ac:dyDescent="0.2">
      <c r="A542" s="288"/>
      <c r="B542" s="288"/>
      <c r="C542" s="288"/>
      <c r="D542" s="288"/>
      <c r="E542" s="288"/>
      <c r="F542" s="288"/>
      <c r="G542" s="288"/>
      <c r="H542" s="288"/>
      <c r="I542" s="288"/>
      <c r="J542" s="288"/>
      <c r="K542" s="288"/>
      <c r="L542" s="288"/>
      <c r="M542" s="288"/>
      <c r="N542" s="288"/>
      <c r="O542" s="288"/>
      <c r="P542" s="288"/>
      <c r="Q542" s="288"/>
      <c r="R542" s="288"/>
      <c r="S542" s="288"/>
      <c r="T542" s="288"/>
      <c r="U542" s="288"/>
      <c r="V542" s="288"/>
      <c r="W542" s="288"/>
      <c r="X542" s="288"/>
      <c r="Y542" s="288"/>
      <c r="Z542" s="288"/>
      <c r="AA542" s="288"/>
      <c r="AB542" s="288"/>
      <c r="AC542" s="288"/>
      <c r="AD542" s="288"/>
      <c r="AE542" s="288"/>
      <c r="AF542" s="288"/>
      <c r="AG542" s="288"/>
      <c r="AH542" s="288"/>
      <c r="AI542" s="288"/>
    </row>
    <row r="543" spans="1:35" ht="12.75" customHeight="1" x14ac:dyDescent="0.2">
      <c r="A543" s="288"/>
      <c r="B543" s="288"/>
      <c r="C543" s="288"/>
      <c r="D543" s="288"/>
      <c r="E543" s="288"/>
      <c r="F543" s="288"/>
      <c r="G543" s="288"/>
      <c r="H543" s="288"/>
      <c r="I543" s="288"/>
      <c r="J543" s="288"/>
      <c r="K543" s="288"/>
      <c r="L543" s="288"/>
      <c r="M543" s="288"/>
      <c r="N543" s="288"/>
      <c r="O543" s="288"/>
      <c r="P543" s="288"/>
      <c r="Q543" s="288"/>
      <c r="R543" s="288"/>
      <c r="S543" s="288"/>
      <c r="T543" s="288"/>
      <c r="U543" s="288"/>
      <c r="V543" s="288"/>
      <c r="W543" s="288"/>
      <c r="X543" s="288"/>
      <c r="Y543" s="288"/>
      <c r="Z543" s="288"/>
      <c r="AA543" s="288"/>
      <c r="AB543" s="288"/>
      <c r="AC543" s="288"/>
      <c r="AD543" s="288"/>
      <c r="AE543" s="288"/>
      <c r="AF543" s="288"/>
      <c r="AG543" s="288"/>
      <c r="AH543" s="288"/>
      <c r="AI543" s="288"/>
    </row>
    <row r="544" spans="1:35" ht="12.75" customHeight="1" x14ac:dyDescent="0.2">
      <c r="A544" s="288"/>
      <c r="B544" s="288"/>
      <c r="C544" s="288"/>
      <c r="D544" s="288"/>
      <c r="E544" s="288"/>
      <c r="F544" s="288"/>
      <c r="G544" s="288"/>
      <c r="H544" s="288"/>
      <c r="I544" s="288"/>
      <c r="J544" s="288"/>
      <c r="K544" s="288"/>
      <c r="L544" s="288"/>
      <c r="M544" s="288"/>
      <c r="N544" s="288"/>
      <c r="O544" s="288"/>
      <c r="P544" s="288"/>
      <c r="Q544" s="288"/>
      <c r="R544" s="288"/>
      <c r="S544" s="288"/>
      <c r="T544" s="288"/>
      <c r="U544" s="288"/>
      <c r="V544" s="288"/>
      <c r="W544" s="288"/>
      <c r="X544" s="288"/>
      <c r="Y544" s="288"/>
      <c r="Z544" s="288"/>
      <c r="AA544" s="288"/>
      <c r="AB544" s="288"/>
      <c r="AC544" s="288"/>
      <c r="AD544" s="288"/>
      <c r="AE544" s="288"/>
      <c r="AF544" s="288"/>
      <c r="AG544" s="288"/>
      <c r="AH544" s="288"/>
      <c r="AI544" s="288"/>
    </row>
    <row r="545" spans="1:35" ht="12.75" customHeight="1" x14ac:dyDescent="0.2">
      <c r="A545" s="288"/>
      <c r="B545" s="288"/>
      <c r="C545" s="288"/>
      <c r="D545" s="288"/>
      <c r="E545" s="288"/>
      <c r="F545" s="288"/>
      <c r="G545" s="288"/>
      <c r="H545" s="288"/>
      <c r="I545" s="288"/>
      <c r="J545" s="288"/>
      <c r="K545" s="288"/>
      <c r="L545" s="288"/>
      <c r="M545" s="288"/>
      <c r="N545" s="288"/>
      <c r="O545" s="288"/>
      <c r="P545" s="288"/>
      <c r="Q545" s="288"/>
      <c r="R545" s="288"/>
      <c r="S545" s="288"/>
      <c r="T545" s="288"/>
      <c r="U545" s="288"/>
      <c r="V545" s="288"/>
      <c r="W545" s="288"/>
      <c r="X545" s="288"/>
      <c r="Y545" s="288"/>
      <c r="Z545" s="288"/>
      <c r="AA545" s="288"/>
      <c r="AB545" s="288"/>
      <c r="AC545" s="288"/>
      <c r="AD545" s="288"/>
      <c r="AE545" s="288"/>
      <c r="AF545" s="288"/>
      <c r="AG545" s="288"/>
      <c r="AH545" s="288"/>
      <c r="AI545" s="288"/>
    </row>
    <row r="546" spans="1:35" ht="12.75" customHeight="1" x14ac:dyDescent="0.2">
      <c r="A546" s="288"/>
      <c r="B546" s="288"/>
      <c r="C546" s="288"/>
      <c r="D546" s="288"/>
      <c r="E546" s="288"/>
      <c r="F546" s="288"/>
      <c r="G546" s="288"/>
      <c r="H546" s="288"/>
      <c r="I546" s="288"/>
      <c r="J546" s="288"/>
      <c r="K546" s="288"/>
      <c r="L546" s="288"/>
      <c r="M546" s="288"/>
      <c r="N546" s="288"/>
      <c r="O546" s="288"/>
      <c r="P546" s="288"/>
      <c r="Q546" s="288"/>
      <c r="R546" s="288"/>
      <c r="S546" s="288"/>
      <c r="T546" s="288"/>
      <c r="U546" s="288"/>
      <c r="V546" s="288"/>
      <c r="W546" s="288"/>
      <c r="X546" s="288"/>
      <c r="Y546" s="288"/>
      <c r="Z546" s="288"/>
      <c r="AA546" s="288"/>
      <c r="AB546" s="288"/>
      <c r="AC546" s="288"/>
      <c r="AD546" s="288"/>
      <c r="AE546" s="288"/>
      <c r="AF546" s="288"/>
      <c r="AG546" s="288"/>
      <c r="AH546" s="288"/>
      <c r="AI546" s="288"/>
    </row>
    <row r="547" spans="1:35" ht="12.75" customHeight="1" x14ac:dyDescent="0.2">
      <c r="A547" s="288"/>
      <c r="B547" s="288"/>
      <c r="C547" s="288"/>
      <c r="D547" s="288"/>
      <c r="E547" s="288"/>
      <c r="F547" s="288"/>
      <c r="G547" s="288"/>
      <c r="H547" s="288"/>
      <c r="I547" s="288"/>
      <c r="J547" s="288"/>
      <c r="K547" s="288"/>
      <c r="L547" s="288"/>
      <c r="M547" s="288"/>
      <c r="N547" s="288"/>
      <c r="O547" s="288"/>
      <c r="P547" s="288"/>
      <c r="Q547" s="288"/>
      <c r="R547" s="288"/>
      <c r="S547" s="288"/>
      <c r="T547" s="288"/>
      <c r="U547" s="288"/>
      <c r="V547" s="288"/>
      <c r="W547" s="288"/>
      <c r="X547" s="288"/>
      <c r="Y547" s="288"/>
      <c r="Z547" s="288"/>
      <c r="AA547" s="288"/>
      <c r="AB547" s="288"/>
      <c r="AC547" s="288"/>
      <c r="AD547" s="288"/>
      <c r="AE547" s="288"/>
      <c r="AF547" s="288"/>
      <c r="AG547" s="288"/>
      <c r="AH547" s="288"/>
      <c r="AI547" s="288"/>
    </row>
    <row r="548" spans="1:35" ht="12.75" customHeight="1" x14ac:dyDescent="0.2">
      <c r="A548" s="288"/>
      <c r="B548" s="288"/>
      <c r="C548" s="288"/>
      <c r="D548" s="288"/>
      <c r="E548" s="288"/>
      <c r="F548" s="288"/>
      <c r="G548" s="288"/>
      <c r="H548" s="288"/>
      <c r="I548" s="288"/>
      <c r="J548" s="288"/>
      <c r="K548" s="288"/>
      <c r="L548" s="288"/>
      <c r="M548" s="288"/>
      <c r="N548" s="288"/>
      <c r="O548" s="288"/>
      <c r="P548" s="288"/>
      <c r="Q548" s="288"/>
      <c r="R548" s="288"/>
      <c r="S548" s="288"/>
      <c r="T548" s="288"/>
      <c r="U548" s="288"/>
      <c r="V548" s="288"/>
      <c r="W548" s="288"/>
      <c r="X548" s="288"/>
      <c r="Y548" s="288"/>
      <c r="Z548" s="288"/>
      <c r="AA548" s="288"/>
      <c r="AB548" s="288"/>
      <c r="AC548" s="288"/>
      <c r="AD548" s="288"/>
      <c r="AE548" s="288"/>
      <c r="AF548" s="288"/>
      <c r="AG548" s="288"/>
      <c r="AH548" s="288"/>
      <c r="AI548" s="288"/>
    </row>
    <row r="549" spans="1:35" ht="12.75" customHeight="1" x14ac:dyDescent="0.2">
      <c r="A549" s="288"/>
      <c r="B549" s="288"/>
      <c r="C549" s="288"/>
      <c r="D549" s="288"/>
      <c r="E549" s="288"/>
      <c r="F549" s="288"/>
      <c r="G549" s="288"/>
      <c r="H549" s="288"/>
      <c r="I549" s="288"/>
      <c r="J549" s="288"/>
      <c r="K549" s="288"/>
      <c r="L549" s="288"/>
      <c r="M549" s="288"/>
      <c r="N549" s="288"/>
      <c r="O549" s="288"/>
      <c r="P549" s="288"/>
      <c r="Q549" s="288"/>
      <c r="R549" s="288"/>
      <c r="S549" s="288"/>
      <c r="T549" s="288"/>
      <c r="U549" s="288"/>
      <c r="V549" s="288"/>
      <c r="W549" s="288"/>
      <c r="X549" s="288"/>
      <c r="Y549" s="288"/>
      <c r="Z549" s="288"/>
      <c r="AA549" s="288"/>
      <c r="AB549" s="288"/>
      <c r="AC549" s="288"/>
      <c r="AD549" s="288"/>
      <c r="AE549" s="288"/>
      <c r="AF549" s="288"/>
      <c r="AG549" s="288"/>
      <c r="AH549" s="288"/>
      <c r="AI549" s="288"/>
    </row>
    <row r="550" spans="1:35" ht="12.75" customHeight="1" x14ac:dyDescent="0.2">
      <c r="A550" s="288"/>
      <c r="B550" s="288"/>
      <c r="C550" s="288"/>
      <c r="D550" s="288"/>
      <c r="E550" s="288"/>
      <c r="F550" s="288"/>
      <c r="G550" s="288"/>
      <c r="H550" s="288"/>
      <c r="I550" s="288"/>
      <c r="J550" s="288"/>
      <c r="K550" s="288"/>
      <c r="L550" s="288"/>
      <c r="M550" s="288"/>
      <c r="N550" s="288"/>
      <c r="O550" s="288"/>
      <c r="P550" s="288"/>
      <c r="Q550" s="288"/>
      <c r="R550" s="288"/>
      <c r="S550" s="288"/>
      <c r="T550" s="288"/>
      <c r="U550" s="288"/>
      <c r="V550" s="288"/>
      <c r="W550" s="288"/>
      <c r="X550" s="288"/>
      <c r="Y550" s="288"/>
      <c r="Z550" s="288"/>
      <c r="AA550" s="288"/>
      <c r="AB550" s="288"/>
      <c r="AC550" s="288"/>
      <c r="AD550" s="288"/>
      <c r="AE550" s="288"/>
      <c r="AF550" s="288"/>
      <c r="AG550" s="288"/>
      <c r="AH550" s="288"/>
      <c r="AI550" s="288"/>
    </row>
    <row r="551" spans="1:35" ht="12.75" customHeight="1" x14ac:dyDescent="0.2">
      <c r="A551" s="288"/>
      <c r="B551" s="288"/>
      <c r="C551" s="288"/>
      <c r="D551" s="288"/>
      <c r="E551" s="288"/>
      <c r="F551" s="288"/>
      <c r="G551" s="288"/>
      <c r="H551" s="288"/>
      <c r="I551" s="288"/>
      <c r="J551" s="288"/>
      <c r="K551" s="288"/>
      <c r="L551" s="288"/>
      <c r="M551" s="288"/>
      <c r="N551" s="288"/>
      <c r="O551" s="288"/>
      <c r="P551" s="288"/>
      <c r="Q551" s="288"/>
      <c r="R551" s="288"/>
      <c r="S551" s="288"/>
      <c r="T551" s="288"/>
      <c r="U551" s="288"/>
      <c r="V551" s="288"/>
      <c r="W551" s="288"/>
      <c r="X551" s="288"/>
      <c r="Y551" s="288"/>
      <c r="Z551" s="288"/>
      <c r="AA551" s="288"/>
      <c r="AB551" s="288"/>
      <c r="AC551" s="288"/>
      <c r="AD551" s="288"/>
      <c r="AE551" s="288"/>
      <c r="AF551" s="288"/>
      <c r="AG551" s="288"/>
      <c r="AH551" s="288"/>
      <c r="AI551" s="288"/>
    </row>
    <row r="552" spans="1:35" ht="12.75" customHeight="1" x14ac:dyDescent="0.2">
      <c r="A552" s="288"/>
      <c r="B552" s="288"/>
      <c r="C552" s="288"/>
      <c r="D552" s="288"/>
      <c r="E552" s="288"/>
      <c r="F552" s="288"/>
      <c r="G552" s="288"/>
      <c r="H552" s="288"/>
      <c r="I552" s="288"/>
      <c r="J552" s="288"/>
      <c r="K552" s="288"/>
      <c r="L552" s="288"/>
      <c r="M552" s="288"/>
      <c r="N552" s="288"/>
      <c r="O552" s="288"/>
      <c r="P552" s="288"/>
      <c r="Q552" s="288"/>
      <c r="R552" s="288"/>
      <c r="S552" s="288"/>
      <c r="T552" s="288"/>
      <c r="U552" s="288"/>
      <c r="V552" s="288"/>
      <c r="W552" s="288"/>
      <c r="X552" s="288"/>
      <c r="Y552" s="288"/>
      <c r="Z552" s="288"/>
      <c r="AA552" s="288"/>
      <c r="AB552" s="288"/>
      <c r="AC552" s="288"/>
      <c r="AD552" s="288"/>
      <c r="AE552" s="288"/>
      <c r="AF552" s="288"/>
      <c r="AG552" s="288"/>
      <c r="AH552" s="288"/>
      <c r="AI552" s="288"/>
    </row>
    <row r="553" spans="1:35" ht="12.75" customHeight="1" x14ac:dyDescent="0.2">
      <c r="A553" s="288"/>
      <c r="B553" s="288"/>
      <c r="C553" s="288"/>
      <c r="D553" s="288"/>
      <c r="E553" s="288"/>
      <c r="F553" s="288"/>
      <c r="G553" s="288"/>
      <c r="H553" s="288"/>
      <c r="I553" s="288"/>
      <c r="J553" s="288"/>
      <c r="K553" s="288"/>
      <c r="L553" s="288"/>
      <c r="M553" s="288"/>
      <c r="N553" s="288"/>
      <c r="O553" s="288"/>
      <c r="P553" s="288"/>
      <c r="Q553" s="288"/>
      <c r="R553" s="288"/>
      <c r="S553" s="288"/>
      <c r="T553" s="288"/>
      <c r="U553" s="288"/>
      <c r="V553" s="288"/>
      <c r="W553" s="288"/>
      <c r="X553" s="288"/>
      <c r="Y553" s="288"/>
      <c r="Z553" s="288"/>
      <c r="AA553" s="288"/>
      <c r="AB553" s="288"/>
      <c r="AC553" s="288"/>
      <c r="AD553" s="288"/>
      <c r="AE553" s="288"/>
      <c r="AF553" s="288"/>
      <c r="AG553" s="288"/>
      <c r="AH553" s="288"/>
      <c r="AI553" s="288"/>
    </row>
    <row r="554" spans="1:35" ht="12.75" customHeight="1" x14ac:dyDescent="0.2">
      <c r="A554" s="288"/>
      <c r="B554" s="288"/>
      <c r="C554" s="288"/>
      <c r="D554" s="288"/>
      <c r="E554" s="288"/>
      <c r="F554" s="288"/>
      <c r="G554" s="288"/>
      <c r="H554" s="288"/>
      <c r="I554" s="288"/>
      <c r="J554" s="288"/>
      <c r="K554" s="288"/>
      <c r="L554" s="288"/>
      <c r="M554" s="288"/>
      <c r="N554" s="288"/>
      <c r="O554" s="288"/>
      <c r="P554" s="288"/>
      <c r="Q554" s="288"/>
      <c r="R554" s="288"/>
      <c r="S554" s="288"/>
      <c r="T554" s="288"/>
      <c r="U554" s="288"/>
      <c r="V554" s="288"/>
      <c r="W554" s="288"/>
      <c r="X554" s="288"/>
      <c r="Y554" s="288"/>
      <c r="Z554" s="288"/>
      <c r="AA554" s="288"/>
      <c r="AB554" s="288"/>
      <c r="AC554" s="288"/>
      <c r="AD554" s="288"/>
      <c r="AE554" s="288"/>
      <c r="AF554" s="288"/>
      <c r="AG554" s="288"/>
      <c r="AH554" s="288"/>
      <c r="AI554" s="288"/>
    </row>
    <row r="555" spans="1:35" ht="12.75" customHeight="1" x14ac:dyDescent="0.2">
      <c r="A555" s="288"/>
      <c r="B555" s="288"/>
      <c r="C555" s="288"/>
      <c r="D555" s="288"/>
      <c r="E555" s="288"/>
      <c r="F555" s="288"/>
      <c r="G555" s="288"/>
      <c r="H555" s="288"/>
      <c r="I555" s="288"/>
      <c r="J555" s="288"/>
      <c r="K555" s="288"/>
      <c r="L555" s="288"/>
      <c r="M555" s="288"/>
      <c r="N555" s="288"/>
      <c r="O555" s="288"/>
      <c r="P555" s="288"/>
      <c r="Q555" s="288"/>
      <c r="R555" s="288"/>
      <c r="S555" s="288"/>
      <c r="T555" s="288"/>
      <c r="U555" s="288"/>
      <c r="V555" s="288"/>
      <c r="W555" s="288"/>
      <c r="X555" s="288"/>
      <c r="Y555" s="288"/>
      <c r="Z555" s="288"/>
      <c r="AA555" s="288"/>
      <c r="AB555" s="288"/>
      <c r="AC555" s="288"/>
      <c r="AD555" s="288"/>
      <c r="AE555" s="288"/>
      <c r="AF555" s="288"/>
      <c r="AG555" s="288"/>
      <c r="AH555" s="288"/>
      <c r="AI555" s="288"/>
    </row>
    <row r="556" spans="1:35" ht="12.75" customHeight="1" x14ac:dyDescent="0.2">
      <c r="A556" s="288"/>
      <c r="B556" s="288"/>
      <c r="C556" s="288"/>
      <c r="D556" s="288"/>
      <c r="E556" s="288"/>
      <c r="F556" s="288"/>
      <c r="G556" s="288"/>
      <c r="H556" s="288"/>
      <c r="I556" s="288"/>
      <c r="J556" s="288"/>
      <c r="K556" s="288"/>
      <c r="L556" s="288"/>
      <c r="M556" s="288"/>
      <c r="N556" s="288"/>
      <c r="O556" s="288"/>
      <c r="P556" s="288"/>
      <c r="Q556" s="288"/>
      <c r="R556" s="288"/>
      <c r="S556" s="288"/>
      <c r="T556" s="288"/>
      <c r="U556" s="288"/>
      <c r="V556" s="288"/>
      <c r="W556" s="288"/>
      <c r="X556" s="288"/>
      <c r="Y556" s="288"/>
      <c r="Z556" s="288"/>
      <c r="AA556" s="288"/>
      <c r="AB556" s="288"/>
      <c r="AC556" s="288"/>
      <c r="AD556" s="288"/>
      <c r="AE556" s="288"/>
      <c r="AF556" s="288"/>
      <c r="AG556" s="288"/>
      <c r="AH556" s="288"/>
      <c r="AI556" s="288"/>
    </row>
    <row r="557" spans="1:35" ht="12.75" customHeight="1" x14ac:dyDescent="0.2">
      <c r="A557" s="288"/>
      <c r="B557" s="288"/>
      <c r="C557" s="288"/>
      <c r="D557" s="288"/>
      <c r="E557" s="288"/>
      <c r="F557" s="288"/>
      <c r="G557" s="288"/>
      <c r="H557" s="288"/>
      <c r="I557" s="288"/>
      <c r="J557" s="288"/>
      <c r="K557" s="288"/>
      <c r="L557" s="288"/>
      <c r="M557" s="288"/>
      <c r="N557" s="288"/>
      <c r="O557" s="288"/>
      <c r="P557" s="288"/>
      <c r="Q557" s="288"/>
      <c r="R557" s="288"/>
      <c r="S557" s="288"/>
      <c r="T557" s="288"/>
      <c r="U557" s="288"/>
      <c r="V557" s="288"/>
      <c r="W557" s="288"/>
      <c r="X557" s="288"/>
      <c r="Y557" s="288"/>
      <c r="Z557" s="288"/>
      <c r="AA557" s="288"/>
      <c r="AB557" s="288"/>
      <c r="AC557" s="288"/>
      <c r="AD557" s="288"/>
      <c r="AE557" s="288"/>
      <c r="AF557" s="288"/>
      <c r="AG557" s="288"/>
      <c r="AH557" s="288"/>
      <c r="AI557" s="288"/>
    </row>
    <row r="558" spans="1:35" ht="12.75" customHeight="1" x14ac:dyDescent="0.2">
      <c r="A558" s="288"/>
      <c r="B558" s="288"/>
      <c r="C558" s="288"/>
      <c r="D558" s="288"/>
      <c r="E558" s="288"/>
      <c r="F558" s="288"/>
      <c r="G558" s="288"/>
      <c r="H558" s="288"/>
      <c r="I558" s="288"/>
      <c r="J558" s="288"/>
      <c r="K558" s="288"/>
      <c r="L558" s="288"/>
      <c r="M558" s="288"/>
      <c r="N558" s="288"/>
      <c r="O558" s="288"/>
      <c r="P558" s="288"/>
      <c r="Q558" s="288"/>
      <c r="R558" s="288"/>
      <c r="S558" s="288"/>
      <c r="T558" s="288"/>
      <c r="U558" s="288"/>
      <c r="V558" s="288"/>
      <c r="W558" s="288"/>
      <c r="X558" s="288"/>
      <c r="Y558" s="288"/>
      <c r="Z558" s="288"/>
      <c r="AA558" s="288"/>
      <c r="AB558" s="288"/>
      <c r="AC558" s="288"/>
      <c r="AD558" s="288"/>
      <c r="AE558" s="288"/>
      <c r="AF558" s="288"/>
      <c r="AG558" s="288"/>
      <c r="AH558" s="288"/>
      <c r="AI558" s="288"/>
    </row>
    <row r="559" spans="1:35" ht="12.75" customHeight="1" x14ac:dyDescent="0.2">
      <c r="A559" s="288"/>
      <c r="B559" s="288"/>
      <c r="C559" s="288"/>
      <c r="D559" s="288"/>
      <c r="E559" s="288"/>
      <c r="F559" s="288"/>
      <c r="G559" s="288"/>
      <c r="H559" s="288"/>
      <c r="I559" s="288"/>
      <c r="J559" s="288"/>
      <c r="K559" s="288"/>
      <c r="L559" s="288"/>
      <c r="M559" s="288"/>
      <c r="N559" s="288"/>
      <c r="O559" s="288"/>
      <c r="P559" s="288"/>
      <c r="Q559" s="288"/>
      <c r="R559" s="288"/>
      <c r="S559" s="288"/>
      <c r="T559" s="288"/>
      <c r="U559" s="288"/>
      <c r="V559" s="288"/>
      <c r="W559" s="288"/>
      <c r="X559" s="288"/>
      <c r="Y559" s="288"/>
      <c r="Z559" s="288"/>
      <c r="AA559" s="288"/>
      <c r="AB559" s="288"/>
      <c r="AC559" s="288"/>
      <c r="AD559" s="288"/>
      <c r="AE559" s="288"/>
      <c r="AF559" s="288"/>
      <c r="AG559" s="288"/>
      <c r="AH559" s="288"/>
      <c r="AI559" s="288"/>
    </row>
    <row r="560" spans="1:35" ht="12.75" customHeight="1" x14ac:dyDescent="0.2">
      <c r="A560" s="288"/>
      <c r="B560" s="288"/>
      <c r="C560" s="288"/>
      <c r="D560" s="288"/>
      <c r="E560" s="288"/>
      <c r="F560" s="288"/>
      <c r="G560" s="288"/>
      <c r="H560" s="288"/>
      <c r="I560" s="288"/>
      <c r="J560" s="288"/>
      <c r="K560" s="288"/>
      <c r="L560" s="288"/>
      <c r="M560" s="288"/>
      <c r="N560" s="288"/>
      <c r="O560" s="288"/>
      <c r="P560" s="288"/>
      <c r="Q560" s="288"/>
      <c r="R560" s="288"/>
      <c r="S560" s="288"/>
      <c r="T560" s="288"/>
      <c r="U560" s="288"/>
      <c r="V560" s="288"/>
      <c r="W560" s="288"/>
      <c r="X560" s="288"/>
      <c r="Y560" s="288"/>
      <c r="Z560" s="288"/>
      <c r="AA560" s="288"/>
      <c r="AB560" s="288"/>
      <c r="AC560" s="288"/>
      <c r="AD560" s="288"/>
      <c r="AE560" s="288"/>
      <c r="AF560" s="288"/>
      <c r="AG560" s="288"/>
      <c r="AH560" s="288"/>
      <c r="AI560" s="288"/>
    </row>
    <row r="561" spans="1:35" ht="12.75" customHeight="1" x14ac:dyDescent="0.2">
      <c r="A561" s="288"/>
      <c r="B561" s="288"/>
      <c r="C561" s="288"/>
      <c r="D561" s="288"/>
      <c r="E561" s="288"/>
      <c r="F561" s="288"/>
      <c r="G561" s="288"/>
      <c r="H561" s="288"/>
      <c r="I561" s="288"/>
      <c r="J561" s="288"/>
      <c r="K561" s="288"/>
      <c r="L561" s="288"/>
      <c r="M561" s="288"/>
      <c r="N561" s="288"/>
      <c r="O561" s="288"/>
      <c r="P561" s="288"/>
      <c r="Q561" s="288"/>
      <c r="R561" s="288"/>
      <c r="S561" s="288"/>
      <c r="T561" s="288"/>
      <c r="U561" s="288"/>
      <c r="V561" s="288"/>
      <c r="W561" s="288"/>
      <c r="X561" s="288"/>
      <c r="Y561" s="288"/>
      <c r="Z561" s="288"/>
      <c r="AA561" s="288"/>
      <c r="AB561" s="288"/>
      <c r="AC561" s="288"/>
      <c r="AD561" s="288"/>
      <c r="AE561" s="288"/>
      <c r="AF561" s="288"/>
      <c r="AG561" s="288"/>
      <c r="AH561" s="288"/>
      <c r="AI561" s="288"/>
    </row>
    <row r="562" spans="1:35" ht="12.75" customHeight="1" x14ac:dyDescent="0.2">
      <c r="A562" s="288"/>
      <c r="B562" s="288"/>
      <c r="C562" s="288"/>
      <c r="D562" s="288"/>
      <c r="E562" s="288"/>
      <c r="F562" s="288"/>
      <c r="G562" s="288"/>
      <c r="H562" s="288"/>
      <c r="I562" s="288"/>
      <c r="J562" s="288"/>
      <c r="K562" s="288"/>
      <c r="L562" s="288"/>
      <c r="M562" s="288"/>
      <c r="N562" s="288"/>
      <c r="O562" s="288"/>
      <c r="P562" s="288"/>
      <c r="Q562" s="288"/>
      <c r="R562" s="288"/>
      <c r="S562" s="288"/>
      <c r="T562" s="288"/>
      <c r="U562" s="288"/>
      <c r="V562" s="288"/>
      <c r="W562" s="288"/>
      <c r="X562" s="288"/>
      <c r="Y562" s="288"/>
      <c r="Z562" s="288"/>
      <c r="AA562" s="288"/>
      <c r="AB562" s="288"/>
      <c r="AC562" s="288"/>
      <c r="AD562" s="288"/>
      <c r="AE562" s="288"/>
      <c r="AF562" s="288"/>
      <c r="AG562" s="288"/>
      <c r="AH562" s="288"/>
      <c r="AI562" s="288"/>
    </row>
    <row r="563" spans="1:35" ht="12.75" customHeight="1" x14ac:dyDescent="0.2">
      <c r="A563" s="288"/>
      <c r="B563" s="288"/>
      <c r="C563" s="288"/>
      <c r="D563" s="288"/>
      <c r="E563" s="288"/>
      <c r="F563" s="288"/>
      <c r="G563" s="288"/>
      <c r="H563" s="288"/>
      <c r="I563" s="288"/>
      <c r="J563" s="288"/>
      <c r="K563" s="288"/>
      <c r="L563" s="288"/>
      <c r="M563" s="288"/>
      <c r="N563" s="288"/>
      <c r="O563" s="288"/>
      <c r="P563" s="288"/>
      <c r="Q563" s="288"/>
      <c r="R563" s="288"/>
      <c r="S563" s="288"/>
      <c r="T563" s="288"/>
      <c r="U563" s="288"/>
      <c r="V563" s="288"/>
      <c r="W563" s="288"/>
      <c r="X563" s="288"/>
      <c r="Y563" s="288"/>
      <c r="Z563" s="288"/>
      <c r="AA563" s="288"/>
      <c r="AB563" s="288"/>
      <c r="AC563" s="288"/>
      <c r="AD563" s="288"/>
      <c r="AE563" s="288"/>
      <c r="AF563" s="288"/>
      <c r="AG563" s="288"/>
      <c r="AH563" s="288"/>
      <c r="AI563" s="288"/>
    </row>
    <row r="564" spans="1:35" ht="12.75" customHeight="1" x14ac:dyDescent="0.2">
      <c r="A564" s="288"/>
      <c r="B564" s="288"/>
      <c r="C564" s="288"/>
      <c r="D564" s="288"/>
      <c r="E564" s="288"/>
      <c r="F564" s="288"/>
      <c r="G564" s="288"/>
      <c r="H564" s="288"/>
      <c r="I564" s="288"/>
      <c r="J564" s="288"/>
      <c r="K564" s="288"/>
      <c r="L564" s="288"/>
      <c r="M564" s="288"/>
      <c r="N564" s="288"/>
      <c r="O564" s="288"/>
      <c r="P564" s="288"/>
      <c r="Q564" s="288"/>
      <c r="R564" s="288"/>
      <c r="S564" s="288"/>
      <c r="T564" s="288"/>
      <c r="U564" s="288"/>
      <c r="V564" s="288"/>
      <c r="W564" s="288"/>
      <c r="X564" s="288"/>
      <c r="Y564" s="288"/>
      <c r="Z564" s="288"/>
      <c r="AA564" s="288"/>
      <c r="AB564" s="288"/>
      <c r="AC564" s="288"/>
      <c r="AD564" s="288"/>
      <c r="AE564" s="288"/>
      <c r="AF564" s="288"/>
      <c r="AG564" s="288"/>
      <c r="AH564" s="288"/>
      <c r="AI564" s="288"/>
    </row>
    <row r="565" spans="1:35" ht="12.75" customHeight="1" x14ac:dyDescent="0.2">
      <c r="A565" s="288"/>
      <c r="B565" s="288"/>
      <c r="C565" s="288"/>
      <c r="D565" s="288"/>
      <c r="E565" s="288"/>
      <c r="F565" s="288"/>
      <c r="G565" s="288"/>
      <c r="H565" s="288"/>
      <c r="I565" s="288"/>
      <c r="J565" s="288"/>
      <c r="K565" s="288"/>
      <c r="L565" s="288"/>
      <c r="M565" s="288"/>
      <c r="N565" s="288"/>
      <c r="O565" s="288"/>
      <c r="P565" s="288"/>
      <c r="Q565" s="288"/>
      <c r="R565" s="288"/>
      <c r="S565" s="288"/>
      <c r="T565" s="288"/>
      <c r="U565" s="288"/>
      <c r="V565" s="288"/>
      <c r="W565" s="288"/>
      <c r="X565" s="288"/>
      <c r="Y565" s="288"/>
      <c r="Z565" s="288"/>
      <c r="AA565" s="288"/>
      <c r="AB565" s="288"/>
      <c r="AC565" s="288"/>
      <c r="AD565" s="288"/>
      <c r="AE565" s="288"/>
      <c r="AF565" s="288"/>
      <c r="AG565" s="288"/>
      <c r="AH565" s="288"/>
      <c r="AI565" s="288"/>
    </row>
    <row r="566" spans="1:35" ht="12.75" customHeight="1" x14ac:dyDescent="0.2">
      <c r="A566" s="288"/>
      <c r="B566" s="288"/>
      <c r="C566" s="288"/>
      <c r="D566" s="288"/>
      <c r="E566" s="288"/>
      <c r="F566" s="288"/>
      <c r="G566" s="288"/>
      <c r="H566" s="288"/>
      <c r="I566" s="288"/>
      <c r="J566" s="288"/>
      <c r="K566" s="288"/>
      <c r="L566" s="288"/>
      <c r="M566" s="288"/>
      <c r="N566" s="288"/>
      <c r="O566" s="288"/>
      <c r="P566" s="288"/>
      <c r="Q566" s="288"/>
      <c r="R566" s="288"/>
      <c r="S566" s="288"/>
      <c r="T566" s="288"/>
      <c r="U566" s="288"/>
      <c r="V566" s="288"/>
      <c r="W566" s="288"/>
      <c r="X566" s="288"/>
      <c r="Y566" s="288"/>
      <c r="Z566" s="288"/>
      <c r="AA566" s="288"/>
      <c r="AB566" s="288"/>
      <c r="AC566" s="288"/>
      <c r="AD566" s="288"/>
      <c r="AE566" s="288"/>
      <c r="AF566" s="288"/>
      <c r="AG566" s="288"/>
      <c r="AH566" s="288"/>
      <c r="AI566" s="288"/>
    </row>
    <row r="567" spans="1:35" ht="12.75" customHeight="1" x14ac:dyDescent="0.2">
      <c r="A567" s="288"/>
      <c r="B567" s="288"/>
      <c r="C567" s="288"/>
      <c r="D567" s="288"/>
      <c r="E567" s="288"/>
      <c r="F567" s="288"/>
      <c r="G567" s="288"/>
      <c r="H567" s="288"/>
      <c r="I567" s="288"/>
      <c r="J567" s="288"/>
      <c r="K567" s="288"/>
      <c r="L567" s="288"/>
      <c r="M567" s="288"/>
      <c r="N567" s="288"/>
      <c r="O567" s="288"/>
      <c r="P567" s="288"/>
      <c r="Q567" s="288"/>
      <c r="R567" s="288"/>
      <c r="S567" s="288"/>
      <c r="T567" s="288"/>
      <c r="U567" s="288"/>
      <c r="V567" s="288"/>
      <c r="W567" s="288"/>
      <c r="X567" s="288"/>
      <c r="Y567" s="288"/>
      <c r="Z567" s="288"/>
      <c r="AA567" s="288"/>
      <c r="AB567" s="288"/>
      <c r="AC567" s="288"/>
      <c r="AD567" s="288"/>
      <c r="AE567" s="288"/>
      <c r="AF567" s="288"/>
      <c r="AG567" s="288"/>
      <c r="AH567" s="288"/>
      <c r="AI567" s="288"/>
    </row>
    <row r="568" spans="1:35" ht="12.75" customHeight="1" x14ac:dyDescent="0.2">
      <c r="A568" s="288"/>
      <c r="B568" s="288"/>
      <c r="C568" s="288"/>
      <c r="D568" s="288"/>
      <c r="E568" s="288"/>
      <c r="F568" s="288"/>
      <c r="G568" s="288"/>
      <c r="H568" s="288"/>
      <c r="I568" s="288"/>
      <c r="J568" s="288"/>
      <c r="K568" s="288"/>
      <c r="L568" s="288"/>
      <c r="M568" s="288"/>
      <c r="N568" s="288"/>
      <c r="O568" s="288"/>
      <c r="P568" s="288"/>
      <c r="Q568" s="288"/>
      <c r="R568" s="288"/>
      <c r="S568" s="288"/>
      <c r="T568" s="288"/>
      <c r="U568" s="288"/>
      <c r="V568" s="288"/>
      <c r="W568" s="288"/>
      <c r="X568" s="288"/>
      <c r="Y568" s="288"/>
      <c r="Z568" s="288"/>
      <c r="AA568" s="288"/>
      <c r="AB568" s="288"/>
      <c r="AC568" s="288"/>
      <c r="AD568" s="288"/>
      <c r="AE568" s="288"/>
      <c r="AF568" s="288"/>
      <c r="AG568" s="288"/>
      <c r="AH568" s="288"/>
      <c r="AI568" s="288"/>
    </row>
    <row r="569" spans="1:35" ht="12.75" customHeight="1" x14ac:dyDescent="0.2">
      <c r="A569" s="288"/>
      <c r="B569" s="288"/>
      <c r="C569" s="288"/>
      <c r="D569" s="288"/>
      <c r="E569" s="288"/>
      <c r="F569" s="288"/>
      <c r="G569" s="288"/>
      <c r="H569" s="288"/>
      <c r="I569" s="288"/>
      <c r="J569" s="288"/>
      <c r="K569" s="288"/>
      <c r="L569" s="288"/>
      <c r="M569" s="288"/>
      <c r="N569" s="288"/>
      <c r="O569" s="288"/>
      <c r="P569" s="288"/>
      <c r="Q569" s="288"/>
      <c r="R569" s="288"/>
      <c r="S569" s="288"/>
      <c r="T569" s="288"/>
      <c r="U569" s="288"/>
      <c r="V569" s="288"/>
      <c r="W569" s="288"/>
      <c r="X569" s="288"/>
      <c r="Y569" s="288"/>
      <c r="Z569" s="288"/>
      <c r="AA569" s="288"/>
      <c r="AB569" s="288"/>
      <c r="AC569" s="288"/>
      <c r="AD569" s="288"/>
      <c r="AE569" s="288"/>
      <c r="AF569" s="288"/>
      <c r="AG569" s="288"/>
      <c r="AH569" s="288"/>
      <c r="AI569" s="288"/>
    </row>
    <row r="570" spans="1:35" ht="12.75" customHeight="1" x14ac:dyDescent="0.2">
      <c r="A570" s="288"/>
      <c r="B570" s="288"/>
      <c r="C570" s="288"/>
      <c r="D570" s="288"/>
      <c r="E570" s="288"/>
      <c r="F570" s="288"/>
      <c r="G570" s="288"/>
      <c r="H570" s="288"/>
      <c r="I570" s="288"/>
      <c r="J570" s="288"/>
      <c r="K570" s="288"/>
      <c r="L570" s="288"/>
      <c r="M570" s="288"/>
      <c r="N570" s="288"/>
      <c r="O570" s="288"/>
      <c r="P570" s="288"/>
      <c r="Q570" s="288"/>
      <c r="R570" s="288"/>
      <c r="S570" s="288"/>
      <c r="T570" s="288"/>
      <c r="U570" s="288"/>
      <c r="V570" s="288"/>
      <c r="W570" s="288"/>
      <c r="X570" s="288"/>
      <c r="Y570" s="288"/>
      <c r="Z570" s="288"/>
      <c r="AA570" s="288"/>
      <c r="AB570" s="288"/>
      <c r="AC570" s="288"/>
      <c r="AD570" s="288"/>
      <c r="AE570" s="288"/>
      <c r="AF570" s="288"/>
      <c r="AG570" s="288"/>
      <c r="AH570" s="288"/>
      <c r="AI570" s="288"/>
    </row>
    <row r="571" spans="1:35" ht="12.75" customHeight="1" x14ac:dyDescent="0.2">
      <c r="A571" s="288"/>
      <c r="B571" s="288"/>
      <c r="C571" s="288"/>
      <c r="D571" s="288"/>
      <c r="E571" s="288"/>
      <c r="F571" s="288"/>
      <c r="G571" s="288"/>
      <c r="H571" s="288"/>
      <c r="I571" s="288"/>
      <c r="J571" s="288"/>
      <c r="K571" s="288"/>
      <c r="L571" s="288"/>
      <c r="M571" s="288"/>
      <c r="N571" s="288"/>
      <c r="O571" s="288"/>
      <c r="P571" s="288"/>
      <c r="Q571" s="288"/>
      <c r="R571" s="288"/>
      <c r="S571" s="288"/>
      <c r="T571" s="288"/>
      <c r="U571" s="288"/>
      <c r="V571" s="288"/>
      <c r="W571" s="288"/>
      <c r="X571" s="288"/>
      <c r="Y571" s="288"/>
      <c r="Z571" s="288"/>
      <c r="AA571" s="288"/>
      <c r="AB571" s="288"/>
      <c r="AC571" s="288"/>
      <c r="AD571" s="288"/>
      <c r="AE571" s="288"/>
      <c r="AF571" s="288"/>
      <c r="AG571" s="288"/>
      <c r="AH571" s="288"/>
      <c r="AI571" s="288"/>
    </row>
    <row r="572" spans="1:35" ht="12.75" customHeight="1" x14ac:dyDescent="0.2">
      <c r="A572" s="288"/>
      <c r="B572" s="288"/>
      <c r="C572" s="288"/>
      <c r="D572" s="288"/>
      <c r="E572" s="288"/>
      <c r="F572" s="288"/>
      <c r="G572" s="288"/>
      <c r="H572" s="288"/>
      <c r="I572" s="288"/>
      <c r="J572" s="288"/>
      <c r="K572" s="288"/>
      <c r="L572" s="288"/>
      <c r="M572" s="288"/>
      <c r="N572" s="288"/>
      <c r="O572" s="288"/>
      <c r="P572" s="288"/>
      <c r="Q572" s="288"/>
      <c r="R572" s="288"/>
      <c r="S572" s="288"/>
      <c r="T572" s="288"/>
      <c r="U572" s="288"/>
      <c r="V572" s="288"/>
      <c r="W572" s="288"/>
      <c r="X572" s="288"/>
      <c r="Y572" s="288"/>
      <c r="Z572" s="288"/>
      <c r="AA572" s="288"/>
      <c r="AB572" s="288"/>
      <c r="AC572" s="288"/>
      <c r="AD572" s="288"/>
      <c r="AE572" s="288"/>
      <c r="AF572" s="288"/>
      <c r="AG572" s="288"/>
      <c r="AH572" s="288"/>
      <c r="AI572" s="288"/>
    </row>
    <row r="573" spans="1:35" ht="12.75" customHeight="1" x14ac:dyDescent="0.2">
      <c r="A573" s="288"/>
      <c r="B573" s="288"/>
      <c r="C573" s="288"/>
      <c r="D573" s="288"/>
      <c r="E573" s="288"/>
      <c r="F573" s="288"/>
      <c r="G573" s="288"/>
      <c r="H573" s="288"/>
      <c r="I573" s="288"/>
      <c r="J573" s="288"/>
      <c r="K573" s="288"/>
      <c r="L573" s="288"/>
      <c r="M573" s="288"/>
      <c r="N573" s="288"/>
      <c r="O573" s="288"/>
      <c r="P573" s="288"/>
      <c r="Q573" s="288"/>
      <c r="R573" s="288"/>
      <c r="S573" s="288"/>
      <c r="T573" s="288"/>
      <c r="U573" s="288"/>
      <c r="V573" s="288"/>
      <c r="W573" s="288"/>
      <c r="X573" s="288"/>
      <c r="Y573" s="288"/>
      <c r="Z573" s="288"/>
      <c r="AA573" s="288"/>
      <c r="AB573" s="288"/>
      <c r="AC573" s="288"/>
      <c r="AD573" s="288"/>
      <c r="AE573" s="288"/>
      <c r="AF573" s="288"/>
      <c r="AG573" s="288"/>
      <c r="AH573" s="288"/>
      <c r="AI573" s="288"/>
    </row>
    <row r="574" spans="1:35" ht="12.75" customHeight="1" x14ac:dyDescent="0.2">
      <c r="A574" s="288"/>
      <c r="B574" s="288"/>
      <c r="C574" s="288"/>
      <c r="D574" s="288"/>
      <c r="E574" s="288"/>
      <c r="F574" s="288"/>
      <c r="G574" s="288"/>
      <c r="H574" s="288"/>
      <c r="I574" s="288"/>
      <c r="J574" s="288"/>
      <c r="K574" s="288"/>
      <c r="L574" s="288"/>
      <c r="M574" s="288"/>
      <c r="N574" s="288"/>
      <c r="O574" s="288"/>
      <c r="P574" s="288"/>
      <c r="Q574" s="288"/>
      <c r="R574" s="288"/>
      <c r="S574" s="288"/>
      <c r="T574" s="288"/>
      <c r="U574" s="288"/>
      <c r="V574" s="288"/>
      <c r="W574" s="288"/>
      <c r="X574" s="288"/>
      <c r="Y574" s="288"/>
      <c r="Z574" s="288"/>
      <c r="AA574" s="288"/>
      <c r="AB574" s="288"/>
      <c r="AC574" s="288"/>
      <c r="AD574" s="288"/>
      <c r="AE574" s="288"/>
      <c r="AF574" s="288"/>
      <c r="AG574" s="288"/>
      <c r="AH574" s="288"/>
      <c r="AI574" s="288"/>
    </row>
    <row r="575" spans="1:35" ht="12.75" customHeight="1" x14ac:dyDescent="0.2">
      <c r="A575" s="288"/>
      <c r="B575" s="288"/>
      <c r="C575" s="288"/>
      <c r="D575" s="288"/>
      <c r="E575" s="288"/>
      <c r="F575" s="288"/>
      <c r="G575" s="288"/>
      <c r="H575" s="288"/>
      <c r="I575" s="288"/>
      <c r="J575" s="288"/>
      <c r="K575" s="288"/>
      <c r="L575" s="288"/>
      <c r="M575" s="288"/>
      <c r="N575" s="288"/>
      <c r="O575" s="288"/>
      <c r="P575" s="288"/>
      <c r="Q575" s="288"/>
      <c r="R575" s="288"/>
      <c r="S575" s="288"/>
      <c r="T575" s="288"/>
      <c r="U575" s="288"/>
      <c r="V575" s="288"/>
      <c r="W575" s="288"/>
      <c r="X575" s="288"/>
      <c r="Y575" s="288"/>
      <c r="Z575" s="288"/>
      <c r="AA575" s="288"/>
      <c r="AB575" s="288"/>
      <c r="AC575" s="288"/>
      <c r="AD575" s="288"/>
      <c r="AE575" s="288"/>
      <c r="AF575" s="288"/>
      <c r="AG575" s="288"/>
      <c r="AH575" s="288"/>
      <c r="AI575" s="288"/>
    </row>
    <row r="576" spans="1:35" ht="12.75" customHeight="1" x14ac:dyDescent="0.2">
      <c r="A576" s="288"/>
      <c r="B576" s="288"/>
      <c r="C576" s="288"/>
      <c r="D576" s="288"/>
      <c r="E576" s="288"/>
      <c r="F576" s="288"/>
      <c r="G576" s="288"/>
      <c r="H576" s="288"/>
      <c r="I576" s="288"/>
      <c r="J576" s="288"/>
      <c r="K576" s="288"/>
      <c r="L576" s="288"/>
      <c r="M576" s="288"/>
      <c r="N576" s="288"/>
      <c r="O576" s="288"/>
      <c r="P576" s="288"/>
      <c r="Q576" s="288"/>
      <c r="R576" s="288"/>
      <c r="S576" s="288"/>
      <c r="T576" s="288"/>
      <c r="U576" s="288"/>
      <c r="V576" s="288"/>
      <c r="W576" s="288"/>
      <c r="X576" s="288"/>
      <c r="Y576" s="288"/>
      <c r="Z576" s="288"/>
      <c r="AA576" s="288"/>
      <c r="AB576" s="288"/>
      <c r="AC576" s="288"/>
      <c r="AD576" s="288"/>
      <c r="AE576" s="288"/>
      <c r="AF576" s="288"/>
      <c r="AG576" s="288"/>
      <c r="AH576" s="288"/>
      <c r="AI576" s="288"/>
    </row>
    <row r="577" spans="1:35" ht="12.75" customHeight="1" x14ac:dyDescent="0.2">
      <c r="A577" s="288"/>
      <c r="B577" s="288"/>
      <c r="C577" s="288"/>
      <c r="D577" s="288"/>
      <c r="E577" s="288"/>
      <c r="F577" s="288"/>
      <c r="G577" s="288"/>
      <c r="H577" s="288"/>
      <c r="I577" s="288"/>
      <c r="J577" s="288"/>
      <c r="K577" s="288"/>
      <c r="L577" s="288"/>
      <c r="M577" s="288"/>
      <c r="N577" s="288"/>
      <c r="O577" s="288"/>
      <c r="P577" s="288"/>
      <c r="Q577" s="288"/>
      <c r="R577" s="288"/>
      <c r="S577" s="288"/>
      <c r="T577" s="288"/>
      <c r="U577" s="288"/>
      <c r="V577" s="288"/>
      <c r="W577" s="288"/>
      <c r="X577" s="288"/>
      <c r="Y577" s="288"/>
      <c r="Z577" s="288"/>
      <c r="AA577" s="288"/>
      <c r="AB577" s="288"/>
      <c r="AC577" s="288"/>
      <c r="AD577" s="288"/>
      <c r="AE577" s="288"/>
      <c r="AF577" s="288"/>
      <c r="AG577" s="288"/>
      <c r="AH577" s="288"/>
      <c r="AI577" s="288"/>
    </row>
    <row r="578" spans="1:35" ht="12.75" customHeight="1" x14ac:dyDescent="0.2">
      <c r="A578" s="288"/>
      <c r="B578" s="288"/>
      <c r="C578" s="288"/>
      <c r="D578" s="288"/>
      <c r="E578" s="288"/>
      <c r="F578" s="288"/>
      <c r="G578" s="288"/>
      <c r="H578" s="288"/>
      <c r="I578" s="288"/>
      <c r="J578" s="288"/>
      <c r="K578" s="288"/>
      <c r="L578" s="288"/>
      <c r="M578" s="288"/>
      <c r="N578" s="288"/>
      <c r="O578" s="288"/>
      <c r="P578" s="288"/>
      <c r="Q578" s="288"/>
      <c r="R578" s="288"/>
      <c r="S578" s="288"/>
      <c r="T578" s="288"/>
      <c r="U578" s="288"/>
      <c r="V578" s="288"/>
      <c r="W578" s="288"/>
      <c r="X578" s="288"/>
      <c r="Y578" s="288"/>
      <c r="Z578" s="288"/>
      <c r="AA578" s="288"/>
      <c r="AB578" s="288"/>
      <c r="AC578" s="288"/>
      <c r="AD578" s="288"/>
      <c r="AE578" s="288"/>
      <c r="AF578" s="288"/>
      <c r="AG578" s="288"/>
      <c r="AH578" s="288"/>
      <c r="AI578" s="288"/>
    </row>
    <row r="579" spans="1:35" ht="12.75" customHeight="1" x14ac:dyDescent="0.2">
      <c r="A579" s="288"/>
      <c r="B579" s="288"/>
      <c r="C579" s="288"/>
      <c r="D579" s="288"/>
      <c r="E579" s="288"/>
      <c r="F579" s="288"/>
      <c r="G579" s="288"/>
      <c r="H579" s="288"/>
      <c r="I579" s="288"/>
      <c r="J579" s="288"/>
      <c r="K579" s="288"/>
      <c r="L579" s="288"/>
      <c r="M579" s="288"/>
      <c r="N579" s="288"/>
      <c r="O579" s="288"/>
      <c r="P579" s="288"/>
      <c r="Q579" s="288"/>
      <c r="R579" s="288"/>
      <c r="S579" s="288"/>
      <c r="T579" s="288"/>
      <c r="U579" s="288"/>
      <c r="V579" s="288"/>
      <c r="W579" s="288"/>
      <c r="X579" s="288"/>
      <c r="Y579" s="288"/>
      <c r="Z579" s="288"/>
      <c r="AA579" s="288"/>
      <c r="AB579" s="288"/>
      <c r="AC579" s="288"/>
      <c r="AD579" s="288"/>
      <c r="AE579" s="288"/>
      <c r="AF579" s="288"/>
      <c r="AG579" s="288"/>
      <c r="AH579" s="288"/>
      <c r="AI579" s="288"/>
    </row>
    <row r="580" spans="1:35" ht="12.75" customHeight="1" x14ac:dyDescent="0.2">
      <c r="A580" s="288"/>
      <c r="B580" s="288"/>
      <c r="C580" s="288"/>
      <c r="D580" s="288"/>
      <c r="E580" s="288"/>
      <c r="F580" s="288"/>
      <c r="G580" s="288"/>
      <c r="H580" s="288"/>
      <c r="I580" s="288"/>
      <c r="J580" s="288"/>
      <c r="K580" s="288"/>
      <c r="L580" s="288"/>
      <c r="M580" s="288"/>
      <c r="N580" s="288"/>
      <c r="O580" s="288"/>
      <c r="P580" s="288"/>
      <c r="Q580" s="288"/>
      <c r="R580" s="288"/>
      <c r="S580" s="288"/>
      <c r="T580" s="288"/>
      <c r="U580" s="288"/>
      <c r="V580" s="288"/>
      <c r="W580" s="288"/>
      <c r="X580" s="288"/>
      <c r="Y580" s="288"/>
      <c r="Z580" s="288"/>
      <c r="AA580" s="288"/>
      <c r="AB580" s="288"/>
      <c r="AC580" s="288"/>
      <c r="AD580" s="288"/>
      <c r="AE580" s="288"/>
      <c r="AF580" s="288"/>
      <c r="AG580" s="288"/>
      <c r="AH580" s="288"/>
      <c r="AI580" s="288"/>
    </row>
    <row r="581" spans="1:35" ht="12.75" customHeight="1" x14ac:dyDescent="0.2">
      <c r="A581" s="288"/>
      <c r="B581" s="288"/>
      <c r="C581" s="288"/>
      <c r="D581" s="288"/>
      <c r="E581" s="288"/>
      <c r="F581" s="288"/>
      <c r="G581" s="288"/>
      <c r="H581" s="288"/>
      <c r="I581" s="288"/>
      <c r="J581" s="288"/>
      <c r="K581" s="288"/>
      <c r="L581" s="288"/>
      <c r="M581" s="288"/>
      <c r="N581" s="288"/>
      <c r="O581" s="288"/>
      <c r="P581" s="288"/>
      <c r="Q581" s="288"/>
      <c r="R581" s="288"/>
      <c r="S581" s="288"/>
      <c r="T581" s="288"/>
      <c r="U581" s="288"/>
      <c r="V581" s="288"/>
      <c r="W581" s="288"/>
      <c r="X581" s="288"/>
      <c r="Y581" s="288"/>
      <c r="Z581" s="288"/>
      <c r="AA581" s="288"/>
      <c r="AB581" s="288"/>
      <c r="AC581" s="288"/>
      <c r="AD581" s="288"/>
      <c r="AE581" s="288"/>
      <c r="AF581" s="288"/>
      <c r="AG581" s="288"/>
      <c r="AH581" s="288"/>
      <c r="AI581" s="288"/>
    </row>
    <row r="582" spans="1:35" ht="12.75" customHeight="1" x14ac:dyDescent="0.2">
      <c r="A582" s="288"/>
      <c r="B582" s="288"/>
      <c r="C582" s="288"/>
      <c r="D582" s="288"/>
      <c r="E582" s="288"/>
      <c r="F582" s="288"/>
      <c r="G582" s="288"/>
      <c r="H582" s="288"/>
      <c r="I582" s="288"/>
      <c r="J582" s="288"/>
      <c r="K582" s="288"/>
      <c r="L582" s="288"/>
      <c r="M582" s="288"/>
      <c r="N582" s="288"/>
      <c r="O582" s="288"/>
      <c r="P582" s="288"/>
      <c r="Q582" s="288"/>
      <c r="R582" s="288"/>
      <c r="S582" s="288"/>
      <c r="T582" s="288"/>
      <c r="U582" s="288"/>
      <c r="V582" s="288"/>
      <c r="W582" s="288"/>
      <c r="X582" s="288"/>
      <c r="Y582" s="288"/>
      <c r="Z582" s="288"/>
      <c r="AA582" s="288"/>
      <c r="AB582" s="288"/>
      <c r="AC582" s="288"/>
      <c r="AD582" s="288"/>
      <c r="AE582" s="288"/>
      <c r="AF582" s="288"/>
      <c r="AG582" s="288"/>
      <c r="AH582" s="288"/>
      <c r="AI582" s="288"/>
    </row>
    <row r="583" spans="1:35" ht="12.75" customHeight="1" x14ac:dyDescent="0.2">
      <c r="A583" s="288"/>
      <c r="B583" s="288"/>
      <c r="C583" s="288"/>
      <c r="D583" s="288"/>
      <c r="E583" s="288"/>
      <c r="F583" s="288"/>
      <c r="G583" s="288"/>
      <c r="H583" s="288"/>
      <c r="I583" s="288"/>
      <c r="J583" s="288"/>
      <c r="K583" s="288"/>
      <c r="L583" s="288"/>
      <c r="M583" s="288"/>
      <c r="N583" s="288"/>
      <c r="O583" s="288"/>
      <c r="P583" s="288"/>
      <c r="Q583" s="288"/>
      <c r="R583" s="288"/>
      <c r="S583" s="288"/>
      <c r="T583" s="288"/>
      <c r="U583" s="288"/>
      <c r="V583" s="288"/>
      <c r="W583" s="288"/>
      <c r="X583" s="288"/>
      <c r="Y583" s="288"/>
      <c r="Z583" s="288"/>
      <c r="AA583" s="288"/>
      <c r="AB583" s="288"/>
      <c r="AC583" s="288"/>
      <c r="AD583" s="288"/>
      <c r="AE583" s="288"/>
      <c r="AF583" s="288"/>
      <c r="AG583" s="288"/>
      <c r="AH583" s="288"/>
      <c r="AI583" s="288"/>
    </row>
    <row r="584" spans="1:35" ht="12.75" customHeight="1" x14ac:dyDescent="0.2">
      <c r="A584" s="288"/>
      <c r="B584" s="288"/>
      <c r="C584" s="288"/>
      <c r="D584" s="288"/>
      <c r="E584" s="288"/>
      <c r="F584" s="288"/>
      <c r="G584" s="288"/>
      <c r="H584" s="288"/>
      <c r="I584" s="288"/>
      <c r="J584" s="288"/>
      <c r="K584" s="288"/>
      <c r="L584" s="288"/>
      <c r="M584" s="288"/>
      <c r="N584" s="288"/>
      <c r="O584" s="288"/>
      <c r="P584" s="288"/>
      <c r="Q584" s="288"/>
      <c r="R584" s="288"/>
      <c r="S584" s="288"/>
      <c r="T584" s="288"/>
      <c r="U584" s="288"/>
      <c r="V584" s="288"/>
      <c r="W584" s="288"/>
      <c r="X584" s="288"/>
      <c r="Y584" s="288"/>
      <c r="Z584" s="288"/>
      <c r="AA584" s="288"/>
      <c r="AB584" s="288"/>
      <c r="AC584" s="288"/>
      <c r="AD584" s="288"/>
      <c r="AE584" s="288"/>
      <c r="AF584" s="288"/>
      <c r="AG584" s="288"/>
      <c r="AH584" s="288"/>
      <c r="AI584" s="288"/>
    </row>
    <row r="585" spans="1:35" ht="12.75" customHeight="1" x14ac:dyDescent="0.2">
      <c r="A585" s="288"/>
      <c r="B585" s="288"/>
      <c r="C585" s="288"/>
      <c r="D585" s="288"/>
      <c r="E585" s="288"/>
      <c r="F585" s="288"/>
      <c r="G585" s="288"/>
      <c r="H585" s="288"/>
      <c r="I585" s="288"/>
      <c r="J585" s="288"/>
      <c r="K585" s="288"/>
      <c r="L585" s="288"/>
      <c r="M585" s="288"/>
      <c r="N585" s="288"/>
      <c r="O585" s="288"/>
      <c r="P585" s="288"/>
      <c r="Q585" s="288"/>
      <c r="R585" s="288"/>
      <c r="S585" s="288"/>
      <c r="T585" s="288"/>
      <c r="U585" s="288"/>
      <c r="V585" s="288"/>
      <c r="W585" s="288"/>
      <c r="X585" s="288"/>
      <c r="Y585" s="288"/>
      <c r="Z585" s="288"/>
      <c r="AA585" s="288"/>
      <c r="AB585" s="288"/>
      <c r="AC585" s="288"/>
      <c r="AD585" s="288"/>
      <c r="AE585" s="288"/>
      <c r="AF585" s="288"/>
      <c r="AG585" s="288"/>
      <c r="AH585" s="288"/>
      <c r="AI585" s="288"/>
    </row>
    <row r="586" spans="1:35" ht="12.75" customHeight="1" x14ac:dyDescent="0.2">
      <c r="A586" s="288"/>
      <c r="B586" s="288"/>
      <c r="C586" s="288"/>
      <c r="D586" s="288"/>
      <c r="E586" s="288"/>
      <c r="F586" s="288"/>
      <c r="G586" s="288"/>
      <c r="H586" s="288"/>
      <c r="I586" s="288"/>
      <c r="J586" s="288"/>
      <c r="K586" s="288"/>
      <c r="L586" s="288"/>
      <c r="M586" s="288"/>
      <c r="N586" s="288"/>
      <c r="O586" s="288"/>
      <c r="P586" s="288"/>
      <c r="Q586" s="288"/>
      <c r="R586" s="288"/>
      <c r="S586" s="288"/>
      <c r="T586" s="288"/>
      <c r="U586" s="288"/>
      <c r="V586" s="288"/>
      <c r="W586" s="288"/>
      <c r="X586" s="288"/>
      <c r="Y586" s="288"/>
      <c r="Z586" s="288"/>
      <c r="AA586" s="288"/>
      <c r="AB586" s="288"/>
      <c r="AC586" s="288"/>
      <c r="AD586" s="288"/>
      <c r="AE586" s="288"/>
      <c r="AF586" s="288"/>
      <c r="AG586" s="288"/>
      <c r="AH586" s="288"/>
      <c r="AI586" s="288"/>
    </row>
    <row r="587" spans="1:35" ht="12.75" customHeight="1" x14ac:dyDescent="0.2">
      <c r="A587" s="288"/>
      <c r="B587" s="288"/>
      <c r="C587" s="288"/>
      <c r="D587" s="288"/>
      <c r="E587" s="288"/>
      <c r="F587" s="288"/>
      <c r="G587" s="288"/>
      <c r="H587" s="288"/>
      <c r="I587" s="288"/>
      <c r="J587" s="288"/>
      <c r="K587" s="288"/>
      <c r="L587" s="288"/>
      <c r="M587" s="288"/>
      <c r="N587" s="288"/>
      <c r="O587" s="288"/>
      <c r="P587" s="288"/>
      <c r="Q587" s="288"/>
      <c r="R587" s="288"/>
      <c r="S587" s="288"/>
      <c r="T587" s="288"/>
      <c r="U587" s="288"/>
      <c r="V587" s="288"/>
      <c r="W587" s="288"/>
      <c r="X587" s="288"/>
      <c r="Y587" s="288"/>
      <c r="Z587" s="288"/>
      <c r="AA587" s="288"/>
      <c r="AB587" s="288"/>
      <c r="AC587" s="288"/>
      <c r="AD587" s="288"/>
      <c r="AE587" s="288"/>
      <c r="AF587" s="288"/>
      <c r="AG587" s="288"/>
      <c r="AH587" s="288"/>
      <c r="AI587" s="288"/>
    </row>
    <row r="588" spans="1:35" ht="12.75" customHeight="1" x14ac:dyDescent="0.2">
      <c r="A588" s="288"/>
      <c r="B588" s="288"/>
      <c r="C588" s="288"/>
      <c r="D588" s="288"/>
      <c r="E588" s="288"/>
      <c r="F588" s="288"/>
      <c r="G588" s="288"/>
      <c r="H588" s="288"/>
      <c r="I588" s="288"/>
      <c r="J588" s="288"/>
      <c r="K588" s="288"/>
      <c r="L588" s="288"/>
      <c r="M588" s="288"/>
      <c r="N588" s="288"/>
      <c r="O588" s="288"/>
      <c r="P588" s="288"/>
      <c r="Q588" s="288"/>
      <c r="R588" s="288"/>
      <c r="S588" s="288"/>
      <c r="T588" s="288"/>
      <c r="U588" s="288"/>
      <c r="V588" s="288"/>
      <c r="W588" s="288"/>
      <c r="X588" s="288"/>
      <c r="Y588" s="288"/>
      <c r="Z588" s="288"/>
      <c r="AA588" s="288"/>
      <c r="AB588" s="288"/>
      <c r="AC588" s="288"/>
      <c r="AD588" s="288"/>
      <c r="AE588" s="288"/>
      <c r="AF588" s="288"/>
      <c r="AG588" s="288"/>
      <c r="AH588" s="288"/>
      <c r="AI588" s="288"/>
    </row>
    <row r="589" spans="1:35" ht="12.75" customHeight="1" x14ac:dyDescent="0.2">
      <c r="A589" s="288"/>
      <c r="B589" s="288"/>
      <c r="C589" s="288"/>
      <c r="D589" s="288"/>
      <c r="E589" s="288"/>
      <c r="F589" s="288"/>
      <c r="G589" s="288"/>
      <c r="H589" s="288"/>
      <c r="I589" s="288"/>
      <c r="J589" s="288"/>
      <c r="K589" s="288"/>
      <c r="L589" s="288"/>
      <c r="M589" s="288"/>
      <c r="N589" s="288"/>
      <c r="O589" s="288"/>
      <c r="P589" s="288"/>
      <c r="Q589" s="288"/>
      <c r="R589" s="288"/>
      <c r="S589" s="288"/>
      <c r="T589" s="288"/>
      <c r="U589" s="288"/>
      <c r="V589" s="288"/>
      <c r="W589" s="288"/>
      <c r="X589" s="288"/>
      <c r="Y589" s="288"/>
      <c r="Z589" s="288"/>
      <c r="AA589" s="288"/>
      <c r="AB589" s="288"/>
      <c r="AC589" s="288"/>
      <c r="AD589" s="288"/>
      <c r="AE589" s="288"/>
      <c r="AF589" s="288"/>
      <c r="AG589" s="288"/>
      <c r="AH589" s="288"/>
      <c r="AI589" s="288"/>
    </row>
    <row r="590" spans="1:35" ht="12.75" customHeight="1" x14ac:dyDescent="0.2">
      <c r="A590" s="288"/>
      <c r="B590" s="288"/>
      <c r="C590" s="288"/>
      <c r="D590" s="288"/>
      <c r="E590" s="288"/>
      <c r="F590" s="288"/>
      <c r="G590" s="288"/>
      <c r="H590" s="288"/>
      <c r="I590" s="288"/>
      <c r="J590" s="288"/>
      <c r="K590" s="288"/>
      <c r="L590" s="288"/>
      <c r="M590" s="288"/>
      <c r="N590" s="288"/>
      <c r="O590" s="288"/>
      <c r="P590" s="288"/>
      <c r="Q590" s="288"/>
      <c r="R590" s="288"/>
      <c r="S590" s="288"/>
      <c r="T590" s="288"/>
      <c r="U590" s="288"/>
      <c r="V590" s="288"/>
      <c r="W590" s="288"/>
      <c r="X590" s="288"/>
      <c r="Y590" s="288"/>
      <c r="Z590" s="288"/>
      <c r="AA590" s="288"/>
      <c r="AB590" s="288"/>
      <c r="AC590" s="288"/>
      <c r="AD590" s="288"/>
      <c r="AE590" s="288"/>
      <c r="AF590" s="288"/>
      <c r="AG590" s="288"/>
      <c r="AH590" s="288"/>
      <c r="AI590" s="288"/>
    </row>
    <row r="591" spans="1:35" ht="12.75" customHeight="1" x14ac:dyDescent="0.2">
      <c r="A591" s="288"/>
      <c r="B591" s="288"/>
      <c r="C591" s="288"/>
      <c r="D591" s="288"/>
      <c r="E591" s="288"/>
      <c r="F591" s="288"/>
      <c r="G591" s="288"/>
      <c r="H591" s="288"/>
      <c r="I591" s="288"/>
      <c r="J591" s="288"/>
      <c r="K591" s="288"/>
      <c r="L591" s="288"/>
      <c r="M591" s="288"/>
      <c r="N591" s="288"/>
      <c r="O591" s="288"/>
      <c r="P591" s="288"/>
      <c r="Q591" s="288"/>
      <c r="R591" s="288"/>
      <c r="S591" s="288"/>
      <c r="T591" s="288"/>
      <c r="U591" s="288"/>
      <c r="V591" s="288"/>
      <c r="W591" s="288"/>
      <c r="X591" s="288"/>
      <c r="Y591" s="288"/>
      <c r="Z591" s="288"/>
      <c r="AA591" s="288"/>
      <c r="AB591" s="288"/>
      <c r="AC591" s="288"/>
      <c r="AD591" s="288"/>
      <c r="AE591" s="288"/>
      <c r="AF591" s="288"/>
      <c r="AG591" s="288"/>
      <c r="AH591" s="288"/>
      <c r="AI591" s="288"/>
    </row>
    <row r="592" spans="1:35" ht="12.75" customHeight="1" x14ac:dyDescent="0.2">
      <c r="A592" s="288"/>
      <c r="B592" s="288"/>
      <c r="C592" s="288"/>
      <c r="D592" s="288"/>
      <c r="E592" s="288"/>
      <c r="F592" s="288"/>
      <c r="G592" s="288"/>
      <c r="H592" s="288"/>
      <c r="I592" s="288"/>
      <c r="J592" s="288"/>
      <c r="K592" s="288"/>
      <c r="L592" s="288"/>
      <c r="M592" s="288"/>
      <c r="N592" s="288"/>
      <c r="O592" s="288"/>
      <c r="P592" s="288"/>
      <c r="Q592" s="288"/>
      <c r="R592" s="288"/>
      <c r="S592" s="288"/>
      <c r="T592" s="288"/>
      <c r="U592" s="288"/>
      <c r="V592" s="288"/>
      <c r="W592" s="288"/>
      <c r="X592" s="288"/>
      <c r="Y592" s="288"/>
      <c r="Z592" s="288"/>
      <c r="AA592" s="288"/>
      <c r="AB592" s="288"/>
      <c r="AC592" s="288"/>
      <c r="AD592" s="288"/>
      <c r="AE592" s="288"/>
      <c r="AF592" s="288"/>
      <c r="AG592" s="288"/>
      <c r="AH592" s="288"/>
      <c r="AI592" s="288"/>
    </row>
    <row r="593" spans="1:35" ht="12.75" customHeight="1" x14ac:dyDescent="0.2">
      <c r="A593" s="288"/>
      <c r="B593" s="288"/>
      <c r="C593" s="288"/>
      <c r="D593" s="288"/>
      <c r="E593" s="288"/>
      <c r="F593" s="288"/>
      <c r="G593" s="288"/>
      <c r="H593" s="288"/>
      <c r="I593" s="288"/>
      <c r="J593" s="288"/>
      <c r="K593" s="288"/>
      <c r="L593" s="288"/>
      <c r="M593" s="288"/>
      <c r="N593" s="288"/>
      <c r="O593" s="288"/>
      <c r="P593" s="288"/>
      <c r="Q593" s="288"/>
      <c r="R593" s="288"/>
      <c r="S593" s="288"/>
      <c r="T593" s="288"/>
      <c r="U593" s="288"/>
      <c r="V593" s="288"/>
      <c r="W593" s="288"/>
      <c r="X593" s="288"/>
      <c r="Y593" s="288"/>
      <c r="Z593" s="288"/>
      <c r="AA593" s="288"/>
      <c r="AB593" s="288"/>
      <c r="AC593" s="288"/>
      <c r="AD593" s="288"/>
      <c r="AE593" s="288"/>
      <c r="AF593" s="288"/>
      <c r="AG593" s="288"/>
      <c r="AH593" s="288"/>
      <c r="AI593" s="288"/>
    </row>
    <row r="594" spans="1:35" ht="12.75" customHeight="1" x14ac:dyDescent="0.2">
      <c r="A594" s="288"/>
      <c r="B594" s="288"/>
      <c r="C594" s="288"/>
      <c r="D594" s="288"/>
      <c r="E594" s="288"/>
      <c r="F594" s="288"/>
      <c r="G594" s="288"/>
      <c r="H594" s="288"/>
      <c r="I594" s="288"/>
      <c r="J594" s="288"/>
      <c r="K594" s="288"/>
      <c r="L594" s="288"/>
      <c r="M594" s="288"/>
      <c r="N594" s="288"/>
      <c r="O594" s="288"/>
      <c r="P594" s="288"/>
      <c r="Q594" s="288"/>
      <c r="R594" s="288"/>
      <c r="S594" s="288"/>
      <c r="T594" s="288"/>
      <c r="U594" s="288"/>
      <c r="V594" s="288"/>
      <c r="W594" s="288"/>
      <c r="X594" s="288"/>
      <c r="Y594" s="288"/>
      <c r="Z594" s="288"/>
      <c r="AA594" s="288"/>
      <c r="AB594" s="288"/>
      <c r="AC594" s="288"/>
      <c r="AD594" s="288"/>
      <c r="AE594" s="288"/>
      <c r="AF594" s="288"/>
      <c r="AG594" s="288"/>
      <c r="AH594" s="288"/>
      <c r="AI594" s="288"/>
    </row>
    <row r="595" spans="1:35" ht="12.75" customHeight="1" x14ac:dyDescent="0.2">
      <c r="A595" s="288"/>
      <c r="B595" s="288"/>
      <c r="C595" s="288"/>
      <c r="D595" s="288"/>
      <c r="E595" s="288"/>
      <c r="F595" s="288"/>
      <c r="G595" s="288"/>
      <c r="H595" s="288"/>
      <c r="I595" s="288"/>
      <c r="J595" s="288"/>
      <c r="K595" s="288"/>
      <c r="L595" s="288"/>
      <c r="M595" s="288"/>
      <c r="N595" s="288"/>
      <c r="O595" s="288"/>
      <c r="P595" s="288"/>
      <c r="Q595" s="288"/>
      <c r="R595" s="288"/>
      <c r="S595" s="288"/>
      <c r="T595" s="288"/>
      <c r="U595" s="288"/>
      <c r="V595" s="288"/>
      <c r="W595" s="288"/>
      <c r="X595" s="288"/>
      <c r="Y595" s="288"/>
      <c r="Z595" s="288"/>
      <c r="AA595" s="288"/>
      <c r="AB595" s="288"/>
      <c r="AC595" s="288"/>
      <c r="AD595" s="288"/>
      <c r="AE595" s="288"/>
      <c r="AF595" s="288"/>
      <c r="AG595" s="288"/>
      <c r="AH595" s="288"/>
      <c r="AI595" s="288"/>
    </row>
    <row r="596" spans="1:35" ht="12.75" customHeight="1" x14ac:dyDescent="0.2">
      <c r="A596" s="288"/>
      <c r="B596" s="288"/>
      <c r="C596" s="288"/>
      <c r="D596" s="288"/>
      <c r="E596" s="288"/>
      <c r="F596" s="288"/>
      <c r="G596" s="288"/>
      <c r="H596" s="288"/>
      <c r="I596" s="288"/>
      <c r="J596" s="288"/>
      <c r="K596" s="288"/>
      <c r="L596" s="288"/>
      <c r="M596" s="288"/>
      <c r="N596" s="288"/>
      <c r="O596" s="288"/>
      <c r="P596" s="288"/>
      <c r="Q596" s="288"/>
      <c r="R596" s="288"/>
      <c r="S596" s="288"/>
      <c r="T596" s="288"/>
      <c r="U596" s="288"/>
      <c r="V596" s="288"/>
      <c r="W596" s="288"/>
      <c r="X596" s="288"/>
      <c r="Y596" s="288"/>
      <c r="Z596" s="288"/>
      <c r="AA596" s="288"/>
      <c r="AB596" s="288"/>
      <c r="AC596" s="288"/>
      <c r="AD596" s="288"/>
      <c r="AE596" s="288"/>
      <c r="AF596" s="288"/>
      <c r="AG596" s="288"/>
      <c r="AH596" s="288"/>
      <c r="AI596" s="288"/>
    </row>
    <row r="597" spans="1:35" ht="12.75" customHeight="1" x14ac:dyDescent="0.2">
      <c r="A597" s="288"/>
      <c r="B597" s="288"/>
      <c r="C597" s="288"/>
      <c r="D597" s="288"/>
      <c r="E597" s="288"/>
      <c r="F597" s="288"/>
      <c r="G597" s="288"/>
      <c r="H597" s="288"/>
      <c r="I597" s="288"/>
      <c r="J597" s="288"/>
      <c r="K597" s="288"/>
      <c r="L597" s="288"/>
      <c r="M597" s="288"/>
      <c r="N597" s="288"/>
      <c r="O597" s="288"/>
      <c r="P597" s="288"/>
      <c r="Q597" s="288"/>
      <c r="R597" s="288"/>
      <c r="S597" s="288"/>
      <c r="T597" s="288"/>
      <c r="U597" s="288"/>
      <c r="V597" s="288"/>
      <c r="W597" s="288"/>
      <c r="X597" s="288"/>
      <c r="Y597" s="288"/>
      <c r="Z597" s="288"/>
      <c r="AA597" s="288"/>
      <c r="AB597" s="288"/>
      <c r="AC597" s="288"/>
      <c r="AD597" s="288"/>
      <c r="AE597" s="288"/>
      <c r="AF597" s="288"/>
      <c r="AG597" s="288"/>
      <c r="AH597" s="288"/>
      <c r="AI597" s="288"/>
    </row>
    <row r="598" spans="1:35" ht="12.75" customHeight="1" x14ac:dyDescent="0.2">
      <c r="A598" s="288"/>
      <c r="B598" s="288"/>
      <c r="C598" s="288"/>
      <c r="D598" s="288"/>
      <c r="E598" s="288"/>
      <c r="F598" s="288"/>
      <c r="G598" s="288"/>
      <c r="H598" s="288"/>
      <c r="I598" s="288"/>
      <c r="J598" s="288"/>
      <c r="K598" s="288"/>
      <c r="L598" s="288"/>
      <c r="M598" s="288"/>
      <c r="N598" s="288"/>
      <c r="O598" s="288"/>
      <c r="P598" s="288"/>
      <c r="Q598" s="288"/>
      <c r="R598" s="288"/>
      <c r="S598" s="288"/>
      <c r="T598" s="288"/>
      <c r="U598" s="288"/>
      <c r="V598" s="288"/>
      <c r="W598" s="288"/>
      <c r="X598" s="288"/>
      <c r="Y598" s="288"/>
      <c r="Z598" s="288"/>
      <c r="AA598" s="288"/>
      <c r="AB598" s="288"/>
      <c r="AC598" s="288"/>
      <c r="AD598" s="288"/>
      <c r="AE598" s="288"/>
      <c r="AF598" s="288"/>
      <c r="AG598" s="288"/>
      <c r="AH598" s="288"/>
      <c r="AI598" s="288"/>
    </row>
    <row r="599" spans="1:35" ht="12.75" customHeight="1" x14ac:dyDescent="0.2">
      <c r="A599" s="288"/>
      <c r="B599" s="288"/>
      <c r="C599" s="288"/>
      <c r="D599" s="288"/>
      <c r="E599" s="288"/>
      <c r="F599" s="288"/>
      <c r="G599" s="288"/>
      <c r="H599" s="288"/>
      <c r="I599" s="288"/>
      <c r="J599" s="288"/>
      <c r="K599" s="288"/>
      <c r="L599" s="288"/>
      <c r="M599" s="288"/>
      <c r="N599" s="288"/>
      <c r="O599" s="288"/>
      <c r="P599" s="288"/>
      <c r="Q599" s="288"/>
      <c r="R599" s="288"/>
      <c r="S599" s="288"/>
      <c r="T599" s="288"/>
      <c r="U599" s="288"/>
      <c r="V599" s="288"/>
      <c r="W599" s="288"/>
      <c r="X599" s="288"/>
      <c r="Y599" s="288"/>
      <c r="Z599" s="288"/>
      <c r="AA599" s="288"/>
      <c r="AB599" s="288"/>
      <c r="AC599" s="288"/>
      <c r="AD599" s="288"/>
      <c r="AE599" s="288"/>
      <c r="AF599" s="288"/>
      <c r="AG599" s="288"/>
      <c r="AH599" s="288"/>
      <c r="AI599" s="288"/>
    </row>
    <row r="600" spans="1:35" ht="12.75" customHeight="1" x14ac:dyDescent="0.2">
      <c r="A600" s="288"/>
      <c r="B600" s="288"/>
      <c r="C600" s="288"/>
      <c r="D600" s="288"/>
      <c r="E600" s="288"/>
      <c r="F600" s="288"/>
      <c r="G600" s="288"/>
      <c r="H600" s="288"/>
      <c r="I600" s="288"/>
      <c r="J600" s="288"/>
      <c r="K600" s="288"/>
      <c r="L600" s="288"/>
      <c r="M600" s="288"/>
      <c r="N600" s="288"/>
      <c r="O600" s="288"/>
      <c r="P600" s="288"/>
      <c r="Q600" s="288"/>
      <c r="R600" s="288"/>
      <c r="S600" s="288"/>
      <c r="T600" s="288"/>
      <c r="U600" s="288"/>
      <c r="V600" s="288"/>
      <c r="W600" s="288"/>
      <c r="X600" s="288"/>
      <c r="Y600" s="288"/>
      <c r="Z600" s="288"/>
      <c r="AA600" s="288"/>
      <c r="AB600" s="288"/>
      <c r="AC600" s="288"/>
      <c r="AD600" s="288"/>
      <c r="AE600" s="288"/>
      <c r="AF600" s="288"/>
      <c r="AG600" s="288"/>
      <c r="AH600" s="288"/>
      <c r="AI600" s="288"/>
    </row>
    <row r="601" spans="1:35" ht="12.75" customHeight="1" x14ac:dyDescent="0.2">
      <c r="A601" s="288"/>
      <c r="B601" s="288"/>
      <c r="C601" s="288"/>
      <c r="D601" s="288"/>
      <c r="E601" s="288"/>
      <c r="F601" s="288"/>
      <c r="G601" s="288"/>
      <c r="H601" s="288"/>
      <c r="I601" s="288"/>
      <c r="J601" s="288"/>
      <c r="K601" s="288"/>
      <c r="L601" s="288"/>
      <c r="M601" s="288"/>
      <c r="N601" s="288"/>
      <c r="O601" s="288"/>
      <c r="P601" s="288"/>
      <c r="Q601" s="288"/>
      <c r="R601" s="288"/>
      <c r="S601" s="288"/>
      <c r="T601" s="288"/>
      <c r="U601" s="288"/>
      <c r="V601" s="288"/>
      <c r="W601" s="288"/>
      <c r="X601" s="288"/>
      <c r="Y601" s="288"/>
      <c r="Z601" s="288"/>
      <c r="AA601" s="288"/>
      <c r="AB601" s="288"/>
      <c r="AC601" s="288"/>
      <c r="AD601" s="288"/>
      <c r="AE601" s="288"/>
      <c r="AF601" s="288"/>
      <c r="AG601" s="288"/>
      <c r="AH601" s="288"/>
      <c r="AI601" s="288"/>
    </row>
    <row r="602" spans="1:35" ht="12.75" customHeight="1" x14ac:dyDescent="0.2">
      <c r="A602" s="288"/>
      <c r="B602" s="288"/>
      <c r="C602" s="288"/>
      <c r="D602" s="288"/>
      <c r="E602" s="288"/>
      <c r="F602" s="288"/>
      <c r="G602" s="288"/>
      <c r="H602" s="288"/>
      <c r="I602" s="288"/>
      <c r="J602" s="288"/>
      <c r="K602" s="288"/>
      <c r="L602" s="288"/>
      <c r="M602" s="288"/>
      <c r="N602" s="288"/>
      <c r="O602" s="288"/>
      <c r="P602" s="288"/>
      <c r="Q602" s="288"/>
      <c r="R602" s="288"/>
      <c r="S602" s="288"/>
      <c r="T602" s="288"/>
      <c r="U602" s="288"/>
      <c r="V602" s="288"/>
      <c r="W602" s="288"/>
      <c r="X602" s="288"/>
      <c r="Y602" s="288"/>
      <c r="Z602" s="288"/>
      <c r="AA602" s="288"/>
      <c r="AB602" s="288"/>
      <c r="AC602" s="288"/>
      <c r="AD602" s="288"/>
      <c r="AE602" s="288"/>
      <c r="AF602" s="288"/>
      <c r="AG602" s="288"/>
      <c r="AH602" s="288"/>
      <c r="AI602" s="288"/>
    </row>
    <row r="603" spans="1:35" ht="12.75" customHeight="1" x14ac:dyDescent="0.2">
      <c r="A603" s="288"/>
      <c r="B603" s="288"/>
      <c r="C603" s="288"/>
      <c r="D603" s="288"/>
      <c r="E603" s="288"/>
      <c r="F603" s="288"/>
      <c r="G603" s="288"/>
      <c r="H603" s="288"/>
      <c r="I603" s="288"/>
      <c r="J603" s="288"/>
      <c r="K603" s="288"/>
      <c r="L603" s="288"/>
      <c r="M603" s="288"/>
      <c r="N603" s="288"/>
      <c r="O603" s="288"/>
      <c r="P603" s="288"/>
      <c r="Q603" s="288"/>
      <c r="R603" s="288"/>
      <c r="S603" s="288"/>
      <c r="T603" s="288"/>
      <c r="U603" s="288"/>
      <c r="V603" s="288"/>
      <c r="W603" s="288"/>
      <c r="X603" s="288"/>
      <c r="Y603" s="288"/>
      <c r="Z603" s="288"/>
      <c r="AA603" s="288"/>
      <c r="AB603" s="288"/>
      <c r="AC603" s="288"/>
      <c r="AD603" s="288"/>
      <c r="AE603" s="288"/>
      <c r="AF603" s="288"/>
      <c r="AG603" s="288"/>
      <c r="AH603" s="288"/>
      <c r="AI603" s="288"/>
    </row>
    <row r="604" spans="1:35" ht="12.75" customHeight="1" x14ac:dyDescent="0.2">
      <c r="A604" s="288"/>
      <c r="B604" s="288"/>
      <c r="C604" s="288"/>
      <c r="D604" s="288"/>
      <c r="E604" s="288"/>
      <c r="F604" s="288"/>
      <c r="G604" s="288"/>
      <c r="H604" s="288"/>
      <c r="I604" s="288"/>
      <c r="J604" s="288"/>
      <c r="K604" s="288"/>
      <c r="L604" s="288"/>
      <c r="M604" s="288"/>
      <c r="N604" s="288"/>
      <c r="O604" s="288"/>
      <c r="P604" s="288"/>
      <c r="Q604" s="288"/>
      <c r="R604" s="288"/>
      <c r="S604" s="288"/>
      <c r="T604" s="288"/>
      <c r="U604" s="288"/>
      <c r="V604" s="288"/>
      <c r="W604" s="288"/>
      <c r="X604" s="288"/>
      <c r="Y604" s="288"/>
      <c r="Z604" s="288"/>
      <c r="AA604" s="288"/>
      <c r="AB604" s="288"/>
      <c r="AC604" s="288"/>
      <c r="AD604" s="288"/>
      <c r="AE604" s="288"/>
      <c r="AF604" s="288"/>
      <c r="AG604" s="288"/>
      <c r="AH604" s="288"/>
      <c r="AI604" s="288"/>
    </row>
    <row r="605" spans="1:35" ht="12.75" customHeight="1" x14ac:dyDescent="0.2">
      <c r="A605" s="288"/>
      <c r="B605" s="288"/>
      <c r="C605" s="288"/>
      <c r="D605" s="288"/>
      <c r="E605" s="288"/>
      <c r="F605" s="288"/>
      <c r="G605" s="288"/>
      <c r="H605" s="288"/>
      <c r="I605" s="288"/>
      <c r="J605" s="288"/>
      <c r="K605" s="288"/>
      <c r="L605" s="288"/>
      <c r="M605" s="288"/>
      <c r="N605" s="288"/>
      <c r="O605" s="288"/>
      <c r="P605" s="288"/>
      <c r="Q605" s="288"/>
      <c r="R605" s="288"/>
      <c r="S605" s="288"/>
      <c r="T605" s="288"/>
      <c r="U605" s="288"/>
      <c r="V605" s="288"/>
      <c r="W605" s="288"/>
      <c r="X605" s="288"/>
      <c r="Y605" s="288"/>
      <c r="Z605" s="288"/>
      <c r="AA605" s="288"/>
      <c r="AB605" s="288"/>
      <c r="AC605" s="288"/>
      <c r="AD605" s="288"/>
      <c r="AE605" s="288"/>
      <c r="AF605" s="288"/>
      <c r="AG605" s="288"/>
      <c r="AH605" s="288"/>
      <c r="AI605" s="288"/>
    </row>
    <row r="606" spans="1:35" ht="12.75" customHeight="1" x14ac:dyDescent="0.2">
      <c r="A606" s="288"/>
      <c r="B606" s="288"/>
      <c r="C606" s="288"/>
      <c r="D606" s="288"/>
      <c r="E606" s="288"/>
      <c r="F606" s="288"/>
      <c r="G606" s="288"/>
      <c r="H606" s="288"/>
      <c r="I606" s="288"/>
      <c r="J606" s="288"/>
      <c r="K606" s="288"/>
      <c r="L606" s="288"/>
      <c r="M606" s="288"/>
      <c r="N606" s="288"/>
      <c r="O606" s="288"/>
      <c r="P606" s="288"/>
      <c r="Q606" s="288"/>
      <c r="R606" s="288"/>
      <c r="S606" s="288"/>
      <c r="T606" s="288"/>
      <c r="U606" s="288"/>
      <c r="V606" s="288"/>
      <c r="W606" s="288"/>
      <c r="X606" s="288"/>
      <c r="Y606" s="288"/>
      <c r="Z606" s="288"/>
      <c r="AA606" s="288"/>
      <c r="AB606" s="288"/>
      <c r="AC606" s="288"/>
      <c r="AD606" s="288"/>
      <c r="AE606" s="288"/>
      <c r="AF606" s="288"/>
      <c r="AG606" s="288"/>
      <c r="AH606" s="288"/>
      <c r="AI606" s="288"/>
    </row>
    <row r="607" spans="1:35" ht="12.75" customHeight="1" x14ac:dyDescent="0.2">
      <c r="A607" s="288"/>
      <c r="B607" s="288"/>
      <c r="C607" s="288"/>
      <c r="D607" s="288"/>
      <c r="E607" s="288"/>
      <c r="F607" s="288"/>
      <c r="G607" s="288"/>
      <c r="H607" s="288"/>
      <c r="I607" s="288"/>
      <c r="J607" s="288"/>
      <c r="K607" s="288"/>
      <c r="L607" s="288"/>
      <c r="M607" s="288"/>
      <c r="N607" s="288"/>
      <c r="O607" s="288"/>
      <c r="P607" s="288"/>
      <c r="Q607" s="288"/>
      <c r="R607" s="288"/>
      <c r="S607" s="288"/>
      <c r="T607" s="288"/>
      <c r="U607" s="288"/>
      <c r="V607" s="288"/>
      <c r="W607" s="288"/>
      <c r="X607" s="288"/>
      <c r="Y607" s="288"/>
      <c r="Z607" s="288"/>
      <c r="AA607" s="288"/>
      <c r="AB607" s="288"/>
      <c r="AC607" s="288"/>
      <c r="AD607" s="288"/>
      <c r="AE607" s="288"/>
      <c r="AF607" s="288"/>
      <c r="AG607" s="288"/>
      <c r="AH607" s="288"/>
      <c r="AI607" s="288"/>
    </row>
    <row r="608" spans="1:35" ht="12.75" customHeight="1" x14ac:dyDescent="0.2">
      <c r="A608" s="288"/>
      <c r="B608" s="288"/>
      <c r="C608" s="288"/>
      <c r="D608" s="288"/>
      <c r="E608" s="288"/>
      <c r="F608" s="288"/>
      <c r="G608" s="288"/>
      <c r="H608" s="288"/>
      <c r="I608" s="288"/>
      <c r="J608" s="288"/>
      <c r="K608" s="288"/>
      <c r="L608" s="288"/>
      <c r="M608" s="288"/>
      <c r="N608" s="288"/>
      <c r="O608" s="288"/>
      <c r="P608" s="288"/>
      <c r="Q608" s="288"/>
      <c r="R608" s="288"/>
      <c r="S608" s="288"/>
      <c r="T608" s="288"/>
      <c r="U608" s="288"/>
      <c r="V608" s="288"/>
      <c r="W608" s="288"/>
      <c r="X608" s="288"/>
      <c r="Y608" s="288"/>
      <c r="Z608" s="288"/>
      <c r="AA608" s="288"/>
      <c r="AB608" s="288"/>
      <c r="AC608" s="288"/>
      <c r="AD608" s="288"/>
      <c r="AE608" s="288"/>
      <c r="AF608" s="288"/>
      <c r="AG608" s="288"/>
      <c r="AH608" s="288"/>
      <c r="AI608" s="288"/>
    </row>
    <row r="609" spans="1:35" ht="12.75" customHeight="1" x14ac:dyDescent="0.2">
      <c r="A609" s="288"/>
      <c r="B609" s="288"/>
      <c r="C609" s="288"/>
      <c r="D609" s="288"/>
      <c r="E609" s="288"/>
      <c r="F609" s="288"/>
      <c r="G609" s="288"/>
      <c r="H609" s="288"/>
      <c r="I609" s="288"/>
      <c r="J609" s="288"/>
      <c r="K609" s="288"/>
      <c r="L609" s="288"/>
      <c r="M609" s="288"/>
      <c r="N609" s="288"/>
      <c r="O609" s="288"/>
      <c r="P609" s="288"/>
      <c r="Q609" s="288"/>
      <c r="R609" s="288"/>
      <c r="S609" s="288"/>
      <c r="T609" s="288"/>
      <c r="U609" s="288"/>
      <c r="V609" s="288"/>
      <c r="W609" s="288"/>
      <c r="X609" s="288"/>
      <c r="Y609" s="288"/>
      <c r="Z609" s="288"/>
      <c r="AA609" s="288"/>
      <c r="AB609" s="288"/>
      <c r="AC609" s="288"/>
      <c r="AD609" s="288"/>
      <c r="AE609" s="288"/>
      <c r="AF609" s="288"/>
      <c r="AG609" s="288"/>
      <c r="AH609" s="288"/>
      <c r="AI609" s="288"/>
    </row>
    <row r="610" spans="1:35" ht="12.75" customHeight="1" x14ac:dyDescent="0.2">
      <c r="A610" s="288"/>
      <c r="B610" s="288"/>
      <c r="C610" s="288"/>
      <c r="D610" s="288"/>
      <c r="E610" s="288"/>
      <c r="F610" s="288"/>
      <c r="G610" s="288"/>
      <c r="H610" s="288"/>
      <c r="I610" s="288"/>
      <c r="J610" s="288"/>
      <c r="K610" s="288"/>
      <c r="L610" s="288"/>
      <c r="M610" s="288"/>
      <c r="N610" s="288"/>
      <c r="O610" s="288"/>
      <c r="P610" s="288"/>
      <c r="Q610" s="288"/>
      <c r="R610" s="288"/>
      <c r="S610" s="288"/>
      <c r="T610" s="288"/>
      <c r="U610" s="288"/>
      <c r="V610" s="288"/>
      <c r="W610" s="288"/>
      <c r="X610" s="288"/>
      <c r="Y610" s="288"/>
      <c r="Z610" s="288"/>
      <c r="AA610" s="288"/>
      <c r="AB610" s="288"/>
      <c r="AC610" s="288"/>
      <c r="AD610" s="288"/>
      <c r="AE610" s="288"/>
      <c r="AF610" s="288"/>
      <c r="AG610" s="288"/>
      <c r="AH610" s="288"/>
      <c r="AI610" s="288"/>
    </row>
    <row r="611" spans="1:35" ht="12.75" customHeight="1" x14ac:dyDescent="0.2">
      <c r="A611" s="288"/>
      <c r="B611" s="288"/>
      <c r="C611" s="288"/>
      <c r="D611" s="288"/>
      <c r="E611" s="288"/>
      <c r="F611" s="288"/>
      <c r="G611" s="288"/>
      <c r="H611" s="288"/>
      <c r="I611" s="288"/>
      <c r="J611" s="288"/>
      <c r="K611" s="288"/>
      <c r="L611" s="288"/>
      <c r="M611" s="288"/>
      <c r="N611" s="288"/>
      <c r="O611" s="288"/>
      <c r="P611" s="288"/>
      <c r="Q611" s="288"/>
      <c r="R611" s="288"/>
      <c r="S611" s="288"/>
      <c r="T611" s="288"/>
      <c r="U611" s="288"/>
      <c r="V611" s="288"/>
      <c r="W611" s="288"/>
      <c r="X611" s="288"/>
      <c r="Y611" s="288"/>
      <c r="Z611" s="288"/>
      <c r="AA611" s="288"/>
      <c r="AB611" s="288"/>
      <c r="AC611" s="288"/>
      <c r="AD611" s="288"/>
      <c r="AE611" s="288"/>
      <c r="AF611" s="288"/>
      <c r="AG611" s="288"/>
      <c r="AH611" s="288"/>
      <c r="AI611" s="288"/>
    </row>
    <row r="612" spans="1:35" ht="12.75" customHeight="1" x14ac:dyDescent="0.2">
      <c r="A612" s="288"/>
      <c r="B612" s="288"/>
      <c r="C612" s="288"/>
      <c r="D612" s="288"/>
      <c r="E612" s="288"/>
      <c r="F612" s="288"/>
      <c r="G612" s="288"/>
      <c r="H612" s="288"/>
      <c r="I612" s="288"/>
      <c r="J612" s="288"/>
      <c r="K612" s="288"/>
      <c r="L612" s="288"/>
      <c r="M612" s="288"/>
      <c r="N612" s="288"/>
      <c r="O612" s="288"/>
      <c r="P612" s="288"/>
      <c r="Q612" s="288"/>
      <c r="R612" s="288"/>
      <c r="S612" s="288"/>
      <c r="T612" s="288"/>
      <c r="U612" s="288"/>
      <c r="V612" s="288"/>
      <c r="W612" s="288"/>
      <c r="X612" s="288"/>
      <c r="Y612" s="288"/>
      <c r="Z612" s="288"/>
      <c r="AA612" s="288"/>
      <c r="AB612" s="288"/>
      <c r="AC612" s="288"/>
      <c r="AD612" s="288"/>
      <c r="AE612" s="288"/>
      <c r="AF612" s="288"/>
      <c r="AG612" s="288"/>
      <c r="AH612" s="288"/>
      <c r="AI612" s="288"/>
    </row>
    <row r="613" spans="1:35" ht="12.75" customHeight="1" x14ac:dyDescent="0.2">
      <c r="A613" s="288"/>
      <c r="B613" s="288"/>
      <c r="C613" s="288"/>
      <c r="D613" s="288"/>
      <c r="E613" s="288"/>
      <c r="F613" s="288"/>
      <c r="G613" s="288"/>
      <c r="H613" s="288"/>
      <c r="I613" s="288"/>
      <c r="J613" s="288"/>
      <c r="K613" s="288"/>
      <c r="L613" s="288"/>
      <c r="M613" s="288"/>
      <c r="N613" s="288"/>
      <c r="O613" s="288"/>
      <c r="P613" s="288"/>
      <c r="Q613" s="288"/>
      <c r="R613" s="288"/>
      <c r="S613" s="288"/>
      <c r="T613" s="288"/>
      <c r="U613" s="288"/>
      <c r="V613" s="288"/>
      <c r="W613" s="288"/>
      <c r="X613" s="288"/>
      <c r="Y613" s="288"/>
      <c r="Z613" s="288"/>
      <c r="AA613" s="288"/>
      <c r="AB613" s="288"/>
      <c r="AC613" s="288"/>
      <c r="AD613" s="288"/>
      <c r="AE613" s="288"/>
      <c r="AF613" s="288"/>
      <c r="AG613" s="288"/>
      <c r="AH613" s="288"/>
      <c r="AI613" s="288"/>
    </row>
    <row r="614" spans="1:35" ht="12.75" customHeight="1" x14ac:dyDescent="0.2">
      <c r="A614" s="288"/>
      <c r="B614" s="288"/>
      <c r="C614" s="288"/>
      <c r="D614" s="288"/>
      <c r="E614" s="288"/>
      <c r="F614" s="288"/>
      <c r="G614" s="288"/>
      <c r="H614" s="288"/>
      <c r="I614" s="288"/>
      <c r="J614" s="288"/>
      <c r="K614" s="288"/>
      <c r="L614" s="288"/>
      <c r="M614" s="288"/>
      <c r="N614" s="288"/>
      <c r="O614" s="288"/>
      <c r="P614" s="288"/>
      <c r="Q614" s="288"/>
      <c r="R614" s="288"/>
      <c r="S614" s="288"/>
      <c r="T614" s="288"/>
      <c r="U614" s="288"/>
      <c r="V614" s="288"/>
      <c r="W614" s="288"/>
      <c r="X614" s="288"/>
      <c r="Y614" s="288"/>
      <c r="Z614" s="288"/>
      <c r="AA614" s="288"/>
      <c r="AB614" s="288"/>
      <c r="AC614" s="288"/>
      <c r="AD614" s="288"/>
      <c r="AE614" s="288"/>
      <c r="AF614" s="288"/>
      <c r="AG614" s="288"/>
      <c r="AH614" s="288"/>
      <c r="AI614" s="288"/>
    </row>
    <row r="615" spans="1:35" ht="12.75" customHeight="1" x14ac:dyDescent="0.2">
      <c r="A615" s="288"/>
      <c r="B615" s="288"/>
      <c r="C615" s="288"/>
      <c r="D615" s="288"/>
      <c r="E615" s="288"/>
      <c r="F615" s="288"/>
      <c r="G615" s="288"/>
      <c r="H615" s="288"/>
      <c r="I615" s="288"/>
      <c r="J615" s="288"/>
      <c r="K615" s="288"/>
      <c r="L615" s="288"/>
      <c r="M615" s="288"/>
      <c r="N615" s="288"/>
      <c r="O615" s="288"/>
      <c r="P615" s="288"/>
      <c r="Q615" s="288"/>
      <c r="R615" s="288"/>
      <c r="S615" s="288"/>
      <c r="T615" s="288"/>
      <c r="U615" s="288"/>
      <c r="V615" s="288"/>
      <c r="W615" s="288"/>
      <c r="X615" s="288"/>
      <c r="Y615" s="288"/>
      <c r="Z615" s="288"/>
      <c r="AA615" s="288"/>
      <c r="AB615" s="288"/>
      <c r="AC615" s="288"/>
      <c r="AD615" s="288"/>
      <c r="AE615" s="288"/>
      <c r="AF615" s="288"/>
      <c r="AG615" s="288"/>
      <c r="AH615" s="288"/>
      <c r="AI615" s="288"/>
    </row>
    <row r="616" spans="1:35" ht="12.75" customHeight="1" x14ac:dyDescent="0.2">
      <c r="A616" s="288"/>
      <c r="B616" s="288"/>
      <c r="C616" s="288"/>
      <c r="D616" s="288"/>
      <c r="E616" s="288"/>
      <c r="F616" s="288"/>
      <c r="G616" s="288"/>
      <c r="H616" s="288"/>
      <c r="I616" s="288"/>
      <c r="J616" s="288"/>
      <c r="K616" s="288"/>
      <c r="L616" s="288"/>
      <c r="M616" s="288"/>
      <c r="N616" s="288"/>
      <c r="O616" s="288"/>
      <c r="P616" s="288"/>
      <c r="Q616" s="288"/>
      <c r="R616" s="288"/>
      <c r="S616" s="288"/>
      <c r="T616" s="288"/>
      <c r="U616" s="288"/>
      <c r="V616" s="288"/>
      <c r="W616" s="288"/>
      <c r="X616" s="288"/>
      <c r="Y616" s="288"/>
      <c r="Z616" s="288"/>
      <c r="AA616" s="288"/>
      <c r="AB616" s="288"/>
      <c r="AC616" s="288"/>
      <c r="AD616" s="288"/>
      <c r="AE616" s="288"/>
      <c r="AF616" s="288"/>
      <c r="AG616" s="288"/>
      <c r="AH616" s="288"/>
      <c r="AI616" s="288"/>
    </row>
    <row r="617" spans="1:35" ht="12.75" customHeight="1" x14ac:dyDescent="0.2">
      <c r="A617" s="288"/>
      <c r="B617" s="288"/>
      <c r="C617" s="288"/>
      <c r="D617" s="288"/>
      <c r="E617" s="288"/>
      <c r="F617" s="288"/>
      <c r="G617" s="288"/>
      <c r="H617" s="288"/>
      <c r="I617" s="288"/>
      <c r="J617" s="288"/>
      <c r="K617" s="288"/>
      <c r="L617" s="288"/>
      <c r="M617" s="288"/>
      <c r="N617" s="288"/>
      <c r="O617" s="288"/>
      <c r="P617" s="288"/>
      <c r="Q617" s="288"/>
      <c r="R617" s="288"/>
      <c r="S617" s="288"/>
      <c r="T617" s="288"/>
      <c r="U617" s="288"/>
      <c r="V617" s="288"/>
      <c r="W617" s="288"/>
      <c r="X617" s="288"/>
      <c r="Y617" s="288"/>
      <c r="Z617" s="288"/>
      <c r="AA617" s="288"/>
      <c r="AB617" s="288"/>
      <c r="AC617" s="288"/>
      <c r="AD617" s="288"/>
      <c r="AE617" s="288"/>
      <c r="AF617" s="288"/>
      <c r="AG617" s="288"/>
      <c r="AH617" s="288"/>
      <c r="AI617" s="288"/>
    </row>
    <row r="618" spans="1:35" ht="12.75" customHeight="1" x14ac:dyDescent="0.2">
      <c r="A618" s="288"/>
      <c r="B618" s="288"/>
      <c r="C618" s="288"/>
      <c r="D618" s="288"/>
      <c r="E618" s="288"/>
      <c r="F618" s="288"/>
      <c r="G618" s="288"/>
      <c r="H618" s="288"/>
      <c r="I618" s="288"/>
      <c r="J618" s="288"/>
      <c r="K618" s="288"/>
      <c r="L618" s="288"/>
      <c r="M618" s="288"/>
      <c r="N618" s="288"/>
      <c r="O618" s="288"/>
      <c r="P618" s="288"/>
      <c r="Q618" s="288"/>
      <c r="R618" s="288"/>
      <c r="S618" s="288"/>
      <c r="T618" s="288"/>
      <c r="U618" s="288"/>
      <c r="V618" s="288"/>
      <c r="W618" s="288"/>
      <c r="X618" s="288"/>
      <c r="Y618" s="288"/>
      <c r="Z618" s="288"/>
      <c r="AA618" s="288"/>
      <c r="AB618" s="288"/>
      <c r="AC618" s="288"/>
      <c r="AD618" s="288"/>
      <c r="AE618" s="288"/>
      <c r="AF618" s="288"/>
      <c r="AG618" s="288"/>
      <c r="AH618" s="288"/>
      <c r="AI618" s="288"/>
    </row>
    <row r="619" spans="1:35" ht="12.75" customHeight="1" x14ac:dyDescent="0.2">
      <c r="A619" s="288"/>
      <c r="B619" s="288"/>
      <c r="C619" s="288"/>
      <c r="D619" s="288"/>
      <c r="E619" s="288"/>
      <c r="F619" s="288"/>
      <c r="G619" s="288"/>
      <c r="H619" s="288"/>
      <c r="I619" s="288"/>
      <c r="J619" s="288"/>
      <c r="K619" s="288"/>
      <c r="L619" s="288"/>
      <c r="M619" s="288"/>
      <c r="N619" s="288"/>
      <c r="O619" s="288"/>
      <c r="P619" s="288"/>
      <c r="Q619" s="288"/>
      <c r="R619" s="288"/>
      <c r="S619" s="288"/>
      <c r="T619" s="288"/>
      <c r="U619" s="288"/>
      <c r="V619" s="288"/>
      <c r="W619" s="288"/>
      <c r="X619" s="288"/>
      <c r="Y619" s="288"/>
      <c r="Z619" s="288"/>
      <c r="AA619" s="288"/>
      <c r="AB619" s="288"/>
      <c r="AC619" s="288"/>
      <c r="AD619" s="288"/>
      <c r="AE619" s="288"/>
      <c r="AF619" s="288"/>
      <c r="AG619" s="288"/>
      <c r="AH619" s="288"/>
      <c r="AI619" s="288"/>
    </row>
    <row r="620" spans="1:35" ht="12.75" customHeight="1" x14ac:dyDescent="0.2">
      <c r="A620" s="288"/>
      <c r="B620" s="288"/>
      <c r="C620" s="288"/>
      <c r="D620" s="288"/>
      <c r="E620" s="288"/>
      <c r="F620" s="288"/>
      <c r="G620" s="288"/>
      <c r="H620" s="288"/>
      <c r="I620" s="288"/>
      <c r="J620" s="288"/>
      <c r="K620" s="288"/>
      <c r="L620" s="288"/>
      <c r="M620" s="288"/>
      <c r="N620" s="288"/>
      <c r="O620" s="288"/>
      <c r="P620" s="288"/>
      <c r="Q620" s="288"/>
      <c r="R620" s="288"/>
      <c r="S620" s="288"/>
      <c r="T620" s="288"/>
      <c r="U620" s="288"/>
      <c r="V620" s="288"/>
      <c r="W620" s="288"/>
      <c r="X620" s="288"/>
      <c r="Y620" s="288"/>
      <c r="Z620" s="288"/>
      <c r="AA620" s="288"/>
      <c r="AB620" s="288"/>
      <c r="AC620" s="288"/>
      <c r="AD620" s="288"/>
      <c r="AE620" s="288"/>
      <c r="AF620" s="288"/>
      <c r="AG620" s="288"/>
      <c r="AH620" s="288"/>
      <c r="AI620" s="288"/>
    </row>
    <row r="621" spans="1:35" ht="12.75" customHeight="1" x14ac:dyDescent="0.2">
      <c r="A621" s="288"/>
      <c r="B621" s="288"/>
      <c r="C621" s="288"/>
      <c r="D621" s="288"/>
      <c r="E621" s="288"/>
      <c r="F621" s="288"/>
      <c r="G621" s="288"/>
      <c r="H621" s="288"/>
      <c r="I621" s="288"/>
      <c r="J621" s="288"/>
      <c r="K621" s="288"/>
      <c r="L621" s="288"/>
      <c r="M621" s="288"/>
      <c r="N621" s="288"/>
      <c r="O621" s="288"/>
      <c r="P621" s="288"/>
      <c r="Q621" s="288"/>
      <c r="R621" s="288"/>
      <c r="S621" s="288"/>
      <c r="T621" s="288"/>
      <c r="U621" s="288"/>
      <c r="V621" s="288"/>
      <c r="W621" s="288"/>
      <c r="X621" s="288"/>
      <c r="Y621" s="288"/>
      <c r="Z621" s="288"/>
      <c r="AA621" s="288"/>
      <c r="AB621" s="288"/>
      <c r="AC621" s="288"/>
      <c r="AD621" s="288"/>
      <c r="AE621" s="288"/>
      <c r="AF621" s="288"/>
      <c r="AG621" s="288"/>
      <c r="AH621" s="288"/>
      <c r="AI621" s="288"/>
    </row>
    <row r="622" spans="1:35" ht="12.75" customHeight="1" x14ac:dyDescent="0.2">
      <c r="A622" s="288"/>
      <c r="B622" s="288"/>
      <c r="C622" s="288"/>
      <c r="D622" s="288"/>
      <c r="E622" s="288"/>
      <c r="F622" s="288"/>
      <c r="G622" s="288"/>
      <c r="H622" s="288"/>
      <c r="I622" s="288"/>
      <c r="J622" s="288"/>
      <c r="K622" s="288"/>
      <c r="L622" s="288"/>
      <c r="M622" s="288"/>
      <c r="N622" s="288"/>
      <c r="O622" s="288"/>
      <c r="P622" s="288"/>
      <c r="Q622" s="288"/>
      <c r="R622" s="288"/>
      <c r="S622" s="288"/>
      <c r="T622" s="288"/>
      <c r="U622" s="288"/>
      <c r="V622" s="288"/>
      <c r="W622" s="288"/>
      <c r="X622" s="288"/>
      <c r="Y622" s="288"/>
      <c r="Z622" s="288"/>
      <c r="AA622" s="288"/>
      <c r="AB622" s="288"/>
      <c r="AC622" s="288"/>
      <c r="AD622" s="288"/>
      <c r="AE622" s="288"/>
      <c r="AF622" s="288"/>
      <c r="AG622" s="288"/>
      <c r="AH622" s="288"/>
      <c r="AI622" s="288"/>
    </row>
    <row r="623" spans="1:35" ht="12.75" customHeight="1" x14ac:dyDescent="0.2">
      <c r="A623" s="288"/>
      <c r="B623" s="288"/>
      <c r="C623" s="288"/>
      <c r="D623" s="288"/>
      <c r="E623" s="288"/>
      <c r="F623" s="288"/>
      <c r="G623" s="288"/>
      <c r="H623" s="288"/>
      <c r="I623" s="288"/>
      <c r="J623" s="288"/>
      <c r="K623" s="288"/>
      <c r="L623" s="288"/>
      <c r="M623" s="288"/>
      <c r="N623" s="288"/>
      <c r="O623" s="288"/>
      <c r="P623" s="288"/>
      <c r="Q623" s="288"/>
      <c r="R623" s="288"/>
      <c r="S623" s="288"/>
      <c r="T623" s="288"/>
      <c r="U623" s="288"/>
      <c r="V623" s="288"/>
      <c r="W623" s="288"/>
      <c r="X623" s="288"/>
      <c r="Y623" s="288"/>
      <c r="Z623" s="288"/>
      <c r="AA623" s="288"/>
      <c r="AB623" s="288"/>
      <c r="AC623" s="288"/>
      <c r="AD623" s="288"/>
      <c r="AE623" s="288"/>
      <c r="AF623" s="288"/>
      <c r="AG623" s="288"/>
      <c r="AH623" s="288"/>
      <c r="AI623" s="288"/>
    </row>
    <row r="624" spans="1:35" ht="12.75" customHeight="1" x14ac:dyDescent="0.2">
      <c r="A624" s="288"/>
      <c r="B624" s="288"/>
      <c r="C624" s="288"/>
      <c r="D624" s="288"/>
      <c r="E624" s="288"/>
      <c r="F624" s="288"/>
      <c r="G624" s="288"/>
      <c r="H624" s="288"/>
      <c r="I624" s="288"/>
      <c r="J624" s="288"/>
      <c r="K624" s="288"/>
      <c r="L624" s="288"/>
      <c r="M624" s="288"/>
      <c r="N624" s="288"/>
      <c r="O624" s="288"/>
      <c r="P624" s="288"/>
      <c r="Q624" s="288"/>
      <c r="R624" s="288"/>
      <c r="S624" s="288"/>
      <c r="T624" s="288"/>
      <c r="U624" s="288"/>
      <c r="V624" s="288"/>
      <c r="W624" s="288"/>
      <c r="X624" s="288"/>
      <c r="Y624" s="288"/>
      <c r="Z624" s="288"/>
      <c r="AA624" s="288"/>
      <c r="AB624" s="288"/>
      <c r="AC624" s="288"/>
      <c r="AD624" s="288"/>
      <c r="AE624" s="288"/>
      <c r="AF624" s="288"/>
      <c r="AG624" s="288"/>
      <c r="AH624" s="288"/>
      <c r="AI624" s="288"/>
    </row>
    <row r="625" spans="1:35" ht="12.75" customHeight="1" x14ac:dyDescent="0.2">
      <c r="A625" s="288"/>
      <c r="B625" s="288"/>
      <c r="C625" s="288"/>
      <c r="D625" s="288"/>
      <c r="E625" s="288"/>
      <c r="F625" s="288"/>
      <c r="G625" s="288"/>
      <c r="H625" s="288"/>
      <c r="I625" s="288"/>
      <c r="J625" s="288"/>
      <c r="K625" s="288"/>
      <c r="L625" s="288"/>
      <c r="M625" s="288"/>
      <c r="N625" s="288"/>
      <c r="O625" s="288"/>
      <c r="P625" s="288"/>
      <c r="Q625" s="288"/>
      <c r="R625" s="288"/>
      <c r="S625" s="288"/>
      <c r="T625" s="288"/>
      <c r="U625" s="288"/>
      <c r="V625" s="288"/>
      <c r="W625" s="288"/>
      <c r="X625" s="288"/>
      <c r="Y625" s="288"/>
      <c r="Z625" s="288"/>
      <c r="AA625" s="288"/>
      <c r="AB625" s="288"/>
      <c r="AC625" s="288"/>
      <c r="AD625" s="288"/>
      <c r="AE625" s="288"/>
      <c r="AF625" s="288"/>
      <c r="AG625" s="288"/>
      <c r="AH625" s="288"/>
      <c r="AI625" s="288"/>
    </row>
    <row r="626" spans="1:35" ht="12.75" customHeight="1" x14ac:dyDescent="0.2">
      <c r="A626" s="288"/>
      <c r="B626" s="288"/>
      <c r="C626" s="288"/>
      <c r="D626" s="288"/>
      <c r="E626" s="288"/>
      <c r="F626" s="288"/>
      <c r="G626" s="288"/>
      <c r="H626" s="288"/>
      <c r="I626" s="288"/>
      <c r="J626" s="288"/>
      <c r="K626" s="288"/>
      <c r="L626" s="288"/>
      <c r="M626" s="288"/>
      <c r="N626" s="288"/>
      <c r="O626" s="288"/>
      <c r="P626" s="288"/>
      <c r="Q626" s="288"/>
      <c r="R626" s="288"/>
      <c r="S626" s="288"/>
      <c r="T626" s="288"/>
      <c r="U626" s="288"/>
      <c r="V626" s="288"/>
      <c r="W626" s="288"/>
      <c r="X626" s="288"/>
      <c r="Y626" s="288"/>
      <c r="Z626" s="288"/>
      <c r="AA626" s="288"/>
      <c r="AB626" s="288"/>
      <c r="AC626" s="288"/>
      <c r="AD626" s="288"/>
      <c r="AE626" s="288"/>
      <c r="AF626" s="288"/>
      <c r="AG626" s="288"/>
      <c r="AH626" s="288"/>
      <c r="AI626" s="288"/>
    </row>
    <row r="627" spans="1:35" ht="12.75" customHeight="1" x14ac:dyDescent="0.2">
      <c r="A627" s="288"/>
      <c r="B627" s="288"/>
      <c r="C627" s="288"/>
      <c r="D627" s="288"/>
      <c r="E627" s="288"/>
      <c r="F627" s="288"/>
      <c r="G627" s="288"/>
      <c r="H627" s="288"/>
      <c r="I627" s="288"/>
      <c r="J627" s="288"/>
      <c r="K627" s="288"/>
      <c r="L627" s="288"/>
      <c r="M627" s="288"/>
      <c r="N627" s="288"/>
      <c r="O627" s="288"/>
      <c r="P627" s="288"/>
      <c r="Q627" s="288"/>
      <c r="R627" s="288"/>
      <c r="S627" s="288"/>
      <c r="T627" s="288"/>
      <c r="U627" s="288"/>
      <c r="V627" s="288"/>
      <c r="W627" s="288"/>
      <c r="X627" s="288"/>
      <c r="Y627" s="288"/>
      <c r="Z627" s="288"/>
      <c r="AA627" s="288"/>
      <c r="AB627" s="288"/>
      <c r="AC627" s="288"/>
      <c r="AD627" s="288"/>
      <c r="AE627" s="288"/>
      <c r="AF627" s="288"/>
      <c r="AG627" s="288"/>
      <c r="AH627" s="288"/>
      <c r="AI627" s="288"/>
    </row>
    <row r="628" spans="1:35" ht="12.75" customHeight="1" x14ac:dyDescent="0.2">
      <c r="A628" s="288"/>
      <c r="B628" s="288"/>
      <c r="C628" s="288"/>
      <c r="D628" s="288"/>
      <c r="E628" s="288"/>
      <c r="F628" s="288"/>
      <c r="G628" s="288"/>
      <c r="H628" s="288"/>
      <c r="I628" s="288"/>
      <c r="J628" s="288"/>
      <c r="K628" s="288"/>
      <c r="L628" s="288"/>
      <c r="M628" s="288"/>
      <c r="N628" s="288"/>
      <c r="O628" s="288"/>
      <c r="P628" s="288"/>
      <c r="Q628" s="288"/>
      <c r="R628" s="288"/>
      <c r="S628" s="288"/>
      <c r="T628" s="288"/>
      <c r="U628" s="288"/>
      <c r="V628" s="288"/>
      <c r="W628" s="288"/>
      <c r="X628" s="288"/>
      <c r="Y628" s="288"/>
      <c r="Z628" s="288"/>
      <c r="AA628" s="288"/>
      <c r="AB628" s="288"/>
      <c r="AC628" s="288"/>
      <c r="AD628" s="288"/>
      <c r="AE628" s="288"/>
      <c r="AF628" s="288"/>
      <c r="AG628" s="288"/>
      <c r="AH628" s="288"/>
      <c r="AI628" s="288"/>
    </row>
    <row r="629" spans="1:35" ht="12.75" customHeight="1" x14ac:dyDescent="0.2">
      <c r="A629" s="288"/>
      <c r="B629" s="288"/>
      <c r="C629" s="288"/>
      <c r="D629" s="288"/>
      <c r="E629" s="288"/>
      <c r="F629" s="288"/>
      <c r="G629" s="288"/>
      <c r="H629" s="288"/>
      <c r="I629" s="288"/>
      <c r="J629" s="288"/>
      <c r="K629" s="288"/>
      <c r="L629" s="288"/>
      <c r="M629" s="288"/>
      <c r="N629" s="288"/>
      <c r="O629" s="288"/>
      <c r="P629" s="288"/>
      <c r="Q629" s="288"/>
      <c r="R629" s="288"/>
      <c r="S629" s="288"/>
      <c r="T629" s="288"/>
      <c r="U629" s="288"/>
      <c r="V629" s="288"/>
      <c r="W629" s="288"/>
      <c r="X629" s="288"/>
      <c r="Y629" s="288"/>
      <c r="Z629" s="288"/>
      <c r="AA629" s="288"/>
      <c r="AB629" s="288"/>
      <c r="AC629" s="288"/>
      <c r="AD629" s="288"/>
      <c r="AE629" s="288"/>
      <c r="AF629" s="288"/>
      <c r="AG629" s="288"/>
      <c r="AH629" s="288"/>
      <c r="AI629" s="288"/>
    </row>
    <row r="630" spans="1:35" ht="12.75" customHeight="1" x14ac:dyDescent="0.2">
      <c r="A630" s="288"/>
      <c r="B630" s="288"/>
      <c r="C630" s="288"/>
      <c r="D630" s="288"/>
      <c r="E630" s="288"/>
      <c r="F630" s="288"/>
      <c r="G630" s="288"/>
      <c r="H630" s="288"/>
      <c r="I630" s="288"/>
      <c r="J630" s="288"/>
      <c r="K630" s="288"/>
      <c r="L630" s="288"/>
      <c r="M630" s="288"/>
      <c r="N630" s="288"/>
      <c r="O630" s="288"/>
      <c r="P630" s="288"/>
      <c r="Q630" s="288"/>
      <c r="R630" s="288"/>
      <c r="S630" s="288"/>
      <c r="T630" s="288"/>
      <c r="U630" s="288"/>
      <c r="V630" s="288"/>
      <c r="W630" s="288"/>
      <c r="X630" s="288"/>
      <c r="Y630" s="288"/>
      <c r="Z630" s="288"/>
      <c r="AA630" s="288"/>
      <c r="AB630" s="288"/>
      <c r="AC630" s="288"/>
      <c r="AD630" s="288"/>
      <c r="AE630" s="288"/>
      <c r="AF630" s="288"/>
      <c r="AG630" s="288"/>
      <c r="AH630" s="288"/>
      <c r="AI630" s="288"/>
    </row>
    <row r="631" spans="1:35" ht="12.75" customHeight="1" x14ac:dyDescent="0.2">
      <c r="A631" s="288"/>
      <c r="B631" s="288"/>
      <c r="C631" s="288"/>
      <c r="D631" s="288"/>
      <c r="E631" s="288"/>
      <c r="F631" s="288"/>
      <c r="G631" s="288"/>
      <c r="H631" s="288"/>
      <c r="I631" s="288"/>
      <c r="J631" s="288"/>
      <c r="K631" s="288"/>
      <c r="L631" s="288"/>
      <c r="M631" s="288"/>
      <c r="N631" s="288"/>
      <c r="O631" s="288"/>
      <c r="P631" s="288"/>
      <c r="Q631" s="288"/>
      <c r="R631" s="288"/>
      <c r="S631" s="288"/>
      <c r="T631" s="288"/>
      <c r="U631" s="288"/>
      <c r="V631" s="288"/>
      <c r="W631" s="288"/>
      <c r="X631" s="288"/>
      <c r="Y631" s="288"/>
      <c r="Z631" s="288"/>
      <c r="AA631" s="288"/>
      <c r="AB631" s="288"/>
      <c r="AC631" s="288"/>
      <c r="AD631" s="288"/>
      <c r="AE631" s="288"/>
      <c r="AF631" s="288"/>
      <c r="AG631" s="288"/>
      <c r="AH631" s="288"/>
      <c r="AI631" s="288"/>
    </row>
    <row r="632" spans="1:35" ht="12.75" customHeight="1" x14ac:dyDescent="0.2">
      <c r="A632" s="288"/>
      <c r="B632" s="288"/>
      <c r="C632" s="288"/>
      <c r="D632" s="288"/>
      <c r="E632" s="288"/>
      <c r="F632" s="288"/>
      <c r="G632" s="288"/>
      <c r="H632" s="288"/>
      <c r="I632" s="288"/>
      <c r="J632" s="288"/>
      <c r="K632" s="288"/>
      <c r="L632" s="288"/>
      <c r="M632" s="288"/>
      <c r="N632" s="288"/>
      <c r="O632" s="288"/>
      <c r="P632" s="288"/>
      <c r="Q632" s="288"/>
      <c r="R632" s="288"/>
      <c r="S632" s="288"/>
      <c r="T632" s="288"/>
      <c r="U632" s="288"/>
      <c r="V632" s="288"/>
      <c r="W632" s="288"/>
      <c r="X632" s="288"/>
      <c r="Y632" s="288"/>
      <c r="Z632" s="288"/>
      <c r="AA632" s="288"/>
      <c r="AB632" s="288"/>
      <c r="AC632" s="288"/>
      <c r="AD632" s="288"/>
      <c r="AE632" s="288"/>
      <c r="AF632" s="288"/>
      <c r="AG632" s="288"/>
      <c r="AH632" s="288"/>
      <c r="AI632" s="288"/>
    </row>
    <row r="633" spans="1:35" ht="12.75" customHeight="1" x14ac:dyDescent="0.2">
      <c r="A633" s="288"/>
      <c r="B633" s="288"/>
      <c r="C633" s="288"/>
      <c r="D633" s="288"/>
      <c r="E633" s="288"/>
      <c r="F633" s="288"/>
      <c r="G633" s="288"/>
      <c r="H633" s="288"/>
      <c r="I633" s="288"/>
      <c r="J633" s="288"/>
      <c r="K633" s="288"/>
      <c r="L633" s="288"/>
      <c r="M633" s="288"/>
      <c r="N633" s="288"/>
      <c r="O633" s="288"/>
      <c r="P633" s="288"/>
      <c r="Q633" s="288"/>
      <c r="R633" s="288"/>
      <c r="S633" s="288"/>
      <c r="T633" s="288"/>
      <c r="U633" s="288"/>
      <c r="V633" s="288"/>
      <c r="W633" s="288"/>
      <c r="X633" s="288"/>
      <c r="Y633" s="288"/>
      <c r="Z633" s="288"/>
      <c r="AA633" s="288"/>
      <c r="AB633" s="288"/>
      <c r="AC633" s="288"/>
      <c r="AD633" s="288"/>
      <c r="AE633" s="288"/>
      <c r="AF633" s="288"/>
      <c r="AG633" s="288"/>
      <c r="AH633" s="288"/>
      <c r="AI633" s="288"/>
    </row>
    <row r="634" spans="1:35" ht="12.75" customHeight="1" x14ac:dyDescent="0.2">
      <c r="A634" s="288"/>
      <c r="B634" s="288"/>
      <c r="C634" s="288"/>
      <c r="D634" s="288"/>
      <c r="E634" s="288"/>
      <c r="F634" s="288"/>
      <c r="G634" s="288"/>
      <c r="H634" s="288"/>
      <c r="I634" s="288"/>
      <c r="J634" s="288"/>
      <c r="K634" s="288"/>
      <c r="L634" s="288"/>
      <c r="M634" s="288"/>
      <c r="N634" s="288"/>
      <c r="O634" s="288"/>
      <c r="P634" s="288"/>
      <c r="Q634" s="288"/>
      <c r="R634" s="288"/>
      <c r="S634" s="288"/>
      <c r="T634" s="288"/>
      <c r="U634" s="288"/>
      <c r="V634" s="288"/>
      <c r="W634" s="288"/>
      <c r="X634" s="288"/>
      <c r="Y634" s="288"/>
      <c r="Z634" s="288"/>
      <c r="AA634" s="288"/>
      <c r="AB634" s="288"/>
      <c r="AC634" s="288"/>
      <c r="AD634" s="288"/>
      <c r="AE634" s="288"/>
      <c r="AF634" s="288"/>
      <c r="AG634" s="288"/>
      <c r="AH634" s="288"/>
      <c r="AI634" s="288"/>
    </row>
    <row r="635" spans="1:35" ht="12.75" customHeight="1" x14ac:dyDescent="0.2">
      <c r="A635" s="288"/>
      <c r="B635" s="288"/>
      <c r="C635" s="288"/>
      <c r="D635" s="288"/>
      <c r="E635" s="288"/>
      <c r="F635" s="288"/>
      <c r="G635" s="288"/>
      <c r="H635" s="288"/>
      <c r="I635" s="288"/>
      <c r="J635" s="288"/>
      <c r="K635" s="288"/>
      <c r="L635" s="288"/>
      <c r="M635" s="288"/>
      <c r="N635" s="288"/>
      <c r="O635" s="288"/>
      <c r="P635" s="288"/>
      <c r="Q635" s="288"/>
      <c r="R635" s="288"/>
      <c r="S635" s="288"/>
      <c r="T635" s="288"/>
      <c r="U635" s="288"/>
      <c r="V635" s="288"/>
      <c r="W635" s="288"/>
      <c r="X635" s="288"/>
      <c r="Y635" s="288"/>
      <c r="Z635" s="288"/>
      <c r="AA635" s="288"/>
      <c r="AB635" s="288"/>
      <c r="AC635" s="288"/>
      <c r="AD635" s="288"/>
      <c r="AE635" s="288"/>
      <c r="AF635" s="288"/>
      <c r="AG635" s="288"/>
      <c r="AH635" s="288"/>
      <c r="AI635" s="288"/>
    </row>
    <row r="636" spans="1:35" ht="12.75" customHeight="1" x14ac:dyDescent="0.2">
      <c r="A636" s="288"/>
      <c r="B636" s="288"/>
      <c r="C636" s="288"/>
      <c r="D636" s="288"/>
      <c r="E636" s="288"/>
      <c r="F636" s="288"/>
      <c r="G636" s="288"/>
      <c r="H636" s="288"/>
      <c r="I636" s="288"/>
      <c r="J636" s="288"/>
      <c r="K636" s="288"/>
      <c r="L636" s="288"/>
      <c r="M636" s="288"/>
      <c r="N636" s="288"/>
      <c r="O636" s="288"/>
      <c r="P636" s="288"/>
      <c r="Q636" s="288"/>
      <c r="R636" s="288"/>
      <c r="S636" s="288"/>
      <c r="T636" s="288"/>
      <c r="U636" s="288"/>
      <c r="V636" s="288"/>
      <c r="W636" s="288"/>
      <c r="X636" s="288"/>
      <c r="Y636" s="288"/>
      <c r="Z636" s="288"/>
      <c r="AA636" s="288"/>
      <c r="AB636" s="288"/>
      <c r="AC636" s="288"/>
      <c r="AD636" s="288"/>
      <c r="AE636" s="288"/>
      <c r="AF636" s="288"/>
      <c r="AG636" s="288"/>
      <c r="AH636" s="288"/>
      <c r="AI636" s="288"/>
    </row>
    <row r="637" spans="1:35" ht="12.75" customHeight="1" x14ac:dyDescent="0.2">
      <c r="A637" s="288"/>
      <c r="B637" s="288"/>
      <c r="C637" s="288"/>
      <c r="D637" s="288"/>
      <c r="E637" s="288"/>
      <c r="F637" s="288"/>
      <c r="G637" s="288"/>
      <c r="H637" s="288"/>
      <c r="I637" s="288"/>
      <c r="J637" s="288"/>
      <c r="K637" s="288"/>
      <c r="L637" s="288"/>
      <c r="M637" s="288"/>
      <c r="N637" s="288"/>
      <c r="O637" s="288"/>
      <c r="P637" s="288"/>
      <c r="Q637" s="288"/>
      <c r="R637" s="288"/>
      <c r="S637" s="288"/>
      <c r="T637" s="288"/>
      <c r="U637" s="288"/>
      <c r="V637" s="288"/>
      <c r="W637" s="288"/>
      <c r="X637" s="288"/>
      <c r="Y637" s="288"/>
      <c r="Z637" s="288"/>
      <c r="AA637" s="288"/>
      <c r="AB637" s="288"/>
      <c r="AC637" s="288"/>
      <c r="AD637" s="288"/>
      <c r="AE637" s="288"/>
      <c r="AF637" s="288"/>
      <c r="AG637" s="288"/>
      <c r="AH637" s="288"/>
      <c r="AI637" s="288"/>
    </row>
    <row r="638" spans="1:35" ht="12.75" customHeight="1" x14ac:dyDescent="0.2">
      <c r="A638" s="288"/>
      <c r="B638" s="288"/>
      <c r="C638" s="288"/>
      <c r="D638" s="288"/>
      <c r="E638" s="288"/>
      <c r="F638" s="288"/>
      <c r="G638" s="288"/>
      <c r="H638" s="288"/>
      <c r="I638" s="288"/>
      <c r="J638" s="288"/>
      <c r="K638" s="288"/>
      <c r="L638" s="288"/>
      <c r="M638" s="288"/>
      <c r="N638" s="288"/>
      <c r="O638" s="288"/>
      <c r="P638" s="288"/>
      <c r="Q638" s="288"/>
      <c r="R638" s="288"/>
      <c r="S638" s="288"/>
      <c r="T638" s="288"/>
      <c r="U638" s="288"/>
      <c r="V638" s="288"/>
      <c r="W638" s="288"/>
      <c r="X638" s="288"/>
      <c r="Y638" s="288"/>
      <c r="Z638" s="288"/>
      <c r="AA638" s="288"/>
      <c r="AB638" s="288"/>
      <c r="AC638" s="288"/>
      <c r="AD638" s="288"/>
      <c r="AE638" s="288"/>
      <c r="AF638" s="288"/>
      <c r="AG638" s="288"/>
      <c r="AH638" s="288"/>
      <c r="AI638" s="288"/>
    </row>
    <row r="639" spans="1:35" ht="12.75" customHeight="1" x14ac:dyDescent="0.2">
      <c r="A639" s="288"/>
      <c r="B639" s="288"/>
      <c r="C639" s="288"/>
      <c r="D639" s="288"/>
      <c r="E639" s="288"/>
      <c r="F639" s="288"/>
      <c r="G639" s="288"/>
      <c r="H639" s="288"/>
      <c r="I639" s="288"/>
      <c r="J639" s="288"/>
      <c r="K639" s="288"/>
      <c r="L639" s="288"/>
      <c r="M639" s="288"/>
      <c r="N639" s="288"/>
      <c r="O639" s="288"/>
      <c r="P639" s="288"/>
      <c r="Q639" s="288"/>
      <c r="R639" s="288"/>
      <c r="S639" s="288"/>
      <c r="T639" s="288"/>
      <c r="U639" s="288"/>
      <c r="V639" s="288"/>
      <c r="W639" s="288"/>
      <c r="X639" s="288"/>
      <c r="Y639" s="288"/>
      <c r="Z639" s="288"/>
      <c r="AA639" s="288"/>
      <c r="AB639" s="288"/>
      <c r="AC639" s="288"/>
      <c r="AD639" s="288"/>
      <c r="AE639" s="288"/>
      <c r="AF639" s="288"/>
      <c r="AG639" s="288"/>
      <c r="AH639" s="288"/>
      <c r="AI639" s="288"/>
    </row>
    <row r="640" spans="1:35" ht="12.75" customHeight="1" x14ac:dyDescent="0.2">
      <c r="A640" s="288"/>
      <c r="B640" s="288"/>
      <c r="C640" s="288"/>
      <c r="D640" s="288"/>
      <c r="E640" s="288"/>
      <c r="F640" s="288"/>
      <c r="G640" s="288"/>
      <c r="H640" s="288"/>
      <c r="I640" s="288"/>
      <c r="J640" s="288"/>
      <c r="K640" s="288"/>
      <c r="L640" s="288"/>
      <c r="M640" s="288"/>
      <c r="N640" s="288"/>
      <c r="O640" s="288"/>
      <c r="P640" s="288"/>
      <c r="Q640" s="288"/>
      <c r="R640" s="288"/>
      <c r="S640" s="288"/>
      <c r="T640" s="288"/>
      <c r="U640" s="288"/>
      <c r="V640" s="288"/>
      <c r="W640" s="288"/>
      <c r="X640" s="288"/>
      <c r="Y640" s="288"/>
      <c r="Z640" s="288"/>
      <c r="AA640" s="288"/>
      <c r="AB640" s="288"/>
      <c r="AC640" s="288"/>
      <c r="AD640" s="288"/>
      <c r="AE640" s="288"/>
      <c r="AF640" s="288"/>
      <c r="AG640" s="288"/>
      <c r="AH640" s="288"/>
      <c r="AI640" s="288"/>
    </row>
    <row r="641" spans="1:35" ht="12.75" customHeight="1" x14ac:dyDescent="0.2">
      <c r="A641" s="288"/>
      <c r="B641" s="288"/>
      <c r="C641" s="288"/>
      <c r="D641" s="288"/>
      <c r="E641" s="288"/>
      <c r="F641" s="288"/>
      <c r="G641" s="288"/>
      <c r="H641" s="288"/>
      <c r="I641" s="288"/>
      <c r="J641" s="288"/>
      <c r="K641" s="288"/>
      <c r="L641" s="288"/>
      <c r="M641" s="288"/>
      <c r="N641" s="288"/>
      <c r="O641" s="288"/>
      <c r="P641" s="288"/>
      <c r="Q641" s="288"/>
      <c r="R641" s="288"/>
      <c r="S641" s="288"/>
      <c r="T641" s="288"/>
      <c r="U641" s="288"/>
      <c r="V641" s="288"/>
      <c r="W641" s="288"/>
      <c r="X641" s="288"/>
      <c r="Y641" s="288"/>
      <c r="Z641" s="288"/>
      <c r="AA641" s="288"/>
      <c r="AB641" s="288"/>
      <c r="AC641" s="288"/>
      <c r="AD641" s="288"/>
      <c r="AE641" s="288"/>
      <c r="AF641" s="288"/>
      <c r="AG641" s="288"/>
      <c r="AH641" s="288"/>
      <c r="AI641" s="288"/>
    </row>
    <row r="642" spans="1:35" ht="12.75" customHeight="1" x14ac:dyDescent="0.2">
      <c r="A642" s="288"/>
      <c r="B642" s="288"/>
      <c r="C642" s="288"/>
      <c r="D642" s="288"/>
      <c r="E642" s="288"/>
      <c r="F642" s="288"/>
      <c r="G642" s="288"/>
      <c r="H642" s="288"/>
      <c r="I642" s="288"/>
      <c r="J642" s="288"/>
      <c r="K642" s="288"/>
      <c r="L642" s="288"/>
      <c r="M642" s="288"/>
      <c r="N642" s="288"/>
      <c r="O642" s="288"/>
      <c r="P642" s="288"/>
      <c r="Q642" s="288"/>
      <c r="R642" s="288"/>
      <c r="S642" s="288"/>
      <c r="T642" s="288"/>
      <c r="U642" s="288"/>
      <c r="V642" s="288"/>
      <c r="W642" s="288"/>
      <c r="X642" s="288"/>
      <c r="Y642" s="288"/>
      <c r="Z642" s="288"/>
      <c r="AA642" s="288"/>
      <c r="AB642" s="288"/>
      <c r="AC642" s="288"/>
      <c r="AD642" s="288"/>
      <c r="AE642" s="288"/>
      <c r="AF642" s="288"/>
      <c r="AG642" s="288"/>
      <c r="AH642" s="288"/>
      <c r="AI642" s="288"/>
    </row>
    <row r="643" spans="1:35" ht="12.75" customHeight="1" x14ac:dyDescent="0.2">
      <c r="A643" s="288"/>
      <c r="B643" s="288"/>
      <c r="C643" s="288"/>
      <c r="D643" s="288"/>
      <c r="E643" s="288"/>
      <c r="F643" s="288"/>
      <c r="G643" s="288"/>
      <c r="H643" s="288"/>
      <c r="I643" s="288"/>
      <c r="J643" s="288"/>
      <c r="K643" s="288"/>
      <c r="L643" s="288"/>
      <c r="M643" s="288"/>
      <c r="N643" s="288"/>
      <c r="O643" s="288"/>
      <c r="P643" s="288"/>
      <c r="Q643" s="288"/>
      <c r="R643" s="288"/>
      <c r="S643" s="288"/>
      <c r="T643" s="288"/>
      <c r="U643" s="288"/>
      <c r="V643" s="288"/>
      <c r="W643" s="288"/>
      <c r="X643" s="288"/>
      <c r="Y643" s="288"/>
      <c r="Z643" s="288"/>
      <c r="AA643" s="288"/>
      <c r="AB643" s="288"/>
      <c r="AC643" s="288"/>
      <c r="AD643" s="288"/>
      <c r="AE643" s="288"/>
      <c r="AF643" s="288"/>
      <c r="AG643" s="288"/>
      <c r="AH643" s="288"/>
      <c r="AI643" s="288"/>
    </row>
    <row r="644" spans="1:35" ht="12.75" customHeight="1" x14ac:dyDescent="0.2">
      <c r="A644" s="288"/>
      <c r="B644" s="288"/>
      <c r="C644" s="288"/>
      <c r="D644" s="288"/>
      <c r="E644" s="288"/>
      <c r="F644" s="288"/>
      <c r="G644" s="288"/>
      <c r="H644" s="288"/>
      <c r="I644" s="288"/>
      <c r="J644" s="288"/>
      <c r="K644" s="288"/>
      <c r="L644" s="288"/>
      <c r="M644" s="288"/>
      <c r="N644" s="288"/>
      <c r="O644" s="288"/>
      <c r="P644" s="288"/>
      <c r="Q644" s="288"/>
      <c r="R644" s="288"/>
      <c r="S644" s="288"/>
      <c r="T644" s="288"/>
      <c r="U644" s="288"/>
      <c r="V644" s="288"/>
      <c r="W644" s="288"/>
      <c r="X644" s="288"/>
      <c r="Y644" s="288"/>
      <c r="Z644" s="288"/>
      <c r="AA644" s="288"/>
      <c r="AB644" s="288"/>
      <c r="AC644" s="288"/>
      <c r="AD644" s="288"/>
      <c r="AE644" s="288"/>
      <c r="AF644" s="288"/>
      <c r="AG644" s="288"/>
      <c r="AH644" s="288"/>
      <c r="AI644" s="288"/>
    </row>
    <row r="645" spans="1:35" ht="12.75" customHeight="1" x14ac:dyDescent="0.2">
      <c r="A645" s="288"/>
      <c r="B645" s="288"/>
      <c r="C645" s="288"/>
      <c r="D645" s="288"/>
      <c r="E645" s="288"/>
      <c r="F645" s="288"/>
      <c r="G645" s="288"/>
      <c r="H645" s="288"/>
      <c r="I645" s="288"/>
      <c r="J645" s="288"/>
      <c r="K645" s="288"/>
      <c r="L645" s="288"/>
      <c r="M645" s="288"/>
      <c r="N645" s="288"/>
      <c r="O645" s="288"/>
      <c r="P645" s="288"/>
      <c r="Q645" s="288"/>
      <c r="R645" s="288"/>
      <c r="S645" s="288"/>
      <c r="T645" s="288"/>
      <c r="U645" s="288"/>
      <c r="V645" s="288"/>
      <c r="W645" s="288"/>
      <c r="X645" s="288"/>
      <c r="Y645" s="288"/>
      <c r="Z645" s="288"/>
      <c r="AA645" s="288"/>
      <c r="AB645" s="288"/>
      <c r="AC645" s="288"/>
      <c r="AD645" s="288"/>
      <c r="AE645" s="288"/>
      <c r="AF645" s="288"/>
      <c r="AG645" s="288"/>
      <c r="AH645" s="288"/>
      <c r="AI645" s="288"/>
    </row>
    <row r="646" spans="1:35" ht="12.75" customHeight="1" x14ac:dyDescent="0.2">
      <c r="A646" s="288"/>
      <c r="B646" s="288"/>
      <c r="C646" s="288"/>
      <c r="D646" s="288"/>
      <c r="E646" s="288"/>
      <c r="F646" s="288"/>
      <c r="G646" s="288"/>
      <c r="H646" s="288"/>
      <c r="I646" s="288"/>
      <c r="J646" s="288"/>
      <c r="K646" s="288"/>
      <c r="L646" s="288"/>
      <c r="M646" s="288"/>
      <c r="N646" s="288"/>
      <c r="O646" s="288"/>
      <c r="P646" s="288"/>
      <c r="Q646" s="288"/>
      <c r="R646" s="288"/>
      <c r="S646" s="288"/>
      <c r="T646" s="288"/>
      <c r="U646" s="288"/>
      <c r="V646" s="288"/>
      <c r="W646" s="288"/>
      <c r="X646" s="288"/>
      <c r="Y646" s="288"/>
      <c r="Z646" s="288"/>
      <c r="AA646" s="288"/>
      <c r="AB646" s="288"/>
      <c r="AC646" s="288"/>
      <c r="AD646" s="288"/>
      <c r="AE646" s="288"/>
      <c r="AF646" s="288"/>
      <c r="AG646" s="288"/>
      <c r="AH646" s="288"/>
      <c r="AI646" s="288"/>
    </row>
    <row r="647" spans="1:35" ht="12.75" customHeight="1" x14ac:dyDescent="0.2">
      <c r="A647" s="288"/>
      <c r="B647" s="288"/>
      <c r="C647" s="288"/>
      <c r="D647" s="288"/>
      <c r="E647" s="288"/>
      <c r="F647" s="288"/>
      <c r="G647" s="288"/>
      <c r="H647" s="288"/>
      <c r="I647" s="288"/>
      <c r="J647" s="288"/>
      <c r="K647" s="288"/>
      <c r="L647" s="288"/>
      <c r="M647" s="288"/>
      <c r="N647" s="288"/>
      <c r="O647" s="288"/>
      <c r="P647" s="288"/>
      <c r="Q647" s="288"/>
      <c r="R647" s="288"/>
      <c r="S647" s="288"/>
      <c r="T647" s="288"/>
      <c r="U647" s="288"/>
      <c r="V647" s="288"/>
      <c r="W647" s="288"/>
      <c r="X647" s="288"/>
      <c r="Y647" s="288"/>
      <c r="Z647" s="288"/>
      <c r="AA647" s="288"/>
      <c r="AB647" s="288"/>
      <c r="AC647" s="288"/>
      <c r="AD647" s="288"/>
      <c r="AE647" s="288"/>
      <c r="AF647" s="288"/>
      <c r="AG647" s="288"/>
      <c r="AH647" s="288"/>
      <c r="AI647" s="288"/>
    </row>
    <row r="648" spans="1:35" ht="12.75" customHeight="1" x14ac:dyDescent="0.2">
      <c r="A648" s="288"/>
      <c r="B648" s="288"/>
      <c r="C648" s="288"/>
      <c r="D648" s="288"/>
      <c r="E648" s="288"/>
      <c r="F648" s="288"/>
      <c r="G648" s="288"/>
      <c r="H648" s="288"/>
      <c r="I648" s="288"/>
      <c r="J648" s="288"/>
      <c r="K648" s="288"/>
      <c r="L648" s="288"/>
      <c r="M648" s="288"/>
      <c r="N648" s="288"/>
      <c r="O648" s="288"/>
      <c r="P648" s="288"/>
      <c r="Q648" s="288"/>
      <c r="R648" s="288"/>
      <c r="S648" s="288"/>
      <c r="T648" s="288"/>
      <c r="U648" s="288"/>
      <c r="V648" s="288"/>
      <c r="W648" s="288"/>
      <c r="X648" s="288"/>
      <c r="Y648" s="288"/>
      <c r="Z648" s="288"/>
      <c r="AA648" s="288"/>
      <c r="AB648" s="288"/>
      <c r="AC648" s="288"/>
      <c r="AD648" s="288"/>
      <c r="AE648" s="288"/>
      <c r="AF648" s="288"/>
      <c r="AG648" s="288"/>
      <c r="AH648" s="288"/>
      <c r="AI648" s="288"/>
    </row>
    <row r="649" spans="1:35" ht="12.75" customHeight="1" x14ac:dyDescent="0.2">
      <c r="A649" s="288"/>
      <c r="B649" s="288"/>
      <c r="C649" s="288"/>
      <c r="D649" s="288"/>
      <c r="E649" s="288"/>
      <c r="F649" s="288"/>
      <c r="G649" s="288"/>
      <c r="H649" s="288"/>
      <c r="I649" s="288"/>
      <c r="J649" s="288"/>
      <c r="K649" s="288"/>
      <c r="L649" s="288"/>
      <c r="M649" s="288"/>
      <c r="N649" s="288"/>
      <c r="O649" s="288"/>
      <c r="P649" s="288"/>
      <c r="Q649" s="288"/>
      <c r="R649" s="288"/>
      <c r="S649" s="288"/>
      <c r="T649" s="288"/>
      <c r="U649" s="288"/>
      <c r="V649" s="288"/>
      <c r="W649" s="288"/>
      <c r="X649" s="288"/>
      <c r="Y649" s="288"/>
      <c r="Z649" s="288"/>
      <c r="AA649" s="288"/>
      <c r="AB649" s="288"/>
      <c r="AC649" s="288"/>
      <c r="AD649" s="288"/>
      <c r="AE649" s="288"/>
      <c r="AF649" s="288"/>
      <c r="AG649" s="288"/>
      <c r="AH649" s="288"/>
      <c r="AI649" s="288"/>
    </row>
    <row r="650" spans="1:35" ht="12.75" customHeight="1" x14ac:dyDescent="0.2">
      <c r="A650" s="288"/>
      <c r="B650" s="288"/>
      <c r="C650" s="288"/>
      <c r="D650" s="288"/>
      <c r="E650" s="288"/>
      <c r="F650" s="288"/>
      <c r="G650" s="288"/>
      <c r="H650" s="288"/>
      <c r="I650" s="288"/>
      <c r="J650" s="288"/>
      <c r="K650" s="288"/>
      <c r="L650" s="288"/>
      <c r="M650" s="288"/>
      <c r="N650" s="288"/>
      <c r="O650" s="288"/>
      <c r="P650" s="288"/>
      <c r="Q650" s="288"/>
      <c r="R650" s="288"/>
      <c r="S650" s="288"/>
      <c r="T650" s="288"/>
      <c r="U650" s="288"/>
      <c r="V650" s="288"/>
      <c r="W650" s="288"/>
      <c r="X650" s="288"/>
      <c r="Y650" s="288"/>
      <c r="Z650" s="288"/>
      <c r="AA650" s="288"/>
      <c r="AB650" s="288"/>
      <c r="AC650" s="288"/>
      <c r="AD650" s="288"/>
      <c r="AE650" s="288"/>
      <c r="AF650" s="288"/>
      <c r="AG650" s="288"/>
      <c r="AH650" s="288"/>
      <c r="AI650" s="288"/>
    </row>
    <row r="651" spans="1:35" ht="12.75" customHeight="1" x14ac:dyDescent="0.2">
      <c r="A651" s="288"/>
      <c r="B651" s="288"/>
      <c r="C651" s="288"/>
      <c r="D651" s="288"/>
      <c r="E651" s="288"/>
      <c r="F651" s="288"/>
      <c r="G651" s="288"/>
      <c r="H651" s="288"/>
      <c r="I651" s="288"/>
      <c r="J651" s="288"/>
      <c r="K651" s="288"/>
      <c r="L651" s="288"/>
      <c r="M651" s="288"/>
      <c r="N651" s="288"/>
      <c r="O651" s="288"/>
      <c r="P651" s="288"/>
      <c r="Q651" s="288"/>
      <c r="R651" s="288"/>
      <c r="S651" s="288"/>
      <c r="T651" s="288"/>
      <c r="U651" s="288"/>
      <c r="V651" s="288"/>
      <c r="W651" s="288"/>
      <c r="X651" s="288"/>
      <c r="Y651" s="288"/>
      <c r="Z651" s="288"/>
      <c r="AA651" s="288"/>
      <c r="AB651" s="288"/>
      <c r="AC651" s="288"/>
      <c r="AD651" s="288"/>
      <c r="AE651" s="288"/>
      <c r="AF651" s="288"/>
      <c r="AG651" s="288"/>
      <c r="AH651" s="288"/>
      <c r="AI651" s="288"/>
    </row>
    <row r="652" spans="1:35" ht="12.75" customHeight="1" x14ac:dyDescent="0.2">
      <c r="A652" s="288"/>
      <c r="B652" s="288"/>
      <c r="C652" s="288"/>
      <c r="D652" s="288"/>
      <c r="E652" s="288"/>
      <c r="F652" s="288"/>
      <c r="G652" s="288"/>
      <c r="H652" s="288"/>
      <c r="I652" s="288"/>
      <c r="J652" s="288"/>
      <c r="K652" s="288"/>
      <c r="L652" s="288"/>
      <c r="M652" s="288"/>
      <c r="N652" s="288"/>
      <c r="O652" s="288"/>
      <c r="P652" s="288"/>
      <c r="Q652" s="288"/>
      <c r="R652" s="288"/>
      <c r="S652" s="288"/>
      <c r="T652" s="288"/>
      <c r="U652" s="288"/>
      <c r="V652" s="288"/>
      <c r="W652" s="288"/>
      <c r="X652" s="288"/>
      <c r="Y652" s="288"/>
      <c r="Z652" s="288"/>
      <c r="AA652" s="288"/>
      <c r="AB652" s="288"/>
      <c r="AC652" s="288"/>
      <c r="AD652" s="288"/>
      <c r="AE652" s="288"/>
      <c r="AF652" s="288"/>
      <c r="AG652" s="288"/>
      <c r="AH652" s="288"/>
      <c r="AI652" s="288"/>
    </row>
    <row r="653" spans="1:35" ht="12.75" customHeight="1" x14ac:dyDescent="0.2">
      <c r="A653" s="288"/>
      <c r="B653" s="288"/>
      <c r="C653" s="288"/>
      <c r="D653" s="288"/>
      <c r="E653" s="288"/>
      <c r="F653" s="288"/>
      <c r="G653" s="288"/>
      <c r="H653" s="288"/>
      <c r="I653" s="288"/>
      <c r="J653" s="288"/>
      <c r="K653" s="288"/>
      <c r="L653" s="288"/>
      <c r="M653" s="288"/>
      <c r="N653" s="288"/>
      <c r="O653" s="288"/>
      <c r="P653" s="288"/>
      <c r="Q653" s="288"/>
      <c r="R653" s="288"/>
      <c r="S653" s="288"/>
      <c r="T653" s="288"/>
      <c r="U653" s="288"/>
      <c r="V653" s="288"/>
      <c r="W653" s="288"/>
      <c r="X653" s="288"/>
      <c r="Y653" s="288"/>
      <c r="Z653" s="288"/>
      <c r="AA653" s="288"/>
      <c r="AB653" s="288"/>
      <c r="AC653" s="288"/>
      <c r="AD653" s="288"/>
      <c r="AE653" s="288"/>
      <c r="AF653" s="288"/>
      <c r="AG653" s="288"/>
      <c r="AH653" s="288"/>
      <c r="AI653" s="288"/>
    </row>
    <row r="654" spans="1:35" ht="12.75" customHeight="1" x14ac:dyDescent="0.2">
      <c r="A654" s="288"/>
      <c r="B654" s="288"/>
      <c r="C654" s="288"/>
      <c r="D654" s="288"/>
      <c r="E654" s="288"/>
      <c r="F654" s="288"/>
      <c r="G654" s="288"/>
      <c r="H654" s="288"/>
      <c r="I654" s="288"/>
      <c r="J654" s="288"/>
      <c r="K654" s="288"/>
      <c r="L654" s="288"/>
      <c r="M654" s="288"/>
      <c r="N654" s="288"/>
      <c r="O654" s="288"/>
      <c r="P654" s="288"/>
      <c r="Q654" s="288"/>
      <c r="R654" s="288"/>
      <c r="S654" s="288"/>
      <c r="T654" s="288"/>
      <c r="U654" s="288"/>
      <c r="V654" s="288"/>
      <c r="W654" s="288"/>
      <c r="X654" s="288"/>
      <c r="Y654" s="288"/>
      <c r="Z654" s="288"/>
      <c r="AA654" s="288"/>
      <c r="AB654" s="288"/>
      <c r="AC654" s="288"/>
      <c r="AD654" s="288"/>
      <c r="AE654" s="288"/>
      <c r="AF654" s="288"/>
      <c r="AG654" s="288"/>
      <c r="AH654" s="288"/>
      <c r="AI654" s="288"/>
    </row>
    <row r="655" spans="1:35" ht="12.75" customHeight="1" x14ac:dyDescent="0.2">
      <c r="A655" s="288"/>
      <c r="B655" s="288"/>
      <c r="C655" s="288"/>
      <c r="D655" s="288"/>
      <c r="E655" s="288"/>
      <c r="F655" s="288"/>
      <c r="G655" s="288"/>
      <c r="H655" s="288"/>
      <c r="I655" s="288"/>
      <c r="J655" s="288"/>
      <c r="K655" s="288"/>
      <c r="L655" s="288"/>
      <c r="M655" s="288"/>
      <c r="N655" s="288"/>
      <c r="O655" s="288"/>
      <c r="P655" s="288"/>
      <c r="Q655" s="288"/>
      <c r="R655" s="288"/>
      <c r="S655" s="288"/>
      <c r="T655" s="288"/>
      <c r="U655" s="288"/>
      <c r="V655" s="288"/>
      <c r="W655" s="288"/>
      <c r="X655" s="288"/>
      <c r="Y655" s="288"/>
      <c r="Z655" s="288"/>
      <c r="AA655" s="288"/>
      <c r="AB655" s="288"/>
      <c r="AC655" s="288"/>
      <c r="AD655" s="288"/>
      <c r="AE655" s="288"/>
      <c r="AF655" s="288"/>
      <c r="AG655" s="288"/>
      <c r="AH655" s="288"/>
      <c r="AI655" s="288"/>
    </row>
    <row r="656" spans="1:35" ht="12.75" customHeight="1" x14ac:dyDescent="0.2">
      <c r="A656" s="288"/>
      <c r="B656" s="288"/>
      <c r="C656" s="288"/>
      <c r="D656" s="288"/>
      <c r="E656" s="288"/>
      <c r="F656" s="288"/>
      <c r="G656" s="288"/>
      <c r="H656" s="288"/>
      <c r="I656" s="288"/>
      <c r="J656" s="288"/>
      <c r="K656" s="288"/>
      <c r="L656" s="288"/>
      <c r="M656" s="288"/>
      <c r="N656" s="288"/>
      <c r="O656" s="288"/>
      <c r="P656" s="288"/>
      <c r="Q656" s="288"/>
      <c r="R656" s="288"/>
      <c r="S656" s="288"/>
      <c r="T656" s="288"/>
      <c r="U656" s="288"/>
      <c r="V656" s="288"/>
      <c r="W656" s="288"/>
      <c r="X656" s="288"/>
      <c r="Y656" s="288"/>
      <c r="Z656" s="288"/>
      <c r="AA656" s="288"/>
      <c r="AB656" s="288"/>
      <c r="AC656" s="288"/>
      <c r="AD656" s="288"/>
      <c r="AE656" s="288"/>
      <c r="AF656" s="288"/>
      <c r="AG656" s="288"/>
      <c r="AH656" s="288"/>
      <c r="AI656" s="288"/>
    </row>
    <row r="657" spans="1:35" ht="12.75" customHeight="1" x14ac:dyDescent="0.2">
      <c r="A657" s="288"/>
      <c r="B657" s="288"/>
      <c r="C657" s="288"/>
      <c r="D657" s="288"/>
      <c r="E657" s="288"/>
      <c r="F657" s="288"/>
      <c r="G657" s="288"/>
      <c r="H657" s="288"/>
      <c r="I657" s="288"/>
      <c r="J657" s="288"/>
      <c r="K657" s="288"/>
      <c r="L657" s="288"/>
      <c r="M657" s="288"/>
      <c r="N657" s="288"/>
      <c r="O657" s="288"/>
      <c r="P657" s="288"/>
      <c r="Q657" s="288"/>
      <c r="R657" s="288"/>
      <c r="S657" s="288"/>
      <c r="T657" s="288"/>
      <c r="U657" s="288"/>
      <c r="V657" s="288"/>
      <c r="W657" s="288"/>
      <c r="X657" s="288"/>
      <c r="Y657" s="288"/>
      <c r="Z657" s="288"/>
      <c r="AA657" s="288"/>
      <c r="AB657" s="288"/>
      <c r="AC657" s="288"/>
      <c r="AD657" s="288"/>
      <c r="AE657" s="288"/>
      <c r="AF657" s="288"/>
      <c r="AG657" s="288"/>
      <c r="AH657" s="288"/>
      <c r="AI657" s="288"/>
    </row>
    <row r="658" spans="1:35" ht="12.75" customHeight="1" x14ac:dyDescent="0.2">
      <c r="A658" s="288"/>
      <c r="B658" s="288"/>
      <c r="C658" s="288"/>
      <c r="D658" s="288"/>
      <c r="E658" s="288"/>
      <c r="F658" s="288"/>
      <c r="G658" s="288"/>
      <c r="H658" s="288"/>
      <c r="I658" s="288"/>
      <c r="J658" s="288"/>
      <c r="K658" s="288"/>
      <c r="L658" s="288"/>
      <c r="M658" s="288"/>
      <c r="N658" s="288"/>
      <c r="O658" s="288"/>
      <c r="P658" s="288"/>
      <c r="Q658" s="288"/>
      <c r="R658" s="288"/>
      <c r="S658" s="288"/>
      <c r="T658" s="288"/>
      <c r="U658" s="288"/>
      <c r="V658" s="288"/>
      <c r="W658" s="288"/>
      <c r="X658" s="288"/>
      <c r="Y658" s="288"/>
      <c r="Z658" s="288"/>
      <c r="AA658" s="288"/>
      <c r="AB658" s="288"/>
      <c r="AC658" s="288"/>
      <c r="AD658" s="288"/>
      <c r="AE658" s="288"/>
      <c r="AF658" s="288"/>
      <c r="AG658" s="288"/>
      <c r="AH658" s="288"/>
      <c r="AI658" s="288"/>
    </row>
    <row r="659" spans="1:35" ht="12.75" customHeight="1" x14ac:dyDescent="0.2">
      <c r="A659" s="288"/>
      <c r="B659" s="288"/>
      <c r="C659" s="288"/>
      <c r="D659" s="288"/>
      <c r="E659" s="288"/>
      <c r="F659" s="288"/>
      <c r="G659" s="288"/>
      <c r="H659" s="288"/>
      <c r="I659" s="288"/>
      <c r="J659" s="288"/>
      <c r="K659" s="288"/>
      <c r="L659" s="288"/>
      <c r="M659" s="288"/>
      <c r="N659" s="288"/>
      <c r="O659" s="288"/>
      <c r="P659" s="288"/>
      <c r="Q659" s="288"/>
      <c r="R659" s="288"/>
      <c r="S659" s="288"/>
      <c r="T659" s="288"/>
      <c r="U659" s="288"/>
      <c r="V659" s="288"/>
      <c r="W659" s="288"/>
      <c r="X659" s="288"/>
      <c r="Y659" s="288"/>
      <c r="Z659" s="288"/>
      <c r="AA659" s="288"/>
      <c r="AB659" s="288"/>
      <c r="AC659" s="288"/>
      <c r="AD659" s="288"/>
      <c r="AE659" s="288"/>
      <c r="AF659" s="288"/>
      <c r="AG659" s="288"/>
      <c r="AH659" s="288"/>
      <c r="AI659" s="288"/>
    </row>
    <row r="660" spans="1:35" ht="12.75" customHeight="1" x14ac:dyDescent="0.2">
      <c r="A660" s="288"/>
      <c r="B660" s="288"/>
      <c r="C660" s="288"/>
      <c r="D660" s="288"/>
      <c r="E660" s="288"/>
      <c r="F660" s="288"/>
      <c r="G660" s="288"/>
      <c r="H660" s="288"/>
      <c r="I660" s="288"/>
      <c r="J660" s="288"/>
      <c r="K660" s="288"/>
      <c r="L660" s="288"/>
      <c r="M660" s="288"/>
      <c r="N660" s="288"/>
      <c r="O660" s="288"/>
      <c r="P660" s="288"/>
      <c r="Q660" s="288"/>
      <c r="R660" s="288"/>
      <c r="S660" s="288"/>
      <c r="T660" s="288"/>
      <c r="U660" s="288"/>
      <c r="V660" s="288"/>
      <c r="W660" s="288"/>
      <c r="X660" s="288"/>
      <c r="Y660" s="288"/>
      <c r="Z660" s="288"/>
      <c r="AA660" s="288"/>
      <c r="AB660" s="288"/>
      <c r="AC660" s="288"/>
      <c r="AD660" s="288"/>
      <c r="AE660" s="288"/>
      <c r="AF660" s="288"/>
      <c r="AG660" s="288"/>
      <c r="AH660" s="288"/>
      <c r="AI660" s="288"/>
    </row>
    <row r="661" spans="1:35" ht="12.75" customHeight="1" x14ac:dyDescent="0.2">
      <c r="A661" s="288"/>
      <c r="B661" s="288"/>
      <c r="C661" s="288"/>
      <c r="D661" s="288"/>
      <c r="E661" s="288"/>
      <c r="F661" s="288"/>
      <c r="G661" s="288"/>
      <c r="H661" s="288"/>
      <c r="I661" s="288"/>
      <c r="J661" s="288"/>
      <c r="K661" s="288"/>
      <c r="L661" s="288"/>
      <c r="M661" s="288"/>
      <c r="N661" s="288"/>
      <c r="O661" s="288"/>
      <c r="P661" s="288"/>
      <c r="Q661" s="288"/>
      <c r="R661" s="288"/>
      <c r="S661" s="288"/>
      <c r="T661" s="288"/>
      <c r="U661" s="288"/>
      <c r="V661" s="288"/>
      <c r="W661" s="288"/>
      <c r="X661" s="288"/>
      <c r="Y661" s="288"/>
      <c r="Z661" s="288"/>
      <c r="AA661" s="288"/>
      <c r="AB661" s="288"/>
      <c r="AC661" s="288"/>
      <c r="AD661" s="288"/>
      <c r="AE661" s="288"/>
      <c r="AF661" s="288"/>
      <c r="AG661" s="288"/>
      <c r="AH661" s="288"/>
      <c r="AI661" s="288"/>
    </row>
    <row r="662" spans="1:35" ht="12.75" customHeight="1" x14ac:dyDescent="0.2">
      <c r="A662" s="288"/>
      <c r="B662" s="288"/>
      <c r="C662" s="288"/>
      <c r="D662" s="288"/>
      <c r="E662" s="288"/>
      <c r="F662" s="288"/>
      <c r="G662" s="288"/>
      <c r="H662" s="288"/>
      <c r="I662" s="288"/>
      <c r="J662" s="288"/>
      <c r="K662" s="288"/>
      <c r="L662" s="288"/>
      <c r="M662" s="288"/>
      <c r="N662" s="288"/>
      <c r="O662" s="288"/>
      <c r="P662" s="288"/>
      <c r="Q662" s="288"/>
      <c r="R662" s="288"/>
      <c r="S662" s="288"/>
      <c r="T662" s="288"/>
      <c r="U662" s="288"/>
      <c r="V662" s="288"/>
      <c r="W662" s="288"/>
      <c r="X662" s="288"/>
      <c r="Y662" s="288"/>
      <c r="Z662" s="288"/>
      <c r="AA662" s="288"/>
      <c r="AB662" s="288"/>
      <c r="AC662" s="288"/>
      <c r="AD662" s="288"/>
      <c r="AE662" s="288"/>
      <c r="AF662" s="288"/>
      <c r="AG662" s="288"/>
      <c r="AH662" s="288"/>
      <c r="AI662" s="288"/>
    </row>
    <row r="663" spans="1:35" ht="12.75" customHeight="1" x14ac:dyDescent="0.2">
      <c r="A663" s="288"/>
      <c r="B663" s="288"/>
      <c r="C663" s="288"/>
      <c r="D663" s="288"/>
      <c r="E663" s="288"/>
      <c r="F663" s="288"/>
      <c r="G663" s="288"/>
      <c r="H663" s="288"/>
      <c r="I663" s="288"/>
      <c r="J663" s="288"/>
      <c r="K663" s="288"/>
      <c r="L663" s="288"/>
      <c r="M663" s="288"/>
      <c r="N663" s="288"/>
      <c r="O663" s="288"/>
      <c r="P663" s="288"/>
      <c r="Q663" s="288"/>
      <c r="R663" s="288"/>
      <c r="S663" s="288"/>
      <c r="T663" s="288"/>
      <c r="U663" s="288"/>
      <c r="V663" s="288"/>
      <c r="W663" s="288"/>
      <c r="X663" s="288"/>
      <c r="Y663" s="288"/>
      <c r="Z663" s="288"/>
      <c r="AA663" s="288"/>
      <c r="AB663" s="288"/>
      <c r="AC663" s="288"/>
      <c r="AD663" s="288"/>
      <c r="AE663" s="288"/>
      <c r="AF663" s="288"/>
      <c r="AG663" s="288"/>
      <c r="AH663" s="288"/>
      <c r="AI663" s="288"/>
    </row>
    <row r="664" spans="1:35" ht="12.75" customHeight="1" x14ac:dyDescent="0.2">
      <c r="A664" s="288"/>
      <c r="B664" s="288"/>
      <c r="C664" s="288"/>
      <c r="D664" s="288"/>
      <c r="E664" s="288"/>
      <c r="F664" s="288"/>
      <c r="G664" s="288"/>
      <c r="H664" s="288"/>
      <c r="I664" s="288"/>
      <c r="J664" s="288"/>
      <c r="K664" s="288"/>
      <c r="L664" s="288"/>
      <c r="M664" s="288"/>
      <c r="N664" s="288"/>
      <c r="O664" s="288"/>
      <c r="P664" s="288"/>
      <c r="Q664" s="288"/>
      <c r="R664" s="288"/>
      <c r="S664" s="288"/>
      <c r="T664" s="288"/>
      <c r="U664" s="288"/>
      <c r="V664" s="288"/>
      <c r="W664" s="288"/>
      <c r="X664" s="288"/>
      <c r="Y664" s="288"/>
      <c r="Z664" s="288"/>
      <c r="AA664" s="288"/>
      <c r="AB664" s="288"/>
      <c r="AC664" s="288"/>
      <c r="AD664" s="288"/>
      <c r="AE664" s="288"/>
      <c r="AF664" s="288"/>
      <c r="AG664" s="288"/>
      <c r="AH664" s="288"/>
      <c r="AI664" s="288"/>
    </row>
    <row r="665" spans="1:35" ht="12.75" customHeight="1" x14ac:dyDescent="0.2">
      <c r="A665" s="288"/>
      <c r="B665" s="288"/>
      <c r="C665" s="288"/>
      <c r="D665" s="288"/>
      <c r="E665" s="288"/>
      <c r="F665" s="288"/>
      <c r="G665" s="288"/>
      <c r="H665" s="288"/>
      <c r="I665" s="288"/>
      <c r="J665" s="288"/>
      <c r="K665" s="288"/>
      <c r="L665" s="288"/>
      <c r="M665" s="288"/>
      <c r="N665" s="288"/>
      <c r="O665" s="288"/>
      <c r="P665" s="288"/>
      <c r="Q665" s="288"/>
      <c r="R665" s="288"/>
      <c r="S665" s="288"/>
      <c r="T665" s="288"/>
      <c r="U665" s="288"/>
      <c r="V665" s="288"/>
      <c r="W665" s="288"/>
      <c r="X665" s="288"/>
      <c r="Y665" s="288"/>
      <c r="Z665" s="288"/>
      <c r="AA665" s="288"/>
      <c r="AB665" s="288"/>
      <c r="AC665" s="288"/>
      <c r="AD665" s="288"/>
      <c r="AE665" s="288"/>
      <c r="AF665" s="288"/>
      <c r="AG665" s="288"/>
      <c r="AH665" s="288"/>
      <c r="AI665" s="288"/>
    </row>
    <row r="666" spans="1:35" ht="12.75" customHeight="1" x14ac:dyDescent="0.2">
      <c r="A666" s="288"/>
      <c r="B666" s="288"/>
      <c r="C666" s="288"/>
      <c r="D666" s="288"/>
      <c r="E666" s="288"/>
      <c r="F666" s="288"/>
      <c r="G666" s="288"/>
      <c r="H666" s="288"/>
      <c r="I666" s="288"/>
      <c r="J666" s="288"/>
      <c r="K666" s="288"/>
      <c r="L666" s="288"/>
      <c r="M666" s="288"/>
      <c r="N666" s="288"/>
      <c r="O666" s="288"/>
      <c r="P666" s="288"/>
      <c r="Q666" s="288"/>
      <c r="R666" s="288"/>
      <c r="S666" s="288"/>
      <c r="T666" s="288"/>
      <c r="U666" s="288"/>
      <c r="V666" s="288"/>
      <c r="W666" s="288"/>
      <c r="X666" s="288"/>
      <c r="Y666" s="288"/>
      <c r="Z666" s="288"/>
      <c r="AA666" s="288"/>
      <c r="AB666" s="288"/>
      <c r="AC666" s="288"/>
      <c r="AD666" s="288"/>
      <c r="AE666" s="288"/>
      <c r="AF666" s="288"/>
      <c r="AG666" s="288"/>
      <c r="AH666" s="288"/>
      <c r="AI666" s="288"/>
    </row>
    <row r="667" spans="1:35" ht="12.75" customHeight="1" x14ac:dyDescent="0.2">
      <c r="A667" s="288"/>
      <c r="B667" s="288"/>
      <c r="C667" s="288"/>
      <c r="D667" s="288"/>
      <c r="E667" s="288"/>
      <c r="F667" s="288"/>
      <c r="G667" s="288"/>
      <c r="H667" s="288"/>
      <c r="I667" s="288"/>
      <c r="J667" s="288"/>
      <c r="K667" s="288"/>
      <c r="L667" s="288"/>
      <c r="M667" s="288"/>
      <c r="N667" s="288"/>
      <c r="O667" s="288"/>
      <c r="P667" s="288"/>
      <c r="Q667" s="288"/>
      <c r="R667" s="288"/>
      <c r="S667" s="288"/>
      <c r="T667" s="288"/>
      <c r="U667" s="288"/>
      <c r="V667" s="288"/>
      <c r="W667" s="288"/>
      <c r="X667" s="288"/>
      <c r="Y667" s="288"/>
      <c r="Z667" s="288"/>
      <c r="AA667" s="288"/>
      <c r="AB667" s="288"/>
      <c r="AC667" s="288"/>
      <c r="AD667" s="288"/>
      <c r="AE667" s="288"/>
      <c r="AF667" s="288"/>
      <c r="AG667" s="288"/>
      <c r="AH667" s="288"/>
      <c r="AI667" s="288"/>
    </row>
    <row r="668" spans="1:35" ht="12.75" customHeight="1" x14ac:dyDescent="0.2">
      <c r="A668" s="288"/>
      <c r="B668" s="288"/>
      <c r="C668" s="288"/>
      <c r="D668" s="288"/>
      <c r="E668" s="288"/>
      <c r="F668" s="288"/>
      <c r="G668" s="288"/>
      <c r="H668" s="288"/>
      <c r="I668" s="288"/>
      <c r="J668" s="288"/>
      <c r="K668" s="288"/>
      <c r="L668" s="288"/>
      <c r="M668" s="288"/>
      <c r="N668" s="288"/>
      <c r="O668" s="288"/>
      <c r="P668" s="288"/>
      <c r="Q668" s="288"/>
      <c r="R668" s="288"/>
      <c r="S668" s="288"/>
      <c r="T668" s="288"/>
      <c r="U668" s="288"/>
      <c r="V668" s="288"/>
      <c r="W668" s="288"/>
      <c r="X668" s="288"/>
      <c r="Y668" s="288"/>
      <c r="Z668" s="288"/>
      <c r="AA668" s="288"/>
      <c r="AB668" s="288"/>
      <c r="AC668" s="288"/>
      <c r="AD668" s="288"/>
      <c r="AE668" s="288"/>
      <c r="AF668" s="288"/>
      <c r="AG668" s="288"/>
      <c r="AH668" s="288"/>
      <c r="AI668" s="288"/>
    </row>
    <row r="669" spans="1:35" ht="12.75" customHeight="1" x14ac:dyDescent="0.2">
      <c r="A669" s="288"/>
      <c r="B669" s="288"/>
      <c r="C669" s="288"/>
      <c r="D669" s="288"/>
      <c r="E669" s="288"/>
      <c r="F669" s="288"/>
      <c r="G669" s="288"/>
      <c r="H669" s="288"/>
      <c r="I669" s="288"/>
      <c r="J669" s="288"/>
      <c r="K669" s="288"/>
      <c r="L669" s="288"/>
      <c r="M669" s="288"/>
      <c r="N669" s="288"/>
      <c r="O669" s="288"/>
      <c r="P669" s="288"/>
      <c r="Q669" s="288"/>
      <c r="R669" s="288"/>
      <c r="S669" s="288"/>
      <c r="T669" s="288"/>
      <c r="U669" s="288"/>
      <c r="V669" s="288"/>
      <c r="W669" s="288"/>
      <c r="X669" s="288"/>
      <c r="Y669" s="288"/>
      <c r="Z669" s="288"/>
      <c r="AA669" s="288"/>
      <c r="AB669" s="288"/>
      <c r="AC669" s="288"/>
      <c r="AD669" s="288"/>
      <c r="AE669" s="288"/>
      <c r="AF669" s="288"/>
      <c r="AG669" s="288"/>
      <c r="AH669" s="288"/>
      <c r="AI669" s="288"/>
    </row>
    <row r="670" spans="1:35" ht="12.75" customHeight="1" x14ac:dyDescent="0.2">
      <c r="A670" s="288"/>
      <c r="B670" s="288"/>
      <c r="C670" s="288"/>
      <c r="D670" s="288"/>
      <c r="E670" s="288"/>
      <c r="F670" s="288"/>
      <c r="G670" s="288"/>
      <c r="H670" s="288"/>
      <c r="I670" s="288"/>
      <c r="J670" s="288"/>
      <c r="K670" s="288"/>
      <c r="L670" s="288"/>
      <c r="M670" s="288"/>
      <c r="N670" s="288"/>
      <c r="O670" s="288"/>
      <c r="P670" s="288"/>
      <c r="Q670" s="288"/>
      <c r="R670" s="288"/>
      <c r="S670" s="288"/>
      <c r="T670" s="288"/>
      <c r="U670" s="288"/>
      <c r="V670" s="288"/>
      <c r="W670" s="288"/>
      <c r="X670" s="288"/>
      <c r="Y670" s="288"/>
      <c r="Z670" s="288"/>
      <c r="AA670" s="288"/>
      <c r="AB670" s="288"/>
      <c r="AC670" s="288"/>
      <c r="AD670" s="288"/>
      <c r="AE670" s="288"/>
      <c r="AF670" s="288"/>
      <c r="AG670" s="288"/>
      <c r="AH670" s="288"/>
      <c r="AI670" s="288"/>
    </row>
    <row r="671" spans="1:35" ht="12.75" customHeight="1" x14ac:dyDescent="0.2">
      <c r="A671" s="288"/>
      <c r="B671" s="288"/>
      <c r="C671" s="288"/>
      <c r="D671" s="288"/>
      <c r="E671" s="288"/>
      <c r="F671" s="288"/>
      <c r="G671" s="288"/>
      <c r="H671" s="288"/>
      <c r="I671" s="288"/>
      <c r="J671" s="288"/>
      <c r="K671" s="288"/>
      <c r="L671" s="288"/>
      <c r="M671" s="288"/>
      <c r="N671" s="288"/>
      <c r="O671" s="288"/>
      <c r="P671" s="288"/>
      <c r="Q671" s="288"/>
      <c r="R671" s="288"/>
      <c r="S671" s="288"/>
      <c r="T671" s="288"/>
      <c r="U671" s="288"/>
      <c r="V671" s="288"/>
      <c r="W671" s="288"/>
      <c r="X671" s="288"/>
      <c r="Y671" s="288"/>
      <c r="Z671" s="288"/>
      <c r="AA671" s="288"/>
      <c r="AB671" s="288"/>
      <c r="AC671" s="288"/>
      <c r="AD671" s="288"/>
      <c r="AE671" s="288"/>
      <c r="AF671" s="288"/>
      <c r="AG671" s="288"/>
      <c r="AH671" s="288"/>
      <c r="AI671" s="288"/>
    </row>
    <row r="672" spans="1:35" ht="12.75" customHeight="1" x14ac:dyDescent="0.2">
      <c r="A672" s="288"/>
      <c r="B672" s="288"/>
      <c r="C672" s="288"/>
      <c r="D672" s="288"/>
      <c r="E672" s="288"/>
      <c r="F672" s="288"/>
      <c r="G672" s="288"/>
      <c r="H672" s="288"/>
      <c r="I672" s="288"/>
      <c r="J672" s="288"/>
      <c r="K672" s="288"/>
      <c r="L672" s="288"/>
      <c r="M672" s="288"/>
      <c r="N672" s="288"/>
      <c r="O672" s="288"/>
      <c r="P672" s="288"/>
      <c r="Q672" s="288"/>
      <c r="R672" s="288"/>
      <c r="S672" s="288"/>
      <c r="T672" s="288"/>
      <c r="U672" s="288"/>
      <c r="V672" s="288"/>
      <c r="W672" s="288"/>
      <c r="X672" s="288"/>
      <c r="Y672" s="288"/>
      <c r="Z672" s="288"/>
      <c r="AA672" s="288"/>
      <c r="AB672" s="288"/>
      <c r="AC672" s="288"/>
      <c r="AD672" s="288"/>
      <c r="AE672" s="288"/>
      <c r="AF672" s="288"/>
      <c r="AG672" s="288"/>
      <c r="AH672" s="288"/>
      <c r="AI672" s="288"/>
    </row>
    <row r="673" spans="1:35" ht="12.75" customHeight="1" x14ac:dyDescent="0.2">
      <c r="A673" s="288"/>
      <c r="B673" s="288"/>
      <c r="C673" s="288"/>
      <c r="D673" s="288"/>
      <c r="E673" s="288"/>
      <c r="F673" s="288"/>
      <c r="G673" s="288"/>
      <c r="H673" s="288"/>
      <c r="I673" s="288"/>
      <c r="J673" s="288"/>
      <c r="K673" s="288"/>
      <c r="L673" s="288"/>
      <c r="M673" s="288"/>
      <c r="N673" s="288"/>
      <c r="O673" s="288"/>
      <c r="P673" s="288"/>
      <c r="Q673" s="288"/>
      <c r="R673" s="288"/>
      <c r="S673" s="288"/>
      <c r="T673" s="288"/>
      <c r="U673" s="288"/>
      <c r="V673" s="288"/>
      <c r="W673" s="288"/>
      <c r="X673" s="288"/>
      <c r="Y673" s="288"/>
      <c r="Z673" s="288"/>
      <c r="AA673" s="288"/>
      <c r="AB673" s="288"/>
      <c r="AC673" s="288"/>
      <c r="AD673" s="288"/>
      <c r="AE673" s="288"/>
      <c r="AF673" s="288"/>
      <c r="AG673" s="288"/>
      <c r="AH673" s="288"/>
      <c r="AI673" s="288"/>
    </row>
    <row r="674" spans="1:35" ht="12.75" customHeight="1" x14ac:dyDescent="0.2">
      <c r="A674" s="288"/>
      <c r="B674" s="288"/>
      <c r="C674" s="288"/>
      <c r="D674" s="288"/>
      <c r="E674" s="288"/>
      <c r="F674" s="288"/>
      <c r="G674" s="288"/>
      <c r="H674" s="288"/>
      <c r="I674" s="288"/>
      <c r="J674" s="288"/>
      <c r="K674" s="288"/>
      <c r="L674" s="288"/>
      <c r="M674" s="288"/>
      <c r="N674" s="288"/>
      <c r="O674" s="288"/>
      <c r="P674" s="288"/>
      <c r="Q674" s="288"/>
      <c r="R674" s="288"/>
      <c r="S674" s="288"/>
      <c r="T674" s="288"/>
      <c r="U674" s="288"/>
      <c r="V674" s="288"/>
      <c r="W674" s="288"/>
      <c r="X674" s="288"/>
      <c r="Y674" s="288"/>
      <c r="Z674" s="288"/>
      <c r="AA674" s="288"/>
      <c r="AB674" s="288"/>
      <c r="AC674" s="288"/>
      <c r="AD674" s="288"/>
      <c r="AE674" s="288"/>
      <c r="AF674" s="288"/>
      <c r="AG674" s="288"/>
      <c r="AH674" s="288"/>
      <c r="AI674" s="288"/>
    </row>
    <row r="675" spans="1:35" ht="12.75" customHeight="1" x14ac:dyDescent="0.2">
      <c r="A675" s="288"/>
      <c r="B675" s="288"/>
      <c r="C675" s="288"/>
      <c r="D675" s="288"/>
      <c r="E675" s="288"/>
      <c r="F675" s="288"/>
      <c r="G675" s="288"/>
      <c r="H675" s="288"/>
      <c r="I675" s="288"/>
      <c r="J675" s="288"/>
      <c r="K675" s="288"/>
      <c r="L675" s="288"/>
      <c r="M675" s="288"/>
      <c r="N675" s="288"/>
      <c r="O675" s="288"/>
      <c r="P675" s="288"/>
      <c r="Q675" s="288"/>
      <c r="R675" s="288"/>
      <c r="S675" s="288"/>
      <c r="T675" s="288"/>
      <c r="U675" s="288"/>
      <c r="V675" s="288"/>
      <c r="W675" s="288"/>
      <c r="X675" s="288"/>
      <c r="Y675" s="288"/>
      <c r="Z675" s="288"/>
      <c r="AA675" s="288"/>
      <c r="AB675" s="288"/>
      <c r="AC675" s="288"/>
      <c r="AD675" s="288"/>
      <c r="AE675" s="288"/>
      <c r="AF675" s="288"/>
      <c r="AG675" s="288"/>
      <c r="AH675" s="288"/>
      <c r="AI675" s="288"/>
    </row>
    <row r="676" spans="1:35" ht="12.75" customHeight="1" x14ac:dyDescent="0.2">
      <c r="A676" s="288"/>
      <c r="B676" s="288"/>
      <c r="C676" s="288"/>
      <c r="D676" s="288"/>
      <c r="E676" s="288"/>
      <c r="F676" s="288"/>
      <c r="G676" s="288"/>
      <c r="H676" s="288"/>
      <c r="I676" s="288"/>
      <c r="J676" s="288"/>
      <c r="K676" s="288"/>
      <c r="L676" s="288"/>
      <c r="M676" s="288"/>
      <c r="N676" s="288"/>
      <c r="O676" s="288"/>
      <c r="P676" s="288"/>
      <c r="Q676" s="288"/>
      <c r="R676" s="288"/>
      <c r="S676" s="288"/>
      <c r="T676" s="288"/>
      <c r="U676" s="288"/>
      <c r="V676" s="288"/>
      <c r="W676" s="288"/>
      <c r="X676" s="288"/>
      <c r="Y676" s="288"/>
      <c r="Z676" s="288"/>
      <c r="AA676" s="288"/>
      <c r="AB676" s="288"/>
      <c r="AC676" s="288"/>
      <c r="AD676" s="288"/>
      <c r="AE676" s="288"/>
      <c r="AF676" s="288"/>
      <c r="AG676" s="288"/>
      <c r="AH676" s="288"/>
      <c r="AI676" s="288"/>
    </row>
    <row r="677" spans="1:35" ht="12.75" customHeight="1" x14ac:dyDescent="0.2">
      <c r="A677" s="288"/>
      <c r="B677" s="288"/>
      <c r="C677" s="288"/>
      <c r="D677" s="288"/>
      <c r="E677" s="288"/>
      <c r="F677" s="288"/>
      <c r="G677" s="288"/>
      <c r="H677" s="288"/>
      <c r="I677" s="288"/>
      <c r="J677" s="288"/>
      <c r="K677" s="288"/>
      <c r="L677" s="288"/>
      <c r="M677" s="288"/>
      <c r="N677" s="288"/>
      <c r="O677" s="288"/>
      <c r="P677" s="288"/>
      <c r="Q677" s="288"/>
      <c r="R677" s="288"/>
      <c r="S677" s="288"/>
      <c r="T677" s="288"/>
      <c r="U677" s="288"/>
      <c r="V677" s="288"/>
      <c r="W677" s="288"/>
      <c r="X677" s="288"/>
      <c r="Y677" s="288"/>
      <c r="Z677" s="288"/>
      <c r="AA677" s="288"/>
      <c r="AB677" s="288"/>
      <c r="AC677" s="288"/>
      <c r="AD677" s="288"/>
      <c r="AE677" s="288"/>
      <c r="AF677" s="288"/>
      <c r="AG677" s="288"/>
      <c r="AH677" s="288"/>
      <c r="AI677" s="288"/>
    </row>
    <row r="678" spans="1:35" ht="12.75" customHeight="1" x14ac:dyDescent="0.2">
      <c r="A678" s="288"/>
      <c r="B678" s="288"/>
      <c r="C678" s="288"/>
      <c r="D678" s="288"/>
      <c r="E678" s="288"/>
      <c r="F678" s="288"/>
      <c r="G678" s="288"/>
      <c r="H678" s="288"/>
      <c r="I678" s="288"/>
      <c r="J678" s="288"/>
      <c r="K678" s="288"/>
      <c r="L678" s="288"/>
      <c r="M678" s="288"/>
      <c r="N678" s="288"/>
      <c r="O678" s="288"/>
      <c r="P678" s="288"/>
      <c r="Q678" s="288"/>
      <c r="R678" s="288"/>
      <c r="S678" s="288"/>
      <c r="T678" s="288"/>
      <c r="U678" s="288"/>
      <c r="V678" s="288"/>
      <c r="W678" s="288"/>
      <c r="X678" s="288"/>
      <c r="Y678" s="288"/>
      <c r="Z678" s="288"/>
      <c r="AA678" s="288"/>
      <c r="AB678" s="288"/>
      <c r="AC678" s="288"/>
      <c r="AD678" s="288"/>
      <c r="AE678" s="288"/>
      <c r="AF678" s="288"/>
      <c r="AG678" s="288"/>
      <c r="AH678" s="288"/>
      <c r="AI678" s="288"/>
    </row>
    <row r="679" spans="1:35" ht="12.75" customHeight="1" x14ac:dyDescent="0.2">
      <c r="A679" s="288"/>
      <c r="B679" s="288"/>
      <c r="C679" s="288"/>
      <c r="D679" s="288"/>
      <c r="E679" s="288"/>
      <c r="F679" s="288"/>
      <c r="G679" s="288"/>
      <c r="H679" s="288"/>
      <c r="I679" s="288"/>
      <c r="J679" s="288"/>
      <c r="K679" s="288"/>
      <c r="L679" s="288"/>
      <c r="M679" s="288"/>
      <c r="N679" s="288"/>
      <c r="O679" s="288"/>
      <c r="P679" s="288"/>
      <c r="Q679" s="288"/>
      <c r="R679" s="288"/>
      <c r="S679" s="288"/>
      <c r="T679" s="288"/>
      <c r="U679" s="288"/>
      <c r="V679" s="288"/>
      <c r="W679" s="288"/>
      <c r="X679" s="288"/>
      <c r="Y679" s="288"/>
      <c r="Z679" s="288"/>
      <c r="AA679" s="288"/>
      <c r="AB679" s="288"/>
      <c r="AC679" s="288"/>
      <c r="AD679" s="288"/>
      <c r="AE679" s="288"/>
      <c r="AF679" s="288"/>
      <c r="AG679" s="288"/>
      <c r="AH679" s="288"/>
      <c r="AI679" s="288"/>
    </row>
    <row r="680" spans="1:35" ht="12.75" customHeight="1" x14ac:dyDescent="0.2">
      <c r="A680" s="288"/>
      <c r="B680" s="288"/>
      <c r="C680" s="288"/>
      <c r="D680" s="288"/>
      <c r="E680" s="288"/>
      <c r="F680" s="288"/>
      <c r="G680" s="288"/>
      <c r="H680" s="288"/>
      <c r="I680" s="288"/>
      <c r="J680" s="288"/>
      <c r="K680" s="288"/>
      <c r="L680" s="288"/>
      <c r="M680" s="288"/>
      <c r="N680" s="288"/>
      <c r="O680" s="288"/>
      <c r="P680" s="288"/>
      <c r="Q680" s="288"/>
      <c r="R680" s="288"/>
      <c r="S680" s="288"/>
      <c r="T680" s="288"/>
      <c r="U680" s="288"/>
      <c r="V680" s="288"/>
      <c r="W680" s="288"/>
      <c r="X680" s="288"/>
      <c r="Y680" s="288"/>
      <c r="Z680" s="288"/>
      <c r="AA680" s="288"/>
      <c r="AB680" s="288"/>
      <c r="AC680" s="288"/>
      <c r="AD680" s="288"/>
      <c r="AE680" s="288"/>
      <c r="AF680" s="288"/>
      <c r="AG680" s="288"/>
      <c r="AH680" s="288"/>
      <c r="AI680" s="288"/>
    </row>
    <row r="681" spans="1:35" ht="12.75" customHeight="1" x14ac:dyDescent="0.2">
      <c r="A681" s="288"/>
      <c r="B681" s="288"/>
      <c r="C681" s="288"/>
      <c r="D681" s="288"/>
      <c r="E681" s="288"/>
      <c r="F681" s="288"/>
      <c r="G681" s="288"/>
      <c r="H681" s="288"/>
      <c r="I681" s="288"/>
      <c r="J681" s="288"/>
      <c r="K681" s="288"/>
      <c r="L681" s="288"/>
      <c r="M681" s="288"/>
      <c r="N681" s="288"/>
      <c r="O681" s="288"/>
      <c r="P681" s="288"/>
      <c r="Q681" s="288"/>
      <c r="R681" s="288"/>
      <c r="S681" s="288"/>
      <c r="T681" s="288"/>
      <c r="U681" s="288"/>
      <c r="V681" s="288"/>
      <c r="W681" s="288"/>
      <c r="X681" s="288"/>
      <c r="Y681" s="288"/>
      <c r="Z681" s="288"/>
      <c r="AA681" s="288"/>
      <c r="AB681" s="288"/>
      <c r="AC681" s="288"/>
      <c r="AD681" s="288"/>
      <c r="AE681" s="288"/>
      <c r="AF681" s="288"/>
      <c r="AG681" s="288"/>
      <c r="AH681" s="288"/>
      <c r="AI681" s="288"/>
    </row>
    <row r="682" spans="1:35" ht="12.75" customHeight="1" x14ac:dyDescent="0.2">
      <c r="A682" s="288"/>
      <c r="B682" s="288"/>
      <c r="C682" s="288"/>
      <c r="D682" s="288"/>
      <c r="E682" s="288"/>
      <c r="F682" s="288"/>
      <c r="G682" s="288"/>
      <c r="H682" s="288"/>
      <c r="I682" s="288"/>
      <c r="J682" s="288"/>
      <c r="K682" s="288"/>
      <c r="L682" s="288"/>
      <c r="M682" s="288"/>
      <c r="N682" s="288"/>
      <c r="O682" s="288"/>
      <c r="P682" s="288"/>
      <c r="Q682" s="288"/>
      <c r="R682" s="288"/>
      <c r="S682" s="288"/>
      <c r="T682" s="288"/>
      <c r="U682" s="288"/>
      <c r="V682" s="288"/>
      <c r="W682" s="288"/>
      <c r="X682" s="288"/>
      <c r="Y682" s="288"/>
      <c r="Z682" s="288"/>
      <c r="AA682" s="288"/>
      <c r="AB682" s="288"/>
      <c r="AC682" s="288"/>
      <c r="AD682" s="288"/>
      <c r="AE682" s="288"/>
      <c r="AF682" s="288"/>
      <c r="AG682" s="288"/>
      <c r="AH682" s="288"/>
      <c r="AI682" s="288"/>
    </row>
    <row r="683" spans="1:35" ht="12.75" customHeight="1" x14ac:dyDescent="0.2">
      <c r="A683" s="288"/>
      <c r="B683" s="288"/>
      <c r="C683" s="288"/>
      <c r="D683" s="288"/>
      <c r="E683" s="288"/>
      <c r="F683" s="288"/>
      <c r="G683" s="288"/>
      <c r="H683" s="288"/>
      <c r="I683" s="288"/>
      <c r="J683" s="288"/>
      <c r="K683" s="288"/>
      <c r="L683" s="288"/>
      <c r="M683" s="288"/>
      <c r="N683" s="288"/>
      <c r="O683" s="288"/>
      <c r="P683" s="288"/>
      <c r="Q683" s="288"/>
      <c r="R683" s="288"/>
      <c r="S683" s="288"/>
      <c r="T683" s="288"/>
      <c r="U683" s="288"/>
      <c r="V683" s="288"/>
      <c r="W683" s="288"/>
      <c r="X683" s="288"/>
      <c r="Y683" s="288"/>
      <c r="Z683" s="288"/>
      <c r="AA683" s="288"/>
      <c r="AB683" s="288"/>
      <c r="AC683" s="288"/>
      <c r="AD683" s="288"/>
      <c r="AE683" s="288"/>
      <c r="AF683" s="288"/>
      <c r="AG683" s="288"/>
      <c r="AH683" s="288"/>
      <c r="AI683" s="288"/>
    </row>
    <row r="684" spans="1:35" ht="12.75" customHeight="1" x14ac:dyDescent="0.2">
      <c r="A684" s="288"/>
      <c r="B684" s="288"/>
      <c r="C684" s="288"/>
      <c r="D684" s="288"/>
      <c r="E684" s="288"/>
      <c r="F684" s="288"/>
      <c r="G684" s="288"/>
      <c r="H684" s="288"/>
      <c r="I684" s="288"/>
      <c r="J684" s="288"/>
      <c r="K684" s="288"/>
      <c r="L684" s="288"/>
      <c r="M684" s="288"/>
      <c r="N684" s="288"/>
      <c r="O684" s="288"/>
      <c r="P684" s="288"/>
      <c r="Q684" s="288"/>
      <c r="R684" s="288"/>
      <c r="S684" s="288"/>
      <c r="T684" s="288"/>
      <c r="U684" s="288"/>
      <c r="V684" s="288"/>
      <c r="W684" s="288"/>
      <c r="X684" s="288"/>
      <c r="Y684" s="288"/>
      <c r="Z684" s="288"/>
      <c r="AA684" s="288"/>
      <c r="AB684" s="288"/>
      <c r="AC684" s="288"/>
      <c r="AD684" s="288"/>
      <c r="AE684" s="288"/>
      <c r="AF684" s="288"/>
      <c r="AG684" s="288"/>
      <c r="AH684" s="288"/>
      <c r="AI684" s="288"/>
    </row>
    <row r="685" spans="1:35" ht="12.75" customHeight="1" x14ac:dyDescent="0.2">
      <c r="A685" s="288"/>
      <c r="B685" s="288"/>
      <c r="C685" s="288"/>
      <c r="D685" s="288"/>
      <c r="E685" s="288"/>
      <c r="F685" s="288"/>
      <c r="G685" s="288"/>
      <c r="H685" s="288"/>
      <c r="I685" s="288"/>
      <c r="J685" s="288"/>
      <c r="K685" s="288"/>
      <c r="L685" s="288"/>
      <c r="M685" s="288"/>
      <c r="N685" s="288"/>
      <c r="O685" s="288"/>
      <c r="P685" s="288"/>
      <c r="Q685" s="288"/>
      <c r="R685" s="288"/>
      <c r="S685" s="288"/>
      <c r="T685" s="288"/>
      <c r="U685" s="288"/>
      <c r="V685" s="288"/>
      <c r="W685" s="288"/>
      <c r="X685" s="288"/>
      <c r="Y685" s="288"/>
      <c r="Z685" s="288"/>
      <c r="AA685" s="288"/>
      <c r="AB685" s="288"/>
      <c r="AC685" s="288"/>
      <c r="AD685" s="288"/>
      <c r="AE685" s="288"/>
      <c r="AF685" s="288"/>
      <c r="AG685" s="288"/>
      <c r="AH685" s="288"/>
      <c r="AI685" s="288"/>
    </row>
    <row r="686" spans="1:35" ht="12.75" customHeight="1" x14ac:dyDescent="0.2">
      <c r="A686" s="288"/>
      <c r="B686" s="288"/>
      <c r="C686" s="288"/>
      <c r="D686" s="288"/>
      <c r="E686" s="288"/>
      <c r="F686" s="288"/>
      <c r="G686" s="288"/>
      <c r="H686" s="288"/>
      <c r="I686" s="288"/>
      <c r="J686" s="288"/>
      <c r="K686" s="288"/>
      <c r="L686" s="288"/>
      <c r="M686" s="288"/>
      <c r="N686" s="288"/>
      <c r="O686" s="288"/>
      <c r="P686" s="288"/>
      <c r="Q686" s="288"/>
      <c r="R686" s="288"/>
      <c r="S686" s="288"/>
      <c r="T686" s="288"/>
      <c r="U686" s="288"/>
      <c r="V686" s="288"/>
      <c r="W686" s="288"/>
      <c r="X686" s="288"/>
      <c r="Y686" s="288"/>
      <c r="Z686" s="288"/>
      <c r="AA686" s="288"/>
      <c r="AB686" s="288"/>
      <c r="AC686" s="288"/>
      <c r="AD686" s="288"/>
      <c r="AE686" s="288"/>
      <c r="AF686" s="288"/>
      <c r="AG686" s="288"/>
      <c r="AH686" s="288"/>
      <c r="AI686" s="288"/>
    </row>
    <row r="687" spans="1:35" ht="12.75" customHeight="1" x14ac:dyDescent="0.2">
      <c r="A687" s="288"/>
      <c r="B687" s="288"/>
      <c r="C687" s="288"/>
      <c r="D687" s="288"/>
      <c r="E687" s="288"/>
      <c r="F687" s="288"/>
      <c r="G687" s="288"/>
      <c r="H687" s="288"/>
      <c r="I687" s="288"/>
      <c r="J687" s="288"/>
      <c r="K687" s="288"/>
      <c r="L687" s="288"/>
      <c r="M687" s="288"/>
      <c r="N687" s="288"/>
      <c r="O687" s="288"/>
      <c r="P687" s="288"/>
      <c r="Q687" s="288"/>
      <c r="R687" s="288"/>
      <c r="S687" s="288"/>
      <c r="T687" s="288"/>
      <c r="U687" s="288"/>
      <c r="V687" s="288"/>
      <c r="W687" s="288"/>
      <c r="X687" s="288"/>
      <c r="Y687" s="288"/>
      <c r="Z687" s="288"/>
      <c r="AA687" s="288"/>
      <c r="AB687" s="288"/>
      <c r="AC687" s="288"/>
      <c r="AD687" s="288"/>
      <c r="AE687" s="288"/>
      <c r="AF687" s="288"/>
      <c r="AG687" s="288"/>
      <c r="AH687" s="288"/>
      <c r="AI687" s="288"/>
    </row>
    <row r="688" spans="1:35" ht="12.75" customHeight="1" x14ac:dyDescent="0.2">
      <c r="A688" s="288"/>
      <c r="B688" s="288"/>
      <c r="C688" s="288"/>
      <c r="D688" s="288"/>
      <c r="E688" s="288"/>
      <c r="F688" s="288"/>
      <c r="G688" s="288"/>
      <c r="H688" s="288"/>
      <c r="I688" s="288"/>
      <c r="J688" s="288"/>
      <c r="K688" s="288"/>
      <c r="L688" s="288"/>
      <c r="M688" s="288"/>
      <c r="N688" s="288"/>
      <c r="O688" s="288"/>
      <c r="P688" s="288"/>
      <c r="Q688" s="288"/>
      <c r="R688" s="288"/>
      <c r="S688" s="288"/>
      <c r="T688" s="288"/>
      <c r="U688" s="288"/>
      <c r="V688" s="288"/>
      <c r="W688" s="288"/>
      <c r="X688" s="288"/>
      <c r="Y688" s="288"/>
      <c r="Z688" s="288"/>
      <c r="AA688" s="288"/>
      <c r="AB688" s="288"/>
      <c r="AC688" s="288"/>
      <c r="AD688" s="288"/>
      <c r="AE688" s="288"/>
      <c r="AF688" s="288"/>
      <c r="AG688" s="288"/>
      <c r="AH688" s="288"/>
      <c r="AI688" s="288"/>
    </row>
    <row r="689" spans="1:35" ht="12.75" customHeight="1" x14ac:dyDescent="0.2">
      <c r="A689" s="288"/>
      <c r="B689" s="288"/>
      <c r="C689" s="288"/>
      <c r="D689" s="288"/>
      <c r="E689" s="288"/>
      <c r="F689" s="288"/>
      <c r="G689" s="288"/>
      <c r="H689" s="288"/>
      <c r="I689" s="288"/>
      <c r="J689" s="288"/>
      <c r="K689" s="288"/>
      <c r="L689" s="288"/>
      <c r="M689" s="288"/>
      <c r="N689" s="288"/>
      <c r="O689" s="288"/>
      <c r="P689" s="288"/>
      <c r="Q689" s="288"/>
      <c r="R689" s="288"/>
      <c r="S689" s="288"/>
      <c r="T689" s="288"/>
      <c r="U689" s="288"/>
      <c r="V689" s="288"/>
      <c r="W689" s="288"/>
      <c r="X689" s="288"/>
      <c r="Y689" s="288"/>
      <c r="Z689" s="288"/>
      <c r="AA689" s="288"/>
      <c r="AB689" s="288"/>
      <c r="AC689" s="288"/>
      <c r="AD689" s="288"/>
      <c r="AE689" s="288"/>
      <c r="AF689" s="288"/>
      <c r="AG689" s="288"/>
      <c r="AH689" s="288"/>
      <c r="AI689" s="288"/>
    </row>
    <row r="690" spans="1:35" ht="12.75" customHeight="1" x14ac:dyDescent="0.2">
      <c r="A690" s="288"/>
      <c r="B690" s="288"/>
      <c r="C690" s="288"/>
      <c r="D690" s="288"/>
      <c r="E690" s="288"/>
      <c r="F690" s="288"/>
      <c r="G690" s="288"/>
      <c r="H690" s="288"/>
      <c r="I690" s="288"/>
      <c r="J690" s="288"/>
      <c r="K690" s="288"/>
      <c r="L690" s="288"/>
      <c r="M690" s="288"/>
      <c r="N690" s="288"/>
      <c r="O690" s="288"/>
      <c r="P690" s="288"/>
      <c r="Q690" s="288"/>
      <c r="R690" s="288"/>
      <c r="S690" s="288"/>
      <c r="T690" s="288"/>
      <c r="U690" s="288"/>
      <c r="V690" s="288"/>
      <c r="W690" s="288"/>
      <c r="X690" s="288"/>
      <c r="Y690" s="288"/>
      <c r="Z690" s="288"/>
      <c r="AA690" s="288"/>
      <c r="AB690" s="288"/>
      <c r="AC690" s="288"/>
      <c r="AD690" s="288"/>
      <c r="AE690" s="288"/>
      <c r="AF690" s="288"/>
      <c r="AG690" s="288"/>
      <c r="AH690" s="288"/>
      <c r="AI690" s="288"/>
    </row>
    <row r="691" spans="1:35" ht="12.75" customHeight="1" x14ac:dyDescent="0.2">
      <c r="A691" s="288"/>
      <c r="B691" s="288"/>
      <c r="C691" s="288"/>
      <c r="D691" s="288"/>
      <c r="E691" s="288"/>
      <c r="F691" s="288"/>
      <c r="G691" s="288"/>
      <c r="H691" s="288"/>
      <c r="I691" s="288"/>
      <c r="J691" s="288"/>
      <c r="K691" s="288"/>
      <c r="L691" s="288"/>
      <c r="M691" s="288"/>
      <c r="N691" s="288"/>
      <c r="O691" s="288"/>
      <c r="P691" s="288"/>
      <c r="Q691" s="288"/>
      <c r="R691" s="288"/>
      <c r="S691" s="288"/>
      <c r="T691" s="288"/>
      <c r="U691" s="288"/>
      <c r="V691" s="288"/>
      <c r="W691" s="288"/>
      <c r="X691" s="288"/>
      <c r="Y691" s="288"/>
      <c r="Z691" s="288"/>
      <c r="AA691" s="288"/>
      <c r="AB691" s="288"/>
      <c r="AC691" s="288"/>
      <c r="AD691" s="288"/>
      <c r="AE691" s="288"/>
      <c r="AF691" s="288"/>
      <c r="AG691" s="288"/>
      <c r="AH691" s="288"/>
      <c r="AI691" s="288"/>
    </row>
    <row r="692" spans="1:35" ht="12.75" customHeight="1" x14ac:dyDescent="0.2">
      <c r="A692" s="288"/>
      <c r="B692" s="288"/>
      <c r="C692" s="288"/>
      <c r="D692" s="288"/>
      <c r="E692" s="288"/>
      <c r="F692" s="288"/>
      <c r="G692" s="288"/>
      <c r="H692" s="288"/>
      <c r="I692" s="288"/>
      <c r="J692" s="288"/>
      <c r="K692" s="288"/>
      <c r="L692" s="288"/>
      <c r="M692" s="288"/>
      <c r="N692" s="288"/>
      <c r="O692" s="288"/>
      <c r="P692" s="288"/>
      <c r="Q692" s="288"/>
      <c r="R692" s="288"/>
      <c r="S692" s="288"/>
      <c r="T692" s="288"/>
      <c r="U692" s="288"/>
      <c r="V692" s="288"/>
      <c r="W692" s="288"/>
      <c r="X692" s="288"/>
      <c r="Y692" s="288"/>
      <c r="Z692" s="288"/>
      <c r="AA692" s="288"/>
      <c r="AB692" s="288"/>
      <c r="AC692" s="288"/>
      <c r="AD692" s="288"/>
      <c r="AE692" s="288"/>
      <c r="AF692" s="288"/>
      <c r="AG692" s="288"/>
      <c r="AH692" s="288"/>
      <c r="AI692" s="288"/>
    </row>
    <row r="693" spans="1:35" ht="12.75" customHeight="1" x14ac:dyDescent="0.2">
      <c r="A693" s="288"/>
      <c r="B693" s="288"/>
      <c r="C693" s="288"/>
      <c r="D693" s="288"/>
      <c r="E693" s="288"/>
      <c r="F693" s="288"/>
      <c r="G693" s="288"/>
      <c r="H693" s="288"/>
      <c r="I693" s="288"/>
      <c r="J693" s="288"/>
      <c r="K693" s="288"/>
      <c r="L693" s="288"/>
      <c r="M693" s="288"/>
      <c r="N693" s="288"/>
      <c r="O693" s="288"/>
      <c r="P693" s="288"/>
      <c r="Q693" s="288"/>
      <c r="R693" s="288"/>
      <c r="S693" s="288"/>
      <c r="T693" s="288"/>
      <c r="U693" s="288"/>
      <c r="V693" s="288"/>
      <c r="W693" s="288"/>
      <c r="X693" s="288"/>
      <c r="Y693" s="288"/>
      <c r="Z693" s="288"/>
      <c r="AA693" s="288"/>
      <c r="AB693" s="288"/>
      <c r="AC693" s="288"/>
      <c r="AD693" s="288"/>
      <c r="AE693" s="288"/>
      <c r="AF693" s="288"/>
      <c r="AG693" s="288"/>
      <c r="AH693" s="288"/>
      <c r="AI693" s="288"/>
    </row>
    <row r="694" spans="1:35" ht="12.75" customHeight="1" x14ac:dyDescent="0.2">
      <c r="A694" s="288"/>
      <c r="B694" s="288"/>
      <c r="C694" s="288"/>
      <c r="D694" s="288"/>
      <c r="E694" s="288"/>
      <c r="F694" s="288"/>
      <c r="G694" s="288"/>
      <c r="H694" s="288"/>
      <c r="I694" s="288"/>
      <c r="J694" s="288"/>
      <c r="K694" s="288"/>
      <c r="L694" s="288"/>
      <c r="M694" s="288"/>
      <c r="N694" s="288"/>
      <c r="O694" s="288"/>
      <c r="P694" s="288"/>
      <c r="Q694" s="288"/>
      <c r="R694" s="288"/>
      <c r="S694" s="288"/>
      <c r="T694" s="288"/>
      <c r="U694" s="288"/>
      <c r="V694" s="288"/>
      <c r="W694" s="288"/>
      <c r="X694" s="288"/>
      <c r="Y694" s="288"/>
      <c r="Z694" s="288"/>
      <c r="AA694" s="288"/>
      <c r="AB694" s="288"/>
      <c r="AC694" s="288"/>
      <c r="AD694" s="288"/>
      <c r="AE694" s="288"/>
      <c r="AF694" s="288"/>
      <c r="AG694" s="288"/>
      <c r="AH694" s="288"/>
      <c r="AI694" s="288"/>
    </row>
    <row r="695" spans="1:35" ht="12.75" customHeight="1" x14ac:dyDescent="0.2">
      <c r="A695" s="288"/>
      <c r="B695" s="288"/>
      <c r="C695" s="288"/>
      <c r="D695" s="288"/>
      <c r="E695" s="288"/>
      <c r="F695" s="288"/>
      <c r="G695" s="288"/>
      <c r="H695" s="288"/>
      <c r="I695" s="288"/>
      <c r="J695" s="288"/>
      <c r="K695" s="288"/>
      <c r="L695" s="288"/>
      <c r="M695" s="288"/>
      <c r="N695" s="288"/>
      <c r="O695" s="288"/>
      <c r="P695" s="288"/>
      <c r="Q695" s="288"/>
      <c r="R695" s="288"/>
      <c r="S695" s="288"/>
      <c r="T695" s="288"/>
      <c r="U695" s="288"/>
      <c r="V695" s="288"/>
      <c r="W695" s="288"/>
      <c r="X695" s="288"/>
      <c r="Y695" s="288"/>
      <c r="Z695" s="288"/>
      <c r="AA695" s="288"/>
      <c r="AB695" s="288"/>
      <c r="AC695" s="288"/>
      <c r="AD695" s="288"/>
      <c r="AE695" s="288"/>
      <c r="AF695" s="288"/>
      <c r="AG695" s="288"/>
      <c r="AH695" s="288"/>
      <c r="AI695" s="288"/>
    </row>
    <row r="696" spans="1:35" ht="12.75" customHeight="1" x14ac:dyDescent="0.2">
      <c r="A696" s="288"/>
      <c r="B696" s="288"/>
      <c r="C696" s="288"/>
      <c r="D696" s="288"/>
      <c r="E696" s="288"/>
      <c r="F696" s="288"/>
      <c r="G696" s="288"/>
      <c r="H696" s="288"/>
      <c r="I696" s="288"/>
      <c r="J696" s="288"/>
      <c r="K696" s="288"/>
      <c r="L696" s="288"/>
      <c r="M696" s="288"/>
      <c r="N696" s="288"/>
      <c r="O696" s="288"/>
      <c r="P696" s="288"/>
      <c r="Q696" s="288"/>
      <c r="R696" s="288"/>
      <c r="S696" s="288"/>
      <c r="T696" s="288"/>
      <c r="U696" s="288"/>
      <c r="V696" s="288"/>
      <c r="W696" s="288"/>
      <c r="X696" s="288"/>
      <c r="Y696" s="288"/>
      <c r="Z696" s="288"/>
      <c r="AA696" s="288"/>
      <c r="AB696" s="288"/>
      <c r="AC696" s="288"/>
      <c r="AD696" s="288"/>
      <c r="AE696" s="288"/>
      <c r="AF696" s="288"/>
      <c r="AG696" s="288"/>
      <c r="AH696" s="288"/>
      <c r="AI696" s="288"/>
    </row>
    <row r="697" spans="1:35" ht="12.75" customHeight="1" x14ac:dyDescent="0.2">
      <c r="A697" s="288"/>
      <c r="B697" s="288"/>
      <c r="C697" s="288"/>
      <c r="D697" s="288"/>
      <c r="E697" s="288"/>
      <c r="F697" s="288"/>
      <c r="G697" s="288"/>
      <c r="H697" s="288"/>
      <c r="I697" s="288"/>
      <c r="J697" s="288"/>
      <c r="K697" s="288"/>
      <c r="L697" s="288"/>
      <c r="M697" s="288"/>
      <c r="N697" s="288"/>
      <c r="O697" s="288"/>
      <c r="P697" s="288"/>
      <c r="Q697" s="288"/>
      <c r="R697" s="288"/>
      <c r="S697" s="288"/>
      <c r="T697" s="288"/>
      <c r="U697" s="288"/>
      <c r="V697" s="288"/>
      <c r="W697" s="288"/>
      <c r="X697" s="288"/>
      <c r="Y697" s="288"/>
      <c r="Z697" s="288"/>
      <c r="AA697" s="288"/>
      <c r="AB697" s="288"/>
      <c r="AC697" s="288"/>
      <c r="AD697" s="288"/>
      <c r="AE697" s="288"/>
      <c r="AF697" s="288"/>
      <c r="AG697" s="288"/>
      <c r="AH697" s="288"/>
      <c r="AI697" s="288"/>
    </row>
    <row r="698" spans="1:35" ht="12.75" customHeight="1" x14ac:dyDescent="0.2">
      <c r="A698" s="288"/>
      <c r="B698" s="288"/>
      <c r="C698" s="288"/>
      <c r="D698" s="288"/>
      <c r="E698" s="288"/>
      <c r="F698" s="288"/>
      <c r="G698" s="288"/>
      <c r="H698" s="288"/>
      <c r="I698" s="288"/>
      <c r="J698" s="288"/>
      <c r="K698" s="288"/>
      <c r="L698" s="288"/>
      <c r="M698" s="288"/>
      <c r="N698" s="288"/>
      <c r="O698" s="288"/>
      <c r="P698" s="288"/>
      <c r="Q698" s="288"/>
      <c r="R698" s="288"/>
      <c r="S698" s="288"/>
      <c r="T698" s="288"/>
      <c r="U698" s="288"/>
      <c r="V698" s="288"/>
      <c r="W698" s="288"/>
      <c r="X698" s="288"/>
      <c r="Y698" s="288"/>
      <c r="Z698" s="288"/>
      <c r="AA698" s="288"/>
      <c r="AB698" s="288"/>
      <c r="AC698" s="288"/>
      <c r="AD698" s="288"/>
      <c r="AE698" s="288"/>
      <c r="AF698" s="288"/>
      <c r="AG698" s="288"/>
      <c r="AH698" s="288"/>
      <c r="AI698" s="288"/>
    </row>
    <row r="699" spans="1:35" ht="12.75" customHeight="1" x14ac:dyDescent="0.2">
      <c r="A699" s="288"/>
      <c r="B699" s="288"/>
      <c r="C699" s="288"/>
      <c r="D699" s="288"/>
      <c r="E699" s="288"/>
      <c r="F699" s="288"/>
      <c r="G699" s="288"/>
      <c r="H699" s="288"/>
      <c r="I699" s="288"/>
      <c r="J699" s="288"/>
      <c r="K699" s="288"/>
      <c r="L699" s="288"/>
      <c r="M699" s="288"/>
      <c r="N699" s="288"/>
      <c r="O699" s="288"/>
      <c r="P699" s="288"/>
      <c r="Q699" s="288"/>
      <c r="R699" s="288"/>
      <c r="S699" s="288"/>
      <c r="T699" s="288"/>
      <c r="U699" s="288"/>
      <c r="V699" s="288"/>
      <c r="W699" s="288"/>
      <c r="X699" s="288"/>
      <c r="Y699" s="288"/>
      <c r="Z699" s="288"/>
      <c r="AA699" s="288"/>
      <c r="AB699" s="288"/>
      <c r="AC699" s="288"/>
      <c r="AD699" s="288"/>
      <c r="AE699" s="288"/>
      <c r="AF699" s="288"/>
      <c r="AG699" s="288"/>
      <c r="AH699" s="288"/>
      <c r="AI699" s="288"/>
    </row>
    <row r="700" spans="1:35" ht="12.75" customHeight="1" x14ac:dyDescent="0.2">
      <c r="A700" s="288"/>
      <c r="B700" s="288"/>
      <c r="C700" s="288"/>
      <c r="D700" s="288"/>
      <c r="E700" s="288"/>
      <c r="F700" s="288"/>
      <c r="G700" s="288"/>
      <c r="H700" s="288"/>
      <c r="I700" s="288"/>
      <c r="J700" s="288"/>
      <c r="K700" s="288"/>
      <c r="L700" s="288"/>
      <c r="M700" s="288"/>
      <c r="N700" s="288"/>
      <c r="O700" s="288"/>
      <c r="P700" s="288"/>
      <c r="Q700" s="288"/>
      <c r="R700" s="288"/>
      <c r="S700" s="288"/>
      <c r="T700" s="288"/>
      <c r="U700" s="288"/>
      <c r="V700" s="288"/>
      <c r="W700" s="288"/>
      <c r="X700" s="288"/>
      <c r="Y700" s="288"/>
      <c r="Z700" s="288"/>
      <c r="AA700" s="288"/>
      <c r="AB700" s="288"/>
      <c r="AC700" s="288"/>
      <c r="AD700" s="288"/>
      <c r="AE700" s="288"/>
      <c r="AF700" s="288"/>
      <c r="AG700" s="288"/>
      <c r="AH700" s="288"/>
      <c r="AI700" s="288"/>
    </row>
    <row r="701" spans="1:35" ht="12.75" customHeight="1" x14ac:dyDescent="0.2">
      <c r="A701" s="288"/>
      <c r="B701" s="288"/>
      <c r="C701" s="288"/>
      <c r="D701" s="288"/>
      <c r="E701" s="288"/>
      <c r="F701" s="288"/>
      <c r="G701" s="288"/>
      <c r="H701" s="288"/>
      <c r="I701" s="288"/>
      <c r="J701" s="288"/>
      <c r="K701" s="288"/>
      <c r="L701" s="288"/>
      <c r="M701" s="288"/>
      <c r="N701" s="288"/>
      <c r="O701" s="288"/>
      <c r="P701" s="288"/>
      <c r="Q701" s="288"/>
      <c r="R701" s="288"/>
      <c r="S701" s="288"/>
      <c r="T701" s="288"/>
      <c r="U701" s="288"/>
      <c r="V701" s="288"/>
      <c r="W701" s="288"/>
      <c r="X701" s="288"/>
      <c r="Y701" s="288"/>
      <c r="Z701" s="288"/>
      <c r="AA701" s="288"/>
      <c r="AB701" s="288"/>
      <c r="AC701" s="288"/>
      <c r="AD701" s="288"/>
      <c r="AE701" s="288"/>
      <c r="AF701" s="288"/>
      <c r="AG701" s="288"/>
      <c r="AH701" s="288"/>
      <c r="AI701" s="288"/>
    </row>
    <row r="702" spans="1:35" ht="12.75" customHeight="1" x14ac:dyDescent="0.2">
      <c r="A702" s="288"/>
      <c r="B702" s="288"/>
      <c r="C702" s="288"/>
      <c r="D702" s="288"/>
      <c r="E702" s="288"/>
      <c r="F702" s="288"/>
      <c r="G702" s="288"/>
      <c r="H702" s="288"/>
      <c r="I702" s="288"/>
      <c r="J702" s="288"/>
      <c r="K702" s="288"/>
      <c r="L702" s="288"/>
      <c r="M702" s="288"/>
      <c r="N702" s="288"/>
      <c r="O702" s="288"/>
      <c r="P702" s="288"/>
      <c r="Q702" s="288"/>
      <c r="R702" s="288"/>
      <c r="S702" s="288"/>
      <c r="T702" s="288"/>
      <c r="U702" s="288"/>
      <c r="V702" s="288"/>
      <c r="W702" s="288"/>
      <c r="X702" s="288"/>
      <c r="Y702" s="288"/>
      <c r="Z702" s="288"/>
      <c r="AA702" s="288"/>
      <c r="AB702" s="288"/>
      <c r="AC702" s="288"/>
      <c r="AD702" s="288"/>
      <c r="AE702" s="288"/>
      <c r="AF702" s="288"/>
      <c r="AG702" s="288"/>
      <c r="AH702" s="288"/>
      <c r="AI702" s="288"/>
    </row>
    <row r="703" spans="1:35" ht="12.75" customHeight="1" x14ac:dyDescent="0.2">
      <c r="A703" s="288"/>
      <c r="B703" s="288"/>
      <c r="C703" s="288"/>
      <c r="D703" s="288"/>
      <c r="E703" s="288"/>
      <c r="F703" s="288"/>
      <c r="G703" s="288"/>
      <c r="H703" s="288"/>
      <c r="I703" s="288"/>
      <c r="J703" s="288"/>
      <c r="K703" s="288"/>
      <c r="L703" s="288"/>
      <c r="M703" s="288"/>
      <c r="N703" s="288"/>
      <c r="O703" s="288"/>
      <c r="P703" s="288"/>
      <c r="Q703" s="288"/>
      <c r="R703" s="288"/>
      <c r="S703" s="288"/>
      <c r="T703" s="288"/>
      <c r="U703" s="288"/>
      <c r="V703" s="288"/>
      <c r="W703" s="288"/>
      <c r="X703" s="288"/>
      <c r="Y703" s="288"/>
      <c r="Z703" s="288"/>
      <c r="AA703" s="288"/>
      <c r="AB703" s="288"/>
      <c r="AC703" s="288"/>
      <c r="AD703" s="288"/>
      <c r="AE703" s="288"/>
      <c r="AF703" s="288"/>
      <c r="AG703" s="288"/>
      <c r="AH703" s="288"/>
      <c r="AI703" s="288"/>
    </row>
    <row r="704" spans="1:35" ht="12.75" customHeight="1" x14ac:dyDescent="0.2">
      <c r="A704" s="288"/>
      <c r="B704" s="288"/>
      <c r="C704" s="288"/>
      <c r="D704" s="288"/>
      <c r="E704" s="288"/>
      <c r="F704" s="288"/>
      <c r="G704" s="288"/>
      <c r="H704" s="288"/>
      <c r="I704" s="288"/>
      <c r="J704" s="288"/>
      <c r="K704" s="288"/>
      <c r="L704" s="288"/>
      <c r="M704" s="288"/>
      <c r="N704" s="288"/>
      <c r="O704" s="288"/>
      <c r="P704" s="288"/>
      <c r="Q704" s="288"/>
      <c r="R704" s="288"/>
      <c r="S704" s="288"/>
      <c r="T704" s="288"/>
      <c r="U704" s="288"/>
      <c r="V704" s="288"/>
      <c r="W704" s="288"/>
      <c r="X704" s="288"/>
      <c r="Y704" s="288"/>
      <c r="Z704" s="288"/>
      <c r="AA704" s="288"/>
      <c r="AB704" s="288"/>
      <c r="AC704" s="288"/>
      <c r="AD704" s="288"/>
      <c r="AE704" s="288"/>
      <c r="AF704" s="288"/>
      <c r="AG704" s="288"/>
      <c r="AH704" s="288"/>
      <c r="AI704" s="288"/>
    </row>
    <row r="705" spans="1:35" ht="12.75" customHeight="1" x14ac:dyDescent="0.2">
      <c r="A705" s="288"/>
      <c r="B705" s="288"/>
      <c r="C705" s="288"/>
      <c r="D705" s="288"/>
      <c r="E705" s="288"/>
      <c r="F705" s="288"/>
      <c r="G705" s="288"/>
      <c r="H705" s="288"/>
      <c r="I705" s="288"/>
      <c r="J705" s="288"/>
      <c r="K705" s="288"/>
      <c r="L705" s="288"/>
      <c r="M705" s="288"/>
      <c r="N705" s="288"/>
      <c r="O705" s="288"/>
      <c r="P705" s="288"/>
      <c r="Q705" s="288"/>
      <c r="R705" s="288"/>
      <c r="S705" s="288"/>
      <c r="T705" s="288"/>
      <c r="U705" s="288"/>
      <c r="V705" s="288"/>
      <c r="W705" s="288"/>
      <c r="X705" s="288"/>
      <c r="Y705" s="288"/>
      <c r="Z705" s="288"/>
      <c r="AA705" s="288"/>
      <c r="AB705" s="288"/>
      <c r="AC705" s="288"/>
      <c r="AD705" s="288"/>
      <c r="AE705" s="288"/>
      <c r="AF705" s="288"/>
      <c r="AG705" s="288"/>
      <c r="AH705" s="288"/>
      <c r="AI705" s="288"/>
    </row>
    <row r="706" spans="1:35" ht="12.75" customHeight="1" x14ac:dyDescent="0.2">
      <c r="A706" s="288"/>
      <c r="B706" s="288"/>
      <c r="C706" s="288"/>
      <c r="D706" s="288"/>
      <c r="E706" s="288"/>
      <c r="F706" s="288"/>
      <c r="G706" s="288"/>
      <c r="H706" s="288"/>
      <c r="I706" s="288"/>
      <c r="J706" s="288"/>
      <c r="K706" s="288"/>
      <c r="L706" s="288"/>
      <c r="M706" s="288"/>
      <c r="N706" s="288"/>
      <c r="O706" s="288"/>
      <c r="P706" s="288"/>
      <c r="Q706" s="288"/>
      <c r="R706" s="288"/>
      <c r="S706" s="288"/>
      <c r="T706" s="288"/>
      <c r="U706" s="288"/>
      <c r="V706" s="288"/>
      <c r="W706" s="288"/>
      <c r="X706" s="288"/>
      <c r="Y706" s="288"/>
      <c r="Z706" s="288"/>
      <c r="AA706" s="288"/>
      <c r="AB706" s="288"/>
      <c r="AC706" s="288"/>
      <c r="AD706" s="288"/>
      <c r="AE706" s="288"/>
      <c r="AF706" s="288"/>
      <c r="AG706" s="288"/>
      <c r="AH706" s="288"/>
      <c r="AI706" s="288"/>
    </row>
    <row r="707" spans="1:35" ht="12.75" customHeight="1" x14ac:dyDescent="0.2">
      <c r="A707" s="288"/>
      <c r="B707" s="288"/>
      <c r="C707" s="288"/>
      <c r="D707" s="288"/>
      <c r="E707" s="288"/>
      <c r="F707" s="288"/>
      <c r="G707" s="288"/>
      <c r="H707" s="288"/>
      <c r="I707" s="288"/>
      <c r="J707" s="288"/>
      <c r="K707" s="288"/>
      <c r="L707" s="288"/>
      <c r="M707" s="288"/>
      <c r="N707" s="288"/>
      <c r="O707" s="288"/>
      <c r="P707" s="288"/>
      <c r="Q707" s="288"/>
      <c r="R707" s="288"/>
      <c r="S707" s="288"/>
      <c r="T707" s="288"/>
      <c r="U707" s="288"/>
      <c r="V707" s="288"/>
      <c r="W707" s="288"/>
      <c r="X707" s="288"/>
      <c r="Y707" s="288"/>
      <c r="Z707" s="288"/>
      <c r="AA707" s="288"/>
      <c r="AB707" s="288"/>
      <c r="AC707" s="288"/>
      <c r="AD707" s="288"/>
      <c r="AE707" s="288"/>
      <c r="AF707" s="288"/>
      <c r="AG707" s="288"/>
      <c r="AH707" s="288"/>
      <c r="AI707" s="288"/>
    </row>
    <row r="708" spans="1:35" ht="12.75" customHeight="1" x14ac:dyDescent="0.2">
      <c r="A708" s="288"/>
      <c r="B708" s="288"/>
      <c r="C708" s="288"/>
      <c r="D708" s="288"/>
      <c r="E708" s="288"/>
      <c r="F708" s="288"/>
      <c r="G708" s="288"/>
      <c r="H708" s="288"/>
      <c r="I708" s="288"/>
      <c r="J708" s="288"/>
      <c r="K708" s="288"/>
      <c r="L708" s="288"/>
      <c r="M708" s="288"/>
      <c r="N708" s="288"/>
      <c r="O708" s="288"/>
      <c r="P708" s="288"/>
      <c r="Q708" s="288"/>
      <c r="R708" s="288"/>
      <c r="S708" s="288"/>
      <c r="T708" s="288"/>
      <c r="U708" s="288"/>
      <c r="V708" s="288"/>
      <c r="W708" s="288"/>
      <c r="X708" s="288"/>
      <c r="Y708" s="288"/>
      <c r="Z708" s="288"/>
      <c r="AA708" s="288"/>
      <c r="AB708" s="288"/>
      <c r="AC708" s="288"/>
      <c r="AD708" s="288"/>
      <c r="AE708" s="288"/>
      <c r="AF708" s="288"/>
      <c r="AG708" s="288"/>
      <c r="AH708" s="288"/>
      <c r="AI708" s="288"/>
    </row>
    <row r="709" spans="1:35" ht="12.75" customHeight="1" x14ac:dyDescent="0.2">
      <c r="A709" s="288"/>
      <c r="B709" s="288"/>
      <c r="C709" s="288"/>
      <c r="D709" s="288"/>
      <c r="E709" s="288"/>
      <c r="F709" s="288"/>
      <c r="G709" s="288"/>
      <c r="H709" s="288"/>
      <c r="I709" s="288"/>
      <c r="J709" s="288"/>
      <c r="K709" s="288"/>
      <c r="L709" s="288"/>
      <c r="M709" s="288"/>
      <c r="N709" s="288"/>
      <c r="O709" s="288"/>
      <c r="P709" s="288"/>
      <c r="Q709" s="288"/>
      <c r="R709" s="288"/>
      <c r="S709" s="288"/>
      <c r="T709" s="288"/>
      <c r="U709" s="288"/>
      <c r="V709" s="288"/>
      <c r="W709" s="288"/>
      <c r="X709" s="288"/>
      <c r="Y709" s="288"/>
      <c r="Z709" s="288"/>
      <c r="AA709" s="288"/>
      <c r="AB709" s="288"/>
      <c r="AC709" s="288"/>
      <c r="AD709" s="288"/>
      <c r="AE709" s="288"/>
      <c r="AF709" s="288"/>
      <c r="AG709" s="288"/>
      <c r="AH709" s="288"/>
      <c r="AI709" s="288"/>
    </row>
    <row r="710" spans="1:35" ht="12.75" customHeight="1" x14ac:dyDescent="0.2">
      <c r="A710" s="288"/>
      <c r="B710" s="288"/>
      <c r="C710" s="288"/>
      <c r="D710" s="288"/>
      <c r="E710" s="288"/>
      <c r="F710" s="288"/>
      <c r="G710" s="288"/>
      <c r="H710" s="288"/>
      <c r="I710" s="288"/>
      <c r="J710" s="288"/>
      <c r="K710" s="288"/>
      <c r="L710" s="288"/>
      <c r="M710" s="288"/>
      <c r="N710" s="288"/>
      <c r="O710" s="288"/>
      <c r="P710" s="288"/>
      <c r="Q710" s="288"/>
      <c r="R710" s="288"/>
      <c r="S710" s="288"/>
      <c r="T710" s="288"/>
      <c r="U710" s="288"/>
      <c r="V710" s="288"/>
      <c r="W710" s="288"/>
      <c r="X710" s="288"/>
      <c r="Y710" s="288"/>
      <c r="Z710" s="288"/>
      <c r="AA710" s="288"/>
      <c r="AB710" s="288"/>
      <c r="AC710" s="288"/>
      <c r="AD710" s="288"/>
      <c r="AE710" s="288"/>
      <c r="AF710" s="288"/>
      <c r="AG710" s="288"/>
      <c r="AH710" s="288"/>
      <c r="AI710" s="288"/>
    </row>
    <row r="711" spans="1:35" ht="12.75" customHeight="1" x14ac:dyDescent="0.2">
      <c r="A711" s="288"/>
      <c r="B711" s="288"/>
      <c r="C711" s="288"/>
      <c r="D711" s="288"/>
      <c r="E711" s="288"/>
      <c r="F711" s="288"/>
      <c r="G711" s="288"/>
      <c r="H711" s="288"/>
      <c r="I711" s="288"/>
      <c r="J711" s="288"/>
      <c r="K711" s="288"/>
      <c r="L711" s="288"/>
      <c r="M711" s="288"/>
      <c r="N711" s="288"/>
      <c r="O711" s="288"/>
      <c r="P711" s="288"/>
      <c r="Q711" s="288"/>
      <c r="R711" s="288"/>
      <c r="S711" s="288"/>
      <c r="T711" s="288"/>
      <c r="U711" s="288"/>
      <c r="V711" s="288"/>
      <c r="W711" s="288"/>
      <c r="X711" s="288"/>
      <c r="Y711" s="288"/>
      <c r="Z711" s="288"/>
      <c r="AA711" s="288"/>
      <c r="AB711" s="288"/>
      <c r="AC711" s="288"/>
      <c r="AD711" s="288"/>
      <c r="AE711" s="288"/>
      <c r="AF711" s="288"/>
      <c r="AG711" s="288"/>
      <c r="AH711" s="288"/>
      <c r="AI711" s="288"/>
    </row>
    <row r="712" spans="1:35" ht="12.75" customHeight="1" x14ac:dyDescent="0.2">
      <c r="A712" s="288"/>
      <c r="B712" s="288"/>
      <c r="C712" s="288"/>
      <c r="D712" s="288"/>
      <c r="E712" s="288"/>
      <c r="F712" s="288"/>
      <c r="G712" s="288"/>
      <c r="H712" s="288"/>
      <c r="I712" s="288"/>
      <c r="J712" s="288"/>
      <c r="K712" s="288"/>
      <c r="L712" s="288"/>
      <c r="M712" s="288"/>
      <c r="N712" s="288"/>
      <c r="O712" s="288"/>
      <c r="P712" s="288"/>
      <c r="Q712" s="288"/>
      <c r="R712" s="288"/>
      <c r="S712" s="288"/>
      <c r="T712" s="288"/>
      <c r="U712" s="288"/>
      <c r="V712" s="288"/>
      <c r="W712" s="288"/>
      <c r="X712" s="288"/>
      <c r="Y712" s="288"/>
      <c r="Z712" s="288"/>
      <c r="AA712" s="288"/>
      <c r="AB712" s="288"/>
      <c r="AC712" s="288"/>
      <c r="AD712" s="288"/>
      <c r="AE712" s="288"/>
      <c r="AF712" s="288"/>
      <c r="AG712" s="288"/>
      <c r="AH712" s="288"/>
      <c r="AI712" s="288"/>
    </row>
    <row r="713" spans="1:35" ht="12.75" customHeight="1" x14ac:dyDescent="0.2">
      <c r="A713" s="288"/>
      <c r="B713" s="288"/>
      <c r="C713" s="288"/>
      <c r="D713" s="288"/>
      <c r="E713" s="288"/>
      <c r="F713" s="288"/>
      <c r="G713" s="288"/>
      <c r="H713" s="288"/>
      <c r="I713" s="288"/>
      <c r="J713" s="288"/>
      <c r="K713" s="288"/>
      <c r="L713" s="288"/>
      <c r="M713" s="288"/>
      <c r="N713" s="288"/>
      <c r="O713" s="288"/>
      <c r="P713" s="288"/>
      <c r="Q713" s="288"/>
      <c r="R713" s="288"/>
      <c r="S713" s="288"/>
      <c r="T713" s="288"/>
      <c r="U713" s="288"/>
      <c r="V713" s="288"/>
      <c r="W713" s="288"/>
      <c r="X713" s="288"/>
      <c r="Y713" s="288"/>
      <c r="Z713" s="288"/>
      <c r="AA713" s="288"/>
      <c r="AB713" s="288"/>
      <c r="AC713" s="288"/>
      <c r="AD713" s="288"/>
      <c r="AE713" s="288"/>
      <c r="AF713" s="288"/>
      <c r="AG713" s="288"/>
      <c r="AH713" s="288"/>
      <c r="AI713" s="288"/>
    </row>
    <row r="714" spans="1:35" ht="12.75" customHeight="1" x14ac:dyDescent="0.2">
      <c r="A714" s="288"/>
      <c r="B714" s="288"/>
      <c r="C714" s="288"/>
      <c r="D714" s="288"/>
      <c r="E714" s="288"/>
      <c r="F714" s="288"/>
      <c r="G714" s="288"/>
      <c r="H714" s="288"/>
      <c r="I714" s="288"/>
      <c r="J714" s="288"/>
      <c r="K714" s="288"/>
      <c r="L714" s="288"/>
      <c r="M714" s="288"/>
      <c r="N714" s="288"/>
      <c r="O714" s="288"/>
      <c r="P714" s="288"/>
      <c r="Q714" s="288"/>
      <c r="R714" s="288"/>
      <c r="S714" s="288"/>
      <c r="T714" s="288"/>
      <c r="U714" s="288"/>
      <c r="V714" s="288"/>
      <c r="W714" s="288"/>
      <c r="X714" s="288"/>
      <c r="Y714" s="288"/>
      <c r="Z714" s="288"/>
      <c r="AA714" s="288"/>
      <c r="AB714" s="288"/>
      <c r="AC714" s="288"/>
      <c r="AD714" s="288"/>
      <c r="AE714" s="288"/>
      <c r="AF714" s="288"/>
      <c r="AG714" s="288"/>
      <c r="AH714" s="288"/>
      <c r="AI714" s="288"/>
    </row>
    <row r="715" spans="1:35" ht="12.75" customHeight="1" x14ac:dyDescent="0.2">
      <c r="A715" s="288"/>
      <c r="B715" s="288"/>
      <c r="C715" s="288"/>
      <c r="D715" s="288"/>
      <c r="E715" s="288"/>
      <c r="F715" s="288"/>
      <c r="G715" s="288"/>
      <c r="H715" s="288"/>
      <c r="I715" s="288"/>
      <c r="J715" s="288"/>
      <c r="K715" s="288"/>
      <c r="L715" s="288"/>
      <c r="M715" s="288"/>
      <c r="N715" s="288"/>
      <c r="O715" s="288"/>
      <c r="P715" s="288"/>
      <c r="Q715" s="288"/>
      <c r="R715" s="288"/>
      <c r="S715" s="288"/>
      <c r="T715" s="288"/>
      <c r="U715" s="288"/>
      <c r="V715" s="288"/>
      <c r="W715" s="288"/>
      <c r="X715" s="288"/>
      <c r="Y715" s="288"/>
      <c r="Z715" s="288"/>
      <c r="AA715" s="288"/>
      <c r="AB715" s="288"/>
      <c r="AC715" s="288"/>
      <c r="AD715" s="288"/>
      <c r="AE715" s="288"/>
      <c r="AF715" s="288"/>
      <c r="AG715" s="288"/>
      <c r="AH715" s="288"/>
      <c r="AI715" s="288"/>
    </row>
    <row r="716" spans="1:35" ht="12.75" customHeight="1" x14ac:dyDescent="0.2">
      <c r="A716" s="288"/>
      <c r="B716" s="288"/>
      <c r="C716" s="288"/>
      <c r="D716" s="288"/>
      <c r="E716" s="288"/>
      <c r="F716" s="288"/>
      <c r="G716" s="288"/>
      <c r="H716" s="288"/>
      <c r="I716" s="288"/>
      <c r="J716" s="288"/>
      <c r="K716" s="288"/>
      <c r="L716" s="288"/>
      <c r="M716" s="288"/>
      <c r="N716" s="288"/>
      <c r="O716" s="288"/>
      <c r="P716" s="288"/>
      <c r="Q716" s="288"/>
      <c r="R716" s="288"/>
      <c r="S716" s="288"/>
      <c r="T716" s="288"/>
      <c r="U716" s="288"/>
      <c r="V716" s="288"/>
      <c r="W716" s="288"/>
      <c r="X716" s="288"/>
      <c r="Y716" s="288"/>
      <c r="Z716" s="288"/>
      <c r="AA716" s="288"/>
      <c r="AB716" s="288"/>
      <c r="AC716" s="288"/>
      <c r="AD716" s="288"/>
      <c r="AE716" s="288"/>
      <c r="AF716" s="288"/>
      <c r="AG716" s="288"/>
      <c r="AH716" s="288"/>
      <c r="AI716" s="288"/>
    </row>
    <row r="717" spans="1:35" ht="12.75" customHeight="1" x14ac:dyDescent="0.2">
      <c r="A717" s="288"/>
      <c r="B717" s="288"/>
      <c r="C717" s="288"/>
      <c r="D717" s="288"/>
      <c r="E717" s="288"/>
      <c r="F717" s="288"/>
      <c r="G717" s="288"/>
      <c r="H717" s="288"/>
      <c r="I717" s="288"/>
      <c r="J717" s="288"/>
      <c r="K717" s="288"/>
      <c r="L717" s="288"/>
      <c r="M717" s="288"/>
      <c r="N717" s="288"/>
      <c r="O717" s="288"/>
      <c r="P717" s="288"/>
      <c r="Q717" s="288"/>
      <c r="R717" s="288"/>
      <c r="S717" s="288"/>
      <c r="T717" s="288"/>
      <c r="U717" s="288"/>
      <c r="V717" s="288"/>
      <c r="W717" s="288"/>
      <c r="X717" s="288"/>
      <c r="Y717" s="288"/>
      <c r="Z717" s="288"/>
      <c r="AA717" s="288"/>
      <c r="AB717" s="288"/>
      <c r="AC717" s="288"/>
      <c r="AD717" s="288"/>
      <c r="AE717" s="288"/>
      <c r="AF717" s="288"/>
      <c r="AG717" s="288"/>
      <c r="AH717" s="288"/>
      <c r="AI717" s="288"/>
    </row>
    <row r="718" spans="1:35" ht="12.75" customHeight="1" x14ac:dyDescent="0.2">
      <c r="A718" s="288"/>
      <c r="B718" s="288"/>
      <c r="C718" s="288"/>
      <c r="D718" s="288"/>
      <c r="E718" s="288"/>
      <c r="F718" s="288"/>
      <c r="G718" s="288"/>
      <c r="H718" s="288"/>
      <c r="I718" s="288"/>
      <c r="J718" s="288"/>
      <c r="K718" s="288"/>
      <c r="L718" s="288"/>
      <c r="M718" s="288"/>
      <c r="N718" s="288"/>
      <c r="O718" s="288"/>
      <c r="P718" s="288"/>
      <c r="Q718" s="288"/>
      <c r="R718" s="288"/>
      <c r="S718" s="288"/>
      <c r="T718" s="288"/>
      <c r="U718" s="288"/>
      <c r="V718" s="288"/>
      <c r="W718" s="288"/>
      <c r="X718" s="288"/>
      <c r="Y718" s="288"/>
      <c r="Z718" s="288"/>
      <c r="AA718" s="288"/>
      <c r="AB718" s="288"/>
      <c r="AC718" s="288"/>
      <c r="AD718" s="288"/>
      <c r="AE718" s="288"/>
      <c r="AF718" s="288"/>
      <c r="AG718" s="288"/>
      <c r="AH718" s="288"/>
      <c r="AI718" s="288"/>
    </row>
    <row r="719" spans="1:35" ht="12.75" customHeight="1" x14ac:dyDescent="0.2">
      <c r="A719" s="288"/>
      <c r="B719" s="288"/>
      <c r="C719" s="288"/>
      <c r="D719" s="288"/>
      <c r="E719" s="288"/>
      <c r="F719" s="288"/>
      <c r="G719" s="288"/>
      <c r="H719" s="288"/>
      <c r="I719" s="288"/>
      <c r="J719" s="288"/>
      <c r="K719" s="288"/>
      <c r="L719" s="288"/>
      <c r="M719" s="288"/>
      <c r="N719" s="288"/>
      <c r="O719" s="288"/>
      <c r="P719" s="288"/>
      <c r="Q719" s="288"/>
      <c r="R719" s="288"/>
      <c r="S719" s="288"/>
      <c r="T719" s="288"/>
      <c r="U719" s="288"/>
      <c r="V719" s="288"/>
      <c r="W719" s="288"/>
      <c r="X719" s="288"/>
      <c r="Y719" s="288"/>
      <c r="Z719" s="288"/>
      <c r="AA719" s="288"/>
      <c r="AB719" s="288"/>
      <c r="AC719" s="288"/>
      <c r="AD719" s="288"/>
      <c r="AE719" s="288"/>
      <c r="AF719" s="288"/>
      <c r="AG719" s="288"/>
      <c r="AH719" s="288"/>
      <c r="AI719" s="288"/>
    </row>
    <row r="720" spans="1:35" ht="12.75" customHeight="1" x14ac:dyDescent="0.2">
      <c r="A720" s="288"/>
      <c r="B720" s="288"/>
      <c r="C720" s="288"/>
      <c r="D720" s="288"/>
      <c r="E720" s="288"/>
      <c r="F720" s="288"/>
      <c r="G720" s="288"/>
      <c r="H720" s="288"/>
      <c r="I720" s="288"/>
      <c r="J720" s="288"/>
      <c r="K720" s="288"/>
      <c r="L720" s="288"/>
      <c r="M720" s="288"/>
      <c r="N720" s="288"/>
      <c r="O720" s="288"/>
      <c r="P720" s="288"/>
      <c r="Q720" s="288"/>
      <c r="R720" s="288"/>
      <c r="S720" s="288"/>
      <c r="T720" s="288"/>
      <c r="U720" s="288"/>
      <c r="V720" s="288"/>
      <c r="W720" s="288"/>
      <c r="X720" s="288"/>
      <c r="Y720" s="288"/>
      <c r="Z720" s="288"/>
      <c r="AA720" s="288"/>
      <c r="AB720" s="288"/>
      <c r="AC720" s="288"/>
      <c r="AD720" s="288"/>
      <c r="AE720" s="288"/>
      <c r="AF720" s="288"/>
      <c r="AG720" s="288"/>
      <c r="AH720" s="288"/>
      <c r="AI720" s="288"/>
    </row>
    <row r="721" spans="1:35" ht="12.75" customHeight="1" x14ac:dyDescent="0.2">
      <c r="A721" s="288"/>
      <c r="B721" s="288"/>
      <c r="C721" s="288"/>
      <c r="D721" s="288"/>
      <c r="E721" s="288"/>
      <c r="F721" s="288"/>
      <c r="G721" s="288"/>
      <c r="H721" s="288"/>
      <c r="I721" s="288"/>
      <c r="J721" s="288"/>
      <c r="K721" s="288"/>
      <c r="L721" s="288"/>
      <c r="M721" s="288"/>
      <c r="N721" s="288"/>
      <c r="O721" s="288"/>
      <c r="P721" s="288"/>
      <c r="Q721" s="288"/>
      <c r="R721" s="288"/>
      <c r="S721" s="288"/>
      <c r="T721" s="288"/>
      <c r="U721" s="288"/>
      <c r="V721" s="288"/>
      <c r="W721" s="288"/>
      <c r="X721" s="288"/>
      <c r="Y721" s="288"/>
      <c r="Z721" s="288"/>
      <c r="AA721" s="288"/>
      <c r="AB721" s="288"/>
      <c r="AC721" s="288"/>
      <c r="AD721" s="288"/>
      <c r="AE721" s="288"/>
      <c r="AF721" s="288"/>
      <c r="AG721" s="288"/>
      <c r="AH721" s="288"/>
      <c r="AI721" s="288"/>
    </row>
    <row r="722" spans="1:35" ht="12.75" customHeight="1" x14ac:dyDescent="0.2">
      <c r="A722" s="288"/>
      <c r="B722" s="288"/>
      <c r="C722" s="288"/>
      <c r="D722" s="288"/>
      <c r="E722" s="288"/>
      <c r="F722" s="288"/>
      <c r="G722" s="288"/>
      <c r="H722" s="288"/>
      <c r="I722" s="288"/>
      <c r="J722" s="288"/>
      <c r="K722" s="288"/>
      <c r="L722" s="288"/>
      <c r="M722" s="288"/>
      <c r="N722" s="288"/>
      <c r="O722" s="288"/>
      <c r="P722" s="288"/>
      <c r="Q722" s="288"/>
      <c r="R722" s="288"/>
      <c r="S722" s="288"/>
      <c r="T722" s="288"/>
      <c r="U722" s="288"/>
      <c r="V722" s="288"/>
      <c r="W722" s="288"/>
      <c r="X722" s="288"/>
      <c r="Y722" s="288"/>
      <c r="Z722" s="288"/>
      <c r="AA722" s="288"/>
      <c r="AB722" s="288"/>
      <c r="AC722" s="288"/>
      <c r="AD722" s="288"/>
      <c r="AE722" s="288"/>
      <c r="AF722" s="288"/>
      <c r="AG722" s="288"/>
      <c r="AH722" s="288"/>
      <c r="AI722" s="288"/>
    </row>
    <row r="723" spans="1:35" ht="12.75" customHeight="1" x14ac:dyDescent="0.2">
      <c r="A723" s="288"/>
      <c r="B723" s="288"/>
      <c r="C723" s="288"/>
      <c r="D723" s="288"/>
      <c r="E723" s="288"/>
      <c r="F723" s="288"/>
      <c r="G723" s="288"/>
      <c r="H723" s="288"/>
      <c r="I723" s="288"/>
      <c r="J723" s="288"/>
      <c r="K723" s="288"/>
      <c r="L723" s="288"/>
      <c r="M723" s="288"/>
      <c r="N723" s="288"/>
      <c r="O723" s="288"/>
      <c r="P723" s="288"/>
      <c r="Q723" s="288"/>
      <c r="R723" s="288"/>
      <c r="S723" s="288"/>
      <c r="T723" s="288"/>
      <c r="U723" s="288"/>
      <c r="V723" s="288"/>
      <c r="W723" s="288"/>
      <c r="X723" s="288"/>
      <c r="Y723" s="288"/>
      <c r="Z723" s="288"/>
      <c r="AA723" s="288"/>
      <c r="AB723" s="288"/>
      <c r="AC723" s="288"/>
      <c r="AD723" s="288"/>
      <c r="AE723" s="288"/>
      <c r="AF723" s="288"/>
      <c r="AG723" s="288"/>
      <c r="AH723" s="288"/>
      <c r="AI723" s="288"/>
    </row>
    <row r="724" spans="1:35" ht="12.75" customHeight="1" x14ac:dyDescent="0.2">
      <c r="A724" s="288"/>
      <c r="B724" s="288"/>
      <c r="C724" s="288"/>
      <c r="D724" s="288"/>
      <c r="E724" s="288"/>
      <c r="F724" s="288"/>
      <c r="G724" s="288"/>
      <c r="H724" s="288"/>
      <c r="I724" s="288"/>
      <c r="J724" s="288"/>
      <c r="K724" s="288"/>
      <c r="L724" s="288"/>
      <c r="M724" s="288"/>
      <c r="N724" s="288"/>
      <c r="O724" s="288"/>
      <c r="P724" s="288"/>
      <c r="Q724" s="288"/>
      <c r="R724" s="288"/>
      <c r="S724" s="288"/>
      <c r="T724" s="288"/>
      <c r="U724" s="288"/>
      <c r="V724" s="288"/>
      <c r="W724" s="288"/>
      <c r="X724" s="288"/>
      <c r="Y724" s="288"/>
      <c r="Z724" s="288"/>
      <c r="AA724" s="288"/>
      <c r="AB724" s="288"/>
      <c r="AC724" s="288"/>
      <c r="AD724" s="288"/>
      <c r="AE724" s="288"/>
      <c r="AF724" s="288"/>
      <c r="AG724" s="288"/>
      <c r="AH724" s="288"/>
      <c r="AI724" s="288"/>
    </row>
    <row r="725" spans="1:35" ht="12.75" customHeight="1" x14ac:dyDescent="0.2">
      <c r="A725" s="288"/>
      <c r="B725" s="288"/>
      <c r="C725" s="288"/>
      <c r="D725" s="288"/>
      <c r="E725" s="288"/>
      <c r="F725" s="288"/>
      <c r="G725" s="288"/>
      <c r="H725" s="288"/>
      <c r="I725" s="288"/>
      <c r="J725" s="288"/>
      <c r="K725" s="288"/>
      <c r="L725" s="288"/>
      <c r="M725" s="288"/>
      <c r="N725" s="288"/>
      <c r="O725" s="288"/>
      <c r="P725" s="288"/>
      <c r="Q725" s="288"/>
      <c r="R725" s="288"/>
      <c r="S725" s="288"/>
      <c r="T725" s="288"/>
      <c r="U725" s="288"/>
      <c r="V725" s="288"/>
      <c r="W725" s="288"/>
      <c r="X725" s="288"/>
      <c r="Y725" s="288"/>
      <c r="Z725" s="288"/>
      <c r="AA725" s="288"/>
      <c r="AB725" s="288"/>
      <c r="AC725" s="288"/>
      <c r="AD725" s="288"/>
      <c r="AE725" s="288"/>
      <c r="AF725" s="288"/>
      <c r="AG725" s="288"/>
      <c r="AH725" s="288"/>
      <c r="AI725" s="288"/>
    </row>
    <row r="726" spans="1:35" ht="12.75" customHeight="1" x14ac:dyDescent="0.2">
      <c r="A726" s="288"/>
      <c r="B726" s="288"/>
      <c r="C726" s="288"/>
      <c r="D726" s="288"/>
      <c r="E726" s="288"/>
      <c r="F726" s="288"/>
      <c r="G726" s="288"/>
      <c r="H726" s="288"/>
      <c r="I726" s="288"/>
      <c r="J726" s="288"/>
      <c r="K726" s="288"/>
      <c r="L726" s="288"/>
      <c r="M726" s="288"/>
      <c r="N726" s="288"/>
      <c r="O726" s="288"/>
      <c r="P726" s="288"/>
      <c r="Q726" s="288"/>
      <c r="R726" s="288"/>
      <c r="S726" s="288"/>
      <c r="T726" s="288"/>
      <c r="U726" s="288"/>
      <c r="V726" s="288"/>
      <c r="W726" s="288"/>
      <c r="X726" s="288"/>
      <c r="Y726" s="288"/>
      <c r="Z726" s="288"/>
      <c r="AA726" s="288"/>
      <c r="AB726" s="288"/>
      <c r="AC726" s="288"/>
      <c r="AD726" s="288"/>
      <c r="AE726" s="288"/>
      <c r="AF726" s="288"/>
      <c r="AG726" s="288"/>
      <c r="AH726" s="288"/>
      <c r="AI726" s="288"/>
    </row>
    <row r="727" spans="1:35" ht="12.75" customHeight="1" x14ac:dyDescent="0.2">
      <c r="A727" s="288"/>
      <c r="B727" s="288"/>
      <c r="C727" s="288"/>
      <c r="D727" s="288"/>
      <c r="E727" s="288"/>
      <c r="F727" s="288"/>
      <c r="G727" s="288"/>
      <c r="H727" s="288"/>
      <c r="I727" s="288"/>
      <c r="J727" s="288"/>
      <c r="K727" s="288"/>
      <c r="L727" s="288"/>
      <c r="M727" s="288"/>
      <c r="N727" s="288"/>
      <c r="O727" s="288"/>
      <c r="P727" s="288"/>
      <c r="Q727" s="288"/>
      <c r="R727" s="288"/>
      <c r="S727" s="288"/>
      <c r="T727" s="288"/>
      <c r="U727" s="288"/>
      <c r="V727" s="288"/>
      <c r="W727" s="288"/>
      <c r="X727" s="288"/>
      <c r="Y727" s="288"/>
      <c r="Z727" s="288"/>
      <c r="AA727" s="288"/>
      <c r="AB727" s="288"/>
      <c r="AC727" s="288"/>
      <c r="AD727" s="288"/>
      <c r="AE727" s="288"/>
      <c r="AF727" s="288"/>
      <c r="AG727" s="288"/>
      <c r="AH727" s="288"/>
      <c r="AI727" s="288"/>
    </row>
    <row r="728" spans="1:35" ht="12.75" customHeight="1" x14ac:dyDescent="0.2">
      <c r="A728" s="288"/>
      <c r="B728" s="288"/>
      <c r="C728" s="288"/>
      <c r="D728" s="288"/>
      <c r="E728" s="288"/>
      <c r="F728" s="288"/>
      <c r="G728" s="288"/>
      <c r="H728" s="288"/>
      <c r="I728" s="288"/>
      <c r="J728" s="288"/>
      <c r="K728" s="288"/>
      <c r="L728" s="288"/>
      <c r="M728" s="288"/>
      <c r="N728" s="288"/>
      <c r="O728" s="288"/>
      <c r="P728" s="288"/>
      <c r="Q728" s="288"/>
      <c r="R728" s="288"/>
      <c r="S728" s="288"/>
      <c r="T728" s="288"/>
      <c r="U728" s="288"/>
      <c r="V728" s="288"/>
      <c r="W728" s="288"/>
      <c r="X728" s="288"/>
      <c r="Y728" s="288"/>
      <c r="Z728" s="288"/>
      <c r="AA728" s="288"/>
      <c r="AB728" s="288"/>
      <c r="AC728" s="288"/>
      <c r="AD728" s="288"/>
      <c r="AE728" s="288"/>
      <c r="AF728" s="288"/>
      <c r="AG728" s="288"/>
      <c r="AH728" s="288"/>
      <c r="AI728" s="288"/>
    </row>
    <row r="729" spans="1:35" ht="12.75" customHeight="1" x14ac:dyDescent="0.2">
      <c r="A729" s="288"/>
      <c r="B729" s="288"/>
      <c r="C729" s="288"/>
      <c r="D729" s="288"/>
      <c r="E729" s="288"/>
      <c r="F729" s="288"/>
      <c r="G729" s="288"/>
      <c r="H729" s="288"/>
      <c r="I729" s="288"/>
      <c r="J729" s="288"/>
      <c r="K729" s="288"/>
      <c r="L729" s="288"/>
      <c r="M729" s="288"/>
      <c r="N729" s="288"/>
      <c r="O729" s="288"/>
      <c r="P729" s="288"/>
      <c r="Q729" s="288"/>
      <c r="R729" s="288"/>
      <c r="S729" s="288"/>
      <c r="T729" s="288"/>
      <c r="U729" s="288"/>
      <c r="V729" s="288"/>
      <c r="W729" s="288"/>
      <c r="X729" s="288"/>
      <c r="Y729" s="288"/>
      <c r="Z729" s="288"/>
      <c r="AA729" s="288"/>
      <c r="AB729" s="288"/>
      <c r="AC729" s="288"/>
      <c r="AD729" s="288"/>
      <c r="AE729" s="288"/>
      <c r="AF729" s="288"/>
      <c r="AG729" s="288"/>
      <c r="AH729" s="288"/>
      <c r="AI729" s="288"/>
    </row>
    <row r="730" spans="1:35" ht="12.75" customHeight="1" x14ac:dyDescent="0.2">
      <c r="A730" s="288"/>
      <c r="B730" s="288"/>
      <c r="C730" s="288"/>
      <c r="D730" s="288"/>
      <c r="E730" s="288"/>
      <c r="F730" s="288"/>
      <c r="G730" s="288"/>
      <c r="H730" s="288"/>
      <c r="I730" s="288"/>
      <c r="J730" s="288"/>
      <c r="K730" s="288"/>
      <c r="L730" s="288"/>
      <c r="M730" s="288"/>
      <c r="N730" s="288"/>
      <c r="O730" s="288"/>
      <c r="P730" s="288"/>
      <c r="Q730" s="288"/>
      <c r="R730" s="288"/>
      <c r="S730" s="288"/>
      <c r="T730" s="288"/>
      <c r="U730" s="288"/>
      <c r="V730" s="288"/>
      <c r="W730" s="288"/>
      <c r="X730" s="288"/>
      <c r="Y730" s="288"/>
      <c r="Z730" s="288"/>
      <c r="AA730" s="288"/>
      <c r="AB730" s="288"/>
      <c r="AC730" s="288"/>
      <c r="AD730" s="288"/>
      <c r="AE730" s="288"/>
      <c r="AF730" s="288"/>
      <c r="AG730" s="288"/>
      <c r="AH730" s="288"/>
      <c r="AI730" s="288"/>
    </row>
    <row r="731" spans="1:35" ht="12.75" customHeight="1" x14ac:dyDescent="0.2">
      <c r="A731" s="288"/>
      <c r="B731" s="288"/>
      <c r="C731" s="288"/>
      <c r="D731" s="288"/>
      <c r="E731" s="288"/>
      <c r="F731" s="288"/>
      <c r="G731" s="288"/>
      <c r="H731" s="288"/>
      <c r="I731" s="288"/>
      <c r="J731" s="288"/>
      <c r="K731" s="288"/>
      <c r="L731" s="288"/>
      <c r="M731" s="288"/>
      <c r="N731" s="288"/>
      <c r="O731" s="288"/>
      <c r="P731" s="288"/>
      <c r="Q731" s="288"/>
      <c r="R731" s="288"/>
      <c r="S731" s="288"/>
      <c r="T731" s="288"/>
      <c r="U731" s="288"/>
      <c r="V731" s="288"/>
      <c r="W731" s="288"/>
      <c r="X731" s="288"/>
      <c r="Y731" s="288"/>
      <c r="Z731" s="288"/>
      <c r="AA731" s="288"/>
      <c r="AB731" s="288"/>
      <c r="AC731" s="288"/>
      <c r="AD731" s="288"/>
      <c r="AE731" s="288"/>
      <c r="AF731" s="288"/>
      <c r="AG731" s="288"/>
      <c r="AH731" s="288"/>
      <c r="AI731" s="288"/>
    </row>
    <row r="732" spans="1:35" ht="12.75" customHeight="1" x14ac:dyDescent="0.2">
      <c r="A732" s="288"/>
      <c r="B732" s="288"/>
      <c r="C732" s="288"/>
      <c r="D732" s="288"/>
      <c r="E732" s="288"/>
      <c r="F732" s="288"/>
      <c r="G732" s="288"/>
      <c r="H732" s="288"/>
      <c r="I732" s="288"/>
      <c r="J732" s="288"/>
      <c r="K732" s="288"/>
      <c r="L732" s="288"/>
      <c r="M732" s="288"/>
      <c r="N732" s="288"/>
      <c r="O732" s="288"/>
      <c r="P732" s="288"/>
      <c r="Q732" s="288"/>
      <c r="R732" s="288"/>
      <c r="S732" s="288"/>
      <c r="T732" s="288"/>
      <c r="U732" s="288"/>
      <c r="V732" s="288"/>
      <c r="W732" s="288"/>
      <c r="X732" s="288"/>
      <c r="Y732" s="288"/>
      <c r="Z732" s="288"/>
      <c r="AA732" s="288"/>
      <c r="AB732" s="288"/>
      <c r="AC732" s="288"/>
      <c r="AD732" s="288"/>
      <c r="AE732" s="288"/>
      <c r="AF732" s="288"/>
      <c r="AG732" s="288"/>
      <c r="AH732" s="288"/>
      <c r="AI732" s="288"/>
    </row>
    <row r="733" spans="1:35" ht="12.75" customHeight="1" x14ac:dyDescent="0.2">
      <c r="A733" s="288"/>
      <c r="B733" s="288"/>
      <c r="C733" s="288"/>
      <c r="D733" s="288"/>
      <c r="E733" s="288"/>
      <c r="F733" s="288"/>
      <c r="G733" s="288"/>
      <c r="H733" s="288"/>
      <c r="I733" s="288"/>
      <c r="J733" s="288"/>
      <c r="K733" s="288"/>
      <c r="L733" s="288"/>
      <c r="M733" s="288"/>
      <c r="N733" s="288"/>
      <c r="O733" s="288"/>
      <c r="P733" s="288"/>
      <c r="Q733" s="288"/>
      <c r="R733" s="288"/>
      <c r="S733" s="288"/>
      <c r="T733" s="288"/>
      <c r="U733" s="288"/>
      <c r="V733" s="288"/>
      <c r="W733" s="288"/>
      <c r="X733" s="288"/>
      <c r="Y733" s="288"/>
      <c r="Z733" s="288"/>
      <c r="AA733" s="288"/>
      <c r="AB733" s="288"/>
      <c r="AC733" s="288"/>
      <c r="AD733" s="288"/>
      <c r="AE733" s="288"/>
      <c r="AF733" s="288"/>
      <c r="AG733" s="288"/>
      <c r="AH733" s="288"/>
      <c r="AI733" s="288"/>
    </row>
    <row r="734" spans="1:35" ht="12.75" customHeight="1" x14ac:dyDescent="0.2">
      <c r="A734" s="288"/>
      <c r="B734" s="288"/>
      <c r="C734" s="288"/>
      <c r="D734" s="288"/>
      <c r="E734" s="288"/>
      <c r="F734" s="288"/>
      <c r="G734" s="288"/>
      <c r="H734" s="288"/>
      <c r="I734" s="288"/>
      <c r="J734" s="288"/>
      <c r="K734" s="288"/>
      <c r="L734" s="288"/>
      <c r="M734" s="288"/>
      <c r="N734" s="288"/>
      <c r="O734" s="288"/>
      <c r="P734" s="288"/>
      <c r="Q734" s="288"/>
      <c r="R734" s="288"/>
      <c r="S734" s="288"/>
      <c r="T734" s="288"/>
      <c r="U734" s="288"/>
      <c r="V734" s="288"/>
      <c r="W734" s="288"/>
      <c r="X734" s="288"/>
      <c r="Y734" s="288"/>
      <c r="Z734" s="288"/>
      <c r="AA734" s="288"/>
      <c r="AB734" s="288"/>
      <c r="AC734" s="288"/>
      <c r="AD734" s="288"/>
      <c r="AE734" s="288"/>
      <c r="AF734" s="288"/>
      <c r="AG734" s="288"/>
      <c r="AH734" s="288"/>
      <c r="AI734" s="288"/>
    </row>
    <row r="735" spans="1:35" ht="12.75" customHeight="1" x14ac:dyDescent="0.2">
      <c r="A735" s="288"/>
      <c r="B735" s="288"/>
      <c r="C735" s="288"/>
      <c r="D735" s="288"/>
      <c r="E735" s="288"/>
      <c r="F735" s="288"/>
      <c r="G735" s="288"/>
      <c r="H735" s="288"/>
      <c r="I735" s="288"/>
      <c r="J735" s="288"/>
      <c r="K735" s="288"/>
      <c r="L735" s="288"/>
      <c r="M735" s="288"/>
      <c r="N735" s="288"/>
      <c r="O735" s="288"/>
      <c r="P735" s="288"/>
      <c r="Q735" s="288"/>
      <c r="R735" s="288"/>
      <c r="S735" s="288"/>
      <c r="T735" s="288"/>
      <c r="U735" s="288"/>
      <c r="V735" s="288"/>
      <c r="W735" s="288"/>
      <c r="X735" s="288"/>
      <c r="Y735" s="288"/>
      <c r="Z735" s="288"/>
      <c r="AA735" s="288"/>
      <c r="AB735" s="288"/>
      <c r="AC735" s="288"/>
      <c r="AD735" s="288"/>
      <c r="AE735" s="288"/>
      <c r="AF735" s="288"/>
      <c r="AG735" s="288"/>
      <c r="AH735" s="288"/>
      <c r="AI735" s="288"/>
    </row>
    <row r="736" spans="1:35" ht="12.75" customHeight="1" x14ac:dyDescent="0.2">
      <c r="A736" s="288"/>
      <c r="B736" s="288"/>
      <c r="C736" s="288"/>
      <c r="D736" s="288"/>
      <c r="E736" s="288"/>
      <c r="F736" s="288"/>
      <c r="G736" s="288"/>
      <c r="H736" s="288"/>
      <c r="I736" s="288"/>
      <c r="J736" s="288"/>
      <c r="K736" s="288"/>
      <c r="L736" s="288"/>
      <c r="M736" s="288"/>
      <c r="N736" s="288"/>
      <c r="O736" s="288"/>
      <c r="P736" s="288"/>
      <c r="Q736" s="288"/>
      <c r="R736" s="288"/>
      <c r="S736" s="288"/>
      <c r="T736" s="288"/>
      <c r="U736" s="288"/>
      <c r="V736" s="288"/>
      <c r="W736" s="288"/>
      <c r="X736" s="288"/>
      <c r="Y736" s="288"/>
      <c r="Z736" s="288"/>
      <c r="AA736" s="288"/>
      <c r="AB736" s="288"/>
      <c r="AC736" s="288"/>
      <c r="AD736" s="288"/>
      <c r="AE736" s="288"/>
      <c r="AF736" s="288"/>
      <c r="AG736" s="288"/>
      <c r="AH736" s="288"/>
      <c r="AI736" s="288"/>
    </row>
    <row r="737" spans="1:35" ht="12.75" customHeight="1" x14ac:dyDescent="0.2">
      <c r="A737" s="288"/>
      <c r="B737" s="288"/>
      <c r="C737" s="288"/>
      <c r="D737" s="288"/>
      <c r="E737" s="288"/>
      <c r="F737" s="288"/>
      <c r="G737" s="288"/>
      <c r="H737" s="288"/>
      <c r="I737" s="288"/>
      <c r="J737" s="288"/>
      <c r="K737" s="288"/>
      <c r="L737" s="288"/>
      <c r="M737" s="288"/>
      <c r="N737" s="288"/>
      <c r="O737" s="288"/>
      <c r="P737" s="288"/>
      <c r="Q737" s="288"/>
      <c r="R737" s="288"/>
      <c r="S737" s="288"/>
      <c r="T737" s="288"/>
      <c r="U737" s="288"/>
      <c r="V737" s="288"/>
      <c r="W737" s="288"/>
      <c r="X737" s="288"/>
      <c r="Y737" s="288"/>
      <c r="Z737" s="288"/>
      <c r="AA737" s="288"/>
      <c r="AB737" s="288"/>
      <c r="AC737" s="288"/>
      <c r="AD737" s="288"/>
      <c r="AE737" s="288"/>
      <c r="AF737" s="288"/>
      <c r="AG737" s="288"/>
      <c r="AH737" s="288"/>
      <c r="AI737" s="288"/>
    </row>
    <row r="738" spans="1:35" ht="12.75" customHeight="1" x14ac:dyDescent="0.2">
      <c r="A738" s="288"/>
      <c r="B738" s="288"/>
      <c r="C738" s="288"/>
      <c r="D738" s="288"/>
      <c r="E738" s="288"/>
      <c r="F738" s="288"/>
      <c r="G738" s="288"/>
      <c r="H738" s="288"/>
      <c r="I738" s="288"/>
      <c r="J738" s="288"/>
      <c r="K738" s="288"/>
      <c r="L738" s="288"/>
      <c r="M738" s="288"/>
      <c r="N738" s="288"/>
      <c r="O738" s="288"/>
      <c r="P738" s="288"/>
      <c r="Q738" s="288"/>
      <c r="R738" s="288"/>
      <c r="S738" s="288"/>
      <c r="T738" s="288"/>
      <c r="U738" s="288"/>
      <c r="V738" s="288"/>
      <c r="W738" s="288"/>
      <c r="X738" s="288"/>
      <c r="Y738" s="288"/>
      <c r="Z738" s="288"/>
      <c r="AA738" s="288"/>
      <c r="AB738" s="288"/>
      <c r="AC738" s="288"/>
      <c r="AD738" s="288"/>
      <c r="AE738" s="288"/>
      <c r="AF738" s="288"/>
      <c r="AG738" s="288"/>
      <c r="AH738" s="288"/>
      <c r="AI738" s="288"/>
    </row>
    <row r="739" spans="1:35" ht="12.75" customHeight="1" x14ac:dyDescent="0.2">
      <c r="A739" s="288"/>
      <c r="B739" s="288"/>
      <c r="C739" s="288"/>
      <c r="D739" s="288"/>
      <c r="E739" s="288"/>
      <c r="F739" s="288"/>
      <c r="G739" s="288"/>
      <c r="H739" s="288"/>
      <c r="I739" s="288"/>
      <c r="J739" s="288"/>
      <c r="K739" s="288"/>
      <c r="L739" s="288"/>
      <c r="M739" s="288"/>
      <c r="N739" s="288"/>
      <c r="O739" s="288"/>
      <c r="P739" s="288"/>
      <c r="Q739" s="288"/>
      <c r="R739" s="288"/>
      <c r="S739" s="288"/>
      <c r="T739" s="288"/>
      <c r="U739" s="288"/>
      <c r="V739" s="288"/>
      <c r="W739" s="288"/>
      <c r="X739" s="288"/>
      <c r="Y739" s="288"/>
      <c r="Z739" s="288"/>
      <c r="AA739" s="288"/>
      <c r="AB739" s="288"/>
      <c r="AC739" s="288"/>
      <c r="AD739" s="288"/>
      <c r="AE739" s="288"/>
      <c r="AF739" s="288"/>
      <c r="AG739" s="288"/>
      <c r="AH739" s="288"/>
      <c r="AI739" s="288"/>
    </row>
    <row r="740" spans="1:35" ht="12.75" customHeight="1" x14ac:dyDescent="0.2">
      <c r="A740" s="288"/>
      <c r="B740" s="288"/>
      <c r="C740" s="288"/>
      <c r="D740" s="288"/>
      <c r="E740" s="288"/>
      <c r="F740" s="288"/>
      <c r="G740" s="288"/>
      <c r="H740" s="288"/>
      <c r="I740" s="288"/>
      <c r="J740" s="288"/>
      <c r="K740" s="288"/>
      <c r="L740" s="288"/>
      <c r="M740" s="288"/>
      <c r="N740" s="288"/>
      <c r="O740" s="288"/>
      <c r="P740" s="288"/>
      <c r="Q740" s="288"/>
      <c r="R740" s="288"/>
      <c r="S740" s="288"/>
      <c r="T740" s="288"/>
      <c r="U740" s="288"/>
      <c r="V740" s="288"/>
      <c r="W740" s="288"/>
      <c r="X740" s="288"/>
      <c r="Y740" s="288"/>
      <c r="Z740" s="288"/>
      <c r="AA740" s="288"/>
      <c r="AB740" s="288"/>
      <c r="AC740" s="288"/>
      <c r="AD740" s="288"/>
      <c r="AE740" s="288"/>
      <c r="AF740" s="288"/>
      <c r="AG740" s="288"/>
      <c r="AH740" s="288"/>
      <c r="AI740" s="288"/>
    </row>
    <row r="741" spans="1:35" ht="12.75" customHeight="1" x14ac:dyDescent="0.2">
      <c r="A741" s="288"/>
      <c r="B741" s="288"/>
      <c r="C741" s="288"/>
      <c r="D741" s="288"/>
      <c r="E741" s="288"/>
      <c r="F741" s="288"/>
      <c r="G741" s="288"/>
      <c r="H741" s="288"/>
      <c r="I741" s="288"/>
      <c r="J741" s="288"/>
      <c r="K741" s="288"/>
      <c r="L741" s="288"/>
      <c r="M741" s="288"/>
      <c r="N741" s="288"/>
      <c r="O741" s="288"/>
      <c r="P741" s="288"/>
      <c r="Q741" s="288"/>
      <c r="R741" s="288"/>
      <c r="S741" s="288"/>
      <c r="T741" s="288"/>
      <c r="U741" s="288"/>
      <c r="V741" s="288"/>
      <c r="W741" s="288"/>
      <c r="X741" s="288"/>
      <c r="Y741" s="288"/>
      <c r="Z741" s="288"/>
      <c r="AA741" s="288"/>
      <c r="AB741" s="288"/>
      <c r="AC741" s="288"/>
      <c r="AD741" s="288"/>
      <c r="AE741" s="288"/>
      <c r="AF741" s="288"/>
      <c r="AG741" s="288"/>
      <c r="AH741" s="288"/>
      <c r="AI741" s="288"/>
    </row>
    <row r="742" spans="1:35" ht="12.75" customHeight="1" x14ac:dyDescent="0.2">
      <c r="A742" s="288"/>
      <c r="B742" s="288"/>
      <c r="C742" s="288"/>
      <c r="D742" s="288"/>
      <c r="E742" s="288"/>
      <c r="F742" s="288"/>
      <c r="G742" s="288"/>
      <c r="H742" s="288"/>
      <c r="I742" s="288"/>
      <c r="J742" s="288"/>
      <c r="K742" s="288"/>
      <c r="L742" s="288"/>
      <c r="M742" s="288"/>
      <c r="N742" s="288"/>
      <c r="O742" s="288"/>
      <c r="P742" s="288"/>
      <c r="Q742" s="288"/>
      <c r="R742" s="288"/>
      <c r="S742" s="288"/>
      <c r="T742" s="288"/>
      <c r="U742" s="288"/>
      <c r="V742" s="288"/>
      <c r="W742" s="288"/>
      <c r="X742" s="288"/>
      <c r="Y742" s="288"/>
      <c r="Z742" s="288"/>
      <c r="AA742" s="288"/>
      <c r="AB742" s="288"/>
      <c r="AC742" s="288"/>
      <c r="AD742" s="288"/>
      <c r="AE742" s="288"/>
      <c r="AF742" s="288"/>
      <c r="AG742" s="288"/>
      <c r="AH742" s="288"/>
      <c r="AI742" s="288"/>
    </row>
    <row r="743" spans="1:35" ht="12.75" customHeight="1" x14ac:dyDescent="0.2">
      <c r="A743" s="288"/>
      <c r="B743" s="288"/>
      <c r="C743" s="288"/>
      <c r="D743" s="288"/>
      <c r="E743" s="288"/>
      <c r="F743" s="288"/>
      <c r="G743" s="288"/>
      <c r="H743" s="288"/>
      <c r="I743" s="288"/>
      <c r="J743" s="288"/>
      <c r="K743" s="288"/>
      <c r="L743" s="288"/>
      <c r="M743" s="288"/>
      <c r="N743" s="288"/>
      <c r="O743" s="288"/>
      <c r="P743" s="288"/>
      <c r="Q743" s="288"/>
      <c r="R743" s="288"/>
      <c r="S743" s="288"/>
      <c r="T743" s="288"/>
      <c r="U743" s="288"/>
      <c r="V743" s="288"/>
      <c r="W743" s="288"/>
      <c r="X743" s="288"/>
      <c r="Y743" s="288"/>
      <c r="Z743" s="288"/>
      <c r="AA743" s="288"/>
      <c r="AB743" s="288"/>
      <c r="AC743" s="288"/>
      <c r="AD743" s="288"/>
      <c r="AE743" s="288"/>
      <c r="AF743" s="288"/>
      <c r="AG743" s="288"/>
      <c r="AH743" s="288"/>
      <c r="AI743" s="288"/>
    </row>
    <row r="744" spans="1:35" ht="12.75" customHeight="1" x14ac:dyDescent="0.2">
      <c r="A744" s="288"/>
      <c r="B744" s="288"/>
      <c r="C744" s="288"/>
      <c r="D744" s="288"/>
      <c r="E744" s="288"/>
      <c r="F744" s="288"/>
      <c r="G744" s="288"/>
      <c r="H744" s="288"/>
      <c r="I744" s="288"/>
      <c r="J744" s="288"/>
      <c r="K744" s="288"/>
      <c r="L744" s="288"/>
      <c r="M744" s="288"/>
      <c r="N744" s="288"/>
      <c r="O744" s="288"/>
      <c r="P744" s="288"/>
      <c r="Q744" s="288"/>
      <c r="R744" s="288"/>
      <c r="S744" s="288"/>
      <c r="T744" s="288"/>
      <c r="U744" s="288"/>
      <c r="V744" s="288"/>
      <c r="W744" s="288"/>
      <c r="X744" s="288"/>
      <c r="Y744" s="288"/>
      <c r="Z744" s="288"/>
      <c r="AA744" s="288"/>
      <c r="AB744" s="288"/>
      <c r="AC744" s="288"/>
      <c r="AD744" s="288"/>
      <c r="AE744" s="288"/>
      <c r="AF744" s="288"/>
      <c r="AG744" s="288"/>
      <c r="AH744" s="288"/>
      <c r="AI744" s="288"/>
    </row>
    <row r="745" spans="1:35" ht="12.75" customHeight="1" x14ac:dyDescent="0.2">
      <c r="A745" s="288"/>
      <c r="B745" s="288"/>
      <c r="C745" s="288"/>
      <c r="D745" s="288"/>
      <c r="E745" s="288"/>
      <c r="F745" s="288"/>
      <c r="G745" s="288"/>
      <c r="H745" s="288"/>
      <c r="I745" s="288"/>
      <c r="J745" s="288"/>
      <c r="K745" s="288"/>
      <c r="L745" s="288"/>
      <c r="M745" s="288"/>
      <c r="N745" s="288"/>
      <c r="O745" s="288"/>
      <c r="P745" s="288"/>
      <c r="Q745" s="288"/>
      <c r="R745" s="288"/>
      <c r="S745" s="288"/>
      <c r="T745" s="288"/>
      <c r="U745" s="288"/>
      <c r="V745" s="288"/>
      <c r="W745" s="288"/>
      <c r="X745" s="288"/>
      <c r="Y745" s="288"/>
      <c r="Z745" s="288"/>
      <c r="AA745" s="288"/>
      <c r="AB745" s="288"/>
      <c r="AC745" s="288"/>
      <c r="AD745" s="288"/>
      <c r="AE745" s="288"/>
      <c r="AF745" s="288"/>
      <c r="AG745" s="288"/>
      <c r="AH745" s="288"/>
      <c r="AI745" s="288"/>
    </row>
    <row r="746" spans="1:35" ht="12.75" customHeight="1" x14ac:dyDescent="0.2">
      <c r="A746" s="288"/>
      <c r="B746" s="288"/>
      <c r="C746" s="288"/>
      <c r="D746" s="288"/>
      <c r="E746" s="288"/>
      <c r="F746" s="288"/>
      <c r="G746" s="288"/>
      <c r="H746" s="288"/>
      <c r="I746" s="288"/>
      <c r="J746" s="288"/>
      <c r="K746" s="288"/>
      <c r="L746" s="288"/>
      <c r="M746" s="288"/>
      <c r="N746" s="288"/>
      <c r="O746" s="288"/>
      <c r="P746" s="288"/>
      <c r="Q746" s="288"/>
      <c r="R746" s="288"/>
      <c r="S746" s="288"/>
      <c r="T746" s="288"/>
      <c r="U746" s="288"/>
      <c r="V746" s="288"/>
      <c r="W746" s="288"/>
      <c r="X746" s="288"/>
      <c r="Y746" s="288"/>
      <c r="Z746" s="288"/>
      <c r="AA746" s="288"/>
      <c r="AB746" s="288"/>
      <c r="AC746" s="288"/>
      <c r="AD746" s="288"/>
      <c r="AE746" s="288"/>
      <c r="AF746" s="288"/>
      <c r="AG746" s="288"/>
      <c r="AH746" s="288"/>
      <c r="AI746" s="288"/>
    </row>
    <row r="747" spans="1:35" ht="12.75" customHeight="1" x14ac:dyDescent="0.2">
      <c r="A747" s="288"/>
      <c r="B747" s="288"/>
      <c r="C747" s="288"/>
      <c r="D747" s="288"/>
      <c r="E747" s="288"/>
      <c r="F747" s="288"/>
      <c r="G747" s="288"/>
      <c r="H747" s="288"/>
      <c r="I747" s="288"/>
      <c r="J747" s="288"/>
      <c r="K747" s="288"/>
      <c r="L747" s="288"/>
      <c r="M747" s="288"/>
      <c r="N747" s="288"/>
      <c r="O747" s="288"/>
      <c r="P747" s="288"/>
      <c r="Q747" s="288"/>
      <c r="R747" s="288"/>
      <c r="S747" s="288"/>
      <c r="T747" s="288"/>
      <c r="U747" s="288"/>
      <c r="V747" s="288"/>
      <c r="W747" s="288"/>
      <c r="X747" s="288"/>
      <c r="Y747" s="288"/>
      <c r="Z747" s="288"/>
      <c r="AA747" s="288"/>
      <c r="AB747" s="288"/>
      <c r="AC747" s="288"/>
      <c r="AD747" s="288"/>
      <c r="AE747" s="288"/>
      <c r="AF747" s="288"/>
      <c r="AG747" s="288"/>
      <c r="AH747" s="288"/>
      <c r="AI747" s="288"/>
    </row>
    <row r="748" spans="1:35" ht="12.75" customHeight="1" x14ac:dyDescent="0.2">
      <c r="A748" s="288"/>
      <c r="B748" s="288"/>
      <c r="C748" s="288"/>
      <c r="D748" s="288"/>
      <c r="E748" s="288"/>
      <c r="F748" s="288"/>
      <c r="G748" s="288"/>
      <c r="H748" s="288"/>
      <c r="I748" s="288"/>
      <c r="J748" s="288"/>
      <c r="K748" s="288"/>
      <c r="L748" s="288"/>
      <c r="M748" s="288"/>
      <c r="N748" s="288"/>
      <c r="O748" s="288"/>
      <c r="P748" s="288"/>
      <c r="Q748" s="288"/>
      <c r="R748" s="288"/>
      <c r="S748" s="288"/>
      <c r="T748" s="288"/>
      <c r="U748" s="288"/>
      <c r="V748" s="288"/>
      <c r="W748" s="288"/>
      <c r="X748" s="288"/>
      <c r="Y748" s="288"/>
      <c r="Z748" s="288"/>
      <c r="AA748" s="288"/>
      <c r="AB748" s="288"/>
      <c r="AC748" s="288"/>
      <c r="AD748" s="288"/>
      <c r="AE748" s="288"/>
      <c r="AF748" s="288"/>
      <c r="AG748" s="288"/>
      <c r="AH748" s="288"/>
      <c r="AI748" s="288"/>
    </row>
    <row r="749" spans="1:35" ht="12.75" customHeight="1" x14ac:dyDescent="0.2">
      <c r="A749" s="288"/>
      <c r="B749" s="288"/>
      <c r="C749" s="288"/>
      <c r="D749" s="288"/>
      <c r="E749" s="288"/>
      <c r="F749" s="288"/>
      <c r="G749" s="288"/>
      <c r="H749" s="288"/>
      <c r="I749" s="288"/>
      <c r="J749" s="288"/>
      <c r="K749" s="288"/>
      <c r="L749" s="288"/>
      <c r="M749" s="288"/>
      <c r="N749" s="288"/>
      <c r="O749" s="288"/>
      <c r="P749" s="288"/>
      <c r="Q749" s="288"/>
      <c r="R749" s="288"/>
      <c r="S749" s="288"/>
      <c r="T749" s="288"/>
      <c r="U749" s="288"/>
      <c r="V749" s="288"/>
      <c r="W749" s="288"/>
      <c r="X749" s="288"/>
      <c r="Y749" s="288"/>
      <c r="Z749" s="288"/>
      <c r="AA749" s="288"/>
      <c r="AB749" s="288"/>
      <c r="AC749" s="288"/>
      <c r="AD749" s="288"/>
      <c r="AE749" s="288"/>
      <c r="AF749" s="288"/>
      <c r="AG749" s="288"/>
      <c r="AH749" s="288"/>
      <c r="AI749" s="288"/>
    </row>
    <row r="750" spans="1:35" ht="12.75" customHeight="1" x14ac:dyDescent="0.2">
      <c r="A750" s="288"/>
      <c r="B750" s="288"/>
      <c r="C750" s="288"/>
      <c r="D750" s="288"/>
      <c r="E750" s="288"/>
      <c r="F750" s="288"/>
      <c r="G750" s="288"/>
      <c r="H750" s="288"/>
      <c r="I750" s="288"/>
      <c r="J750" s="288"/>
      <c r="K750" s="288"/>
      <c r="L750" s="288"/>
      <c r="M750" s="288"/>
      <c r="N750" s="288"/>
      <c r="O750" s="288"/>
      <c r="P750" s="288"/>
      <c r="Q750" s="288"/>
      <c r="R750" s="288"/>
      <c r="S750" s="288"/>
      <c r="T750" s="288"/>
      <c r="U750" s="288"/>
      <c r="V750" s="288"/>
      <c r="W750" s="288"/>
      <c r="X750" s="288"/>
      <c r="Y750" s="288"/>
      <c r="Z750" s="288"/>
      <c r="AA750" s="288"/>
      <c r="AB750" s="288"/>
      <c r="AC750" s="288"/>
      <c r="AD750" s="288"/>
      <c r="AE750" s="288"/>
      <c r="AF750" s="288"/>
      <c r="AG750" s="288"/>
      <c r="AH750" s="288"/>
      <c r="AI750" s="288"/>
    </row>
    <row r="751" spans="1:35" ht="12.75" customHeight="1" x14ac:dyDescent="0.2">
      <c r="A751" s="288"/>
      <c r="B751" s="288"/>
      <c r="C751" s="288"/>
      <c r="D751" s="288"/>
      <c r="E751" s="288"/>
      <c r="F751" s="288"/>
      <c r="G751" s="288"/>
      <c r="H751" s="288"/>
      <c r="I751" s="288"/>
      <c r="J751" s="288"/>
      <c r="K751" s="288"/>
      <c r="L751" s="288"/>
      <c r="M751" s="288"/>
      <c r="N751" s="288"/>
      <c r="O751" s="288"/>
      <c r="P751" s="288"/>
      <c r="Q751" s="288"/>
      <c r="R751" s="288"/>
      <c r="S751" s="288"/>
      <c r="T751" s="288"/>
      <c r="U751" s="288"/>
      <c r="V751" s="288"/>
      <c r="W751" s="288"/>
      <c r="X751" s="288"/>
      <c r="Y751" s="288"/>
      <c r="Z751" s="288"/>
      <c r="AA751" s="288"/>
      <c r="AB751" s="288"/>
      <c r="AC751" s="288"/>
      <c r="AD751" s="288"/>
      <c r="AE751" s="288"/>
      <c r="AF751" s="288"/>
      <c r="AG751" s="288"/>
      <c r="AH751" s="288"/>
      <c r="AI751" s="288"/>
    </row>
    <row r="752" spans="1:35" ht="12.75" customHeight="1" x14ac:dyDescent="0.2">
      <c r="A752" s="288"/>
      <c r="B752" s="288"/>
      <c r="C752" s="288"/>
      <c r="D752" s="288"/>
      <c r="E752" s="288"/>
      <c r="F752" s="288"/>
      <c r="G752" s="288"/>
      <c r="H752" s="288"/>
      <c r="I752" s="288"/>
      <c r="J752" s="288"/>
      <c r="K752" s="288"/>
      <c r="L752" s="288"/>
      <c r="M752" s="288"/>
      <c r="N752" s="288"/>
      <c r="O752" s="288"/>
      <c r="P752" s="288"/>
      <c r="Q752" s="288"/>
      <c r="R752" s="288"/>
      <c r="S752" s="288"/>
      <c r="T752" s="288"/>
      <c r="U752" s="288"/>
      <c r="V752" s="288"/>
      <c r="W752" s="288"/>
      <c r="X752" s="288"/>
      <c r="Y752" s="288"/>
      <c r="Z752" s="288"/>
      <c r="AA752" s="288"/>
      <c r="AB752" s="288"/>
      <c r="AC752" s="288"/>
      <c r="AD752" s="288"/>
      <c r="AE752" s="288"/>
      <c r="AF752" s="288"/>
      <c r="AG752" s="288"/>
      <c r="AH752" s="288"/>
      <c r="AI752" s="288"/>
    </row>
    <row r="753" spans="1:35" ht="12.75" customHeight="1" x14ac:dyDescent="0.2">
      <c r="A753" s="288"/>
      <c r="B753" s="288"/>
      <c r="C753" s="288"/>
      <c r="D753" s="288"/>
      <c r="E753" s="288"/>
      <c r="F753" s="288"/>
      <c r="G753" s="288"/>
      <c r="H753" s="288"/>
      <c r="I753" s="288"/>
      <c r="J753" s="288"/>
      <c r="K753" s="288"/>
      <c r="L753" s="288"/>
      <c r="M753" s="288"/>
      <c r="N753" s="288"/>
      <c r="O753" s="288"/>
      <c r="P753" s="288"/>
      <c r="Q753" s="288"/>
      <c r="R753" s="288"/>
      <c r="S753" s="288"/>
      <c r="T753" s="288"/>
      <c r="U753" s="288"/>
      <c r="V753" s="288"/>
      <c r="W753" s="288"/>
      <c r="X753" s="288"/>
      <c r="Y753" s="288"/>
      <c r="Z753" s="288"/>
      <c r="AA753" s="288"/>
      <c r="AB753" s="288"/>
      <c r="AC753" s="288"/>
      <c r="AD753" s="288"/>
      <c r="AE753" s="288"/>
      <c r="AF753" s="288"/>
      <c r="AG753" s="288"/>
      <c r="AH753" s="288"/>
      <c r="AI753" s="288"/>
    </row>
    <row r="754" spans="1:35" ht="12.75" customHeight="1" x14ac:dyDescent="0.2">
      <c r="A754" s="288"/>
      <c r="B754" s="288"/>
      <c r="C754" s="288"/>
      <c r="D754" s="288"/>
      <c r="E754" s="288"/>
      <c r="F754" s="288"/>
      <c r="G754" s="288"/>
      <c r="H754" s="288"/>
      <c r="I754" s="288"/>
      <c r="J754" s="288"/>
      <c r="K754" s="288"/>
      <c r="L754" s="288"/>
      <c r="M754" s="288"/>
      <c r="N754" s="288"/>
      <c r="O754" s="288"/>
      <c r="P754" s="288"/>
      <c r="Q754" s="288"/>
      <c r="R754" s="288"/>
      <c r="S754" s="288"/>
      <c r="T754" s="288"/>
      <c r="U754" s="288"/>
      <c r="V754" s="288"/>
      <c r="W754" s="288"/>
      <c r="X754" s="288"/>
      <c r="Y754" s="288"/>
      <c r="Z754" s="288"/>
      <c r="AA754" s="288"/>
      <c r="AB754" s="288"/>
      <c r="AC754" s="288"/>
      <c r="AD754" s="288"/>
      <c r="AE754" s="288"/>
      <c r="AF754" s="288"/>
      <c r="AG754" s="288"/>
      <c r="AH754" s="288"/>
      <c r="AI754" s="288"/>
    </row>
    <row r="755" spans="1:35" ht="12.75" customHeight="1" x14ac:dyDescent="0.2">
      <c r="A755" s="288"/>
      <c r="B755" s="288"/>
      <c r="C755" s="288"/>
      <c r="D755" s="288"/>
      <c r="E755" s="288"/>
      <c r="F755" s="288"/>
      <c r="G755" s="288"/>
      <c r="H755" s="288"/>
      <c r="I755" s="288"/>
      <c r="J755" s="288"/>
      <c r="K755" s="288"/>
      <c r="L755" s="288"/>
      <c r="M755" s="288"/>
      <c r="N755" s="288"/>
      <c r="O755" s="288"/>
      <c r="P755" s="288"/>
      <c r="Q755" s="288"/>
      <c r="R755" s="288"/>
      <c r="S755" s="288"/>
      <c r="T755" s="288"/>
      <c r="U755" s="288"/>
      <c r="V755" s="288"/>
      <c r="W755" s="288"/>
      <c r="X755" s="288"/>
      <c r="Y755" s="288"/>
      <c r="Z755" s="288"/>
      <c r="AA755" s="288"/>
      <c r="AB755" s="288"/>
      <c r="AC755" s="288"/>
      <c r="AD755" s="288"/>
      <c r="AE755" s="288"/>
      <c r="AF755" s="288"/>
      <c r="AG755" s="288"/>
      <c r="AH755" s="288"/>
      <c r="AI755" s="288"/>
    </row>
    <row r="756" spans="1:35" ht="12.75" customHeight="1" x14ac:dyDescent="0.2">
      <c r="A756" s="288"/>
      <c r="B756" s="288"/>
      <c r="C756" s="288"/>
      <c r="D756" s="288"/>
      <c r="E756" s="288"/>
      <c r="F756" s="288"/>
      <c r="G756" s="288"/>
      <c r="H756" s="288"/>
      <c r="I756" s="288"/>
      <c r="J756" s="288"/>
      <c r="K756" s="288"/>
      <c r="L756" s="288"/>
      <c r="M756" s="288"/>
      <c r="N756" s="288"/>
      <c r="O756" s="288"/>
      <c r="P756" s="288"/>
      <c r="Q756" s="288"/>
      <c r="R756" s="288"/>
      <c r="S756" s="288"/>
      <c r="T756" s="288"/>
      <c r="U756" s="288"/>
      <c r="V756" s="288"/>
      <c r="W756" s="288"/>
      <c r="X756" s="288"/>
      <c r="Y756" s="288"/>
      <c r="Z756" s="288"/>
      <c r="AA756" s="288"/>
      <c r="AB756" s="288"/>
      <c r="AC756" s="288"/>
      <c r="AD756" s="288"/>
      <c r="AE756" s="288"/>
      <c r="AF756" s="288"/>
      <c r="AG756" s="288"/>
      <c r="AH756" s="288"/>
      <c r="AI756" s="288"/>
    </row>
    <row r="757" spans="1:35" ht="12.75" customHeight="1" x14ac:dyDescent="0.2">
      <c r="A757" s="288"/>
      <c r="B757" s="288"/>
      <c r="C757" s="288"/>
      <c r="D757" s="288"/>
      <c r="E757" s="288"/>
      <c r="F757" s="288"/>
      <c r="G757" s="288"/>
      <c r="H757" s="288"/>
      <c r="I757" s="288"/>
      <c r="J757" s="288"/>
      <c r="K757" s="288"/>
      <c r="L757" s="288"/>
      <c r="M757" s="288"/>
      <c r="N757" s="288"/>
      <c r="O757" s="288"/>
      <c r="P757" s="288"/>
      <c r="Q757" s="288"/>
      <c r="R757" s="288"/>
      <c r="S757" s="288"/>
      <c r="T757" s="288"/>
      <c r="U757" s="288"/>
      <c r="V757" s="288"/>
      <c r="W757" s="288"/>
      <c r="X757" s="288"/>
      <c r="Y757" s="288"/>
      <c r="Z757" s="288"/>
      <c r="AA757" s="288"/>
      <c r="AB757" s="288"/>
      <c r="AC757" s="288"/>
      <c r="AD757" s="288"/>
      <c r="AE757" s="288"/>
      <c r="AF757" s="288"/>
      <c r="AG757" s="288"/>
      <c r="AH757" s="288"/>
      <c r="AI757" s="288"/>
    </row>
    <row r="758" spans="1:35" ht="12.75" customHeight="1" x14ac:dyDescent="0.2">
      <c r="A758" s="288"/>
      <c r="B758" s="288"/>
      <c r="C758" s="288"/>
      <c r="D758" s="288"/>
      <c r="E758" s="288"/>
      <c r="F758" s="288"/>
      <c r="G758" s="288"/>
      <c r="H758" s="288"/>
      <c r="I758" s="288"/>
      <c r="J758" s="288"/>
      <c r="K758" s="288"/>
      <c r="L758" s="288"/>
      <c r="M758" s="288"/>
      <c r="N758" s="288"/>
      <c r="O758" s="288"/>
      <c r="P758" s="288"/>
      <c r="Q758" s="288"/>
      <c r="R758" s="288"/>
      <c r="S758" s="288"/>
      <c r="T758" s="288"/>
      <c r="U758" s="288"/>
      <c r="V758" s="288"/>
      <c r="W758" s="288"/>
      <c r="X758" s="288"/>
      <c r="Y758" s="288"/>
      <c r="Z758" s="288"/>
      <c r="AA758" s="288"/>
      <c r="AB758" s="288"/>
      <c r="AC758" s="288"/>
      <c r="AD758" s="288"/>
      <c r="AE758" s="288"/>
      <c r="AF758" s="288"/>
      <c r="AG758" s="288"/>
      <c r="AH758" s="288"/>
      <c r="AI758" s="288"/>
    </row>
    <row r="759" spans="1:35" ht="12.75" customHeight="1" x14ac:dyDescent="0.2">
      <c r="A759" s="288"/>
      <c r="B759" s="288"/>
      <c r="C759" s="288"/>
      <c r="D759" s="288"/>
      <c r="E759" s="288"/>
      <c r="F759" s="288"/>
      <c r="G759" s="288"/>
      <c r="H759" s="288"/>
      <c r="I759" s="288"/>
      <c r="J759" s="288"/>
      <c r="K759" s="288"/>
      <c r="L759" s="288"/>
      <c r="M759" s="288"/>
      <c r="N759" s="288"/>
      <c r="O759" s="288"/>
      <c r="P759" s="288"/>
      <c r="Q759" s="288"/>
      <c r="R759" s="288"/>
      <c r="S759" s="288"/>
      <c r="T759" s="288"/>
      <c r="U759" s="288"/>
      <c r="V759" s="288"/>
      <c r="W759" s="288"/>
      <c r="X759" s="288"/>
      <c r="Y759" s="288"/>
      <c r="Z759" s="288"/>
      <c r="AA759" s="288"/>
      <c r="AB759" s="288"/>
      <c r="AC759" s="288"/>
      <c r="AD759" s="288"/>
      <c r="AE759" s="288"/>
      <c r="AF759" s="288"/>
      <c r="AG759" s="288"/>
      <c r="AH759" s="288"/>
      <c r="AI759" s="288"/>
    </row>
    <row r="760" spans="1:35" ht="12.75" customHeight="1" x14ac:dyDescent="0.2">
      <c r="A760" s="288"/>
      <c r="B760" s="288"/>
      <c r="C760" s="288"/>
      <c r="D760" s="288"/>
      <c r="E760" s="288"/>
      <c r="F760" s="288"/>
      <c r="G760" s="288"/>
      <c r="H760" s="288"/>
      <c r="I760" s="288"/>
      <c r="J760" s="288"/>
      <c r="K760" s="288"/>
      <c r="L760" s="288"/>
      <c r="M760" s="288"/>
      <c r="N760" s="288"/>
      <c r="O760" s="288"/>
      <c r="P760" s="288"/>
      <c r="Q760" s="288"/>
      <c r="R760" s="288"/>
      <c r="S760" s="288"/>
      <c r="T760" s="288"/>
      <c r="U760" s="288"/>
      <c r="V760" s="288"/>
      <c r="W760" s="288"/>
      <c r="X760" s="288"/>
      <c r="Y760" s="288"/>
      <c r="Z760" s="288"/>
      <c r="AA760" s="288"/>
      <c r="AB760" s="288"/>
      <c r="AC760" s="288"/>
      <c r="AD760" s="288"/>
      <c r="AE760" s="288"/>
      <c r="AF760" s="288"/>
      <c r="AG760" s="288"/>
      <c r="AH760" s="288"/>
      <c r="AI760" s="288"/>
    </row>
    <row r="761" spans="1:35" ht="12.75" customHeight="1" x14ac:dyDescent="0.2">
      <c r="A761" s="288"/>
      <c r="B761" s="288"/>
      <c r="C761" s="288"/>
      <c r="D761" s="288"/>
      <c r="E761" s="288"/>
      <c r="F761" s="288"/>
      <c r="G761" s="288"/>
      <c r="H761" s="288"/>
      <c r="I761" s="288"/>
      <c r="J761" s="288"/>
      <c r="K761" s="288"/>
      <c r="L761" s="288"/>
      <c r="M761" s="288"/>
      <c r="N761" s="288"/>
      <c r="O761" s="288"/>
      <c r="P761" s="288"/>
      <c r="Q761" s="288"/>
      <c r="R761" s="288"/>
      <c r="S761" s="288"/>
      <c r="T761" s="288"/>
      <c r="U761" s="288"/>
      <c r="V761" s="288"/>
      <c r="W761" s="288"/>
      <c r="X761" s="288"/>
      <c r="Y761" s="288"/>
      <c r="Z761" s="288"/>
      <c r="AA761" s="288"/>
      <c r="AB761" s="288"/>
      <c r="AC761" s="288"/>
      <c r="AD761" s="288"/>
      <c r="AE761" s="288"/>
      <c r="AF761" s="288"/>
      <c r="AG761" s="288"/>
      <c r="AH761" s="288"/>
      <c r="AI761" s="288"/>
    </row>
    <row r="762" spans="1:35" ht="12.75" customHeight="1" x14ac:dyDescent="0.2">
      <c r="A762" s="288"/>
      <c r="B762" s="288"/>
      <c r="C762" s="288"/>
      <c r="D762" s="288"/>
      <c r="E762" s="288"/>
      <c r="F762" s="288"/>
      <c r="G762" s="288"/>
      <c r="H762" s="288"/>
      <c r="I762" s="288"/>
      <c r="J762" s="288"/>
      <c r="K762" s="288"/>
      <c r="L762" s="288"/>
      <c r="M762" s="288"/>
      <c r="N762" s="288"/>
      <c r="O762" s="288"/>
      <c r="P762" s="288"/>
      <c r="Q762" s="288"/>
      <c r="R762" s="288"/>
      <c r="S762" s="288"/>
      <c r="T762" s="288"/>
      <c r="U762" s="288"/>
      <c r="V762" s="288"/>
      <c r="W762" s="288"/>
      <c r="X762" s="288"/>
      <c r="Y762" s="288"/>
      <c r="Z762" s="288"/>
      <c r="AA762" s="288"/>
      <c r="AB762" s="288"/>
      <c r="AC762" s="288"/>
      <c r="AD762" s="288"/>
      <c r="AE762" s="288"/>
      <c r="AF762" s="288"/>
      <c r="AG762" s="288"/>
      <c r="AH762" s="288"/>
      <c r="AI762" s="288"/>
    </row>
    <row r="763" spans="1:35" ht="12.75" customHeight="1" x14ac:dyDescent="0.2">
      <c r="A763" s="288"/>
      <c r="B763" s="288"/>
      <c r="C763" s="288"/>
      <c r="D763" s="288"/>
      <c r="E763" s="288"/>
      <c r="F763" s="288"/>
      <c r="G763" s="288"/>
      <c r="H763" s="288"/>
      <c r="I763" s="288"/>
      <c r="J763" s="288"/>
      <c r="K763" s="288"/>
      <c r="L763" s="288"/>
      <c r="M763" s="288"/>
      <c r="N763" s="288"/>
      <c r="O763" s="288"/>
      <c r="P763" s="288"/>
      <c r="Q763" s="288"/>
      <c r="R763" s="288"/>
      <c r="S763" s="288"/>
      <c r="T763" s="288"/>
      <c r="U763" s="288"/>
      <c r="V763" s="288"/>
      <c r="W763" s="288"/>
      <c r="X763" s="288"/>
      <c r="Y763" s="288"/>
      <c r="Z763" s="288"/>
      <c r="AA763" s="288"/>
      <c r="AB763" s="288"/>
      <c r="AC763" s="288"/>
      <c r="AD763" s="288"/>
      <c r="AE763" s="288"/>
      <c r="AF763" s="288"/>
      <c r="AG763" s="288"/>
      <c r="AH763" s="288"/>
      <c r="AI763" s="288"/>
    </row>
    <row r="764" spans="1:35" ht="12.75" customHeight="1" x14ac:dyDescent="0.2">
      <c r="A764" s="288"/>
      <c r="B764" s="288"/>
      <c r="C764" s="288"/>
      <c r="D764" s="288"/>
      <c r="E764" s="288"/>
      <c r="F764" s="288"/>
      <c r="G764" s="288"/>
      <c r="H764" s="288"/>
      <c r="I764" s="288"/>
      <c r="J764" s="288"/>
      <c r="K764" s="288"/>
      <c r="L764" s="288"/>
      <c r="M764" s="288"/>
      <c r="N764" s="288"/>
      <c r="O764" s="288"/>
      <c r="P764" s="288"/>
      <c r="Q764" s="288"/>
      <c r="R764" s="288"/>
      <c r="S764" s="288"/>
      <c r="T764" s="288"/>
      <c r="U764" s="288"/>
      <c r="V764" s="288"/>
      <c r="W764" s="288"/>
      <c r="X764" s="288"/>
      <c r="Y764" s="288"/>
      <c r="Z764" s="288"/>
      <c r="AA764" s="288"/>
      <c r="AB764" s="288"/>
      <c r="AC764" s="288"/>
      <c r="AD764" s="288"/>
      <c r="AE764" s="288"/>
      <c r="AF764" s="288"/>
      <c r="AG764" s="288"/>
      <c r="AH764" s="288"/>
      <c r="AI764" s="288"/>
    </row>
    <row r="765" spans="1:35" ht="12.75" customHeight="1" x14ac:dyDescent="0.2">
      <c r="A765" s="288"/>
      <c r="B765" s="288"/>
      <c r="C765" s="288"/>
      <c r="D765" s="288"/>
      <c r="E765" s="288"/>
      <c r="F765" s="288"/>
      <c r="G765" s="288"/>
      <c r="H765" s="288"/>
      <c r="I765" s="288"/>
      <c r="J765" s="288"/>
      <c r="K765" s="288"/>
      <c r="L765" s="288"/>
      <c r="M765" s="288"/>
      <c r="N765" s="288"/>
      <c r="O765" s="288"/>
      <c r="P765" s="288"/>
      <c r="Q765" s="288"/>
      <c r="R765" s="288"/>
      <c r="S765" s="288"/>
      <c r="T765" s="288"/>
      <c r="U765" s="288"/>
      <c r="V765" s="288"/>
      <c r="W765" s="288"/>
      <c r="X765" s="288"/>
      <c r="Y765" s="288"/>
      <c r="Z765" s="288"/>
      <c r="AA765" s="288"/>
      <c r="AB765" s="288"/>
      <c r="AC765" s="288"/>
      <c r="AD765" s="288"/>
      <c r="AE765" s="288"/>
      <c r="AF765" s="288"/>
      <c r="AG765" s="288"/>
      <c r="AH765" s="288"/>
      <c r="AI765" s="288"/>
    </row>
    <row r="766" spans="1:35" ht="12.75" customHeight="1" x14ac:dyDescent="0.2">
      <c r="A766" s="288"/>
      <c r="B766" s="288"/>
      <c r="C766" s="288"/>
      <c r="D766" s="288"/>
      <c r="E766" s="288"/>
      <c r="F766" s="288"/>
      <c r="G766" s="288"/>
      <c r="H766" s="288"/>
      <c r="I766" s="288"/>
      <c r="J766" s="288"/>
      <c r="K766" s="288"/>
      <c r="L766" s="288"/>
      <c r="M766" s="288"/>
      <c r="N766" s="288"/>
      <c r="O766" s="288"/>
      <c r="P766" s="288"/>
      <c r="Q766" s="288"/>
      <c r="R766" s="288"/>
      <c r="S766" s="288"/>
      <c r="T766" s="288"/>
      <c r="U766" s="288"/>
      <c r="V766" s="288"/>
      <c r="W766" s="288"/>
      <c r="X766" s="288"/>
      <c r="Y766" s="288"/>
      <c r="Z766" s="288"/>
      <c r="AA766" s="288"/>
      <c r="AB766" s="288"/>
      <c r="AC766" s="288"/>
      <c r="AD766" s="288"/>
      <c r="AE766" s="288"/>
      <c r="AF766" s="288"/>
      <c r="AG766" s="288"/>
      <c r="AH766" s="288"/>
      <c r="AI766" s="288"/>
    </row>
    <row r="767" spans="1:35" ht="12.75" customHeight="1" x14ac:dyDescent="0.2">
      <c r="A767" s="288"/>
      <c r="B767" s="288"/>
      <c r="C767" s="288"/>
      <c r="D767" s="288"/>
      <c r="E767" s="288"/>
      <c r="F767" s="288"/>
      <c r="G767" s="288"/>
      <c r="H767" s="288"/>
      <c r="I767" s="288"/>
      <c r="J767" s="288"/>
      <c r="K767" s="288"/>
      <c r="L767" s="288"/>
      <c r="M767" s="288"/>
      <c r="N767" s="288"/>
      <c r="O767" s="288"/>
      <c r="P767" s="288"/>
      <c r="Q767" s="288"/>
      <c r="R767" s="288"/>
      <c r="S767" s="288"/>
      <c r="T767" s="288"/>
      <c r="U767" s="288"/>
      <c r="V767" s="288"/>
      <c r="W767" s="288"/>
      <c r="X767" s="288"/>
      <c r="Y767" s="288"/>
      <c r="Z767" s="288"/>
      <c r="AA767" s="288"/>
      <c r="AB767" s="288"/>
      <c r="AC767" s="288"/>
      <c r="AD767" s="288"/>
      <c r="AE767" s="288"/>
      <c r="AF767" s="288"/>
      <c r="AG767" s="288"/>
      <c r="AH767" s="288"/>
      <c r="AI767" s="288"/>
    </row>
    <row r="768" spans="1:35" ht="12.75" customHeight="1" x14ac:dyDescent="0.2">
      <c r="A768" s="288"/>
      <c r="B768" s="288"/>
      <c r="C768" s="288"/>
      <c r="D768" s="288"/>
      <c r="E768" s="288"/>
      <c r="F768" s="288"/>
      <c r="G768" s="288"/>
      <c r="H768" s="288"/>
      <c r="I768" s="288"/>
      <c r="J768" s="288"/>
      <c r="K768" s="288"/>
      <c r="L768" s="288"/>
      <c r="M768" s="288"/>
      <c r="N768" s="288"/>
      <c r="O768" s="288"/>
      <c r="P768" s="288"/>
      <c r="Q768" s="288"/>
      <c r="R768" s="288"/>
      <c r="S768" s="288"/>
      <c r="T768" s="288"/>
      <c r="U768" s="288"/>
      <c r="V768" s="288"/>
      <c r="W768" s="288"/>
      <c r="X768" s="288"/>
      <c r="Y768" s="288"/>
      <c r="Z768" s="288"/>
      <c r="AA768" s="288"/>
      <c r="AB768" s="288"/>
      <c r="AC768" s="288"/>
      <c r="AD768" s="288"/>
      <c r="AE768" s="288"/>
      <c r="AF768" s="288"/>
      <c r="AG768" s="288"/>
      <c r="AH768" s="288"/>
      <c r="AI768" s="288"/>
    </row>
    <row r="769" spans="1:35" ht="12.75" customHeight="1" x14ac:dyDescent="0.2">
      <c r="A769" s="288"/>
      <c r="B769" s="288"/>
      <c r="C769" s="288"/>
      <c r="D769" s="288"/>
      <c r="E769" s="288"/>
      <c r="F769" s="288"/>
      <c r="G769" s="288"/>
      <c r="H769" s="288"/>
      <c r="I769" s="288"/>
      <c r="J769" s="288"/>
      <c r="K769" s="288"/>
      <c r="L769" s="288"/>
      <c r="M769" s="288"/>
      <c r="N769" s="288"/>
      <c r="O769" s="288"/>
      <c r="P769" s="288"/>
      <c r="Q769" s="288"/>
      <c r="R769" s="288"/>
      <c r="S769" s="288"/>
      <c r="T769" s="288"/>
      <c r="U769" s="288"/>
      <c r="V769" s="288"/>
      <c r="W769" s="288"/>
      <c r="X769" s="288"/>
      <c r="Y769" s="288"/>
      <c r="Z769" s="288"/>
      <c r="AA769" s="288"/>
      <c r="AB769" s="288"/>
      <c r="AC769" s="288"/>
      <c r="AD769" s="288"/>
      <c r="AE769" s="288"/>
      <c r="AF769" s="288"/>
      <c r="AG769" s="288"/>
      <c r="AH769" s="288"/>
      <c r="AI769" s="288"/>
    </row>
    <row r="770" spans="1:35" ht="12.75" customHeight="1" x14ac:dyDescent="0.2">
      <c r="A770" s="288"/>
      <c r="B770" s="288"/>
      <c r="C770" s="288"/>
      <c r="D770" s="288"/>
      <c r="E770" s="288"/>
      <c r="F770" s="288"/>
      <c r="G770" s="288"/>
      <c r="H770" s="288"/>
      <c r="I770" s="288"/>
      <c r="J770" s="288"/>
      <c r="K770" s="288"/>
      <c r="L770" s="288"/>
      <c r="M770" s="288"/>
      <c r="N770" s="288"/>
      <c r="O770" s="288"/>
      <c r="P770" s="288"/>
      <c r="Q770" s="288"/>
      <c r="R770" s="288"/>
      <c r="S770" s="288"/>
      <c r="T770" s="288"/>
      <c r="U770" s="288"/>
      <c r="V770" s="288"/>
      <c r="W770" s="288"/>
      <c r="X770" s="288"/>
      <c r="Y770" s="288"/>
      <c r="Z770" s="288"/>
      <c r="AA770" s="288"/>
      <c r="AB770" s="288"/>
      <c r="AC770" s="288"/>
      <c r="AD770" s="288"/>
      <c r="AE770" s="288"/>
      <c r="AF770" s="288"/>
      <c r="AG770" s="288"/>
      <c r="AH770" s="288"/>
      <c r="AI770" s="288"/>
    </row>
    <row r="771" spans="1:35" ht="12.75" customHeight="1" x14ac:dyDescent="0.2">
      <c r="A771" s="288"/>
      <c r="B771" s="288"/>
      <c r="C771" s="288"/>
      <c r="D771" s="288"/>
      <c r="E771" s="288"/>
      <c r="F771" s="288"/>
      <c r="G771" s="288"/>
      <c r="H771" s="288"/>
      <c r="I771" s="288"/>
      <c r="J771" s="288"/>
      <c r="K771" s="288"/>
      <c r="L771" s="288"/>
      <c r="M771" s="288"/>
      <c r="N771" s="288"/>
      <c r="O771" s="288"/>
      <c r="P771" s="288"/>
      <c r="Q771" s="288"/>
      <c r="R771" s="288"/>
      <c r="S771" s="288"/>
      <c r="T771" s="288"/>
      <c r="U771" s="288"/>
      <c r="V771" s="288"/>
      <c r="W771" s="288"/>
      <c r="X771" s="288"/>
      <c r="Y771" s="288"/>
      <c r="Z771" s="288"/>
      <c r="AA771" s="288"/>
      <c r="AB771" s="288"/>
      <c r="AC771" s="288"/>
      <c r="AD771" s="288"/>
      <c r="AE771" s="288"/>
      <c r="AF771" s="288"/>
      <c r="AG771" s="288"/>
      <c r="AH771" s="288"/>
      <c r="AI771" s="288"/>
    </row>
    <row r="772" spans="1:35" ht="12.75" customHeight="1" x14ac:dyDescent="0.2">
      <c r="A772" s="288"/>
      <c r="B772" s="288"/>
      <c r="C772" s="288"/>
      <c r="D772" s="288"/>
      <c r="E772" s="288"/>
      <c r="F772" s="288"/>
      <c r="G772" s="288"/>
      <c r="H772" s="288"/>
      <c r="I772" s="288"/>
      <c r="J772" s="288"/>
      <c r="K772" s="288"/>
      <c r="L772" s="288"/>
      <c r="M772" s="288"/>
      <c r="N772" s="288"/>
      <c r="O772" s="288"/>
      <c r="P772" s="288"/>
      <c r="Q772" s="288"/>
      <c r="R772" s="288"/>
      <c r="S772" s="288"/>
      <c r="T772" s="288"/>
      <c r="U772" s="288"/>
      <c r="V772" s="288"/>
      <c r="W772" s="288"/>
      <c r="X772" s="288"/>
      <c r="Y772" s="288"/>
      <c r="Z772" s="288"/>
      <c r="AA772" s="288"/>
      <c r="AB772" s="288"/>
      <c r="AC772" s="288"/>
      <c r="AD772" s="288"/>
      <c r="AE772" s="288"/>
      <c r="AF772" s="288"/>
      <c r="AG772" s="288"/>
      <c r="AH772" s="288"/>
      <c r="AI772" s="288"/>
    </row>
    <row r="773" spans="1:35" ht="12.75" customHeight="1" x14ac:dyDescent="0.2">
      <c r="A773" s="288"/>
      <c r="B773" s="288"/>
      <c r="C773" s="288"/>
      <c r="D773" s="288"/>
      <c r="E773" s="288"/>
      <c r="F773" s="288"/>
      <c r="G773" s="288"/>
      <c r="H773" s="288"/>
      <c r="I773" s="288"/>
      <c r="J773" s="288"/>
      <c r="K773" s="288"/>
      <c r="L773" s="288"/>
      <c r="M773" s="288"/>
      <c r="N773" s="288"/>
      <c r="O773" s="288"/>
      <c r="P773" s="288"/>
      <c r="Q773" s="288"/>
      <c r="R773" s="288"/>
      <c r="S773" s="288"/>
      <c r="T773" s="288"/>
      <c r="U773" s="288"/>
      <c r="V773" s="288"/>
      <c r="W773" s="288"/>
      <c r="X773" s="288"/>
      <c r="Y773" s="288"/>
      <c r="Z773" s="288"/>
      <c r="AA773" s="288"/>
      <c r="AB773" s="288"/>
      <c r="AC773" s="288"/>
      <c r="AD773" s="288"/>
      <c r="AE773" s="288"/>
      <c r="AF773" s="288"/>
      <c r="AG773" s="288"/>
      <c r="AH773" s="288"/>
      <c r="AI773" s="288"/>
    </row>
    <row r="774" spans="1:35" ht="12.75" customHeight="1" x14ac:dyDescent="0.2">
      <c r="A774" s="288"/>
      <c r="B774" s="288"/>
      <c r="C774" s="288"/>
      <c r="D774" s="288"/>
      <c r="E774" s="288"/>
      <c r="F774" s="288"/>
      <c r="G774" s="288"/>
      <c r="H774" s="288"/>
      <c r="I774" s="288"/>
      <c r="J774" s="288"/>
      <c r="K774" s="288"/>
      <c r="L774" s="288"/>
      <c r="M774" s="288"/>
      <c r="N774" s="288"/>
      <c r="O774" s="288"/>
      <c r="P774" s="288"/>
      <c r="Q774" s="288"/>
      <c r="R774" s="288"/>
      <c r="S774" s="288"/>
      <c r="T774" s="288"/>
      <c r="U774" s="288"/>
      <c r="V774" s="288"/>
      <c r="W774" s="288"/>
      <c r="X774" s="288"/>
      <c r="Y774" s="288"/>
      <c r="Z774" s="288"/>
      <c r="AA774" s="288"/>
      <c r="AB774" s="288"/>
      <c r="AC774" s="288"/>
      <c r="AD774" s="288"/>
      <c r="AE774" s="288"/>
      <c r="AF774" s="288"/>
      <c r="AG774" s="288"/>
      <c r="AH774" s="288"/>
      <c r="AI774" s="288"/>
    </row>
    <row r="775" spans="1:35" ht="12.75" customHeight="1" x14ac:dyDescent="0.2">
      <c r="A775" s="288"/>
      <c r="B775" s="288"/>
      <c r="C775" s="288"/>
      <c r="D775" s="288"/>
      <c r="E775" s="288"/>
      <c r="F775" s="288"/>
      <c r="G775" s="288"/>
      <c r="H775" s="288"/>
      <c r="I775" s="288"/>
      <c r="J775" s="288"/>
      <c r="K775" s="288"/>
      <c r="L775" s="288"/>
      <c r="M775" s="288"/>
      <c r="N775" s="288"/>
      <c r="O775" s="288"/>
      <c r="P775" s="288"/>
      <c r="Q775" s="288"/>
      <c r="R775" s="288"/>
      <c r="S775" s="288"/>
      <c r="T775" s="288"/>
      <c r="U775" s="288"/>
      <c r="V775" s="288"/>
      <c r="W775" s="288"/>
      <c r="X775" s="288"/>
      <c r="Y775" s="288"/>
      <c r="Z775" s="288"/>
      <c r="AA775" s="288"/>
      <c r="AB775" s="288"/>
      <c r="AC775" s="288"/>
      <c r="AD775" s="288"/>
      <c r="AE775" s="288"/>
      <c r="AF775" s="288"/>
      <c r="AG775" s="288"/>
      <c r="AH775" s="288"/>
      <c r="AI775" s="288"/>
    </row>
    <row r="776" spans="1:35" ht="12.75" customHeight="1" x14ac:dyDescent="0.2">
      <c r="A776" s="288"/>
      <c r="B776" s="288"/>
      <c r="C776" s="288"/>
      <c r="D776" s="288"/>
      <c r="E776" s="288"/>
      <c r="F776" s="288"/>
      <c r="G776" s="288"/>
      <c r="H776" s="288"/>
      <c r="I776" s="288"/>
      <c r="J776" s="288"/>
      <c r="K776" s="288"/>
      <c r="L776" s="288"/>
      <c r="M776" s="288"/>
      <c r="N776" s="288"/>
      <c r="O776" s="288"/>
      <c r="P776" s="288"/>
      <c r="Q776" s="288"/>
      <c r="R776" s="288"/>
      <c r="S776" s="288"/>
      <c r="T776" s="288"/>
      <c r="U776" s="288"/>
      <c r="V776" s="288"/>
      <c r="W776" s="288"/>
      <c r="X776" s="288"/>
      <c r="Y776" s="288"/>
      <c r="Z776" s="288"/>
      <c r="AA776" s="288"/>
      <c r="AB776" s="288"/>
      <c r="AC776" s="288"/>
      <c r="AD776" s="288"/>
      <c r="AE776" s="288"/>
      <c r="AF776" s="288"/>
      <c r="AG776" s="288"/>
      <c r="AH776" s="288"/>
      <c r="AI776" s="288"/>
    </row>
    <row r="777" spans="1:35" ht="12.75" customHeight="1" x14ac:dyDescent="0.2">
      <c r="A777" s="288"/>
      <c r="B777" s="288"/>
      <c r="C777" s="288"/>
      <c r="D777" s="288"/>
      <c r="E777" s="288"/>
      <c r="F777" s="288"/>
      <c r="G777" s="288"/>
      <c r="H777" s="288"/>
      <c r="I777" s="288"/>
      <c r="J777" s="288"/>
      <c r="K777" s="288"/>
      <c r="L777" s="288"/>
      <c r="M777" s="288"/>
      <c r="N777" s="288"/>
      <c r="O777" s="288"/>
      <c r="P777" s="288"/>
      <c r="Q777" s="288"/>
      <c r="R777" s="288"/>
      <c r="S777" s="288"/>
      <c r="T777" s="288"/>
      <c r="U777" s="288"/>
      <c r="V777" s="288"/>
      <c r="W777" s="288"/>
      <c r="X777" s="288"/>
      <c r="Y777" s="288"/>
      <c r="Z777" s="288"/>
      <c r="AA777" s="288"/>
      <c r="AB777" s="288"/>
      <c r="AC777" s="288"/>
      <c r="AD777" s="288"/>
      <c r="AE777" s="288"/>
      <c r="AF777" s="288"/>
      <c r="AG777" s="288"/>
      <c r="AH777" s="288"/>
      <c r="AI777" s="288"/>
    </row>
    <row r="778" spans="1:35" ht="12.75" customHeight="1" x14ac:dyDescent="0.2">
      <c r="A778" s="288"/>
      <c r="B778" s="288"/>
      <c r="C778" s="288"/>
      <c r="D778" s="288"/>
      <c r="E778" s="288"/>
      <c r="F778" s="288"/>
      <c r="G778" s="288"/>
      <c r="H778" s="288"/>
      <c r="I778" s="288"/>
      <c r="J778" s="288"/>
      <c r="K778" s="288"/>
      <c r="L778" s="288"/>
      <c r="M778" s="288"/>
      <c r="N778" s="288"/>
      <c r="O778" s="288"/>
      <c r="P778" s="288"/>
      <c r="Q778" s="288"/>
      <c r="R778" s="288"/>
      <c r="S778" s="288"/>
      <c r="T778" s="288"/>
      <c r="U778" s="288"/>
      <c r="V778" s="288"/>
      <c r="W778" s="288"/>
      <c r="X778" s="288"/>
      <c r="Y778" s="288"/>
      <c r="Z778" s="288"/>
      <c r="AA778" s="288"/>
      <c r="AB778" s="288"/>
      <c r="AC778" s="288"/>
      <c r="AD778" s="288"/>
      <c r="AE778" s="288"/>
      <c r="AF778" s="288"/>
      <c r="AG778" s="288"/>
      <c r="AH778" s="288"/>
      <c r="AI778" s="288"/>
    </row>
    <row r="779" spans="1:35" ht="12.75" customHeight="1" x14ac:dyDescent="0.2">
      <c r="A779" s="288"/>
      <c r="B779" s="288"/>
      <c r="C779" s="288"/>
      <c r="D779" s="288"/>
      <c r="E779" s="288"/>
      <c r="F779" s="288"/>
      <c r="G779" s="288"/>
      <c r="H779" s="288"/>
      <c r="I779" s="288"/>
      <c r="J779" s="288"/>
      <c r="K779" s="288"/>
      <c r="L779" s="288"/>
      <c r="M779" s="288"/>
      <c r="N779" s="288"/>
      <c r="O779" s="288"/>
      <c r="P779" s="288"/>
      <c r="Q779" s="288"/>
      <c r="R779" s="288"/>
      <c r="S779" s="288"/>
      <c r="T779" s="288"/>
      <c r="U779" s="288"/>
      <c r="V779" s="288"/>
      <c r="W779" s="288"/>
      <c r="X779" s="288"/>
      <c r="Y779" s="288"/>
      <c r="Z779" s="288"/>
      <c r="AA779" s="288"/>
      <c r="AB779" s="288"/>
      <c r="AC779" s="288"/>
      <c r="AD779" s="288"/>
      <c r="AE779" s="288"/>
      <c r="AF779" s="288"/>
      <c r="AG779" s="288"/>
      <c r="AH779" s="288"/>
      <c r="AI779" s="288"/>
    </row>
    <row r="780" spans="1:35" ht="12.75" customHeight="1" x14ac:dyDescent="0.2">
      <c r="A780" s="288"/>
      <c r="B780" s="288"/>
      <c r="C780" s="288"/>
      <c r="D780" s="288"/>
      <c r="E780" s="288"/>
      <c r="F780" s="288"/>
      <c r="G780" s="288"/>
      <c r="H780" s="288"/>
      <c r="I780" s="288"/>
      <c r="J780" s="288"/>
      <c r="K780" s="288"/>
      <c r="L780" s="288"/>
      <c r="M780" s="288"/>
      <c r="N780" s="288"/>
      <c r="O780" s="288"/>
      <c r="P780" s="288"/>
      <c r="Q780" s="288"/>
      <c r="R780" s="288"/>
      <c r="S780" s="288"/>
      <c r="T780" s="288"/>
      <c r="U780" s="288"/>
      <c r="V780" s="288"/>
      <c r="W780" s="288"/>
      <c r="X780" s="288"/>
      <c r="Y780" s="288"/>
      <c r="Z780" s="288"/>
      <c r="AA780" s="288"/>
      <c r="AB780" s="288"/>
      <c r="AC780" s="288"/>
      <c r="AD780" s="288"/>
      <c r="AE780" s="288"/>
      <c r="AF780" s="288"/>
      <c r="AG780" s="288"/>
      <c r="AH780" s="288"/>
      <c r="AI780" s="288"/>
    </row>
    <row r="781" spans="1:35" ht="12.75" customHeight="1" x14ac:dyDescent="0.2">
      <c r="A781" s="288"/>
      <c r="B781" s="288"/>
      <c r="C781" s="288"/>
      <c r="D781" s="288"/>
      <c r="E781" s="288"/>
      <c r="F781" s="288"/>
      <c r="G781" s="288"/>
      <c r="H781" s="288"/>
      <c r="I781" s="288"/>
      <c r="J781" s="288"/>
      <c r="K781" s="288"/>
      <c r="L781" s="288"/>
      <c r="M781" s="288"/>
      <c r="N781" s="288"/>
      <c r="O781" s="288"/>
      <c r="P781" s="288"/>
      <c r="Q781" s="288"/>
      <c r="R781" s="288"/>
      <c r="S781" s="288"/>
      <c r="T781" s="288"/>
      <c r="U781" s="288"/>
      <c r="V781" s="288"/>
      <c r="W781" s="288"/>
      <c r="X781" s="288"/>
      <c r="Y781" s="288"/>
      <c r="Z781" s="288"/>
      <c r="AA781" s="288"/>
      <c r="AB781" s="288"/>
      <c r="AC781" s="288"/>
      <c r="AD781" s="288"/>
      <c r="AE781" s="288"/>
      <c r="AF781" s="288"/>
      <c r="AG781" s="288"/>
      <c r="AH781" s="288"/>
      <c r="AI781" s="288"/>
    </row>
    <row r="782" spans="1:35" ht="12.75" customHeight="1" x14ac:dyDescent="0.2">
      <c r="A782" s="288"/>
      <c r="B782" s="288"/>
      <c r="C782" s="288"/>
      <c r="D782" s="288"/>
      <c r="E782" s="288"/>
      <c r="F782" s="288"/>
      <c r="G782" s="288"/>
      <c r="H782" s="288"/>
      <c r="I782" s="288"/>
      <c r="J782" s="288"/>
      <c r="K782" s="288"/>
      <c r="L782" s="288"/>
      <c r="M782" s="288"/>
      <c r="N782" s="288"/>
      <c r="O782" s="288"/>
      <c r="P782" s="288"/>
      <c r="Q782" s="288"/>
      <c r="R782" s="288"/>
      <c r="S782" s="288"/>
      <c r="T782" s="288"/>
      <c r="U782" s="288"/>
      <c r="V782" s="288"/>
      <c r="W782" s="288"/>
      <c r="X782" s="288"/>
      <c r="Y782" s="288"/>
      <c r="Z782" s="288"/>
      <c r="AA782" s="288"/>
      <c r="AB782" s="288"/>
      <c r="AC782" s="288"/>
      <c r="AD782" s="288"/>
      <c r="AE782" s="288"/>
      <c r="AF782" s="288"/>
      <c r="AG782" s="288"/>
      <c r="AH782" s="288"/>
      <c r="AI782" s="288"/>
    </row>
    <row r="783" spans="1:35" ht="12.75" customHeight="1" x14ac:dyDescent="0.2">
      <c r="A783" s="288"/>
      <c r="B783" s="288"/>
      <c r="C783" s="288"/>
      <c r="D783" s="288"/>
      <c r="E783" s="288"/>
      <c r="F783" s="288"/>
      <c r="G783" s="288"/>
      <c r="H783" s="288"/>
      <c r="I783" s="288"/>
      <c r="J783" s="288"/>
      <c r="K783" s="288"/>
      <c r="L783" s="288"/>
      <c r="M783" s="288"/>
      <c r="N783" s="288"/>
      <c r="O783" s="288"/>
      <c r="P783" s="288"/>
      <c r="Q783" s="288"/>
      <c r="R783" s="288"/>
      <c r="S783" s="288"/>
      <c r="T783" s="288"/>
      <c r="U783" s="288"/>
      <c r="V783" s="288"/>
      <c r="W783" s="288"/>
      <c r="X783" s="288"/>
      <c r="Y783" s="288"/>
      <c r="Z783" s="288"/>
      <c r="AA783" s="288"/>
      <c r="AB783" s="288"/>
      <c r="AC783" s="288"/>
      <c r="AD783" s="288"/>
      <c r="AE783" s="288"/>
      <c r="AF783" s="288"/>
      <c r="AG783" s="288"/>
      <c r="AH783" s="288"/>
      <c r="AI783" s="288"/>
    </row>
    <row r="784" spans="1:35" ht="12.75" customHeight="1" x14ac:dyDescent="0.2">
      <c r="A784" s="288"/>
      <c r="B784" s="288"/>
      <c r="C784" s="288"/>
      <c r="D784" s="288"/>
      <c r="E784" s="288"/>
      <c r="F784" s="288"/>
      <c r="G784" s="288"/>
      <c r="H784" s="288"/>
      <c r="I784" s="288"/>
      <c r="J784" s="288"/>
      <c r="K784" s="288"/>
      <c r="L784" s="288"/>
      <c r="M784" s="288"/>
      <c r="N784" s="288"/>
      <c r="O784" s="288"/>
      <c r="P784" s="288"/>
      <c r="Q784" s="288"/>
      <c r="R784" s="288"/>
      <c r="S784" s="288"/>
      <c r="T784" s="288"/>
      <c r="U784" s="288"/>
      <c r="V784" s="288"/>
      <c r="W784" s="288"/>
      <c r="X784" s="288"/>
      <c r="Y784" s="288"/>
      <c r="Z784" s="288"/>
      <c r="AA784" s="288"/>
      <c r="AB784" s="288"/>
      <c r="AC784" s="288"/>
      <c r="AD784" s="288"/>
      <c r="AE784" s="288"/>
      <c r="AF784" s="288"/>
      <c r="AG784" s="288"/>
      <c r="AH784" s="288"/>
      <c r="AI784" s="288"/>
    </row>
    <row r="785" spans="1:35" ht="12.75" customHeight="1" x14ac:dyDescent="0.2">
      <c r="A785" s="288"/>
      <c r="B785" s="288"/>
      <c r="C785" s="288"/>
      <c r="D785" s="288"/>
      <c r="E785" s="288"/>
      <c r="F785" s="288"/>
      <c r="G785" s="288"/>
      <c r="H785" s="288"/>
      <c r="I785" s="288"/>
      <c r="J785" s="288"/>
      <c r="K785" s="288"/>
      <c r="L785" s="288"/>
      <c r="M785" s="288"/>
      <c r="N785" s="288"/>
      <c r="O785" s="288"/>
      <c r="P785" s="288"/>
      <c r="Q785" s="288"/>
      <c r="R785" s="288"/>
      <c r="S785" s="288"/>
      <c r="T785" s="288"/>
      <c r="U785" s="288"/>
      <c r="V785" s="288"/>
      <c r="W785" s="288"/>
      <c r="X785" s="288"/>
      <c r="Y785" s="288"/>
      <c r="Z785" s="288"/>
      <c r="AA785" s="288"/>
      <c r="AB785" s="288"/>
      <c r="AC785" s="288"/>
      <c r="AD785" s="288"/>
      <c r="AE785" s="288"/>
      <c r="AF785" s="288"/>
      <c r="AG785" s="288"/>
      <c r="AH785" s="288"/>
      <c r="AI785" s="288"/>
    </row>
    <row r="786" spans="1:35" ht="12.75" customHeight="1" x14ac:dyDescent="0.2">
      <c r="A786" s="288"/>
      <c r="B786" s="288"/>
      <c r="C786" s="288"/>
      <c r="D786" s="288"/>
      <c r="E786" s="288"/>
      <c r="F786" s="288"/>
      <c r="G786" s="288"/>
      <c r="H786" s="288"/>
      <c r="I786" s="288"/>
      <c r="J786" s="288"/>
      <c r="K786" s="288"/>
      <c r="L786" s="288"/>
      <c r="M786" s="288"/>
      <c r="N786" s="288"/>
      <c r="O786" s="288"/>
      <c r="P786" s="288"/>
      <c r="Q786" s="288"/>
      <c r="R786" s="288"/>
      <c r="S786" s="288"/>
      <c r="T786" s="288"/>
      <c r="U786" s="288"/>
      <c r="V786" s="288"/>
      <c r="W786" s="288"/>
      <c r="X786" s="288"/>
      <c r="Y786" s="288"/>
      <c r="Z786" s="288"/>
      <c r="AA786" s="288"/>
      <c r="AB786" s="288"/>
      <c r="AC786" s="288"/>
      <c r="AD786" s="288"/>
      <c r="AE786" s="288"/>
      <c r="AF786" s="288"/>
      <c r="AG786" s="288"/>
      <c r="AH786" s="288"/>
      <c r="AI786" s="288"/>
    </row>
    <row r="787" spans="1:35" ht="12.75" customHeight="1" x14ac:dyDescent="0.2">
      <c r="A787" s="288"/>
      <c r="B787" s="288"/>
      <c r="C787" s="288"/>
      <c r="D787" s="288"/>
      <c r="E787" s="288"/>
      <c r="F787" s="288"/>
      <c r="G787" s="288"/>
      <c r="H787" s="288"/>
      <c r="I787" s="288"/>
      <c r="J787" s="288"/>
      <c r="K787" s="288"/>
      <c r="L787" s="288"/>
      <c r="M787" s="288"/>
      <c r="N787" s="288"/>
      <c r="O787" s="288"/>
      <c r="P787" s="288"/>
      <c r="Q787" s="288"/>
      <c r="R787" s="288"/>
      <c r="S787" s="288"/>
      <c r="T787" s="288"/>
      <c r="U787" s="288"/>
      <c r="V787" s="288"/>
      <c r="W787" s="288"/>
      <c r="X787" s="288"/>
      <c r="Y787" s="288"/>
      <c r="Z787" s="288"/>
      <c r="AA787" s="288"/>
      <c r="AB787" s="288"/>
      <c r="AC787" s="288"/>
      <c r="AD787" s="288"/>
      <c r="AE787" s="288"/>
      <c r="AF787" s="288"/>
      <c r="AG787" s="288"/>
      <c r="AH787" s="288"/>
      <c r="AI787" s="288"/>
    </row>
    <row r="788" spans="1:35" ht="12.75" customHeight="1" x14ac:dyDescent="0.2">
      <c r="A788" s="288"/>
      <c r="B788" s="288"/>
      <c r="C788" s="288"/>
      <c r="D788" s="288"/>
      <c r="E788" s="288"/>
      <c r="F788" s="288"/>
      <c r="G788" s="288"/>
      <c r="H788" s="288"/>
      <c r="I788" s="288"/>
      <c r="J788" s="288"/>
      <c r="K788" s="288"/>
      <c r="L788" s="288"/>
      <c r="M788" s="288"/>
      <c r="N788" s="288"/>
      <c r="O788" s="288"/>
      <c r="P788" s="288"/>
      <c r="Q788" s="288"/>
      <c r="R788" s="288"/>
      <c r="S788" s="288"/>
      <c r="T788" s="288"/>
      <c r="U788" s="288"/>
      <c r="V788" s="288"/>
      <c r="W788" s="288"/>
      <c r="X788" s="288"/>
      <c r="Y788" s="288"/>
      <c r="Z788" s="288"/>
      <c r="AA788" s="288"/>
      <c r="AB788" s="288"/>
      <c r="AC788" s="288"/>
      <c r="AD788" s="288"/>
      <c r="AE788" s="288"/>
      <c r="AF788" s="288"/>
      <c r="AG788" s="288"/>
      <c r="AH788" s="288"/>
      <c r="AI788" s="288"/>
    </row>
    <row r="789" spans="1:35" ht="12.75" customHeight="1" x14ac:dyDescent="0.2">
      <c r="A789" s="288"/>
      <c r="B789" s="288"/>
      <c r="C789" s="288"/>
      <c r="D789" s="288"/>
      <c r="E789" s="288"/>
      <c r="F789" s="288"/>
      <c r="G789" s="288"/>
      <c r="H789" s="288"/>
      <c r="I789" s="288"/>
      <c r="J789" s="288"/>
      <c r="K789" s="288"/>
      <c r="L789" s="288"/>
      <c r="M789" s="288"/>
      <c r="N789" s="288"/>
      <c r="O789" s="288"/>
      <c r="P789" s="288"/>
      <c r="Q789" s="288"/>
      <c r="R789" s="288"/>
      <c r="S789" s="288"/>
      <c r="T789" s="288"/>
      <c r="U789" s="288"/>
      <c r="V789" s="288"/>
      <c r="W789" s="288"/>
      <c r="X789" s="288"/>
      <c r="Y789" s="288"/>
      <c r="Z789" s="288"/>
      <c r="AA789" s="288"/>
      <c r="AB789" s="288"/>
      <c r="AC789" s="288"/>
      <c r="AD789" s="288"/>
      <c r="AE789" s="288"/>
      <c r="AF789" s="288"/>
      <c r="AG789" s="288"/>
      <c r="AH789" s="288"/>
      <c r="AI789" s="288"/>
    </row>
    <row r="790" spans="1:35" ht="12.75" customHeight="1" x14ac:dyDescent="0.2">
      <c r="A790" s="288"/>
      <c r="B790" s="288"/>
      <c r="C790" s="288"/>
      <c r="D790" s="288"/>
      <c r="E790" s="288"/>
      <c r="F790" s="288"/>
      <c r="G790" s="288"/>
      <c r="H790" s="288"/>
      <c r="I790" s="288"/>
      <c r="J790" s="288"/>
      <c r="K790" s="288"/>
      <c r="L790" s="288"/>
      <c r="M790" s="288"/>
      <c r="N790" s="288"/>
      <c r="O790" s="288"/>
      <c r="P790" s="288"/>
      <c r="Q790" s="288"/>
      <c r="R790" s="288"/>
      <c r="S790" s="288"/>
      <c r="T790" s="288"/>
      <c r="U790" s="288"/>
      <c r="V790" s="288"/>
      <c r="W790" s="288"/>
      <c r="X790" s="288"/>
      <c r="Y790" s="288"/>
      <c r="Z790" s="288"/>
      <c r="AA790" s="288"/>
      <c r="AB790" s="288"/>
      <c r="AC790" s="288"/>
      <c r="AD790" s="288"/>
      <c r="AE790" s="288"/>
      <c r="AF790" s="288"/>
      <c r="AG790" s="288"/>
      <c r="AH790" s="288"/>
      <c r="AI790" s="288"/>
    </row>
    <row r="791" spans="1:35" ht="12.75" customHeight="1" x14ac:dyDescent="0.2">
      <c r="A791" s="288"/>
      <c r="B791" s="288"/>
      <c r="C791" s="288"/>
      <c r="D791" s="288"/>
      <c r="E791" s="288"/>
      <c r="F791" s="288"/>
      <c r="G791" s="288"/>
      <c r="H791" s="288"/>
      <c r="I791" s="288"/>
      <c r="J791" s="288"/>
      <c r="K791" s="288"/>
      <c r="L791" s="288"/>
      <c r="M791" s="288"/>
      <c r="N791" s="288"/>
      <c r="O791" s="288"/>
      <c r="P791" s="288"/>
      <c r="Q791" s="288"/>
      <c r="R791" s="288"/>
      <c r="S791" s="288"/>
      <c r="T791" s="288"/>
      <c r="U791" s="288"/>
      <c r="V791" s="288"/>
      <c r="W791" s="288"/>
      <c r="X791" s="288"/>
      <c r="Y791" s="288"/>
      <c r="Z791" s="288"/>
      <c r="AA791" s="288"/>
      <c r="AB791" s="288"/>
      <c r="AC791" s="288"/>
      <c r="AD791" s="288"/>
      <c r="AE791" s="288"/>
      <c r="AF791" s="288"/>
      <c r="AG791" s="288"/>
      <c r="AH791" s="288"/>
      <c r="AI791" s="288"/>
    </row>
    <row r="792" spans="1:35" ht="12.75" customHeight="1" x14ac:dyDescent="0.2">
      <c r="A792" s="288"/>
      <c r="B792" s="288"/>
      <c r="C792" s="288"/>
      <c r="D792" s="288"/>
      <c r="E792" s="288"/>
      <c r="F792" s="288"/>
      <c r="G792" s="288"/>
      <c r="H792" s="288"/>
      <c r="I792" s="288"/>
      <c r="J792" s="288"/>
      <c r="K792" s="288"/>
      <c r="L792" s="288"/>
      <c r="M792" s="288"/>
      <c r="N792" s="288"/>
      <c r="O792" s="288"/>
      <c r="P792" s="288"/>
      <c r="Q792" s="288"/>
      <c r="R792" s="288"/>
      <c r="S792" s="288"/>
      <c r="T792" s="288"/>
      <c r="U792" s="288"/>
      <c r="V792" s="288"/>
      <c r="W792" s="288"/>
      <c r="X792" s="288"/>
      <c r="Y792" s="288"/>
      <c r="Z792" s="288"/>
      <c r="AA792" s="288"/>
      <c r="AB792" s="288"/>
      <c r="AC792" s="288"/>
      <c r="AD792" s="288"/>
      <c r="AE792" s="288"/>
      <c r="AF792" s="288"/>
      <c r="AG792" s="288"/>
      <c r="AH792" s="288"/>
      <c r="AI792" s="288"/>
    </row>
    <row r="793" spans="1:35" ht="12.75" customHeight="1" x14ac:dyDescent="0.2">
      <c r="A793" s="288"/>
      <c r="B793" s="288"/>
      <c r="C793" s="288"/>
      <c r="D793" s="288"/>
      <c r="E793" s="288"/>
      <c r="F793" s="288"/>
      <c r="G793" s="288"/>
      <c r="H793" s="288"/>
      <c r="I793" s="288"/>
      <c r="J793" s="288"/>
      <c r="K793" s="288"/>
      <c r="L793" s="288"/>
      <c r="M793" s="288"/>
      <c r="N793" s="288"/>
      <c r="O793" s="288"/>
      <c r="P793" s="288"/>
      <c r="Q793" s="288"/>
      <c r="R793" s="288"/>
      <c r="S793" s="288"/>
      <c r="T793" s="288"/>
      <c r="U793" s="288"/>
      <c r="V793" s="288"/>
      <c r="W793" s="288"/>
      <c r="X793" s="288"/>
      <c r="Y793" s="288"/>
      <c r="Z793" s="288"/>
      <c r="AA793" s="288"/>
      <c r="AB793" s="288"/>
      <c r="AC793" s="288"/>
      <c r="AD793" s="288"/>
      <c r="AE793" s="288"/>
      <c r="AF793" s="288"/>
      <c r="AG793" s="288"/>
      <c r="AH793" s="288"/>
      <c r="AI793" s="288"/>
    </row>
    <row r="794" spans="1:35" ht="12.75" customHeight="1" x14ac:dyDescent="0.2">
      <c r="A794" s="288"/>
      <c r="B794" s="288"/>
      <c r="C794" s="288"/>
      <c r="D794" s="288"/>
      <c r="E794" s="288"/>
      <c r="F794" s="288"/>
      <c r="G794" s="288"/>
      <c r="H794" s="288"/>
      <c r="I794" s="288"/>
      <c r="J794" s="288"/>
      <c r="K794" s="288"/>
      <c r="L794" s="288"/>
      <c r="M794" s="288"/>
      <c r="N794" s="288"/>
      <c r="O794" s="288"/>
      <c r="P794" s="288"/>
      <c r="Q794" s="288"/>
      <c r="R794" s="288"/>
      <c r="S794" s="288"/>
      <c r="T794" s="288"/>
      <c r="U794" s="288"/>
      <c r="V794" s="288"/>
      <c r="W794" s="288"/>
      <c r="X794" s="288"/>
      <c r="Y794" s="288"/>
      <c r="Z794" s="288"/>
      <c r="AA794" s="288"/>
      <c r="AB794" s="288"/>
      <c r="AC794" s="288"/>
      <c r="AD794" s="288"/>
      <c r="AE794" s="288"/>
      <c r="AF794" s="288"/>
      <c r="AG794" s="288"/>
      <c r="AH794" s="288"/>
      <c r="AI794" s="288"/>
    </row>
    <row r="795" spans="1:35" ht="12.75" customHeight="1" x14ac:dyDescent="0.2">
      <c r="A795" s="288"/>
      <c r="B795" s="288"/>
      <c r="C795" s="288"/>
      <c r="D795" s="288"/>
      <c r="E795" s="288"/>
      <c r="F795" s="288"/>
      <c r="G795" s="288"/>
      <c r="H795" s="288"/>
      <c r="I795" s="288"/>
      <c r="J795" s="288"/>
      <c r="K795" s="288"/>
      <c r="L795" s="288"/>
      <c r="M795" s="288"/>
      <c r="N795" s="288"/>
      <c r="O795" s="288"/>
      <c r="P795" s="288"/>
      <c r="Q795" s="288"/>
      <c r="R795" s="288"/>
      <c r="S795" s="288"/>
      <c r="T795" s="288"/>
      <c r="U795" s="288"/>
      <c r="V795" s="288"/>
      <c r="W795" s="288"/>
      <c r="X795" s="288"/>
      <c r="Y795" s="288"/>
      <c r="Z795" s="288"/>
      <c r="AA795" s="288"/>
      <c r="AB795" s="288"/>
      <c r="AC795" s="288"/>
      <c r="AD795" s="288"/>
      <c r="AE795" s="288"/>
      <c r="AF795" s="288"/>
      <c r="AG795" s="288"/>
      <c r="AH795" s="288"/>
      <c r="AI795" s="288"/>
    </row>
    <row r="796" spans="1:35" ht="12.75" customHeight="1" x14ac:dyDescent="0.2">
      <c r="A796" s="288"/>
      <c r="B796" s="288"/>
      <c r="C796" s="288"/>
      <c r="D796" s="288"/>
      <c r="E796" s="288"/>
      <c r="F796" s="288"/>
      <c r="G796" s="288"/>
      <c r="H796" s="288"/>
      <c r="I796" s="288"/>
      <c r="J796" s="288"/>
      <c r="K796" s="288"/>
      <c r="L796" s="288"/>
      <c r="M796" s="288"/>
      <c r="N796" s="288"/>
      <c r="O796" s="288"/>
      <c r="P796" s="288"/>
      <c r="Q796" s="288"/>
      <c r="R796" s="288"/>
      <c r="S796" s="288"/>
      <c r="T796" s="288"/>
      <c r="U796" s="288"/>
      <c r="V796" s="288"/>
      <c r="W796" s="288"/>
      <c r="X796" s="288"/>
      <c r="Y796" s="288"/>
      <c r="Z796" s="288"/>
      <c r="AA796" s="288"/>
      <c r="AB796" s="288"/>
      <c r="AC796" s="288"/>
      <c r="AD796" s="288"/>
      <c r="AE796" s="288"/>
      <c r="AF796" s="288"/>
      <c r="AG796" s="288"/>
      <c r="AH796" s="288"/>
      <c r="AI796" s="288"/>
    </row>
    <row r="797" spans="1:35" ht="12.75" customHeight="1" x14ac:dyDescent="0.2">
      <c r="A797" s="288"/>
      <c r="B797" s="288"/>
      <c r="C797" s="288"/>
      <c r="D797" s="288"/>
      <c r="E797" s="288"/>
      <c r="F797" s="288"/>
      <c r="G797" s="288"/>
      <c r="H797" s="288"/>
      <c r="I797" s="288"/>
      <c r="J797" s="288"/>
      <c r="K797" s="288"/>
      <c r="L797" s="288"/>
      <c r="M797" s="288"/>
      <c r="N797" s="288"/>
      <c r="O797" s="288"/>
      <c r="P797" s="288"/>
      <c r="Q797" s="288"/>
      <c r="R797" s="288"/>
      <c r="S797" s="288"/>
      <c r="T797" s="288"/>
      <c r="U797" s="288"/>
      <c r="V797" s="288"/>
      <c r="W797" s="288"/>
      <c r="X797" s="288"/>
      <c r="Y797" s="288"/>
      <c r="Z797" s="288"/>
      <c r="AA797" s="288"/>
      <c r="AB797" s="288"/>
      <c r="AC797" s="288"/>
      <c r="AD797" s="288"/>
      <c r="AE797" s="288"/>
      <c r="AF797" s="288"/>
      <c r="AG797" s="288"/>
      <c r="AH797" s="288"/>
      <c r="AI797" s="288"/>
    </row>
    <row r="798" spans="1:35" ht="12.75" customHeight="1" x14ac:dyDescent="0.2">
      <c r="A798" s="288"/>
      <c r="B798" s="288"/>
      <c r="C798" s="288"/>
      <c r="D798" s="288"/>
      <c r="E798" s="288"/>
      <c r="F798" s="288"/>
      <c r="G798" s="288"/>
      <c r="H798" s="288"/>
      <c r="I798" s="288"/>
      <c r="J798" s="288"/>
      <c r="K798" s="288"/>
      <c r="L798" s="288"/>
      <c r="M798" s="288"/>
      <c r="N798" s="288"/>
      <c r="O798" s="288"/>
      <c r="P798" s="288"/>
      <c r="Q798" s="288"/>
      <c r="R798" s="288"/>
      <c r="S798" s="288"/>
      <c r="T798" s="288"/>
      <c r="U798" s="288"/>
      <c r="V798" s="288"/>
      <c r="W798" s="288"/>
      <c r="X798" s="288"/>
      <c r="Y798" s="288"/>
      <c r="Z798" s="288"/>
      <c r="AA798" s="288"/>
      <c r="AB798" s="288"/>
      <c r="AC798" s="288"/>
      <c r="AD798" s="288"/>
      <c r="AE798" s="288"/>
      <c r="AF798" s="288"/>
      <c r="AG798" s="288"/>
      <c r="AH798" s="288"/>
      <c r="AI798" s="288"/>
    </row>
    <row r="799" spans="1:35" ht="12.75" customHeight="1" x14ac:dyDescent="0.2">
      <c r="A799" s="288"/>
      <c r="B799" s="288"/>
      <c r="C799" s="288"/>
      <c r="D799" s="288"/>
      <c r="E799" s="288"/>
      <c r="F799" s="288"/>
      <c r="G799" s="288"/>
      <c r="H799" s="288"/>
      <c r="I799" s="288"/>
      <c r="J799" s="288"/>
      <c r="K799" s="288"/>
      <c r="L799" s="288"/>
      <c r="M799" s="288"/>
      <c r="N799" s="288"/>
      <c r="O799" s="288"/>
      <c r="P799" s="288"/>
      <c r="Q799" s="288"/>
      <c r="R799" s="288"/>
      <c r="S799" s="288"/>
      <c r="T799" s="288"/>
      <c r="U799" s="288"/>
      <c r="V799" s="288"/>
      <c r="W799" s="288"/>
      <c r="X799" s="288"/>
      <c r="Y799" s="288"/>
      <c r="Z799" s="288"/>
      <c r="AA799" s="288"/>
      <c r="AB799" s="288"/>
      <c r="AC799" s="288"/>
      <c r="AD799" s="288"/>
      <c r="AE799" s="288"/>
      <c r="AF799" s="288"/>
      <c r="AG799" s="288"/>
      <c r="AH799" s="288"/>
      <c r="AI799" s="288"/>
    </row>
    <row r="800" spans="1:35" ht="12.75" customHeight="1" x14ac:dyDescent="0.2">
      <c r="A800" s="288"/>
      <c r="B800" s="288"/>
      <c r="C800" s="288"/>
      <c r="D800" s="288"/>
      <c r="E800" s="288"/>
      <c r="F800" s="288"/>
      <c r="G800" s="288"/>
      <c r="H800" s="288"/>
      <c r="I800" s="288"/>
      <c r="J800" s="288"/>
      <c r="K800" s="288"/>
      <c r="L800" s="288"/>
      <c r="M800" s="288"/>
      <c r="N800" s="288"/>
      <c r="O800" s="288"/>
      <c r="P800" s="288"/>
      <c r="Q800" s="288"/>
      <c r="R800" s="288"/>
      <c r="S800" s="288"/>
      <c r="T800" s="288"/>
      <c r="U800" s="288"/>
      <c r="V800" s="288"/>
      <c r="W800" s="288"/>
      <c r="X800" s="288"/>
      <c r="Y800" s="288"/>
      <c r="Z800" s="288"/>
      <c r="AA800" s="288"/>
      <c r="AB800" s="288"/>
      <c r="AC800" s="288"/>
      <c r="AD800" s="288"/>
      <c r="AE800" s="288"/>
      <c r="AF800" s="288"/>
      <c r="AG800" s="288"/>
      <c r="AH800" s="288"/>
      <c r="AI800" s="288"/>
    </row>
    <row r="801" spans="1:35" ht="12.75" customHeight="1" x14ac:dyDescent="0.2">
      <c r="A801" s="288"/>
      <c r="B801" s="288"/>
      <c r="C801" s="288"/>
      <c r="D801" s="288"/>
      <c r="E801" s="288"/>
      <c r="F801" s="288"/>
      <c r="G801" s="288"/>
      <c r="H801" s="288"/>
      <c r="I801" s="288"/>
      <c r="J801" s="288"/>
      <c r="K801" s="288"/>
      <c r="L801" s="288"/>
      <c r="M801" s="288"/>
      <c r="N801" s="288"/>
      <c r="O801" s="288"/>
      <c r="P801" s="288"/>
      <c r="Q801" s="288"/>
      <c r="R801" s="288"/>
      <c r="S801" s="288"/>
      <c r="T801" s="288"/>
      <c r="U801" s="288"/>
      <c r="V801" s="288"/>
      <c r="W801" s="288"/>
      <c r="X801" s="288"/>
      <c r="Y801" s="288"/>
      <c r="Z801" s="288"/>
      <c r="AA801" s="288"/>
      <c r="AB801" s="288"/>
      <c r="AC801" s="288"/>
      <c r="AD801" s="288"/>
      <c r="AE801" s="288"/>
      <c r="AF801" s="288"/>
      <c r="AG801" s="288"/>
      <c r="AH801" s="288"/>
      <c r="AI801" s="288"/>
    </row>
    <row r="802" spans="1:35" ht="12.75" customHeight="1" x14ac:dyDescent="0.2">
      <c r="A802" s="288"/>
      <c r="B802" s="288"/>
      <c r="C802" s="288"/>
      <c r="D802" s="288"/>
      <c r="E802" s="288"/>
      <c r="F802" s="288"/>
      <c r="G802" s="288"/>
      <c r="H802" s="288"/>
      <c r="I802" s="288"/>
      <c r="J802" s="288"/>
      <c r="K802" s="288"/>
      <c r="L802" s="288"/>
      <c r="M802" s="288"/>
      <c r="N802" s="288"/>
      <c r="O802" s="288"/>
      <c r="P802" s="288"/>
      <c r="Q802" s="288"/>
      <c r="R802" s="288"/>
      <c r="S802" s="288"/>
      <c r="T802" s="288"/>
      <c r="U802" s="288"/>
      <c r="V802" s="288"/>
      <c r="W802" s="288"/>
      <c r="X802" s="288"/>
      <c r="Y802" s="288"/>
      <c r="Z802" s="288"/>
      <c r="AA802" s="288"/>
      <c r="AB802" s="288"/>
      <c r="AC802" s="288"/>
      <c r="AD802" s="288"/>
      <c r="AE802" s="288"/>
      <c r="AF802" s="288"/>
      <c r="AG802" s="288"/>
      <c r="AH802" s="288"/>
      <c r="AI802" s="288"/>
    </row>
    <row r="803" spans="1:35" ht="12.75" customHeight="1" x14ac:dyDescent="0.2">
      <c r="A803" s="288"/>
      <c r="B803" s="288"/>
      <c r="C803" s="288"/>
      <c r="D803" s="288"/>
      <c r="E803" s="288"/>
      <c r="F803" s="288"/>
      <c r="G803" s="288"/>
      <c r="H803" s="288"/>
      <c r="I803" s="288"/>
      <c r="J803" s="288"/>
      <c r="K803" s="288"/>
      <c r="L803" s="288"/>
      <c r="M803" s="288"/>
      <c r="N803" s="288"/>
      <c r="O803" s="288"/>
      <c r="P803" s="288"/>
      <c r="Q803" s="288"/>
      <c r="R803" s="288"/>
      <c r="S803" s="288"/>
      <c r="T803" s="288"/>
      <c r="U803" s="288"/>
      <c r="V803" s="288"/>
      <c r="W803" s="288"/>
      <c r="X803" s="288"/>
      <c r="Y803" s="288"/>
      <c r="Z803" s="288"/>
      <c r="AA803" s="288"/>
      <c r="AB803" s="288"/>
      <c r="AC803" s="288"/>
      <c r="AD803" s="288"/>
      <c r="AE803" s="288"/>
      <c r="AF803" s="288"/>
      <c r="AG803" s="288"/>
      <c r="AH803" s="288"/>
      <c r="AI803" s="288"/>
    </row>
    <row r="804" spans="1:35" ht="12.75" customHeight="1" x14ac:dyDescent="0.2">
      <c r="A804" s="288"/>
      <c r="B804" s="288"/>
      <c r="C804" s="288"/>
      <c r="D804" s="288"/>
      <c r="E804" s="288"/>
      <c r="F804" s="288"/>
      <c r="G804" s="288"/>
      <c r="H804" s="288"/>
      <c r="I804" s="288"/>
      <c r="J804" s="288"/>
      <c r="K804" s="288"/>
      <c r="L804" s="288"/>
      <c r="M804" s="288"/>
      <c r="N804" s="288"/>
      <c r="O804" s="288"/>
      <c r="P804" s="288"/>
      <c r="Q804" s="288"/>
      <c r="R804" s="288"/>
      <c r="S804" s="288"/>
      <c r="T804" s="288"/>
      <c r="U804" s="288"/>
      <c r="V804" s="288"/>
      <c r="W804" s="288"/>
      <c r="X804" s="288"/>
      <c r="Y804" s="288"/>
      <c r="Z804" s="288"/>
      <c r="AA804" s="288"/>
      <c r="AB804" s="288"/>
      <c r="AC804" s="288"/>
      <c r="AD804" s="288"/>
      <c r="AE804" s="288"/>
      <c r="AF804" s="288"/>
      <c r="AG804" s="288"/>
      <c r="AH804" s="288"/>
      <c r="AI804" s="288"/>
    </row>
    <row r="805" spans="1:35" ht="12.75" customHeight="1" x14ac:dyDescent="0.2">
      <c r="A805" s="288"/>
      <c r="B805" s="288"/>
      <c r="C805" s="288"/>
      <c r="D805" s="288"/>
      <c r="E805" s="288"/>
      <c r="F805" s="288"/>
      <c r="G805" s="288"/>
      <c r="H805" s="288"/>
      <c r="I805" s="288"/>
      <c r="J805" s="288"/>
      <c r="K805" s="288"/>
      <c r="L805" s="288"/>
      <c r="M805" s="288"/>
      <c r="N805" s="288"/>
      <c r="O805" s="288"/>
      <c r="P805" s="288"/>
      <c r="Q805" s="288"/>
      <c r="R805" s="288"/>
      <c r="S805" s="288"/>
      <c r="T805" s="288"/>
      <c r="U805" s="288"/>
      <c r="V805" s="288"/>
      <c r="W805" s="288"/>
      <c r="X805" s="288"/>
      <c r="Y805" s="288"/>
      <c r="Z805" s="288"/>
      <c r="AA805" s="288"/>
      <c r="AB805" s="288"/>
      <c r="AC805" s="288"/>
      <c r="AD805" s="288"/>
      <c r="AE805" s="288"/>
      <c r="AF805" s="288"/>
      <c r="AG805" s="288"/>
      <c r="AH805" s="288"/>
      <c r="AI805" s="288"/>
    </row>
    <row r="806" spans="1:35" ht="12.75" customHeight="1" x14ac:dyDescent="0.2">
      <c r="A806" s="288"/>
      <c r="B806" s="288"/>
      <c r="C806" s="288"/>
      <c r="D806" s="288"/>
      <c r="E806" s="288"/>
      <c r="F806" s="288"/>
      <c r="G806" s="288"/>
      <c r="H806" s="288"/>
      <c r="I806" s="288"/>
      <c r="J806" s="288"/>
      <c r="K806" s="288"/>
      <c r="L806" s="288"/>
      <c r="M806" s="288"/>
      <c r="N806" s="288"/>
      <c r="O806" s="288"/>
      <c r="P806" s="288"/>
      <c r="Q806" s="288"/>
      <c r="R806" s="288"/>
      <c r="S806" s="288"/>
      <c r="T806" s="288"/>
      <c r="U806" s="288"/>
      <c r="V806" s="288"/>
      <c r="W806" s="288"/>
      <c r="X806" s="288"/>
      <c r="Y806" s="288"/>
      <c r="Z806" s="288"/>
      <c r="AA806" s="288"/>
      <c r="AB806" s="288"/>
      <c r="AC806" s="288"/>
      <c r="AD806" s="288"/>
      <c r="AE806" s="288"/>
      <c r="AF806" s="288"/>
      <c r="AG806" s="288"/>
      <c r="AH806" s="288"/>
      <c r="AI806" s="288"/>
    </row>
    <row r="807" spans="1:35" ht="12.75" customHeight="1" x14ac:dyDescent="0.2">
      <c r="A807" s="288"/>
      <c r="B807" s="288"/>
      <c r="C807" s="288"/>
      <c r="D807" s="288"/>
      <c r="E807" s="288"/>
      <c r="F807" s="288"/>
      <c r="G807" s="288"/>
      <c r="H807" s="288"/>
      <c r="I807" s="288"/>
      <c r="J807" s="288"/>
      <c r="K807" s="288"/>
      <c r="L807" s="288"/>
      <c r="M807" s="288"/>
      <c r="N807" s="288"/>
      <c r="O807" s="288"/>
      <c r="P807" s="288"/>
      <c r="Q807" s="288"/>
      <c r="R807" s="288"/>
      <c r="S807" s="288"/>
      <c r="T807" s="288"/>
      <c r="U807" s="288"/>
      <c r="V807" s="288"/>
      <c r="W807" s="288"/>
      <c r="X807" s="288"/>
      <c r="Y807" s="288"/>
      <c r="Z807" s="288"/>
      <c r="AA807" s="288"/>
      <c r="AB807" s="288"/>
      <c r="AC807" s="288"/>
      <c r="AD807" s="288"/>
      <c r="AE807" s="288"/>
      <c r="AF807" s="288"/>
      <c r="AG807" s="288"/>
      <c r="AH807" s="288"/>
      <c r="AI807" s="288"/>
    </row>
    <row r="808" spans="1:35" ht="12.75" customHeight="1" x14ac:dyDescent="0.2">
      <c r="A808" s="288"/>
      <c r="B808" s="288"/>
      <c r="C808" s="288"/>
      <c r="D808" s="288"/>
      <c r="E808" s="288"/>
      <c r="F808" s="288"/>
      <c r="G808" s="288"/>
      <c r="H808" s="288"/>
      <c r="I808" s="288"/>
      <c r="J808" s="288"/>
      <c r="K808" s="288"/>
      <c r="L808" s="288"/>
      <c r="M808" s="288"/>
      <c r="N808" s="288"/>
      <c r="O808" s="288"/>
      <c r="P808" s="288"/>
      <c r="Q808" s="288"/>
      <c r="R808" s="288"/>
      <c r="S808" s="288"/>
      <c r="T808" s="288"/>
      <c r="U808" s="288"/>
      <c r="V808" s="288"/>
      <c r="W808" s="288"/>
      <c r="X808" s="288"/>
      <c r="Y808" s="288"/>
      <c r="Z808" s="288"/>
      <c r="AA808" s="288"/>
      <c r="AB808" s="288"/>
      <c r="AC808" s="288"/>
      <c r="AD808" s="288"/>
      <c r="AE808" s="288"/>
      <c r="AF808" s="288"/>
      <c r="AG808" s="288"/>
      <c r="AH808" s="288"/>
      <c r="AI808" s="288"/>
    </row>
    <row r="809" spans="1:35" ht="12.75" customHeight="1" x14ac:dyDescent="0.2">
      <c r="A809" s="288"/>
      <c r="B809" s="288"/>
      <c r="C809" s="288"/>
      <c r="D809" s="288"/>
      <c r="E809" s="288"/>
      <c r="F809" s="288"/>
      <c r="G809" s="288"/>
      <c r="H809" s="288"/>
      <c r="I809" s="288"/>
      <c r="J809" s="288"/>
      <c r="K809" s="288"/>
      <c r="L809" s="288"/>
      <c r="M809" s="288"/>
      <c r="N809" s="288"/>
      <c r="O809" s="288"/>
      <c r="P809" s="288"/>
      <c r="Q809" s="288"/>
      <c r="R809" s="288"/>
      <c r="S809" s="288"/>
      <c r="T809" s="288"/>
      <c r="U809" s="288"/>
      <c r="V809" s="288"/>
      <c r="W809" s="288"/>
      <c r="X809" s="288"/>
      <c r="Y809" s="288"/>
      <c r="Z809" s="288"/>
      <c r="AA809" s="288"/>
      <c r="AB809" s="288"/>
      <c r="AC809" s="288"/>
      <c r="AD809" s="288"/>
      <c r="AE809" s="288"/>
      <c r="AF809" s="288"/>
      <c r="AG809" s="288"/>
      <c r="AH809" s="288"/>
      <c r="AI809" s="288"/>
    </row>
    <row r="810" spans="1:35" ht="12.75" customHeight="1" x14ac:dyDescent="0.2">
      <c r="A810" s="288"/>
      <c r="B810" s="288"/>
      <c r="C810" s="288"/>
      <c r="D810" s="288"/>
      <c r="E810" s="288"/>
      <c r="F810" s="288"/>
      <c r="G810" s="288"/>
      <c r="H810" s="288"/>
      <c r="I810" s="288"/>
      <c r="J810" s="288"/>
      <c r="K810" s="288"/>
      <c r="L810" s="288"/>
      <c r="M810" s="288"/>
      <c r="N810" s="288"/>
      <c r="O810" s="288"/>
      <c r="P810" s="288"/>
      <c r="Q810" s="288"/>
      <c r="R810" s="288"/>
      <c r="S810" s="288"/>
      <c r="T810" s="288"/>
      <c r="U810" s="288"/>
      <c r="V810" s="288"/>
      <c r="W810" s="288"/>
      <c r="X810" s="288"/>
      <c r="Y810" s="288"/>
      <c r="Z810" s="288"/>
      <c r="AA810" s="288"/>
      <c r="AB810" s="288"/>
      <c r="AC810" s="288"/>
      <c r="AD810" s="288"/>
      <c r="AE810" s="288"/>
      <c r="AF810" s="288"/>
      <c r="AG810" s="288"/>
      <c r="AH810" s="288"/>
      <c r="AI810" s="288"/>
    </row>
    <row r="811" spans="1:35" ht="12.75" customHeight="1" x14ac:dyDescent="0.2">
      <c r="A811" s="288"/>
      <c r="B811" s="288"/>
      <c r="C811" s="288"/>
      <c r="D811" s="288"/>
      <c r="E811" s="288"/>
      <c r="F811" s="288"/>
      <c r="G811" s="288"/>
      <c r="H811" s="288"/>
      <c r="I811" s="288"/>
      <c r="J811" s="288"/>
      <c r="K811" s="288"/>
      <c r="L811" s="288"/>
      <c r="M811" s="288"/>
      <c r="N811" s="288"/>
      <c r="O811" s="288"/>
      <c r="P811" s="288"/>
      <c r="Q811" s="288"/>
      <c r="R811" s="288"/>
      <c r="S811" s="288"/>
      <c r="T811" s="288"/>
      <c r="U811" s="288"/>
      <c r="V811" s="288"/>
      <c r="W811" s="288"/>
      <c r="X811" s="288"/>
      <c r="Y811" s="288"/>
      <c r="Z811" s="288"/>
      <c r="AA811" s="288"/>
      <c r="AB811" s="288"/>
      <c r="AC811" s="288"/>
      <c r="AD811" s="288"/>
      <c r="AE811" s="288"/>
      <c r="AF811" s="288"/>
      <c r="AG811" s="288"/>
      <c r="AH811" s="288"/>
      <c r="AI811" s="288"/>
    </row>
    <row r="812" spans="1:35" ht="12.75" customHeight="1" x14ac:dyDescent="0.2">
      <c r="A812" s="288"/>
      <c r="B812" s="288"/>
      <c r="C812" s="288"/>
      <c r="D812" s="288"/>
      <c r="E812" s="288"/>
      <c r="F812" s="288"/>
      <c r="G812" s="288"/>
      <c r="H812" s="288"/>
      <c r="I812" s="288"/>
      <c r="J812" s="288"/>
      <c r="K812" s="288"/>
      <c r="L812" s="288"/>
      <c r="M812" s="288"/>
      <c r="N812" s="288"/>
      <c r="O812" s="288"/>
      <c r="P812" s="288"/>
      <c r="Q812" s="288"/>
      <c r="R812" s="288"/>
      <c r="S812" s="288"/>
      <c r="T812" s="288"/>
      <c r="U812" s="288"/>
      <c r="V812" s="288"/>
      <c r="W812" s="288"/>
      <c r="X812" s="288"/>
      <c r="Y812" s="288"/>
      <c r="Z812" s="288"/>
      <c r="AA812" s="288"/>
      <c r="AB812" s="288"/>
      <c r="AC812" s="288"/>
      <c r="AD812" s="288"/>
      <c r="AE812" s="288"/>
      <c r="AF812" s="288"/>
      <c r="AG812" s="288"/>
      <c r="AH812" s="288"/>
      <c r="AI812" s="288"/>
    </row>
    <row r="813" spans="1:35" ht="12.75" customHeight="1" x14ac:dyDescent="0.2">
      <c r="A813" s="288"/>
      <c r="B813" s="288"/>
      <c r="C813" s="288"/>
      <c r="D813" s="288"/>
      <c r="E813" s="288"/>
      <c r="F813" s="288"/>
      <c r="G813" s="288"/>
      <c r="H813" s="288"/>
      <c r="I813" s="288"/>
      <c r="J813" s="288"/>
      <c r="K813" s="288"/>
      <c r="L813" s="288"/>
      <c r="M813" s="288"/>
      <c r="N813" s="288"/>
      <c r="O813" s="288"/>
      <c r="P813" s="288"/>
      <c r="Q813" s="288"/>
      <c r="R813" s="288"/>
      <c r="S813" s="288"/>
      <c r="T813" s="288"/>
      <c r="U813" s="288"/>
      <c r="V813" s="288"/>
      <c r="W813" s="288"/>
      <c r="X813" s="288"/>
      <c r="Y813" s="288"/>
      <c r="Z813" s="288"/>
      <c r="AA813" s="288"/>
      <c r="AB813" s="288"/>
      <c r="AC813" s="288"/>
      <c r="AD813" s="288"/>
      <c r="AE813" s="288"/>
      <c r="AF813" s="288"/>
      <c r="AG813" s="288"/>
      <c r="AH813" s="288"/>
      <c r="AI813" s="288"/>
    </row>
    <row r="814" spans="1:35" ht="12.75" customHeight="1" x14ac:dyDescent="0.2">
      <c r="A814" s="288"/>
      <c r="B814" s="288"/>
      <c r="C814" s="288"/>
      <c r="D814" s="288"/>
      <c r="E814" s="288"/>
      <c r="F814" s="288"/>
      <c r="G814" s="288"/>
      <c r="H814" s="288"/>
      <c r="I814" s="288"/>
      <c r="J814" s="288"/>
      <c r="K814" s="288"/>
      <c r="L814" s="288"/>
      <c r="M814" s="288"/>
      <c r="N814" s="288"/>
      <c r="O814" s="288"/>
      <c r="P814" s="288"/>
      <c r="Q814" s="288"/>
      <c r="R814" s="288"/>
      <c r="S814" s="288"/>
      <c r="T814" s="288"/>
      <c r="U814" s="288"/>
      <c r="V814" s="288"/>
      <c r="W814" s="288"/>
      <c r="X814" s="288"/>
      <c r="Y814" s="288"/>
      <c r="Z814" s="288"/>
      <c r="AA814" s="288"/>
      <c r="AB814" s="288"/>
      <c r="AC814" s="288"/>
      <c r="AD814" s="288"/>
      <c r="AE814" s="288"/>
      <c r="AF814" s="288"/>
      <c r="AG814" s="288"/>
      <c r="AH814" s="288"/>
      <c r="AI814" s="288"/>
    </row>
    <row r="815" spans="1:35" ht="12.75" customHeight="1" x14ac:dyDescent="0.2">
      <c r="A815" s="288"/>
      <c r="B815" s="288"/>
      <c r="C815" s="288"/>
      <c r="D815" s="288"/>
      <c r="E815" s="288"/>
      <c r="F815" s="288"/>
      <c r="G815" s="288"/>
      <c r="H815" s="288"/>
      <c r="I815" s="288"/>
      <c r="J815" s="288"/>
      <c r="K815" s="288"/>
      <c r="L815" s="288"/>
      <c r="M815" s="288"/>
      <c r="N815" s="288"/>
      <c r="O815" s="288"/>
      <c r="P815" s="288"/>
      <c r="Q815" s="288"/>
      <c r="R815" s="288"/>
      <c r="S815" s="288"/>
      <c r="T815" s="288"/>
      <c r="U815" s="288"/>
      <c r="V815" s="288"/>
      <c r="W815" s="288"/>
      <c r="X815" s="288"/>
      <c r="Y815" s="288"/>
      <c r="Z815" s="288"/>
      <c r="AA815" s="288"/>
      <c r="AB815" s="288"/>
      <c r="AC815" s="288"/>
      <c r="AD815" s="288"/>
      <c r="AE815" s="288"/>
      <c r="AF815" s="288"/>
      <c r="AG815" s="288"/>
      <c r="AH815" s="288"/>
      <c r="AI815" s="288"/>
    </row>
    <row r="816" spans="1:35" ht="12.75" customHeight="1" x14ac:dyDescent="0.2">
      <c r="A816" s="288"/>
      <c r="B816" s="288"/>
      <c r="C816" s="288"/>
      <c r="D816" s="288"/>
      <c r="E816" s="288"/>
      <c r="F816" s="288"/>
      <c r="G816" s="288"/>
      <c r="H816" s="288"/>
      <c r="I816" s="288"/>
      <c r="J816" s="288"/>
      <c r="K816" s="288"/>
      <c r="L816" s="288"/>
      <c r="M816" s="288"/>
      <c r="N816" s="288"/>
      <c r="O816" s="288"/>
      <c r="P816" s="288"/>
      <c r="Q816" s="288"/>
      <c r="R816" s="288"/>
      <c r="S816" s="288"/>
      <c r="T816" s="288"/>
      <c r="U816" s="288"/>
      <c r="V816" s="288"/>
      <c r="W816" s="288"/>
      <c r="X816" s="288"/>
      <c r="Y816" s="288"/>
      <c r="Z816" s="288"/>
      <c r="AA816" s="288"/>
      <c r="AB816" s="288"/>
      <c r="AC816" s="288"/>
      <c r="AD816" s="288"/>
      <c r="AE816" s="288"/>
      <c r="AF816" s="288"/>
      <c r="AG816" s="288"/>
      <c r="AH816" s="288"/>
      <c r="AI816" s="288"/>
    </row>
    <row r="817" spans="1:35" ht="12.75" customHeight="1" x14ac:dyDescent="0.2">
      <c r="A817" s="288"/>
      <c r="B817" s="288"/>
      <c r="C817" s="288"/>
      <c r="D817" s="288"/>
      <c r="E817" s="288"/>
      <c r="F817" s="288"/>
      <c r="G817" s="288"/>
      <c r="H817" s="288"/>
      <c r="I817" s="288"/>
      <c r="J817" s="288"/>
      <c r="K817" s="288"/>
      <c r="L817" s="288"/>
      <c r="M817" s="288"/>
      <c r="N817" s="288"/>
      <c r="O817" s="288"/>
      <c r="P817" s="288"/>
      <c r="Q817" s="288"/>
      <c r="R817" s="288"/>
      <c r="S817" s="288"/>
      <c r="T817" s="288"/>
      <c r="U817" s="288"/>
      <c r="V817" s="288"/>
      <c r="W817" s="288"/>
      <c r="X817" s="288"/>
      <c r="Y817" s="288"/>
      <c r="Z817" s="288"/>
      <c r="AA817" s="288"/>
      <c r="AB817" s="288"/>
      <c r="AC817" s="288"/>
      <c r="AD817" s="288"/>
      <c r="AE817" s="288"/>
      <c r="AF817" s="288"/>
      <c r="AG817" s="288"/>
      <c r="AH817" s="288"/>
      <c r="AI817" s="288"/>
    </row>
    <row r="818" spans="1:35" ht="12.75" customHeight="1" x14ac:dyDescent="0.2">
      <c r="A818" s="288"/>
      <c r="B818" s="288"/>
      <c r="C818" s="288"/>
      <c r="D818" s="288"/>
      <c r="E818" s="288"/>
      <c r="F818" s="288"/>
      <c r="G818" s="288"/>
      <c r="H818" s="288"/>
      <c r="I818" s="288"/>
      <c r="J818" s="288"/>
      <c r="K818" s="288"/>
      <c r="L818" s="288"/>
      <c r="M818" s="288"/>
      <c r="N818" s="288"/>
      <c r="O818" s="288"/>
      <c r="P818" s="288"/>
      <c r="Q818" s="288"/>
      <c r="R818" s="288"/>
      <c r="S818" s="288"/>
      <c r="T818" s="288"/>
      <c r="U818" s="288"/>
      <c r="V818" s="288"/>
      <c r="W818" s="288"/>
      <c r="X818" s="288"/>
      <c r="Y818" s="288"/>
      <c r="Z818" s="288"/>
      <c r="AA818" s="288"/>
      <c r="AB818" s="288"/>
      <c r="AC818" s="288"/>
      <c r="AD818" s="288"/>
      <c r="AE818" s="288"/>
      <c r="AF818" s="288"/>
      <c r="AG818" s="288"/>
      <c r="AH818" s="288"/>
      <c r="AI818" s="288"/>
    </row>
    <row r="819" spans="1:35" ht="12.75" customHeight="1" x14ac:dyDescent="0.2">
      <c r="A819" s="288"/>
      <c r="B819" s="288"/>
      <c r="C819" s="288"/>
      <c r="D819" s="288"/>
      <c r="E819" s="288"/>
      <c r="F819" s="288"/>
      <c r="G819" s="288"/>
      <c r="H819" s="288"/>
      <c r="I819" s="288"/>
      <c r="J819" s="288"/>
      <c r="K819" s="288"/>
      <c r="L819" s="288"/>
      <c r="M819" s="288"/>
      <c r="N819" s="288"/>
      <c r="O819" s="288"/>
      <c r="P819" s="288"/>
      <c r="Q819" s="288"/>
      <c r="R819" s="288"/>
      <c r="S819" s="288"/>
      <c r="T819" s="288"/>
      <c r="U819" s="288"/>
      <c r="V819" s="288"/>
      <c r="W819" s="288"/>
      <c r="X819" s="288"/>
      <c r="Y819" s="288"/>
      <c r="Z819" s="288"/>
      <c r="AA819" s="288"/>
      <c r="AB819" s="288"/>
      <c r="AC819" s="288"/>
      <c r="AD819" s="288"/>
      <c r="AE819" s="288"/>
      <c r="AF819" s="288"/>
      <c r="AG819" s="288"/>
      <c r="AH819" s="288"/>
      <c r="AI819" s="288"/>
    </row>
    <row r="820" spans="1:35" ht="12.75" customHeight="1" x14ac:dyDescent="0.2">
      <c r="A820" s="288"/>
      <c r="B820" s="288"/>
      <c r="C820" s="288"/>
      <c r="D820" s="288"/>
      <c r="E820" s="288"/>
      <c r="F820" s="288"/>
      <c r="G820" s="288"/>
      <c r="H820" s="288"/>
      <c r="I820" s="288"/>
      <c r="J820" s="288"/>
      <c r="K820" s="288"/>
      <c r="L820" s="288"/>
      <c r="M820" s="288"/>
      <c r="N820" s="288"/>
      <c r="O820" s="288"/>
      <c r="P820" s="288"/>
      <c r="Q820" s="288"/>
      <c r="R820" s="288"/>
      <c r="S820" s="288"/>
      <c r="T820" s="288"/>
      <c r="U820" s="288"/>
      <c r="V820" s="288"/>
      <c r="W820" s="288"/>
      <c r="X820" s="288"/>
      <c r="Y820" s="288"/>
      <c r="Z820" s="288"/>
      <c r="AA820" s="288"/>
      <c r="AB820" s="288"/>
      <c r="AC820" s="288"/>
      <c r="AD820" s="288"/>
      <c r="AE820" s="288"/>
      <c r="AF820" s="288"/>
      <c r="AG820" s="288"/>
      <c r="AH820" s="288"/>
      <c r="AI820" s="288"/>
    </row>
    <row r="821" spans="1:35" ht="12.75" customHeight="1" x14ac:dyDescent="0.2">
      <c r="A821" s="288"/>
      <c r="B821" s="288"/>
      <c r="C821" s="288"/>
      <c r="D821" s="288"/>
      <c r="E821" s="288"/>
      <c r="F821" s="288"/>
      <c r="G821" s="288"/>
      <c r="H821" s="288"/>
      <c r="I821" s="288"/>
      <c r="J821" s="288"/>
      <c r="K821" s="288"/>
      <c r="L821" s="288"/>
      <c r="M821" s="288"/>
      <c r="N821" s="288"/>
      <c r="O821" s="288"/>
      <c r="P821" s="288"/>
      <c r="Q821" s="288"/>
      <c r="R821" s="288"/>
      <c r="S821" s="288"/>
      <c r="T821" s="288"/>
      <c r="U821" s="288"/>
      <c r="V821" s="288"/>
      <c r="W821" s="288"/>
      <c r="X821" s="288"/>
      <c r="Y821" s="288"/>
      <c r="Z821" s="288"/>
      <c r="AA821" s="288"/>
      <c r="AB821" s="288"/>
      <c r="AC821" s="288"/>
      <c r="AD821" s="288"/>
      <c r="AE821" s="288"/>
      <c r="AF821" s="288"/>
      <c r="AG821" s="288"/>
      <c r="AH821" s="288"/>
      <c r="AI821" s="288"/>
    </row>
    <row r="822" spans="1:35" ht="12.75" customHeight="1" x14ac:dyDescent="0.2">
      <c r="A822" s="288"/>
      <c r="B822" s="288"/>
      <c r="C822" s="288"/>
      <c r="D822" s="288"/>
      <c r="E822" s="288"/>
      <c r="F822" s="288"/>
      <c r="G822" s="288"/>
      <c r="H822" s="288"/>
      <c r="I822" s="288"/>
      <c r="J822" s="288"/>
      <c r="K822" s="288"/>
      <c r="L822" s="288"/>
      <c r="M822" s="288"/>
      <c r="N822" s="288"/>
      <c r="O822" s="288"/>
      <c r="P822" s="288"/>
      <c r="Q822" s="288"/>
      <c r="R822" s="288"/>
      <c r="S822" s="288"/>
      <c r="T822" s="288"/>
      <c r="U822" s="288"/>
      <c r="V822" s="288"/>
      <c r="W822" s="288"/>
      <c r="X822" s="288"/>
      <c r="Y822" s="288"/>
      <c r="Z822" s="288"/>
      <c r="AA822" s="288"/>
      <c r="AB822" s="288"/>
      <c r="AC822" s="288"/>
      <c r="AD822" s="288"/>
      <c r="AE822" s="288"/>
      <c r="AF822" s="288"/>
      <c r="AG822" s="288"/>
      <c r="AH822" s="288"/>
      <c r="AI822" s="288"/>
    </row>
    <row r="823" spans="1:35" ht="12.75" customHeight="1" x14ac:dyDescent="0.2">
      <c r="A823" s="288"/>
      <c r="B823" s="288"/>
      <c r="C823" s="288"/>
      <c r="D823" s="288"/>
      <c r="E823" s="288"/>
      <c r="F823" s="288"/>
      <c r="G823" s="288"/>
      <c r="H823" s="288"/>
      <c r="I823" s="288"/>
      <c r="J823" s="288"/>
      <c r="K823" s="288"/>
      <c r="L823" s="288"/>
      <c r="M823" s="288"/>
      <c r="N823" s="288"/>
      <c r="O823" s="288"/>
      <c r="P823" s="288"/>
      <c r="Q823" s="288"/>
      <c r="R823" s="288"/>
      <c r="S823" s="288"/>
      <c r="T823" s="288"/>
      <c r="U823" s="288"/>
      <c r="V823" s="288"/>
      <c r="W823" s="288"/>
      <c r="X823" s="288"/>
      <c r="Y823" s="288"/>
      <c r="Z823" s="288"/>
      <c r="AA823" s="288"/>
      <c r="AB823" s="288"/>
      <c r="AC823" s="288"/>
      <c r="AD823" s="288"/>
      <c r="AE823" s="288"/>
      <c r="AF823" s="288"/>
      <c r="AG823" s="288"/>
      <c r="AH823" s="288"/>
      <c r="AI823" s="288"/>
    </row>
    <row r="824" spans="1:35" ht="12.75" customHeight="1" x14ac:dyDescent="0.2">
      <c r="A824" s="288"/>
      <c r="B824" s="288"/>
      <c r="C824" s="288"/>
      <c r="D824" s="288"/>
      <c r="E824" s="288"/>
      <c r="F824" s="288"/>
      <c r="G824" s="288"/>
      <c r="H824" s="288"/>
      <c r="I824" s="288"/>
      <c r="J824" s="288"/>
      <c r="K824" s="288"/>
      <c r="L824" s="288"/>
      <c r="M824" s="288"/>
      <c r="N824" s="288"/>
      <c r="O824" s="288"/>
      <c r="P824" s="288"/>
      <c r="Q824" s="288"/>
      <c r="R824" s="288"/>
      <c r="S824" s="288"/>
      <c r="T824" s="288"/>
      <c r="U824" s="288"/>
      <c r="V824" s="288"/>
      <c r="W824" s="288"/>
      <c r="X824" s="288"/>
      <c r="Y824" s="288"/>
      <c r="Z824" s="288"/>
      <c r="AA824" s="288"/>
      <c r="AB824" s="288"/>
      <c r="AC824" s="288"/>
      <c r="AD824" s="288"/>
      <c r="AE824" s="288"/>
      <c r="AF824" s="288"/>
      <c r="AG824" s="288"/>
      <c r="AH824" s="288"/>
      <c r="AI824" s="288"/>
    </row>
    <row r="825" spans="1:35" ht="12.75" customHeight="1" x14ac:dyDescent="0.2">
      <c r="A825" s="288"/>
      <c r="B825" s="288"/>
      <c r="C825" s="288"/>
      <c r="D825" s="288"/>
      <c r="E825" s="288"/>
      <c r="F825" s="288"/>
      <c r="G825" s="288"/>
      <c r="H825" s="288"/>
      <c r="I825" s="288"/>
      <c r="J825" s="288"/>
      <c r="K825" s="288"/>
      <c r="L825" s="288"/>
      <c r="M825" s="288"/>
      <c r="N825" s="288"/>
      <c r="O825" s="288"/>
      <c r="P825" s="288"/>
      <c r="Q825" s="288"/>
      <c r="R825" s="288"/>
      <c r="S825" s="288"/>
      <c r="T825" s="288"/>
      <c r="U825" s="288"/>
      <c r="V825" s="288"/>
      <c r="W825" s="288"/>
      <c r="X825" s="288"/>
      <c r="Y825" s="288"/>
      <c r="Z825" s="288"/>
      <c r="AA825" s="288"/>
      <c r="AB825" s="288"/>
      <c r="AC825" s="288"/>
      <c r="AD825" s="288"/>
      <c r="AE825" s="288"/>
      <c r="AF825" s="288"/>
      <c r="AG825" s="288"/>
      <c r="AH825" s="288"/>
      <c r="AI825" s="288"/>
    </row>
    <row r="826" spans="1:35" ht="12.75" customHeight="1" x14ac:dyDescent="0.2">
      <c r="A826" s="288"/>
      <c r="B826" s="288"/>
      <c r="C826" s="288"/>
      <c r="D826" s="288"/>
      <c r="E826" s="288"/>
      <c r="F826" s="288"/>
      <c r="G826" s="288"/>
      <c r="H826" s="288"/>
      <c r="I826" s="288"/>
      <c r="J826" s="288"/>
      <c r="K826" s="288"/>
      <c r="L826" s="288"/>
      <c r="M826" s="288"/>
      <c r="N826" s="288"/>
      <c r="O826" s="288"/>
      <c r="P826" s="288"/>
      <c r="Q826" s="288"/>
      <c r="R826" s="288"/>
      <c r="S826" s="288"/>
      <c r="T826" s="288"/>
      <c r="U826" s="288"/>
      <c r="V826" s="288"/>
      <c r="W826" s="288"/>
      <c r="X826" s="288"/>
      <c r="Y826" s="288"/>
      <c r="Z826" s="288"/>
      <c r="AA826" s="288"/>
      <c r="AB826" s="288"/>
      <c r="AC826" s="288"/>
      <c r="AD826" s="288"/>
      <c r="AE826" s="288"/>
      <c r="AF826" s="288"/>
      <c r="AG826" s="288"/>
      <c r="AH826" s="288"/>
      <c r="AI826" s="288"/>
    </row>
    <row r="827" spans="1:35" ht="12.75" customHeight="1" x14ac:dyDescent="0.2">
      <c r="A827" s="288"/>
      <c r="B827" s="288"/>
      <c r="C827" s="288"/>
      <c r="D827" s="288"/>
      <c r="E827" s="288"/>
      <c r="F827" s="288"/>
      <c r="G827" s="288"/>
      <c r="H827" s="288"/>
      <c r="I827" s="288"/>
      <c r="J827" s="288"/>
      <c r="K827" s="288"/>
      <c r="L827" s="288"/>
      <c r="M827" s="288"/>
      <c r="N827" s="288"/>
      <c r="O827" s="288"/>
      <c r="P827" s="288"/>
      <c r="Q827" s="288"/>
      <c r="R827" s="288"/>
      <c r="S827" s="288"/>
      <c r="T827" s="288"/>
      <c r="U827" s="288"/>
      <c r="V827" s="288"/>
      <c r="W827" s="288"/>
      <c r="X827" s="288"/>
      <c r="Y827" s="288"/>
      <c r="Z827" s="288"/>
      <c r="AA827" s="288"/>
      <c r="AB827" s="288"/>
      <c r="AC827" s="288"/>
      <c r="AD827" s="288"/>
      <c r="AE827" s="288"/>
      <c r="AF827" s="288"/>
      <c r="AG827" s="288"/>
      <c r="AH827" s="288"/>
      <c r="AI827" s="288"/>
    </row>
    <row r="828" spans="1:35" ht="12.75" customHeight="1" x14ac:dyDescent="0.2">
      <c r="A828" s="288"/>
      <c r="B828" s="288"/>
      <c r="C828" s="288"/>
      <c r="D828" s="288"/>
      <c r="E828" s="288"/>
      <c r="F828" s="288"/>
      <c r="G828" s="288"/>
      <c r="H828" s="288"/>
      <c r="I828" s="288"/>
      <c r="J828" s="288"/>
      <c r="K828" s="288"/>
      <c r="L828" s="288"/>
      <c r="M828" s="288"/>
      <c r="N828" s="288"/>
      <c r="O828" s="288"/>
      <c r="P828" s="288"/>
      <c r="Q828" s="288"/>
      <c r="R828" s="288"/>
      <c r="S828" s="288"/>
      <c r="T828" s="288"/>
      <c r="U828" s="288"/>
      <c r="V828" s="288"/>
      <c r="W828" s="288"/>
      <c r="X828" s="288"/>
      <c r="Y828" s="288"/>
      <c r="Z828" s="288"/>
      <c r="AA828" s="288"/>
      <c r="AB828" s="288"/>
      <c r="AC828" s="288"/>
      <c r="AD828" s="288"/>
      <c r="AE828" s="288"/>
      <c r="AF828" s="288"/>
      <c r="AG828" s="288"/>
      <c r="AH828" s="288"/>
      <c r="AI828" s="288"/>
    </row>
    <row r="829" spans="1:35" ht="12.75" customHeight="1" x14ac:dyDescent="0.2">
      <c r="A829" s="288"/>
      <c r="B829" s="288"/>
      <c r="C829" s="288"/>
      <c r="D829" s="288"/>
      <c r="E829" s="288"/>
      <c r="F829" s="288"/>
      <c r="G829" s="288"/>
      <c r="H829" s="288"/>
      <c r="I829" s="288"/>
      <c r="J829" s="288"/>
      <c r="K829" s="288"/>
      <c r="L829" s="288"/>
      <c r="M829" s="288"/>
      <c r="N829" s="288"/>
      <c r="O829" s="288"/>
      <c r="P829" s="288"/>
      <c r="Q829" s="288"/>
      <c r="R829" s="288"/>
      <c r="S829" s="288"/>
      <c r="T829" s="288"/>
      <c r="U829" s="288"/>
      <c r="V829" s="288"/>
      <c r="W829" s="288"/>
      <c r="X829" s="288"/>
      <c r="Y829" s="288"/>
      <c r="Z829" s="288"/>
      <c r="AA829" s="288"/>
      <c r="AB829" s="288"/>
      <c r="AC829" s="288"/>
      <c r="AD829" s="288"/>
      <c r="AE829" s="288"/>
      <c r="AF829" s="288"/>
      <c r="AG829" s="288"/>
      <c r="AH829" s="288"/>
      <c r="AI829" s="288"/>
    </row>
    <row r="830" spans="1:35" ht="12.75" customHeight="1" x14ac:dyDescent="0.2">
      <c r="A830" s="288"/>
      <c r="B830" s="288"/>
      <c r="C830" s="288"/>
      <c r="D830" s="288"/>
      <c r="E830" s="288"/>
      <c r="F830" s="288"/>
      <c r="G830" s="288"/>
      <c r="H830" s="288"/>
      <c r="I830" s="288"/>
      <c r="J830" s="288"/>
      <c r="K830" s="288"/>
      <c r="L830" s="288"/>
      <c r="M830" s="288"/>
      <c r="N830" s="288"/>
      <c r="O830" s="288"/>
      <c r="P830" s="288"/>
      <c r="Q830" s="288"/>
      <c r="R830" s="288"/>
      <c r="S830" s="288"/>
      <c r="T830" s="288"/>
      <c r="U830" s="288"/>
      <c r="V830" s="288"/>
      <c r="W830" s="288"/>
      <c r="X830" s="288"/>
      <c r="Y830" s="288"/>
      <c r="Z830" s="288"/>
      <c r="AA830" s="288"/>
      <c r="AB830" s="288"/>
      <c r="AC830" s="288"/>
      <c r="AD830" s="288"/>
      <c r="AE830" s="288"/>
      <c r="AF830" s="288"/>
      <c r="AG830" s="288"/>
      <c r="AH830" s="288"/>
      <c r="AI830" s="288"/>
    </row>
    <row r="831" spans="1:35" ht="12.75" customHeight="1" x14ac:dyDescent="0.2">
      <c r="A831" s="288"/>
      <c r="B831" s="288"/>
      <c r="C831" s="288"/>
      <c r="D831" s="288"/>
      <c r="E831" s="288"/>
      <c r="F831" s="288"/>
      <c r="G831" s="288"/>
      <c r="H831" s="288"/>
      <c r="I831" s="288"/>
      <c r="J831" s="288"/>
      <c r="K831" s="288"/>
      <c r="L831" s="288"/>
      <c r="M831" s="288"/>
      <c r="N831" s="288"/>
      <c r="O831" s="288"/>
      <c r="P831" s="288"/>
      <c r="Q831" s="288"/>
      <c r="R831" s="288"/>
      <c r="S831" s="288"/>
      <c r="T831" s="288"/>
      <c r="U831" s="288"/>
      <c r="V831" s="288"/>
      <c r="W831" s="288"/>
      <c r="X831" s="288"/>
      <c r="Y831" s="288"/>
      <c r="Z831" s="288"/>
      <c r="AA831" s="288"/>
      <c r="AB831" s="288"/>
      <c r="AC831" s="288"/>
      <c r="AD831" s="288"/>
      <c r="AE831" s="288"/>
      <c r="AF831" s="288"/>
      <c r="AG831" s="288"/>
      <c r="AH831" s="288"/>
      <c r="AI831" s="288"/>
    </row>
    <row r="832" spans="1:35" ht="12.75" customHeight="1" x14ac:dyDescent="0.2">
      <c r="A832" s="288"/>
      <c r="B832" s="288"/>
      <c r="C832" s="288"/>
      <c r="D832" s="288"/>
      <c r="E832" s="288"/>
      <c r="F832" s="288"/>
      <c r="G832" s="288"/>
      <c r="H832" s="288"/>
      <c r="I832" s="288"/>
      <c r="J832" s="288"/>
      <c r="K832" s="288"/>
      <c r="L832" s="288"/>
      <c r="M832" s="288"/>
      <c r="N832" s="288"/>
      <c r="O832" s="288"/>
      <c r="P832" s="288"/>
      <c r="Q832" s="288"/>
      <c r="R832" s="288"/>
      <c r="S832" s="288"/>
      <c r="T832" s="288"/>
      <c r="U832" s="288"/>
      <c r="V832" s="288"/>
      <c r="W832" s="288"/>
      <c r="X832" s="288"/>
      <c r="Y832" s="288"/>
      <c r="Z832" s="288"/>
      <c r="AA832" s="288"/>
      <c r="AB832" s="288"/>
      <c r="AC832" s="288"/>
      <c r="AD832" s="288"/>
      <c r="AE832" s="288"/>
      <c r="AF832" s="288"/>
      <c r="AG832" s="288"/>
      <c r="AH832" s="288"/>
      <c r="AI832" s="288"/>
    </row>
    <row r="833" spans="1:35" ht="12.75" customHeight="1" x14ac:dyDescent="0.2">
      <c r="A833" s="288"/>
      <c r="B833" s="288"/>
      <c r="C833" s="288"/>
      <c r="D833" s="288"/>
      <c r="E833" s="288"/>
      <c r="F833" s="288"/>
      <c r="G833" s="288"/>
      <c r="H833" s="288"/>
      <c r="I833" s="288"/>
      <c r="J833" s="288"/>
      <c r="K833" s="288"/>
      <c r="L833" s="288"/>
      <c r="M833" s="288"/>
      <c r="N833" s="288"/>
      <c r="O833" s="288"/>
      <c r="P833" s="288"/>
      <c r="Q833" s="288"/>
      <c r="R833" s="288"/>
      <c r="S833" s="288"/>
      <c r="T833" s="288"/>
      <c r="U833" s="288"/>
      <c r="V833" s="288"/>
      <c r="W833" s="288"/>
      <c r="X833" s="288"/>
      <c r="Y833" s="288"/>
      <c r="Z833" s="288"/>
      <c r="AA833" s="288"/>
      <c r="AB833" s="288"/>
      <c r="AC833" s="288"/>
      <c r="AD833" s="288"/>
      <c r="AE833" s="288"/>
      <c r="AF833" s="288"/>
      <c r="AG833" s="288"/>
      <c r="AH833" s="288"/>
      <c r="AI833" s="288"/>
    </row>
    <row r="834" spans="1:35" ht="12.75" customHeight="1" x14ac:dyDescent="0.2">
      <c r="A834" s="288"/>
      <c r="B834" s="288"/>
      <c r="C834" s="288"/>
      <c r="D834" s="288"/>
      <c r="E834" s="288"/>
      <c r="F834" s="288"/>
      <c r="G834" s="288"/>
      <c r="H834" s="288"/>
      <c r="I834" s="288"/>
      <c r="J834" s="288"/>
      <c r="K834" s="288"/>
      <c r="L834" s="288"/>
      <c r="M834" s="288"/>
      <c r="N834" s="288"/>
      <c r="O834" s="288"/>
      <c r="P834" s="288"/>
      <c r="Q834" s="288"/>
      <c r="R834" s="288"/>
      <c r="S834" s="288"/>
      <c r="T834" s="288"/>
      <c r="U834" s="288"/>
      <c r="V834" s="288"/>
      <c r="W834" s="288"/>
      <c r="X834" s="288"/>
      <c r="Y834" s="288"/>
      <c r="Z834" s="288"/>
      <c r="AA834" s="288"/>
      <c r="AB834" s="288"/>
      <c r="AC834" s="288"/>
      <c r="AD834" s="288"/>
      <c r="AE834" s="288"/>
      <c r="AF834" s="288"/>
      <c r="AG834" s="288"/>
      <c r="AH834" s="288"/>
      <c r="AI834" s="288"/>
    </row>
    <row r="835" spans="1:35" ht="12.75" customHeight="1" x14ac:dyDescent="0.2">
      <c r="A835" s="288"/>
      <c r="B835" s="288"/>
      <c r="C835" s="288"/>
      <c r="D835" s="288"/>
      <c r="E835" s="288"/>
      <c r="F835" s="288"/>
      <c r="G835" s="288"/>
      <c r="H835" s="288"/>
      <c r="I835" s="288"/>
      <c r="J835" s="288"/>
      <c r="K835" s="288"/>
      <c r="L835" s="288"/>
      <c r="M835" s="288"/>
      <c r="N835" s="288"/>
      <c r="O835" s="288"/>
      <c r="P835" s="288"/>
      <c r="Q835" s="288"/>
      <c r="R835" s="288"/>
      <c r="S835" s="288"/>
      <c r="T835" s="288"/>
      <c r="U835" s="288"/>
      <c r="V835" s="288"/>
      <c r="W835" s="288"/>
      <c r="X835" s="288"/>
      <c r="Y835" s="288"/>
      <c r="Z835" s="288"/>
      <c r="AA835" s="288"/>
      <c r="AB835" s="288"/>
      <c r="AC835" s="288"/>
      <c r="AD835" s="288"/>
      <c r="AE835" s="288"/>
      <c r="AF835" s="288"/>
      <c r="AG835" s="288"/>
      <c r="AH835" s="288"/>
      <c r="AI835" s="288"/>
    </row>
    <row r="836" spans="1:35" ht="12.75" customHeight="1" x14ac:dyDescent="0.2">
      <c r="A836" s="288"/>
      <c r="B836" s="288"/>
      <c r="C836" s="288"/>
      <c r="D836" s="288"/>
      <c r="E836" s="288"/>
      <c r="F836" s="288"/>
      <c r="G836" s="288"/>
      <c r="H836" s="288"/>
      <c r="I836" s="288"/>
      <c r="J836" s="288"/>
      <c r="K836" s="288"/>
      <c r="L836" s="288"/>
      <c r="M836" s="288"/>
      <c r="N836" s="288"/>
      <c r="O836" s="288"/>
      <c r="P836" s="288"/>
      <c r="Q836" s="288"/>
      <c r="R836" s="288"/>
      <c r="S836" s="288"/>
      <c r="T836" s="288"/>
      <c r="U836" s="288"/>
      <c r="V836" s="288"/>
      <c r="W836" s="288"/>
      <c r="X836" s="288"/>
      <c r="Y836" s="288"/>
      <c r="Z836" s="288"/>
      <c r="AA836" s="288"/>
      <c r="AB836" s="288"/>
      <c r="AC836" s="288"/>
      <c r="AD836" s="288"/>
      <c r="AE836" s="288"/>
      <c r="AF836" s="288"/>
      <c r="AG836" s="288"/>
      <c r="AH836" s="288"/>
      <c r="AI836" s="288"/>
    </row>
    <row r="837" spans="1:35" ht="12.75" customHeight="1" x14ac:dyDescent="0.2">
      <c r="A837" s="288"/>
      <c r="B837" s="288"/>
      <c r="C837" s="288"/>
      <c r="D837" s="288"/>
      <c r="E837" s="288"/>
      <c r="F837" s="288"/>
      <c r="G837" s="288"/>
      <c r="H837" s="288"/>
      <c r="I837" s="288"/>
      <c r="J837" s="288"/>
      <c r="K837" s="288"/>
      <c r="L837" s="288"/>
      <c r="M837" s="288"/>
      <c r="N837" s="288"/>
      <c r="O837" s="288"/>
      <c r="P837" s="288"/>
      <c r="Q837" s="288"/>
      <c r="R837" s="288"/>
      <c r="S837" s="288"/>
      <c r="T837" s="288"/>
      <c r="U837" s="288"/>
      <c r="V837" s="288"/>
      <c r="W837" s="288"/>
      <c r="X837" s="288"/>
      <c r="Y837" s="288"/>
      <c r="Z837" s="288"/>
      <c r="AA837" s="288"/>
      <c r="AB837" s="288"/>
      <c r="AC837" s="288"/>
      <c r="AD837" s="288"/>
      <c r="AE837" s="288"/>
      <c r="AF837" s="288"/>
      <c r="AG837" s="288"/>
      <c r="AH837" s="288"/>
      <c r="AI837" s="288"/>
    </row>
    <row r="838" spans="1:35" ht="12.75" customHeight="1" x14ac:dyDescent="0.2">
      <c r="A838" s="288"/>
      <c r="B838" s="288"/>
      <c r="C838" s="288"/>
      <c r="D838" s="288"/>
      <c r="E838" s="288"/>
      <c r="F838" s="288"/>
      <c r="G838" s="288"/>
      <c r="H838" s="288"/>
      <c r="I838" s="288"/>
      <c r="J838" s="288"/>
      <c r="K838" s="288"/>
      <c r="L838" s="288"/>
      <c r="M838" s="288"/>
      <c r="N838" s="288"/>
      <c r="O838" s="288"/>
      <c r="P838" s="288"/>
      <c r="Q838" s="288"/>
      <c r="R838" s="288"/>
      <c r="S838" s="288"/>
      <c r="T838" s="288"/>
      <c r="U838" s="288"/>
      <c r="V838" s="288"/>
      <c r="W838" s="288"/>
      <c r="X838" s="288"/>
      <c r="Y838" s="288"/>
      <c r="Z838" s="288"/>
      <c r="AA838" s="288"/>
      <c r="AB838" s="288"/>
      <c r="AC838" s="288"/>
      <c r="AD838" s="288"/>
      <c r="AE838" s="288"/>
      <c r="AF838" s="288"/>
      <c r="AG838" s="288"/>
      <c r="AH838" s="288"/>
      <c r="AI838" s="288"/>
    </row>
    <row r="839" spans="1:35" ht="12.75" customHeight="1" x14ac:dyDescent="0.2">
      <c r="A839" s="288"/>
      <c r="B839" s="288"/>
      <c r="C839" s="288"/>
      <c r="D839" s="288"/>
      <c r="E839" s="288"/>
      <c r="F839" s="288"/>
      <c r="G839" s="288"/>
      <c r="H839" s="288"/>
      <c r="I839" s="288"/>
      <c r="J839" s="288"/>
      <c r="K839" s="288"/>
      <c r="L839" s="288"/>
      <c r="M839" s="288"/>
      <c r="N839" s="288"/>
      <c r="O839" s="288"/>
      <c r="P839" s="288"/>
      <c r="Q839" s="288"/>
      <c r="R839" s="288"/>
      <c r="S839" s="288"/>
      <c r="T839" s="288"/>
      <c r="U839" s="288"/>
      <c r="V839" s="288"/>
      <c r="W839" s="288"/>
      <c r="X839" s="288"/>
      <c r="Y839" s="288"/>
      <c r="Z839" s="288"/>
      <c r="AA839" s="288"/>
      <c r="AB839" s="288"/>
      <c r="AC839" s="288"/>
      <c r="AD839" s="288"/>
      <c r="AE839" s="288"/>
      <c r="AF839" s="288"/>
      <c r="AG839" s="288"/>
      <c r="AH839" s="288"/>
      <c r="AI839" s="288"/>
    </row>
    <row r="840" spans="1:35" ht="12.75" customHeight="1" x14ac:dyDescent="0.2">
      <c r="A840" s="288"/>
      <c r="B840" s="288"/>
      <c r="C840" s="288"/>
      <c r="D840" s="288"/>
      <c r="E840" s="288"/>
      <c r="F840" s="288"/>
      <c r="G840" s="288"/>
      <c r="H840" s="288"/>
      <c r="I840" s="288"/>
      <c r="J840" s="288"/>
      <c r="K840" s="288"/>
      <c r="L840" s="288"/>
      <c r="M840" s="288"/>
      <c r="N840" s="288"/>
      <c r="O840" s="288"/>
      <c r="P840" s="288"/>
      <c r="Q840" s="288"/>
      <c r="R840" s="288"/>
      <c r="S840" s="288"/>
      <c r="T840" s="288"/>
      <c r="U840" s="288"/>
      <c r="V840" s="288"/>
      <c r="W840" s="288"/>
      <c r="X840" s="288"/>
      <c r="Y840" s="288"/>
      <c r="Z840" s="288"/>
      <c r="AA840" s="288"/>
      <c r="AB840" s="288"/>
      <c r="AC840" s="288"/>
      <c r="AD840" s="288"/>
      <c r="AE840" s="288"/>
      <c r="AF840" s="288"/>
      <c r="AG840" s="288"/>
      <c r="AH840" s="288"/>
      <c r="AI840" s="288"/>
    </row>
    <row r="841" spans="1:35" ht="12.75" customHeight="1" x14ac:dyDescent="0.2">
      <c r="A841" s="288"/>
      <c r="B841" s="288"/>
      <c r="C841" s="288"/>
      <c r="D841" s="288"/>
      <c r="E841" s="288"/>
      <c r="F841" s="288"/>
      <c r="G841" s="288"/>
      <c r="H841" s="288"/>
      <c r="I841" s="288"/>
      <c r="J841" s="288"/>
      <c r="K841" s="288"/>
      <c r="L841" s="288"/>
      <c r="M841" s="288"/>
      <c r="N841" s="288"/>
      <c r="O841" s="288"/>
      <c r="P841" s="288"/>
      <c r="Q841" s="288"/>
      <c r="R841" s="288"/>
      <c r="S841" s="288"/>
      <c r="T841" s="288"/>
      <c r="U841" s="288"/>
      <c r="V841" s="288"/>
      <c r="W841" s="288"/>
      <c r="X841" s="288"/>
      <c r="Y841" s="288"/>
      <c r="Z841" s="288"/>
      <c r="AA841" s="288"/>
      <c r="AB841" s="288"/>
      <c r="AC841" s="288"/>
      <c r="AD841" s="288"/>
      <c r="AE841" s="288"/>
      <c r="AF841" s="288"/>
      <c r="AG841" s="288"/>
      <c r="AH841" s="288"/>
      <c r="AI841" s="288"/>
    </row>
    <row r="842" spans="1:35" ht="12.75" customHeight="1" x14ac:dyDescent="0.2">
      <c r="A842" s="288"/>
      <c r="B842" s="288"/>
      <c r="C842" s="288"/>
      <c r="D842" s="288"/>
      <c r="E842" s="288"/>
      <c r="F842" s="288"/>
      <c r="G842" s="288"/>
      <c r="H842" s="288"/>
      <c r="I842" s="288"/>
      <c r="J842" s="288"/>
      <c r="K842" s="288"/>
      <c r="L842" s="288"/>
      <c r="M842" s="288"/>
      <c r="N842" s="288"/>
      <c r="O842" s="288"/>
      <c r="P842" s="288"/>
      <c r="Q842" s="288"/>
      <c r="R842" s="288"/>
      <c r="S842" s="288"/>
      <c r="T842" s="288"/>
      <c r="U842" s="288"/>
      <c r="V842" s="288"/>
      <c r="W842" s="288"/>
      <c r="X842" s="288"/>
      <c r="Y842" s="288"/>
      <c r="Z842" s="288"/>
      <c r="AA842" s="288"/>
      <c r="AB842" s="288"/>
      <c r="AC842" s="288"/>
      <c r="AD842" s="288"/>
      <c r="AE842" s="288"/>
      <c r="AF842" s="288"/>
      <c r="AG842" s="288"/>
      <c r="AH842" s="288"/>
      <c r="AI842" s="288"/>
    </row>
    <row r="843" spans="1:35" ht="12.75" customHeight="1" x14ac:dyDescent="0.2">
      <c r="A843" s="288"/>
      <c r="B843" s="288"/>
      <c r="C843" s="288"/>
      <c r="D843" s="288"/>
      <c r="E843" s="288"/>
      <c r="F843" s="288"/>
      <c r="G843" s="288"/>
      <c r="H843" s="288"/>
      <c r="I843" s="288"/>
      <c r="J843" s="288"/>
      <c r="K843" s="288"/>
      <c r="L843" s="288"/>
      <c r="M843" s="288"/>
      <c r="N843" s="288"/>
      <c r="O843" s="288"/>
      <c r="P843" s="288"/>
      <c r="Q843" s="288"/>
      <c r="R843" s="288"/>
      <c r="S843" s="288"/>
      <c r="T843" s="288"/>
      <c r="U843" s="288"/>
      <c r="V843" s="288"/>
      <c r="W843" s="288"/>
      <c r="X843" s="288"/>
      <c r="Y843" s="288"/>
      <c r="Z843" s="288"/>
      <c r="AA843" s="288"/>
      <c r="AB843" s="288"/>
      <c r="AC843" s="288"/>
      <c r="AD843" s="288"/>
      <c r="AE843" s="288"/>
      <c r="AF843" s="288"/>
      <c r="AG843" s="288"/>
      <c r="AH843" s="288"/>
      <c r="AI843" s="288"/>
    </row>
    <row r="844" spans="1:35" ht="12.75" customHeight="1" x14ac:dyDescent="0.2">
      <c r="A844" s="288"/>
      <c r="B844" s="288"/>
      <c r="C844" s="288"/>
      <c r="D844" s="288"/>
      <c r="E844" s="288"/>
      <c r="F844" s="288"/>
      <c r="G844" s="288"/>
      <c r="H844" s="288"/>
      <c r="I844" s="288"/>
      <c r="J844" s="288"/>
      <c r="K844" s="288"/>
      <c r="L844" s="288"/>
      <c r="M844" s="288"/>
      <c r="N844" s="288"/>
      <c r="O844" s="288"/>
      <c r="P844" s="288"/>
      <c r="Q844" s="288"/>
      <c r="R844" s="288"/>
      <c r="S844" s="288"/>
      <c r="T844" s="288"/>
      <c r="U844" s="288"/>
      <c r="V844" s="288"/>
      <c r="W844" s="288"/>
      <c r="X844" s="288"/>
      <c r="Y844" s="288"/>
      <c r="Z844" s="288"/>
      <c r="AA844" s="288"/>
      <c r="AB844" s="288"/>
      <c r="AC844" s="288"/>
      <c r="AD844" s="288"/>
      <c r="AE844" s="288"/>
      <c r="AF844" s="288"/>
      <c r="AG844" s="288"/>
      <c r="AH844" s="288"/>
      <c r="AI844" s="288"/>
    </row>
    <row r="845" spans="1:35" ht="12.75" customHeight="1" x14ac:dyDescent="0.2">
      <c r="A845" s="288"/>
      <c r="B845" s="288"/>
      <c r="C845" s="288"/>
      <c r="D845" s="288"/>
      <c r="E845" s="288"/>
      <c r="F845" s="288"/>
      <c r="G845" s="288"/>
      <c r="H845" s="288"/>
      <c r="I845" s="288"/>
      <c r="J845" s="288"/>
      <c r="K845" s="288"/>
      <c r="L845" s="288"/>
      <c r="M845" s="288"/>
      <c r="N845" s="288"/>
      <c r="O845" s="288"/>
      <c r="P845" s="288"/>
      <c r="Q845" s="288"/>
      <c r="R845" s="288"/>
      <c r="S845" s="288"/>
      <c r="T845" s="288"/>
      <c r="U845" s="288"/>
      <c r="V845" s="288"/>
      <c r="W845" s="288"/>
      <c r="X845" s="288"/>
      <c r="Y845" s="288"/>
      <c r="Z845" s="288"/>
      <c r="AA845" s="288"/>
      <c r="AB845" s="288"/>
      <c r="AC845" s="288"/>
      <c r="AD845" s="288"/>
      <c r="AE845" s="288"/>
      <c r="AF845" s="288"/>
      <c r="AG845" s="288"/>
      <c r="AH845" s="288"/>
      <c r="AI845" s="288"/>
    </row>
    <row r="846" spans="1:35" ht="12.75" customHeight="1" x14ac:dyDescent="0.2">
      <c r="A846" s="288"/>
      <c r="B846" s="288"/>
      <c r="C846" s="288"/>
      <c r="D846" s="288"/>
      <c r="E846" s="288"/>
      <c r="F846" s="288"/>
      <c r="G846" s="288"/>
      <c r="H846" s="288"/>
      <c r="I846" s="288"/>
      <c r="J846" s="288"/>
      <c r="K846" s="288"/>
      <c r="L846" s="288"/>
      <c r="M846" s="288"/>
      <c r="N846" s="288"/>
      <c r="O846" s="288"/>
      <c r="P846" s="288"/>
      <c r="Q846" s="288"/>
      <c r="R846" s="288"/>
      <c r="S846" s="288"/>
      <c r="T846" s="288"/>
      <c r="U846" s="288"/>
      <c r="V846" s="288"/>
      <c r="W846" s="288"/>
      <c r="X846" s="288"/>
      <c r="Y846" s="288"/>
      <c r="Z846" s="288"/>
      <c r="AA846" s="288"/>
      <c r="AB846" s="288"/>
      <c r="AC846" s="288"/>
      <c r="AD846" s="288"/>
      <c r="AE846" s="288"/>
      <c r="AF846" s="288"/>
      <c r="AG846" s="288"/>
      <c r="AH846" s="288"/>
      <c r="AI846" s="288"/>
    </row>
    <row r="847" spans="1:35" ht="12.75" customHeight="1" x14ac:dyDescent="0.2">
      <c r="A847" s="288"/>
      <c r="B847" s="288"/>
      <c r="C847" s="288"/>
      <c r="D847" s="288"/>
      <c r="E847" s="288"/>
      <c r="F847" s="288"/>
      <c r="G847" s="288"/>
      <c r="H847" s="288"/>
      <c r="I847" s="288"/>
      <c r="J847" s="288"/>
      <c r="K847" s="288"/>
      <c r="L847" s="288"/>
      <c r="M847" s="288"/>
      <c r="N847" s="288"/>
      <c r="O847" s="288"/>
      <c r="P847" s="288"/>
      <c r="Q847" s="288"/>
      <c r="R847" s="288"/>
      <c r="S847" s="288"/>
      <c r="T847" s="288"/>
      <c r="U847" s="288"/>
      <c r="V847" s="288"/>
      <c r="W847" s="288"/>
      <c r="X847" s="288"/>
      <c r="Y847" s="288"/>
      <c r="Z847" s="288"/>
      <c r="AA847" s="288"/>
      <c r="AB847" s="288"/>
      <c r="AC847" s="288"/>
      <c r="AD847" s="288"/>
      <c r="AE847" s="288"/>
      <c r="AF847" s="288"/>
      <c r="AG847" s="288"/>
      <c r="AH847" s="288"/>
      <c r="AI847" s="288"/>
    </row>
    <row r="848" spans="1:35" ht="12.75" customHeight="1" x14ac:dyDescent="0.2">
      <c r="A848" s="288"/>
      <c r="B848" s="288"/>
      <c r="C848" s="288"/>
      <c r="D848" s="288"/>
      <c r="E848" s="288"/>
      <c r="F848" s="288"/>
      <c r="G848" s="288"/>
      <c r="H848" s="288"/>
      <c r="I848" s="288"/>
      <c r="J848" s="288"/>
      <c r="K848" s="288"/>
      <c r="L848" s="288"/>
      <c r="M848" s="288"/>
      <c r="N848" s="288"/>
      <c r="O848" s="288"/>
      <c r="P848" s="288"/>
      <c r="Q848" s="288"/>
      <c r="R848" s="288"/>
      <c r="S848" s="288"/>
      <c r="T848" s="288"/>
      <c r="U848" s="288"/>
      <c r="V848" s="288"/>
      <c r="W848" s="288"/>
      <c r="X848" s="288"/>
      <c r="Y848" s="288"/>
      <c r="Z848" s="288"/>
      <c r="AA848" s="288"/>
      <c r="AB848" s="288"/>
      <c r="AC848" s="288"/>
      <c r="AD848" s="288"/>
      <c r="AE848" s="288"/>
      <c r="AF848" s="288"/>
      <c r="AG848" s="288"/>
      <c r="AH848" s="288"/>
      <c r="AI848" s="288"/>
    </row>
    <row r="849" spans="1:35" ht="12.75" customHeight="1" x14ac:dyDescent="0.2">
      <c r="A849" s="288"/>
      <c r="B849" s="288"/>
      <c r="C849" s="288"/>
      <c r="D849" s="288"/>
      <c r="E849" s="288"/>
      <c r="F849" s="288"/>
      <c r="G849" s="288"/>
      <c r="H849" s="288"/>
      <c r="I849" s="288"/>
      <c r="J849" s="288"/>
      <c r="K849" s="288"/>
      <c r="L849" s="288"/>
      <c r="M849" s="288"/>
      <c r="N849" s="288"/>
      <c r="O849" s="288"/>
      <c r="P849" s="288"/>
      <c r="Q849" s="288"/>
      <c r="R849" s="288"/>
      <c r="S849" s="288"/>
      <c r="T849" s="288"/>
      <c r="U849" s="288"/>
      <c r="V849" s="288"/>
      <c r="W849" s="288"/>
      <c r="X849" s="288"/>
      <c r="Y849" s="288"/>
      <c r="Z849" s="288"/>
      <c r="AA849" s="288"/>
      <c r="AB849" s="288"/>
      <c r="AC849" s="288"/>
      <c r="AD849" s="288"/>
      <c r="AE849" s="288"/>
      <c r="AF849" s="288"/>
      <c r="AG849" s="288"/>
      <c r="AH849" s="288"/>
      <c r="AI849" s="288"/>
    </row>
    <row r="850" spans="1:35" ht="12.75" customHeight="1" x14ac:dyDescent="0.2">
      <c r="A850" s="288"/>
      <c r="B850" s="288"/>
      <c r="C850" s="288"/>
      <c r="D850" s="288"/>
      <c r="E850" s="288"/>
      <c r="F850" s="288"/>
      <c r="G850" s="288"/>
      <c r="H850" s="288"/>
      <c r="I850" s="288"/>
      <c r="J850" s="288"/>
      <c r="K850" s="288"/>
      <c r="L850" s="288"/>
      <c r="M850" s="288"/>
      <c r="N850" s="288"/>
      <c r="O850" s="288"/>
      <c r="P850" s="288"/>
      <c r="Q850" s="288"/>
      <c r="R850" s="288"/>
      <c r="S850" s="288"/>
      <c r="T850" s="288"/>
      <c r="U850" s="288"/>
      <c r="V850" s="288"/>
      <c r="W850" s="288"/>
      <c r="X850" s="288"/>
      <c r="Y850" s="288"/>
      <c r="Z850" s="288"/>
      <c r="AA850" s="288"/>
      <c r="AB850" s="288"/>
      <c r="AC850" s="288"/>
      <c r="AD850" s="288"/>
      <c r="AE850" s="288"/>
      <c r="AF850" s="288"/>
      <c r="AG850" s="288"/>
      <c r="AH850" s="288"/>
      <c r="AI850" s="288"/>
    </row>
    <row r="851" spans="1:35" ht="12.75" customHeight="1" x14ac:dyDescent="0.2">
      <c r="A851" s="288"/>
      <c r="B851" s="288"/>
      <c r="C851" s="288"/>
      <c r="D851" s="288"/>
      <c r="E851" s="288"/>
      <c r="F851" s="288"/>
      <c r="G851" s="288"/>
      <c r="H851" s="288"/>
      <c r="I851" s="288"/>
      <c r="J851" s="288"/>
      <c r="K851" s="288"/>
      <c r="L851" s="288"/>
      <c r="M851" s="288"/>
      <c r="N851" s="288"/>
      <c r="O851" s="288"/>
      <c r="P851" s="288"/>
      <c r="Q851" s="288"/>
      <c r="R851" s="288"/>
      <c r="S851" s="288"/>
      <c r="T851" s="288"/>
      <c r="U851" s="288"/>
      <c r="V851" s="288"/>
      <c r="W851" s="288"/>
      <c r="X851" s="288"/>
      <c r="Y851" s="288"/>
      <c r="Z851" s="288"/>
      <c r="AA851" s="288"/>
      <c r="AB851" s="288"/>
      <c r="AC851" s="288"/>
      <c r="AD851" s="288"/>
      <c r="AE851" s="288"/>
      <c r="AF851" s="288"/>
      <c r="AG851" s="288"/>
      <c r="AH851" s="288"/>
      <c r="AI851" s="288"/>
    </row>
    <row r="852" spans="1:35" ht="12.75" customHeight="1" x14ac:dyDescent="0.2">
      <c r="A852" s="288"/>
      <c r="B852" s="288"/>
      <c r="C852" s="288"/>
      <c r="D852" s="288"/>
      <c r="E852" s="288"/>
      <c r="F852" s="288"/>
      <c r="G852" s="288"/>
      <c r="H852" s="288"/>
      <c r="I852" s="288"/>
      <c r="J852" s="288"/>
      <c r="K852" s="288"/>
      <c r="L852" s="288"/>
      <c r="M852" s="288"/>
      <c r="N852" s="288"/>
      <c r="O852" s="288"/>
      <c r="P852" s="288"/>
      <c r="Q852" s="288"/>
      <c r="R852" s="288"/>
      <c r="S852" s="288"/>
      <c r="T852" s="288"/>
      <c r="U852" s="288"/>
      <c r="V852" s="288"/>
      <c r="W852" s="288"/>
      <c r="X852" s="288"/>
      <c r="Y852" s="288"/>
      <c r="Z852" s="288"/>
      <c r="AA852" s="288"/>
      <c r="AB852" s="288"/>
      <c r="AC852" s="288"/>
      <c r="AD852" s="288"/>
      <c r="AE852" s="288"/>
      <c r="AF852" s="288"/>
      <c r="AG852" s="288"/>
      <c r="AH852" s="288"/>
      <c r="AI852" s="288"/>
    </row>
    <row r="853" spans="1:35" ht="12.75" customHeight="1" x14ac:dyDescent="0.2">
      <c r="A853" s="288"/>
      <c r="B853" s="288"/>
      <c r="C853" s="288"/>
      <c r="D853" s="288"/>
      <c r="E853" s="288"/>
      <c r="F853" s="288"/>
      <c r="G853" s="288"/>
      <c r="H853" s="288"/>
      <c r="I853" s="288"/>
      <c r="J853" s="288"/>
      <c r="K853" s="288"/>
      <c r="L853" s="288"/>
      <c r="M853" s="288"/>
      <c r="N853" s="288"/>
      <c r="O853" s="288"/>
      <c r="P853" s="288"/>
      <c r="Q853" s="288"/>
      <c r="R853" s="288"/>
      <c r="S853" s="288"/>
      <c r="T853" s="288"/>
      <c r="U853" s="288"/>
      <c r="V853" s="288"/>
      <c r="W853" s="288"/>
      <c r="X853" s="288"/>
      <c r="Y853" s="288"/>
      <c r="Z853" s="288"/>
      <c r="AA853" s="288"/>
      <c r="AB853" s="288"/>
      <c r="AC853" s="288"/>
      <c r="AD853" s="288"/>
      <c r="AE853" s="288"/>
      <c r="AF853" s="288"/>
      <c r="AG853" s="288"/>
      <c r="AH853" s="288"/>
      <c r="AI853" s="288"/>
    </row>
    <row r="854" spans="1:35" ht="12.75" customHeight="1" x14ac:dyDescent="0.2">
      <c r="A854" s="288"/>
      <c r="B854" s="288"/>
      <c r="C854" s="288"/>
      <c r="D854" s="288"/>
      <c r="E854" s="288"/>
      <c r="F854" s="288"/>
      <c r="G854" s="288"/>
      <c r="H854" s="288"/>
      <c r="I854" s="288"/>
      <c r="J854" s="288"/>
      <c r="K854" s="288"/>
      <c r="L854" s="288"/>
      <c r="M854" s="288"/>
      <c r="N854" s="288"/>
      <c r="O854" s="288"/>
      <c r="P854" s="288"/>
      <c r="Q854" s="288"/>
      <c r="R854" s="288"/>
      <c r="S854" s="288"/>
      <c r="T854" s="288"/>
      <c r="U854" s="288"/>
      <c r="V854" s="288"/>
      <c r="W854" s="288"/>
      <c r="X854" s="288"/>
      <c r="Y854" s="288"/>
      <c r="Z854" s="288"/>
      <c r="AA854" s="288"/>
      <c r="AB854" s="288"/>
      <c r="AC854" s="288"/>
      <c r="AD854" s="288"/>
      <c r="AE854" s="288"/>
      <c r="AF854" s="288"/>
      <c r="AG854" s="288"/>
      <c r="AH854" s="288"/>
      <c r="AI854" s="288"/>
    </row>
    <row r="855" spans="1:35" ht="12.75" customHeight="1" x14ac:dyDescent="0.2">
      <c r="A855" s="288"/>
      <c r="B855" s="288"/>
      <c r="C855" s="288"/>
      <c r="D855" s="288"/>
      <c r="E855" s="288"/>
      <c r="F855" s="288"/>
      <c r="G855" s="288"/>
      <c r="H855" s="288"/>
      <c r="I855" s="288"/>
      <c r="J855" s="288"/>
      <c r="K855" s="288"/>
      <c r="L855" s="288"/>
      <c r="M855" s="288"/>
      <c r="N855" s="288"/>
      <c r="O855" s="288"/>
      <c r="P855" s="288"/>
      <c r="Q855" s="288"/>
      <c r="R855" s="288"/>
      <c r="S855" s="288"/>
      <c r="T855" s="288"/>
      <c r="U855" s="288"/>
      <c r="V855" s="288"/>
      <c r="W855" s="288"/>
      <c r="X855" s="288"/>
      <c r="Y855" s="288"/>
      <c r="Z855" s="288"/>
      <c r="AA855" s="288"/>
      <c r="AB855" s="288"/>
      <c r="AC855" s="288"/>
      <c r="AD855" s="288"/>
      <c r="AE855" s="288"/>
      <c r="AF855" s="288"/>
      <c r="AG855" s="288"/>
      <c r="AH855" s="288"/>
      <c r="AI855" s="288"/>
    </row>
  </sheetData>
  <autoFilter ref="A1:O25" xr:uid="{00000000-0009-0000-0000-000000000000}"/>
  <pageMargins left="0.7" right="0.7" top="0.75" bottom="0.75" header="0" footer="0"/>
  <pageSetup scale="28" fitToHeight="0" orientation="landscape" r:id="rId1"/>
  <headerFooter alignWithMargins="0">
    <oddHeader>&amp;LL/DF 023&amp;C&amp;A&amp;R&amp;D</oddHeader>
    <oddFooter>&amp;CGabriela/Kátia</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1F2F3-0C20-4A5B-A8EC-6CD44EF1059A}">
  <sheetPr>
    <pageSetUpPr fitToPage="1"/>
  </sheetPr>
  <dimension ref="A1:AI739"/>
  <sheetViews>
    <sheetView zoomScaleNormal="100" workbookViewId="0">
      <pane xSplit="6" ySplit="1" topLeftCell="J66" activePane="bottomRight" state="frozen"/>
      <selection pane="topRight" activeCell="I1" sqref="I1"/>
      <selection pane="bottomLeft" activeCell="A2" sqref="A2"/>
      <selection pane="bottomRight" activeCell="E72" sqref="E72"/>
    </sheetView>
  </sheetViews>
  <sheetFormatPr defaultRowHeight="12.75" x14ac:dyDescent="0.2"/>
  <cols>
    <col min="2" max="2" width="47.5703125" customWidth="1"/>
    <col min="3" max="3" width="35.140625" customWidth="1"/>
    <col min="4" max="4" width="8.85546875" customWidth="1"/>
    <col min="6" max="9" width="11" hidden="1" customWidth="1"/>
    <col min="10" max="10" width="11" customWidth="1"/>
    <col min="11" max="11" width="12.85546875" customWidth="1"/>
    <col min="12" max="12" width="12" customWidth="1"/>
    <col min="13" max="13" width="11.85546875" customWidth="1"/>
    <col min="15" max="15" width="11" customWidth="1"/>
    <col min="247" max="247" width="47.5703125" customWidth="1"/>
    <col min="248" max="248" width="35.140625" customWidth="1"/>
    <col min="249" max="249" width="10.42578125" customWidth="1"/>
    <col min="251" max="251" width="8.85546875" customWidth="1"/>
    <col min="253" max="257" width="11" customWidth="1"/>
    <col min="258" max="258" width="12.85546875" customWidth="1"/>
    <col min="259" max="259" width="12" customWidth="1"/>
    <col min="260" max="260" width="11.85546875" customWidth="1"/>
    <col min="262" max="262" width="11" customWidth="1"/>
    <col min="263" max="263" width="7" customWidth="1"/>
    <col min="268" max="268" width="10.7109375" customWidth="1"/>
    <col min="503" max="503" width="47.5703125" customWidth="1"/>
    <col min="504" max="504" width="35.140625" customWidth="1"/>
    <col min="505" max="505" width="10.42578125" customWidth="1"/>
    <col min="507" max="507" width="8.85546875" customWidth="1"/>
    <col min="509" max="513" width="11" customWidth="1"/>
    <col min="514" max="514" width="12.85546875" customWidth="1"/>
    <col min="515" max="515" width="12" customWidth="1"/>
    <col min="516" max="516" width="11.85546875" customWidth="1"/>
    <col min="518" max="518" width="11" customWidth="1"/>
    <col min="519" max="519" width="7" customWidth="1"/>
    <col min="524" max="524" width="10.7109375" customWidth="1"/>
    <col min="759" max="759" width="47.5703125" customWidth="1"/>
    <col min="760" max="760" width="35.140625" customWidth="1"/>
    <col min="761" max="761" width="10.42578125" customWidth="1"/>
    <col min="763" max="763" width="8.85546875" customWidth="1"/>
    <col min="765" max="769" width="11" customWidth="1"/>
    <col min="770" max="770" width="12.85546875" customWidth="1"/>
    <col min="771" max="771" width="12" customWidth="1"/>
    <col min="772" max="772" width="11.85546875" customWidth="1"/>
    <col min="774" max="774" width="11" customWidth="1"/>
    <col min="775" max="775" width="7" customWidth="1"/>
    <col min="780" max="780" width="10.7109375" customWidth="1"/>
    <col min="1015" max="1015" width="47.5703125" customWidth="1"/>
    <col min="1016" max="1016" width="35.140625" customWidth="1"/>
    <col min="1017" max="1017" width="10.42578125" customWidth="1"/>
    <col min="1019" max="1019" width="8.85546875" customWidth="1"/>
    <col min="1021" max="1025" width="11" customWidth="1"/>
    <col min="1026" max="1026" width="12.85546875" customWidth="1"/>
    <col min="1027" max="1027" width="12" customWidth="1"/>
    <col min="1028" max="1028" width="11.85546875" customWidth="1"/>
    <col min="1030" max="1030" width="11" customWidth="1"/>
    <col min="1031" max="1031" width="7" customWidth="1"/>
    <col min="1036" max="1036" width="10.7109375" customWidth="1"/>
    <col min="1271" max="1271" width="47.5703125" customWidth="1"/>
    <col min="1272" max="1272" width="35.140625" customWidth="1"/>
    <col min="1273" max="1273" width="10.42578125" customWidth="1"/>
    <col min="1275" max="1275" width="8.85546875" customWidth="1"/>
    <col min="1277" max="1281" width="11" customWidth="1"/>
    <col min="1282" max="1282" width="12.85546875" customWidth="1"/>
    <col min="1283" max="1283" width="12" customWidth="1"/>
    <col min="1284" max="1284" width="11.85546875" customWidth="1"/>
    <col min="1286" max="1286" width="11" customWidth="1"/>
    <col min="1287" max="1287" width="7" customWidth="1"/>
    <col min="1292" max="1292" width="10.7109375" customWidth="1"/>
    <col min="1527" max="1527" width="47.5703125" customWidth="1"/>
    <col min="1528" max="1528" width="35.140625" customWidth="1"/>
    <col min="1529" max="1529" width="10.42578125" customWidth="1"/>
    <col min="1531" max="1531" width="8.85546875" customWidth="1"/>
    <col min="1533" max="1537" width="11" customWidth="1"/>
    <col min="1538" max="1538" width="12.85546875" customWidth="1"/>
    <col min="1539" max="1539" width="12" customWidth="1"/>
    <col min="1540" max="1540" width="11.85546875" customWidth="1"/>
    <col min="1542" max="1542" width="11" customWidth="1"/>
    <col min="1543" max="1543" width="7" customWidth="1"/>
    <col min="1548" max="1548" width="10.7109375" customWidth="1"/>
    <col min="1783" max="1783" width="47.5703125" customWidth="1"/>
    <col min="1784" max="1784" width="35.140625" customWidth="1"/>
    <col min="1785" max="1785" width="10.42578125" customWidth="1"/>
    <col min="1787" max="1787" width="8.85546875" customWidth="1"/>
    <col min="1789" max="1793" width="11" customWidth="1"/>
    <col min="1794" max="1794" width="12.85546875" customWidth="1"/>
    <col min="1795" max="1795" width="12" customWidth="1"/>
    <col min="1796" max="1796" width="11.85546875" customWidth="1"/>
    <col min="1798" max="1798" width="11" customWidth="1"/>
    <col min="1799" max="1799" width="7" customWidth="1"/>
    <col min="1804" max="1804" width="10.7109375" customWidth="1"/>
    <col min="2039" max="2039" width="47.5703125" customWidth="1"/>
    <col min="2040" max="2040" width="35.140625" customWidth="1"/>
    <col min="2041" max="2041" width="10.42578125" customWidth="1"/>
    <col min="2043" max="2043" width="8.85546875" customWidth="1"/>
    <col min="2045" max="2049" width="11" customWidth="1"/>
    <col min="2050" max="2050" width="12.85546875" customWidth="1"/>
    <col min="2051" max="2051" width="12" customWidth="1"/>
    <col min="2052" max="2052" width="11.85546875" customWidth="1"/>
    <col min="2054" max="2054" width="11" customWidth="1"/>
    <col min="2055" max="2055" width="7" customWidth="1"/>
    <col min="2060" max="2060" width="10.7109375" customWidth="1"/>
    <col min="2295" max="2295" width="47.5703125" customWidth="1"/>
    <col min="2296" max="2296" width="35.140625" customWidth="1"/>
    <col min="2297" max="2297" width="10.42578125" customWidth="1"/>
    <col min="2299" max="2299" width="8.85546875" customWidth="1"/>
    <col min="2301" max="2305" width="11" customWidth="1"/>
    <col min="2306" max="2306" width="12.85546875" customWidth="1"/>
    <col min="2307" max="2307" width="12" customWidth="1"/>
    <col min="2308" max="2308" width="11.85546875" customWidth="1"/>
    <col min="2310" max="2310" width="11" customWidth="1"/>
    <col min="2311" max="2311" width="7" customWidth="1"/>
    <col min="2316" max="2316" width="10.7109375" customWidth="1"/>
    <col min="2551" max="2551" width="47.5703125" customWidth="1"/>
    <col min="2552" max="2552" width="35.140625" customWidth="1"/>
    <col min="2553" max="2553" width="10.42578125" customWidth="1"/>
    <col min="2555" max="2555" width="8.85546875" customWidth="1"/>
    <col min="2557" max="2561" width="11" customWidth="1"/>
    <col min="2562" max="2562" width="12.85546875" customWidth="1"/>
    <col min="2563" max="2563" width="12" customWidth="1"/>
    <col min="2564" max="2564" width="11.85546875" customWidth="1"/>
    <col min="2566" max="2566" width="11" customWidth="1"/>
    <col min="2567" max="2567" width="7" customWidth="1"/>
    <col min="2572" max="2572" width="10.7109375" customWidth="1"/>
    <col min="2807" max="2807" width="47.5703125" customWidth="1"/>
    <col min="2808" max="2808" width="35.140625" customWidth="1"/>
    <col min="2809" max="2809" width="10.42578125" customWidth="1"/>
    <col min="2811" max="2811" width="8.85546875" customWidth="1"/>
    <col min="2813" max="2817" width="11" customWidth="1"/>
    <col min="2818" max="2818" width="12.85546875" customWidth="1"/>
    <col min="2819" max="2819" width="12" customWidth="1"/>
    <col min="2820" max="2820" width="11.85546875" customWidth="1"/>
    <col min="2822" max="2822" width="11" customWidth="1"/>
    <col min="2823" max="2823" width="7" customWidth="1"/>
    <col min="2828" max="2828" width="10.7109375" customWidth="1"/>
    <col min="3063" max="3063" width="47.5703125" customWidth="1"/>
    <col min="3064" max="3064" width="35.140625" customWidth="1"/>
    <col min="3065" max="3065" width="10.42578125" customWidth="1"/>
    <col min="3067" max="3067" width="8.85546875" customWidth="1"/>
    <col min="3069" max="3073" width="11" customWidth="1"/>
    <col min="3074" max="3074" width="12.85546875" customWidth="1"/>
    <col min="3075" max="3075" width="12" customWidth="1"/>
    <col min="3076" max="3076" width="11.85546875" customWidth="1"/>
    <col min="3078" max="3078" width="11" customWidth="1"/>
    <col min="3079" max="3079" width="7" customWidth="1"/>
    <col min="3084" max="3084" width="10.7109375" customWidth="1"/>
    <col min="3319" max="3319" width="47.5703125" customWidth="1"/>
    <col min="3320" max="3320" width="35.140625" customWidth="1"/>
    <col min="3321" max="3321" width="10.42578125" customWidth="1"/>
    <col min="3323" max="3323" width="8.85546875" customWidth="1"/>
    <col min="3325" max="3329" width="11" customWidth="1"/>
    <col min="3330" max="3330" width="12.85546875" customWidth="1"/>
    <col min="3331" max="3331" width="12" customWidth="1"/>
    <col min="3332" max="3332" width="11.85546875" customWidth="1"/>
    <col min="3334" max="3334" width="11" customWidth="1"/>
    <col min="3335" max="3335" width="7" customWidth="1"/>
    <col min="3340" max="3340" width="10.7109375" customWidth="1"/>
    <col min="3575" max="3575" width="47.5703125" customWidth="1"/>
    <col min="3576" max="3576" width="35.140625" customWidth="1"/>
    <col min="3577" max="3577" width="10.42578125" customWidth="1"/>
    <col min="3579" max="3579" width="8.85546875" customWidth="1"/>
    <col min="3581" max="3585" width="11" customWidth="1"/>
    <col min="3586" max="3586" width="12.85546875" customWidth="1"/>
    <col min="3587" max="3587" width="12" customWidth="1"/>
    <col min="3588" max="3588" width="11.85546875" customWidth="1"/>
    <col min="3590" max="3590" width="11" customWidth="1"/>
    <col min="3591" max="3591" width="7" customWidth="1"/>
    <col min="3596" max="3596" width="10.7109375" customWidth="1"/>
    <col min="3831" max="3831" width="47.5703125" customWidth="1"/>
    <col min="3832" max="3832" width="35.140625" customWidth="1"/>
    <col min="3833" max="3833" width="10.42578125" customWidth="1"/>
    <col min="3835" max="3835" width="8.85546875" customWidth="1"/>
    <col min="3837" max="3841" width="11" customWidth="1"/>
    <col min="3842" max="3842" width="12.85546875" customWidth="1"/>
    <col min="3843" max="3843" width="12" customWidth="1"/>
    <col min="3844" max="3844" width="11.85546875" customWidth="1"/>
    <col min="3846" max="3846" width="11" customWidth="1"/>
    <col min="3847" max="3847" width="7" customWidth="1"/>
    <col min="3852" max="3852" width="10.7109375" customWidth="1"/>
    <col min="4087" max="4087" width="47.5703125" customWidth="1"/>
    <col min="4088" max="4088" width="35.140625" customWidth="1"/>
    <col min="4089" max="4089" width="10.42578125" customWidth="1"/>
    <col min="4091" max="4091" width="8.85546875" customWidth="1"/>
    <col min="4093" max="4097" width="11" customWidth="1"/>
    <col min="4098" max="4098" width="12.85546875" customWidth="1"/>
    <col min="4099" max="4099" width="12" customWidth="1"/>
    <col min="4100" max="4100" width="11.85546875" customWidth="1"/>
    <col min="4102" max="4102" width="11" customWidth="1"/>
    <col min="4103" max="4103" width="7" customWidth="1"/>
    <col min="4108" max="4108" width="10.7109375" customWidth="1"/>
    <col min="4343" max="4343" width="47.5703125" customWidth="1"/>
    <col min="4344" max="4344" width="35.140625" customWidth="1"/>
    <col min="4345" max="4345" width="10.42578125" customWidth="1"/>
    <col min="4347" max="4347" width="8.85546875" customWidth="1"/>
    <col min="4349" max="4353" width="11" customWidth="1"/>
    <col min="4354" max="4354" width="12.85546875" customWidth="1"/>
    <col min="4355" max="4355" width="12" customWidth="1"/>
    <col min="4356" max="4356" width="11.85546875" customWidth="1"/>
    <col min="4358" max="4358" width="11" customWidth="1"/>
    <col min="4359" max="4359" width="7" customWidth="1"/>
    <col min="4364" max="4364" width="10.7109375" customWidth="1"/>
    <col min="4599" max="4599" width="47.5703125" customWidth="1"/>
    <col min="4600" max="4600" width="35.140625" customWidth="1"/>
    <col min="4601" max="4601" width="10.42578125" customWidth="1"/>
    <col min="4603" max="4603" width="8.85546875" customWidth="1"/>
    <col min="4605" max="4609" width="11" customWidth="1"/>
    <col min="4610" max="4610" width="12.85546875" customWidth="1"/>
    <col min="4611" max="4611" width="12" customWidth="1"/>
    <col min="4612" max="4612" width="11.85546875" customWidth="1"/>
    <col min="4614" max="4614" width="11" customWidth="1"/>
    <col min="4615" max="4615" width="7" customWidth="1"/>
    <col min="4620" max="4620" width="10.7109375" customWidth="1"/>
    <col min="4855" max="4855" width="47.5703125" customWidth="1"/>
    <col min="4856" max="4856" width="35.140625" customWidth="1"/>
    <col min="4857" max="4857" width="10.42578125" customWidth="1"/>
    <col min="4859" max="4859" width="8.85546875" customWidth="1"/>
    <col min="4861" max="4865" width="11" customWidth="1"/>
    <col min="4866" max="4866" width="12.85546875" customWidth="1"/>
    <col min="4867" max="4867" width="12" customWidth="1"/>
    <col min="4868" max="4868" width="11.85546875" customWidth="1"/>
    <col min="4870" max="4870" width="11" customWidth="1"/>
    <col min="4871" max="4871" width="7" customWidth="1"/>
    <col min="4876" max="4876" width="10.7109375" customWidth="1"/>
    <col min="5111" max="5111" width="47.5703125" customWidth="1"/>
    <col min="5112" max="5112" width="35.140625" customWidth="1"/>
    <col min="5113" max="5113" width="10.42578125" customWidth="1"/>
    <col min="5115" max="5115" width="8.85546875" customWidth="1"/>
    <col min="5117" max="5121" width="11" customWidth="1"/>
    <col min="5122" max="5122" width="12.85546875" customWidth="1"/>
    <col min="5123" max="5123" width="12" customWidth="1"/>
    <col min="5124" max="5124" width="11.85546875" customWidth="1"/>
    <col min="5126" max="5126" width="11" customWidth="1"/>
    <col min="5127" max="5127" width="7" customWidth="1"/>
    <col min="5132" max="5132" width="10.7109375" customWidth="1"/>
    <col min="5367" max="5367" width="47.5703125" customWidth="1"/>
    <col min="5368" max="5368" width="35.140625" customWidth="1"/>
    <col min="5369" max="5369" width="10.42578125" customWidth="1"/>
    <col min="5371" max="5371" width="8.85546875" customWidth="1"/>
    <col min="5373" max="5377" width="11" customWidth="1"/>
    <col min="5378" max="5378" width="12.85546875" customWidth="1"/>
    <col min="5379" max="5379" width="12" customWidth="1"/>
    <col min="5380" max="5380" width="11.85546875" customWidth="1"/>
    <col min="5382" max="5382" width="11" customWidth="1"/>
    <col min="5383" max="5383" width="7" customWidth="1"/>
    <col min="5388" max="5388" width="10.7109375" customWidth="1"/>
    <col min="5623" max="5623" width="47.5703125" customWidth="1"/>
    <col min="5624" max="5624" width="35.140625" customWidth="1"/>
    <col min="5625" max="5625" width="10.42578125" customWidth="1"/>
    <col min="5627" max="5627" width="8.85546875" customWidth="1"/>
    <col min="5629" max="5633" width="11" customWidth="1"/>
    <col min="5634" max="5634" width="12.85546875" customWidth="1"/>
    <col min="5635" max="5635" width="12" customWidth="1"/>
    <col min="5636" max="5636" width="11.85546875" customWidth="1"/>
    <col min="5638" max="5638" width="11" customWidth="1"/>
    <col min="5639" max="5639" width="7" customWidth="1"/>
    <col min="5644" max="5644" width="10.7109375" customWidth="1"/>
    <col min="5879" max="5879" width="47.5703125" customWidth="1"/>
    <col min="5880" max="5880" width="35.140625" customWidth="1"/>
    <col min="5881" max="5881" width="10.42578125" customWidth="1"/>
    <col min="5883" max="5883" width="8.85546875" customWidth="1"/>
    <col min="5885" max="5889" width="11" customWidth="1"/>
    <col min="5890" max="5890" width="12.85546875" customWidth="1"/>
    <col min="5891" max="5891" width="12" customWidth="1"/>
    <col min="5892" max="5892" width="11.85546875" customWidth="1"/>
    <col min="5894" max="5894" width="11" customWidth="1"/>
    <col min="5895" max="5895" width="7" customWidth="1"/>
    <col min="5900" max="5900" width="10.7109375" customWidth="1"/>
    <col min="6135" max="6135" width="47.5703125" customWidth="1"/>
    <col min="6136" max="6136" width="35.140625" customWidth="1"/>
    <col min="6137" max="6137" width="10.42578125" customWidth="1"/>
    <col min="6139" max="6139" width="8.85546875" customWidth="1"/>
    <col min="6141" max="6145" width="11" customWidth="1"/>
    <col min="6146" max="6146" width="12.85546875" customWidth="1"/>
    <col min="6147" max="6147" width="12" customWidth="1"/>
    <col min="6148" max="6148" width="11.85546875" customWidth="1"/>
    <col min="6150" max="6150" width="11" customWidth="1"/>
    <col min="6151" max="6151" width="7" customWidth="1"/>
    <col min="6156" max="6156" width="10.7109375" customWidth="1"/>
    <col min="6391" max="6391" width="47.5703125" customWidth="1"/>
    <col min="6392" max="6392" width="35.140625" customWidth="1"/>
    <col min="6393" max="6393" width="10.42578125" customWidth="1"/>
    <col min="6395" max="6395" width="8.85546875" customWidth="1"/>
    <col min="6397" max="6401" width="11" customWidth="1"/>
    <col min="6402" max="6402" width="12.85546875" customWidth="1"/>
    <col min="6403" max="6403" width="12" customWidth="1"/>
    <col min="6404" max="6404" width="11.85546875" customWidth="1"/>
    <col min="6406" max="6406" width="11" customWidth="1"/>
    <col min="6407" max="6407" width="7" customWidth="1"/>
    <col min="6412" max="6412" width="10.7109375" customWidth="1"/>
    <col min="6647" max="6647" width="47.5703125" customWidth="1"/>
    <col min="6648" max="6648" width="35.140625" customWidth="1"/>
    <col min="6649" max="6649" width="10.42578125" customWidth="1"/>
    <col min="6651" max="6651" width="8.85546875" customWidth="1"/>
    <col min="6653" max="6657" width="11" customWidth="1"/>
    <col min="6658" max="6658" width="12.85546875" customWidth="1"/>
    <col min="6659" max="6659" width="12" customWidth="1"/>
    <col min="6660" max="6660" width="11.85546875" customWidth="1"/>
    <col min="6662" max="6662" width="11" customWidth="1"/>
    <col min="6663" max="6663" width="7" customWidth="1"/>
    <col min="6668" max="6668" width="10.7109375" customWidth="1"/>
    <col min="6903" max="6903" width="47.5703125" customWidth="1"/>
    <col min="6904" max="6904" width="35.140625" customWidth="1"/>
    <col min="6905" max="6905" width="10.42578125" customWidth="1"/>
    <col min="6907" max="6907" width="8.85546875" customWidth="1"/>
    <col min="6909" max="6913" width="11" customWidth="1"/>
    <col min="6914" max="6914" width="12.85546875" customWidth="1"/>
    <col min="6915" max="6915" width="12" customWidth="1"/>
    <col min="6916" max="6916" width="11.85546875" customWidth="1"/>
    <col min="6918" max="6918" width="11" customWidth="1"/>
    <col min="6919" max="6919" width="7" customWidth="1"/>
    <col min="6924" max="6924" width="10.7109375" customWidth="1"/>
    <col min="7159" max="7159" width="47.5703125" customWidth="1"/>
    <col min="7160" max="7160" width="35.140625" customWidth="1"/>
    <col min="7161" max="7161" width="10.42578125" customWidth="1"/>
    <col min="7163" max="7163" width="8.85546875" customWidth="1"/>
    <col min="7165" max="7169" width="11" customWidth="1"/>
    <col min="7170" max="7170" width="12.85546875" customWidth="1"/>
    <col min="7171" max="7171" width="12" customWidth="1"/>
    <col min="7172" max="7172" width="11.85546875" customWidth="1"/>
    <col min="7174" max="7174" width="11" customWidth="1"/>
    <col min="7175" max="7175" width="7" customWidth="1"/>
    <col min="7180" max="7180" width="10.7109375" customWidth="1"/>
    <col min="7415" max="7415" width="47.5703125" customWidth="1"/>
    <col min="7416" max="7416" width="35.140625" customWidth="1"/>
    <col min="7417" max="7417" width="10.42578125" customWidth="1"/>
    <col min="7419" max="7419" width="8.85546875" customWidth="1"/>
    <col min="7421" max="7425" width="11" customWidth="1"/>
    <col min="7426" max="7426" width="12.85546875" customWidth="1"/>
    <col min="7427" max="7427" width="12" customWidth="1"/>
    <col min="7428" max="7428" width="11.85546875" customWidth="1"/>
    <col min="7430" max="7430" width="11" customWidth="1"/>
    <col min="7431" max="7431" width="7" customWidth="1"/>
    <col min="7436" max="7436" width="10.7109375" customWidth="1"/>
    <col min="7671" max="7671" width="47.5703125" customWidth="1"/>
    <col min="7672" max="7672" width="35.140625" customWidth="1"/>
    <col min="7673" max="7673" width="10.42578125" customWidth="1"/>
    <col min="7675" max="7675" width="8.85546875" customWidth="1"/>
    <col min="7677" max="7681" width="11" customWidth="1"/>
    <col min="7682" max="7682" width="12.85546875" customWidth="1"/>
    <col min="7683" max="7683" width="12" customWidth="1"/>
    <col min="7684" max="7684" width="11.85546875" customWidth="1"/>
    <col min="7686" max="7686" width="11" customWidth="1"/>
    <col min="7687" max="7687" width="7" customWidth="1"/>
    <col min="7692" max="7692" width="10.7109375" customWidth="1"/>
    <col min="7927" max="7927" width="47.5703125" customWidth="1"/>
    <col min="7928" max="7928" width="35.140625" customWidth="1"/>
    <col min="7929" max="7929" width="10.42578125" customWidth="1"/>
    <col min="7931" max="7931" width="8.85546875" customWidth="1"/>
    <col min="7933" max="7937" width="11" customWidth="1"/>
    <col min="7938" max="7938" width="12.85546875" customWidth="1"/>
    <col min="7939" max="7939" width="12" customWidth="1"/>
    <col min="7940" max="7940" width="11.85546875" customWidth="1"/>
    <col min="7942" max="7942" width="11" customWidth="1"/>
    <col min="7943" max="7943" width="7" customWidth="1"/>
    <col min="7948" max="7948" width="10.7109375" customWidth="1"/>
    <col min="8183" max="8183" width="47.5703125" customWidth="1"/>
    <col min="8184" max="8184" width="35.140625" customWidth="1"/>
    <col min="8185" max="8185" width="10.42578125" customWidth="1"/>
    <col min="8187" max="8187" width="8.85546875" customWidth="1"/>
    <col min="8189" max="8193" width="11" customWidth="1"/>
    <col min="8194" max="8194" width="12.85546875" customWidth="1"/>
    <col min="8195" max="8195" width="12" customWidth="1"/>
    <col min="8196" max="8196" width="11.85546875" customWidth="1"/>
    <col min="8198" max="8198" width="11" customWidth="1"/>
    <col min="8199" max="8199" width="7" customWidth="1"/>
    <col min="8204" max="8204" width="10.7109375" customWidth="1"/>
    <col min="8439" max="8439" width="47.5703125" customWidth="1"/>
    <col min="8440" max="8440" width="35.140625" customWidth="1"/>
    <col min="8441" max="8441" width="10.42578125" customWidth="1"/>
    <col min="8443" max="8443" width="8.85546875" customWidth="1"/>
    <col min="8445" max="8449" width="11" customWidth="1"/>
    <col min="8450" max="8450" width="12.85546875" customWidth="1"/>
    <col min="8451" max="8451" width="12" customWidth="1"/>
    <col min="8452" max="8452" width="11.85546875" customWidth="1"/>
    <col min="8454" max="8454" width="11" customWidth="1"/>
    <col min="8455" max="8455" width="7" customWidth="1"/>
    <col min="8460" max="8460" width="10.7109375" customWidth="1"/>
    <col min="8695" max="8695" width="47.5703125" customWidth="1"/>
    <col min="8696" max="8696" width="35.140625" customWidth="1"/>
    <col min="8697" max="8697" width="10.42578125" customWidth="1"/>
    <col min="8699" max="8699" width="8.85546875" customWidth="1"/>
    <col min="8701" max="8705" width="11" customWidth="1"/>
    <col min="8706" max="8706" width="12.85546875" customWidth="1"/>
    <col min="8707" max="8707" width="12" customWidth="1"/>
    <col min="8708" max="8708" width="11.85546875" customWidth="1"/>
    <col min="8710" max="8710" width="11" customWidth="1"/>
    <col min="8711" max="8711" width="7" customWidth="1"/>
    <col min="8716" max="8716" width="10.7109375" customWidth="1"/>
    <col min="8951" max="8951" width="47.5703125" customWidth="1"/>
    <col min="8952" max="8952" width="35.140625" customWidth="1"/>
    <col min="8953" max="8953" width="10.42578125" customWidth="1"/>
    <col min="8955" max="8955" width="8.85546875" customWidth="1"/>
    <col min="8957" max="8961" width="11" customWidth="1"/>
    <col min="8962" max="8962" width="12.85546875" customWidth="1"/>
    <col min="8963" max="8963" width="12" customWidth="1"/>
    <col min="8964" max="8964" width="11.85546875" customWidth="1"/>
    <col min="8966" max="8966" width="11" customWidth="1"/>
    <col min="8967" max="8967" width="7" customWidth="1"/>
    <col min="8972" max="8972" width="10.7109375" customWidth="1"/>
    <col min="9207" max="9207" width="47.5703125" customWidth="1"/>
    <col min="9208" max="9208" width="35.140625" customWidth="1"/>
    <col min="9209" max="9209" width="10.42578125" customWidth="1"/>
    <col min="9211" max="9211" width="8.85546875" customWidth="1"/>
    <col min="9213" max="9217" width="11" customWidth="1"/>
    <col min="9218" max="9218" width="12.85546875" customWidth="1"/>
    <col min="9219" max="9219" width="12" customWidth="1"/>
    <col min="9220" max="9220" width="11.85546875" customWidth="1"/>
    <col min="9222" max="9222" width="11" customWidth="1"/>
    <col min="9223" max="9223" width="7" customWidth="1"/>
    <col min="9228" max="9228" width="10.7109375" customWidth="1"/>
    <col min="9463" max="9463" width="47.5703125" customWidth="1"/>
    <col min="9464" max="9464" width="35.140625" customWidth="1"/>
    <col min="9465" max="9465" width="10.42578125" customWidth="1"/>
    <col min="9467" max="9467" width="8.85546875" customWidth="1"/>
    <col min="9469" max="9473" width="11" customWidth="1"/>
    <col min="9474" max="9474" width="12.85546875" customWidth="1"/>
    <col min="9475" max="9475" width="12" customWidth="1"/>
    <col min="9476" max="9476" width="11.85546875" customWidth="1"/>
    <col min="9478" max="9478" width="11" customWidth="1"/>
    <col min="9479" max="9479" width="7" customWidth="1"/>
    <col min="9484" max="9484" width="10.7109375" customWidth="1"/>
    <col min="9719" max="9719" width="47.5703125" customWidth="1"/>
    <col min="9720" max="9720" width="35.140625" customWidth="1"/>
    <col min="9721" max="9721" width="10.42578125" customWidth="1"/>
    <col min="9723" max="9723" width="8.85546875" customWidth="1"/>
    <col min="9725" max="9729" width="11" customWidth="1"/>
    <col min="9730" max="9730" width="12.85546875" customWidth="1"/>
    <col min="9731" max="9731" width="12" customWidth="1"/>
    <col min="9732" max="9732" width="11.85546875" customWidth="1"/>
    <col min="9734" max="9734" width="11" customWidth="1"/>
    <col min="9735" max="9735" width="7" customWidth="1"/>
    <col min="9740" max="9740" width="10.7109375" customWidth="1"/>
    <col min="9975" max="9975" width="47.5703125" customWidth="1"/>
    <col min="9976" max="9976" width="35.140625" customWidth="1"/>
    <col min="9977" max="9977" width="10.42578125" customWidth="1"/>
    <col min="9979" max="9979" width="8.85546875" customWidth="1"/>
    <col min="9981" max="9985" width="11" customWidth="1"/>
    <col min="9986" max="9986" width="12.85546875" customWidth="1"/>
    <col min="9987" max="9987" width="12" customWidth="1"/>
    <col min="9988" max="9988" width="11.85546875" customWidth="1"/>
    <col min="9990" max="9990" width="11" customWidth="1"/>
    <col min="9991" max="9991" width="7" customWidth="1"/>
    <col min="9996" max="9996" width="10.7109375" customWidth="1"/>
    <col min="10231" max="10231" width="47.5703125" customWidth="1"/>
    <col min="10232" max="10232" width="35.140625" customWidth="1"/>
    <col min="10233" max="10233" width="10.42578125" customWidth="1"/>
    <col min="10235" max="10235" width="8.85546875" customWidth="1"/>
    <col min="10237" max="10241" width="11" customWidth="1"/>
    <col min="10242" max="10242" width="12.85546875" customWidth="1"/>
    <col min="10243" max="10243" width="12" customWidth="1"/>
    <col min="10244" max="10244" width="11.85546875" customWidth="1"/>
    <col min="10246" max="10246" width="11" customWidth="1"/>
    <col min="10247" max="10247" width="7" customWidth="1"/>
    <col min="10252" max="10252" width="10.7109375" customWidth="1"/>
    <col min="10487" max="10487" width="47.5703125" customWidth="1"/>
    <col min="10488" max="10488" width="35.140625" customWidth="1"/>
    <col min="10489" max="10489" width="10.42578125" customWidth="1"/>
    <col min="10491" max="10491" width="8.85546875" customWidth="1"/>
    <col min="10493" max="10497" width="11" customWidth="1"/>
    <col min="10498" max="10498" width="12.85546875" customWidth="1"/>
    <col min="10499" max="10499" width="12" customWidth="1"/>
    <col min="10500" max="10500" width="11.85546875" customWidth="1"/>
    <col min="10502" max="10502" width="11" customWidth="1"/>
    <col min="10503" max="10503" width="7" customWidth="1"/>
    <col min="10508" max="10508" width="10.7109375" customWidth="1"/>
    <col min="10743" max="10743" width="47.5703125" customWidth="1"/>
    <col min="10744" max="10744" width="35.140625" customWidth="1"/>
    <col min="10745" max="10745" width="10.42578125" customWidth="1"/>
    <col min="10747" max="10747" width="8.85546875" customWidth="1"/>
    <col min="10749" max="10753" width="11" customWidth="1"/>
    <col min="10754" max="10754" width="12.85546875" customWidth="1"/>
    <col min="10755" max="10755" width="12" customWidth="1"/>
    <col min="10756" max="10756" width="11.85546875" customWidth="1"/>
    <col min="10758" max="10758" width="11" customWidth="1"/>
    <col min="10759" max="10759" width="7" customWidth="1"/>
    <col min="10764" max="10764" width="10.7109375" customWidth="1"/>
    <col min="10999" max="10999" width="47.5703125" customWidth="1"/>
    <col min="11000" max="11000" width="35.140625" customWidth="1"/>
    <col min="11001" max="11001" width="10.42578125" customWidth="1"/>
    <col min="11003" max="11003" width="8.85546875" customWidth="1"/>
    <col min="11005" max="11009" width="11" customWidth="1"/>
    <col min="11010" max="11010" width="12.85546875" customWidth="1"/>
    <col min="11011" max="11011" width="12" customWidth="1"/>
    <col min="11012" max="11012" width="11.85546875" customWidth="1"/>
    <col min="11014" max="11014" width="11" customWidth="1"/>
    <col min="11015" max="11015" width="7" customWidth="1"/>
    <col min="11020" max="11020" width="10.7109375" customWidth="1"/>
    <col min="11255" max="11255" width="47.5703125" customWidth="1"/>
    <col min="11256" max="11256" width="35.140625" customWidth="1"/>
    <col min="11257" max="11257" width="10.42578125" customWidth="1"/>
    <col min="11259" max="11259" width="8.85546875" customWidth="1"/>
    <col min="11261" max="11265" width="11" customWidth="1"/>
    <col min="11266" max="11266" width="12.85546875" customWidth="1"/>
    <col min="11267" max="11267" width="12" customWidth="1"/>
    <col min="11268" max="11268" width="11.85546875" customWidth="1"/>
    <col min="11270" max="11270" width="11" customWidth="1"/>
    <col min="11271" max="11271" width="7" customWidth="1"/>
    <col min="11276" max="11276" width="10.7109375" customWidth="1"/>
    <col min="11511" max="11511" width="47.5703125" customWidth="1"/>
    <col min="11512" max="11512" width="35.140625" customWidth="1"/>
    <col min="11513" max="11513" width="10.42578125" customWidth="1"/>
    <col min="11515" max="11515" width="8.85546875" customWidth="1"/>
    <col min="11517" max="11521" width="11" customWidth="1"/>
    <col min="11522" max="11522" width="12.85546875" customWidth="1"/>
    <col min="11523" max="11523" width="12" customWidth="1"/>
    <col min="11524" max="11524" width="11.85546875" customWidth="1"/>
    <col min="11526" max="11526" width="11" customWidth="1"/>
    <col min="11527" max="11527" width="7" customWidth="1"/>
    <col min="11532" max="11532" width="10.7109375" customWidth="1"/>
    <col min="11767" max="11767" width="47.5703125" customWidth="1"/>
    <col min="11768" max="11768" width="35.140625" customWidth="1"/>
    <col min="11769" max="11769" width="10.42578125" customWidth="1"/>
    <col min="11771" max="11771" width="8.85546875" customWidth="1"/>
    <col min="11773" max="11777" width="11" customWidth="1"/>
    <col min="11778" max="11778" width="12.85546875" customWidth="1"/>
    <col min="11779" max="11779" width="12" customWidth="1"/>
    <col min="11780" max="11780" width="11.85546875" customWidth="1"/>
    <col min="11782" max="11782" width="11" customWidth="1"/>
    <col min="11783" max="11783" width="7" customWidth="1"/>
    <col min="11788" max="11788" width="10.7109375" customWidth="1"/>
    <col min="12023" max="12023" width="47.5703125" customWidth="1"/>
    <col min="12024" max="12024" width="35.140625" customWidth="1"/>
    <col min="12025" max="12025" width="10.42578125" customWidth="1"/>
    <col min="12027" max="12027" width="8.85546875" customWidth="1"/>
    <col min="12029" max="12033" width="11" customWidth="1"/>
    <col min="12034" max="12034" width="12.85546875" customWidth="1"/>
    <col min="12035" max="12035" width="12" customWidth="1"/>
    <col min="12036" max="12036" width="11.85546875" customWidth="1"/>
    <col min="12038" max="12038" width="11" customWidth="1"/>
    <col min="12039" max="12039" width="7" customWidth="1"/>
    <col min="12044" max="12044" width="10.7109375" customWidth="1"/>
    <col min="12279" max="12279" width="47.5703125" customWidth="1"/>
    <col min="12280" max="12280" width="35.140625" customWidth="1"/>
    <col min="12281" max="12281" width="10.42578125" customWidth="1"/>
    <col min="12283" max="12283" width="8.85546875" customWidth="1"/>
    <col min="12285" max="12289" width="11" customWidth="1"/>
    <col min="12290" max="12290" width="12.85546875" customWidth="1"/>
    <col min="12291" max="12291" width="12" customWidth="1"/>
    <col min="12292" max="12292" width="11.85546875" customWidth="1"/>
    <col min="12294" max="12294" width="11" customWidth="1"/>
    <col min="12295" max="12295" width="7" customWidth="1"/>
    <col min="12300" max="12300" width="10.7109375" customWidth="1"/>
    <col min="12535" max="12535" width="47.5703125" customWidth="1"/>
    <col min="12536" max="12536" width="35.140625" customWidth="1"/>
    <col min="12537" max="12537" width="10.42578125" customWidth="1"/>
    <col min="12539" max="12539" width="8.85546875" customWidth="1"/>
    <col min="12541" max="12545" width="11" customWidth="1"/>
    <col min="12546" max="12546" width="12.85546875" customWidth="1"/>
    <col min="12547" max="12547" width="12" customWidth="1"/>
    <col min="12548" max="12548" width="11.85546875" customWidth="1"/>
    <col min="12550" max="12550" width="11" customWidth="1"/>
    <col min="12551" max="12551" width="7" customWidth="1"/>
    <col min="12556" max="12556" width="10.7109375" customWidth="1"/>
    <col min="12791" max="12791" width="47.5703125" customWidth="1"/>
    <col min="12792" max="12792" width="35.140625" customWidth="1"/>
    <col min="12793" max="12793" width="10.42578125" customWidth="1"/>
    <col min="12795" max="12795" width="8.85546875" customWidth="1"/>
    <col min="12797" max="12801" width="11" customWidth="1"/>
    <col min="12802" max="12802" width="12.85546875" customWidth="1"/>
    <col min="12803" max="12803" width="12" customWidth="1"/>
    <col min="12804" max="12804" width="11.85546875" customWidth="1"/>
    <col min="12806" max="12806" width="11" customWidth="1"/>
    <col min="12807" max="12807" width="7" customWidth="1"/>
    <col min="12812" max="12812" width="10.7109375" customWidth="1"/>
    <col min="13047" max="13047" width="47.5703125" customWidth="1"/>
    <col min="13048" max="13048" width="35.140625" customWidth="1"/>
    <col min="13049" max="13049" width="10.42578125" customWidth="1"/>
    <col min="13051" max="13051" width="8.85546875" customWidth="1"/>
    <col min="13053" max="13057" width="11" customWidth="1"/>
    <col min="13058" max="13058" width="12.85546875" customWidth="1"/>
    <col min="13059" max="13059" width="12" customWidth="1"/>
    <col min="13060" max="13060" width="11.85546875" customWidth="1"/>
    <col min="13062" max="13062" width="11" customWidth="1"/>
    <col min="13063" max="13063" width="7" customWidth="1"/>
    <col min="13068" max="13068" width="10.7109375" customWidth="1"/>
    <col min="13303" max="13303" width="47.5703125" customWidth="1"/>
    <col min="13304" max="13304" width="35.140625" customWidth="1"/>
    <col min="13305" max="13305" width="10.42578125" customWidth="1"/>
    <col min="13307" max="13307" width="8.85546875" customWidth="1"/>
    <col min="13309" max="13313" width="11" customWidth="1"/>
    <col min="13314" max="13314" width="12.85546875" customWidth="1"/>
    <col min="13315" max="13315" width="12" customWidth="1"/>
    <col min="13316" max="13316" width="11.85546875" customWidth="1"/>
    <col min="13318" max="13318" width="11" customWidth="1"/>
    <col min="13319" max="13319" width="7" customWidth="1"/>
    <col min="13324" max="13324" width="10.7109375" customWidth="1"/>
    <col min="13559" max="13559" width="47.5703125" customWidth="1"/>
    <col min="13560" max="13560" width="35.140625" customWidth="1"/>
    <col min="13561" max="13561" width="10.42578125" customWidth="1"/>
    <col min="13563" max="13563" width="8.85546875" customWidth="1"/>
    <col min="13565" max="13569" width="11" customWidth="1"/>
    <col min="13570" max="13570" width="12.85546875" customWidth="1"/>
    <col min="13571" max="13571" width="12" customWidth="1"/>
    <col min="13572" max="13572" width="11.85546875" customWidth="1"/>
    <col min="13574" max="13574" width="11" customWidth="1"/>
    <col min="13575" max="13575" width="7" customWidth="1"/>
    <col min="13580" max="13580" width="10.7109375" customWidth="1"/>
    <col min="13815" max="13815" width="47.5703125" customWidth="1"/>
    <col min="13816" max="13816" width="35.140625" customWidth="1"/>
    <col min="13817" max="13817" width="10.42578125" customWidth="1"/>
    <col min="13819" max="13819" width="8.85546875" customWidth="1"/>
    <col min="13821" max="13825" width="11" customWidth="1"/>
    <col min="13826" max="13826" width="12.85546875" customWidth="1"/>
    <col min="13827" max="13827" width="12" customWidth="1"/>
    <col min="13828" max="13828" width="11.85546875" customWidth="1"/>
    <col min="13830" max="13830" width="11" customWidth="1"/>
    <col min="13831" max="13831" width="7" customWidth="1"/>
    <col min="13836" max="13836" width="10.7109375" customWidth="1"/>
    <col min="14071" max="14071" width="47.5703125" customWidth="1"/>
    <col min="14072" max="14072" width="35.140625" customWidth="1"/>
    <col min="14073" max="14073" width="10.42578125" customWidth="1"/>
    <col min="14075" max="14075" width="8.85546875" customWidth="1"/>
    <col min="14077" max="14081" width="11" customWidth="1"/>
    <col min="14082" max="14082" width="12.85546875" customWidth="1"/>
    <col min="14083" max="14083" width="12" customWidth="1"/>
    <col min="14084" max="14084" width="11.85546875" customWidth="1"/>
    <col min="14086" max="14086" width="11" customWidth="1"/>
    <col min="14087" max="14087" width="7" customWidth="1"/>
    <col min="14092" max="14092" width="10.7109375" customWidth="1"/>
    <col min="14327" max="14327" width="47.5703125" customWidth="1"/>
    <col min="14328" max="14328" width="35.140625" customWidth="1"/>
    <col min="14329" max="14329" width="10.42578125" customWidth="1"/>
    <col min="14331" max="14331" width="8.85546875" customWidth="1"/>
    <col min="14333" max="14337" width="11" customWidth="1"/>
    <col min="14338" max="14338" width="12.85546875" customWidth="1"/>
    <col min="14339" max="14339" width="12" customWidth="1"/>
    <col min="14340" max="14340" width="11.85546875" customWidth="1"/>
    <col min="14342" max="14342" width="11" customWidth="1"/>
    <col min="14343" max="14343" width="7" customWidth="1"/>
    <col min="14348" max="14348" width="10.7109375" customWidth="1"/>
    <col min="14583" max="14583" width="47.5703125" customWidth="1"/>
    <col min="14584" max="14584" width="35.140625" customWidth="1"/>
    <col min="14585" max="14585" width="10.42578125" customWidth="1"/>
    <col min="14587" max="14587" width="8.85546875" customWidth="1"/>
    <col min="14589" max="14593" width="11" customWidth="1"/>
    <col min="14594" max="14594" width="12.85546875" customWidth="1"/>
    <col min="14595" max="14595" width="12" customWidth="1"/>
    <col min="14596" max="14596" width="11.85546875" customWidth="1"/>
    <col min="14598" max="14598" width="11" customWidth="1"/>
    <col min="14599" max="14599" width="7" customWidth="1"/>
    <col min="14604" max="14604" width="10.7109375" customWidth="1"/>
    <col min="14839" max="14839" width="47.5703125" customWidth="1"/>
    <col min="14840" max="14840" width="35.140625" customWidth="1"/>
    <col min="14841" max="14841" width="10.42578125" customWidth="1"/>
    <col min="14843" max="14843" width="8.85546875" customWidth="1"/>
    <col min="14845" max="14849" width="11" customWidth="1"/>
    <col min="14850" max="14850" width="12.85546875" customWidth="1"/>
    <col min="14851" max="14851" width="12" customWidth="1"/>
    <col min="14852" max="14852" width="11.85546875" customWidth="1"/>
    <col min="14854" max="14854" width="11" customWidth="1"/>
    <col min="14855" max="14855" width="7" customWidth="1"/>
    <col min="14860" max="14860" width="10.7109375" customWidth="1"/>
    <col min="15095" max="15095" width="47.5703125" customWidth="1"/>
    <col min="15096" max="15096" width="35.140625" customWidth="1"/>
    <col min="15097" max="15097" width="10.42578125" customWidth="1"/>
    <col min="15099" max="15099" width="8.85546875" customWidth="1"/>
    <col min="15101" max="15105" width="11" customWidth="1"/>
    <col min="15106" max="15106" width="12.85546875" customWidth="1"/>
    <col min="15107" max="15107" width="12" customWidth="1"/>
    <col min="15108" max="15108" width="11.85546875" customWidth="1"/>
    <col min="15110" max="15110" width="11" customWidth="1"/>
    <col min="15111" max="15111" width="7" customWidth="1"/>
    <col min="15116" max="15116" width="10.7109375" customWidth="1"/>
    <col min="15351" max="15351" width="47.5703125" customWidth="1"/>
    <col min="15352" max="15352" width="35.140625" customWidth="1"/>
    <col min="15353" max="15353" width="10.42578125" customWidth="1"/>
    <col min="15355" max="15355" width="8.85546875" customWidth="1"/>
    <col min="15357" max="15361" width="11" customWidth="1"/>
    <col min="15362" max="15362" width="12.85546875" customWidth="1"/>
    <col min="15363" max="15363" width="12" customWidth="1"/>
    <col min="15364" max="15364" width="11.85546875" customWidth="1"/>
    <col min="15366" max="15366" width="11" customWidth="1"/>
    <col min="15367" max="15367" width="7" customWidth="1"/>
    <col min="15372" max="15372" width="10.7109375" customWidth="1"/>
    <col min="15607" max="15607" width="47.5703125" customWidth="1"/>
    <col min="15608" max="15608" width="35.140625" customWidth="1"/>
    <col min="15609" max="15609" width="10.42578125" customWidth="1"/>
    <col min="15611" max="15611" width="8.85546875" customWidth="1"/>
    <col min="15613" max="15617" width="11" customWidth="1"/>
    <col min="15618" max="15618" width="12.85546875" customWidth="1"/>
    <col min="15619" max="15619" width="12" customWidth="1"/>
    <col min="15620" max="15620" width="11.85546875" customWidth="1"/>
    <col min="15622" max="15622" width="11" customWidth="1"/>
    <col min="15623" max="15623" width="7" customWidth="1"/>
    <col min="15628" max="15628" width="10.7109375" customWidth="1"/>
    <col min="15863" max="15863" width="47.5703125" customWidth="1"/>
    <col min="15864" max="15864" width="35.140625" customWidth="1"/>
    <col min="15865" max="15865" width="10.42578125" customWidth="1"/>
    <col min="15867" max="15867" width="8.85546875" customWidth="1"/>
    <col min="15869" max="15873" width="11" customWidth="1"/>
    <col min="15874" max="15874" width="12.85546875" customWidth="1"/>
    <col min="15875" max="15875" width="12" customWidth="1"/>
    <col min="15876" max="15876" width="11.85546875" customWidth="1"/>
    <col min="15878" max="15878" width="11" customWidth="1"/>
    <col min="15879" max="15879" width="7" customWidth="1"/>
    <col min="15884" max="15884" width="10.7109375" customWidth="1"/>
    <col min="16119" max="16119" width="47.5703125" customWidth="1"/>
    <col min="16120" max="16120" width="35.140625" customWidth="1"/>
    <col min="16121" max="16121" width="10.42578125" customWidth="1"/>
    <col min="16123" max="16123" width="8.85546875" customWidth="1"/>
    <col min="16125" max="16129" width="11" customWidth="1"/>
    <col min="16130" max="16130" width="12.85546875" customWidth="1"/>
    <col min="16131" max="16131" width="12" customWidth="1"/>
    <col min="16132" max="16132" width="11.85546875" customWidth="1"/>
    <col min="16134" max="16134" width="11" customWidth="1"/>
    <col min="16135" max="16135" width="7" customWidth="1"/>
    <col min="16140" max="16140" width="10.7109375" customWidth="1"/>
  </cols>
  <sheetData>
    <row r="1" spans="1:15" s="9" customFormat="1" ht="105" customHeight="1" x14ac:dyDescent="0.2">
      <c r="A1" s="1"/>
      <c r="B1" s="2" t="s">
        <v>0</v>
      </c>
      <c r="C1" s="2" t="s">
        <v>1</v>
      </c>
      <c r="D1" s="3" t="s">
        <v>2</v>
      </c>
      <c r="E1" s="4" t="s">
        <v>3</v>
      </c>
      <c r="F1" s="5" t="s">
        <v>4</v>
      </c>
      <c r="G1" s="5" t="s">
        <v>5</v>
      </c>
      <c r="H1" s="5" t="s">
        <v>6</v>
      </c>
      <c r="I1" s="5" t="s">
        <v>7</v>
      </c>
      <c r="J1" s="6" t="s">
        <v>8</v>
      </c>
      <c r="K1" s="7" t="s">
        <v>9</v>
      </c>
      <c r="L1" s="7" t="s">
        <v>10</v>
      </c>
      <c r="M1" s="8" t="s">
        <v>11</v>
      </c>
      <c r="N1" s="8" t="s">
        <v>12</v>
      </c>
      <c r="O1" s="7" t="s">
        <v>13</v>
      </c>
    </row>
    <row r="2" spans="1:15" ht="12.75" customHeight="1" x14ac:dyDescent="0.2">
      <c r="A2" s="10" t="s">
        <v>14</v>
      </c>
      <c r="B2" s="11" t="s">
        <v>15</v>
      </c>
      <c r="C2" s="10" t="s">
        <v>16</v>
      </c>
      <c r="D2" s="12">
        <v>1031</v>
      </c>
      <c r="E2" s="13">
        <v>45910</v>
      </c>
      <c r="F2" s="14">
        <v>13152.40039382016</v>
      </c>
      <c r="G2" s="15">
        <v>1</v>
      </c>
      <c r="H2" s="16">
        <f t="shared" ref="H2:H33" si="0">F2*G2</f>
        <v>13152.40039382016</v>
      </c>
      <c r="I2" s="16">
        <f>(H2-F2)*0</f>
        <v>0</v>
      </c>
      <c r="J2" s="17">
        <f t="shared" ref="J2:J22" si="1">(H2+I2)</f>
        <v>13152.40039382016</v>
      </c>
      <c r="K2" s="18">
        <f>J2*0.01</f>
        <v>131.52400393820162</v>
      </c>
      <c r="L2" s="18">
        <f>J2*0.6*0.11</f>
        <v>868.05842599213054</v>
      </c>
      <c r="M2" s="14">
        <f>J2*0.0465</f>
        <v>611.58661831263748</v>
      </c>
      <c r="N2" s="18"/>
      <c r="O2" s="18">
        <f t="shared" ref="O2:O33" si="2">J2-K2-L2-M2-N2</f>
        <v>11541.231345577189</v>
      </c>
    </row>
    <row r="3" spans="1:15" ht="12.75" customHeight="1" x14ac:dyDescent="0.2">
      <c r="A3" s="10" t="s">
        <v>14</v>
      </c>
      <c r="B3" s="11" t="s">
        <v>15</v>
      </c>
      <c r="C3" s="10" t="s">
        <v>17</v>
      </c>
      <c r="D3" s="12">
        <v>1031</v>
      </c>
      <c r="E3" s="13">
        <v>45910</v>
      </c>
      <c r="F3" s="14">
        <v>6505.3989935985164</v>
      </c>
      <c r="G3" s="15">
        <v>1</v>
      </c>
      <c r="H3" s="16">
        <f t="shared" si="0"/>
        <v>6505.3989935985164</v>
      </c>
      <c r="I3" s="16">
        <f>(H3-F3)*0</f>
        <v>0</v>
      </c>
      <c r="J3" s="17">
        <f t="shared" si="1"/>
        <v>6505.3989935985164</v>
      </c>
      <c r="K3" s="18">
        <f>J3*0.01</f>
        <v>65.053989935985172</v>
      </c>
      <c r="L3" s="18">
        <f>J3*0.6*0.11</f>
        <v>429.35633357750208</v>
      </c>
      <c r="M3" s="14">
        <f>J3*0.0465</f>
        <v>302.50105320233104</v>
      </c>
      <c r="N3" s="18"/>
      <c r="O3" s="18">
        <f t="shared" si="2"/>
        <v>5708.4876168826977</v>
      </c>
    </row>
    <row r="4" spans="1:15" ht="12.75" customHeight="1" x14ac:dyDescent="0.2">
      <c r="A4" s="10" t="s">
        <v>14</v>
      </c>
      <c r="B4" s="11" t="s">
        <v>18</v>
      </c>
      <c r="C4" s="10" t="s">
        <v>19</v>
      </c>
      <c r="D4" s="20">
        <v>1032</v>
      </c>
      <c r="E4" s="13">
        <v>45910</v>
      </c>
      <c r="F4" s="14">
        <v>34002.72945454</v>
      </c>
      <c r="G4" s="15">
        <v>1</v>
      </c>
      <c r="H4" s="16">
        <f t="shared" si="0"/>
        <v>34002.72945454</v>
      </c>
      <c r="I4" s="16">
        <f>(H4-F4)*0</f>
        <v>0</v>
      </c>
      <c r="J4" s="17">
        <f t="shared" si="1"/>
        <v>34002.72945454</v>
      </c>
      <c r="K4" s="18">
        <f>J4*0.01</f>
        <v>340.02729454540003</v>
      </c>
      <c r="L4" s="18">
        <f>J4*0.6*0.11</f>
        <v>2244.1801439996398</v>
      </c>
      <c r="M4" s="14">
        <f>J4*0.0465</f>
        <v>1581.12691963611</v>
      </c>
      <c r="N4" s="21"/>
      <c r="O4" s="18">
        <f t="shared" si="2"/>
        <v>29837.39509635885</v>
      </c>
    </row>
    <row r="5" spans="1:15" ht="12.75" customHeight="1" x14ac:dyDescent="0.2">
      <c r="A5" s="10" t="s">
        <v>20</v>
      </c>
      <c r="B5" s="22" t="s">
        <v>21</v>
      </c>
      <c r="C5" s="23"/>
      <c r="D5" s="24">
        <v>1033</v>
      </c>
      <c r="E5" s="25">
        <v>45906</v>
      </c>
      <c r="F5" s="26">
        <v>24941.88</v>
      </c>
      <c r="G5" s="15">
        <v>1</v>
      </c>
      <c r="H5" s="27">
        <f t="shared" si="0"/>
        <v>24941.88</v>
      </c>
      <c r="I5" s="27">
        <f>H5-F5</f>
        <v>0</v>
      </c>
      <c r="J5" s="17">
        <f t="shared" si="1"/>
        <v>24941.88</v>
      </c>
      <c r="K5" s="28"/>
      <c r="L5" s="21"/>
      <c r="M5" s="21"/>
      <c r="N5" s="21"/>
      <c r="O5" s="21">
        <f t="shared" si="2"/>
        <v>24941.88</v>
      </c>
    </row>
    <row r="6" spans="1:15" s="41" customFormat="1" ht="12.75" customHeight="1" x14ac:dyDescent="0.2">
      <c r="A6" s="30" t="s">
        <v>20</v>
      </c>
      <c r="B6" s="31" t="s">
        <v>21</v>
      </c>
      <c r="C6" s="32"/>
      <c r="D6" s="33">
        <v>1033</v>
      </c>
      <c r="E6" s="34">
        <v>45906</v>
      </c>
      <c r="F6" s="35">
        <v>1424.6</v>
      </c>
      <c r="G6" s="36">
        <v>1</v>
      </c>
      <c r="H6" s="37">
        <f t="shared" si="0"/>
        <v>1424.6</v>
      </c>
      <c r="I6" s="37">
        <f>H6-F6</f>
        <v>0</v>
      </c>
      <c r="J6" s="38">
        <f t="shared" si="1"/>
        <v>1424.6</v>
      </c>
      <c r="K6" s="39"/>
      <c r="L6" s="40"/>
      <c r="M6" s="40"/>
      <c r="N6" s="40"/>
      <c r="O6" s="40">
        <f t="shared" si="2"/>
        <v>1424.6</v>
      </c>
    </row>
    <row r="7" spans="1:15" ht="12.75" customHeight="1" x14ac:dyDescent="0.2">
      <c r="A7" s="10" t="s">
        <v>22</v>
      </c>
      <c r="B7" s="11" t="s">
        <v>23</v>
      </c>
      <c r="C7" s="10" t="s">
        <v>22</v>
      </c>
      <c r="D7" s="20">
        <v>1034</v>
      </c>
      <c r="E7" s="42">
        <v>45898</v>
      </c>
      <c r="F7" s="14">
        <v>17250.362436661999</v>
      </c>
      <c r="G7" s="15">
        <v>1</v>
      </c>
      <c r="H7" s="16">
        <f t="shared" si="0"/>
        <v>17250.362436661999</v>
      </c>
      <c r="I7" s="16">
        <f t="shared" ref="I7:I30" si="3">(H7-F7)</f>
        <v>0</v>
      </c>
      <c r="J7" s="17">
        <f t="shared" si="1"/>
        <v>17250.362436661999</v>
      </c>
      <c r="K7" s="18">
        <v>0</v>
      </c>
      <c r="L7" s="43">
        <f t="shared" ref="L7:L12" si="4">J7*0.6*0.11</f>
        <v>1138.523920819692</v>
      </c>
      <c r="M7" s="14">
        <f t="shared" ref="M7:M18" si="5">J7*0.0465</f>
        <v>802.1418533047829</v>
      </c>
      <c r="N7" s="44">
        <f t="shared" ref="N7:N37" si="6">J7*5%</f>
        <v>862.51812183309994</v>
      </c>
      <c r="O7" s="18">
        <f t="shared" si="2"/>
        <v>14447.178540704423</v>
      </c>
    </row>
    <row r="8" spans="1:15" ht="12.75" customHeight="1" x14ac:dyDescent="0.2">
      <c r="A8" s="10" t="s">
        <v>22</v>
      </c>
      <c r="B8" s="11" t="s">
        <v>23</v>
      </c>
      <c r="C8" s="10" t="s">
        <v>24</v>
      </c>
      <c r="D8" s="20">
        <v>1035</v>
      </c>
      <c r="E8" s="42">
        <v>45898</v>
      </c>
      <c r="F8" s="14">
        <v>752.37494408886096</v>
      </c>
      <c r="G8" s="15">
        <v>1</v>
      </c>
      <c r="H8" s="16">
        <f t="shared" si="0"/>
        <v>752.37494408886096</v>
      </c>
      <c r="I8" s="16">
        <f t="shared" si="3"/>
        <v>0</v>
      </c>
      <c r="J8" s="17">
        <f t="shared" si="1"/>
        <v>752.37494408886096</v>
      </c>
      <c r="K8" s="18">
        <v>0</v>
      </c>
      <c r="L8" s="43">
        <f t="shared" si="4"/>
        <v>49.656746309864822</v>
      </c>
      <c r="M8" s="14">
        <f t="shared" si="5"/>
        <v>34.985434900132034</v>
      </c>
      <c r="N8" s="44">
        <f t="shared" si="6"/>
        <v>37.618747204443046</v>
      </c>
      <c r="O8" s="18">
        <f t="shared" si="2"/>
        <v>630.11401567442101</v>
      </c>
    </row>
    <row r="9" spans="1:15" ht="12.75" customHeight="1" x14ac:dyDescent="0.2">
      <c r="A9" s="45" t="s">
        <v>25</v>
      </c>
      <c r="B9" s="46" t="s">
        <v>26</v>
      </c>
      <c r="C9" s="45" t="s">
        <v>27</v>
      </c>
      <c r="D9" s="20">
        <v>1036</v>
      </c>
      <c r="E9" s="47">
        <v>45908</v>
      </c>
      <c r="F9" s="48">
        <v>38765.283111306097</v>
      </c>
      <c r="G9" s="15">
        <v>1</v>
      </c>
      <c r="H9" s="16">
        <f t="shared" si="0"/>
        <v>38765.283111306097</v>
      </c>
      <c r="I9" s="16">
        <f t="shared" si="3"/>
        <v>0</v>
      </c>
      <c r="J9" s="17">
        <f t="shared" si="1"/>
        <v>38765.283111306097</v>
      </c>
      <c r="K9" s="18">
        <v>0</v>
      </c>
      <c r="L9" s="49">
        <f t="shared" si="4"/>
        <v>2558.5086853462021</v>
      </c>
      <c r="M9" s="14">
        <f t="shared" si="5"/>
        <v>1802.5856646757334</v>
      </c>
      <c r="N9" s="44">
        <f t="shared" si="6"/>
        <v>1938.2641555653049</v>
      </c>
      <c r="O9" s="50">
        <f t="shared" si="2"/>
        <v>32465.924605718854</v>
      </c>
    </row>
    <row r="10" spans="1:15" s="65" customFormat="1" ht="12.75" customHeight="1" x14ac:dyDescent="0.2">
      <c r="A10" s="51" t="s">
        <v>28</v>
      </c>
      <c r="B10" s="52" t="s">
        <v>29</v>
      </c>
      <c r="C10" s="53"/>
      <c r="D10" s="20">
        <v>1037</v>
      </c>
      <c r="E10" s="54">
        <v>45905</v>
      </c>
      <c r="F10" s="55">
        <v>21157.81</v>
      </c>
      <c r="G10" s="56">
        <v>1</v>
      </c>
      <c r="H10" s="57">
        <f t="shared" si="0"/>
        <v>21157.81</v>
      </c>
      <c r="I10" s="16">
        <f t="shared" si="3"/>
        <v>0</v>
      </c>
      <c r="J10" s="58">
        <f t="shared" si="1"/>
        <v>21157.81</v>
      </c>
      <c r="K10" s="59"/>
      <c r="L10" s="60">
        <f t="shared" si="4"/>
        <v>1396.4154599999999</v>
      </c>
      <c r="M10" s="14">
        <f t="shared" si="5"/>
        <v>983.838165</v>
      </c>
      <c r="N10" s="61">
        <f t="shared" si="6"/>
        <v>1057.8905000000002</v>
      </c>
      <c r="O10" s="61">
        <f t="shared" si="2"/>
        <v>17719.665874999999</v>
      </c>
    </row>
    <row r="11" spans="1:15" s="41" customFormat="1" ht="12.75" customHeight="1" x14ac:dyDescent="0.2">
      <c r="A11" s="66" t="s">
        <v>28</v>
      </c>
      <c r="B11" s="67" t="s">
        <v>29</v>
      </c>
      <c r="C11" s="68"/>
      <c r="D11" s="69">
        <v>1038</v>
      </c>
      <c r="E11" s="70">
        <v>45905</v>
      </c>
      <c r="F11" s="71">
        <v>2115</v>
      </c>
      <c r="G11" s="72">
        <v>1</v>
      </c>
      <c r="H11" s="73">
        <f t="shared" si="0"/>
        <v>2115</v>
      </c>
      <c r="I11" s="74">
        <f t="shared" si="3"/>
        <v>0</v>
      </c>
      <c r="J11" s="75">
        <f t="shared" si="1"/>
        <v>2115</v>
      </c>
      <c r="K11" s="76"/>
      <c r="L11" s="77">
        <f t="shared" si="4"/>
        <v>139.59</v>
      </c>
      <c r="M11" s="78">
        <f t="shared" si="5"/>
        <v>98.347499999999997</v>
      </c>
      <c r="N11" s="79">
        <f t="shared" si="6"/>
        <v>105.75</v>
      </c>
      <c r="O11" s="79">
        <f t="shared" si="2"/>
        <v>1771.3125</v>
      </c>
    </row>
    <row r="12" spans="1:15" s="65" customFormat="1" ht="12.75" customHeight="1" x14ac:dyDescent="0.2">
      <c r="A12" s="45" t="s">
        <v>30</v>
      </c>
      <c r="B12" s="46" t="s">
        <v>31</v>
      </c>
      <c r="C12" s="45" t="s">
        <v>27</v>
      </c>
      <c r="D12" s="20">
        <v>1039</v>
      </c>
      <c r="E12" s="47">
        <v>45908</v>
      </c>
      <c r="F12" s="48">
        <v>38765.283111306097</v>
      </c>
      <c r="G12" s="15">
        <v>1</v>
      </c>
      <c r="H12" s="16">
        <f t="shared" si="0"/>
        <v>38765.283111306097</v>
      </c>
      <c r="I12" s="16">
        <f t="shared" si="3"/>
        <v>0</v>
      </c>
      <c r="J12" s="17">
        <f t="shared" si="1"/>
        <v>38765.283111306097</v>
      </c>
      <c r="K12" s="18">
        <v>0</v>
      </c>
      <c r="L12" s="50">
        <f t="shared" si="4"/>
        <v>2558.5086853462021</v>
      </c>
      <c r="M12" s="14">
        <f t="shared" si="5"/>
        <v>1802.5856646757334</v>
      </c>
      <c r="N12" s="44">
        <f t="shared" si="6"/>
        <v>1938.2641555653049</v>
      </c>
      <c r="O12" s="50">
        <f t="shared" si="2"/>
        <v>32465.924605718854</v>
      </c>
    </row>
    <row r="13" spans="1:15" s="65" customFormat="1" ht="12.75" customHeight="1" x14ac:dyDescent="0.2">
      <c r="A13" s="45" t="s">
        <v>32</v>
      </c>
      <c r="B13" s="46" t="s">
        <v>33</v>
      </c>
      <c r="C13" s="45" t="s">
        <v>27</v>
      </c>
      <c r="D13" s="24">
        <v>1040</v>
      </c>
      <c r="E13" s="13">
        <v>45910</v>
      </c>
      <c r="F13" s="48">
        <v>13039.082238000001</v>
      </c>
      <c r="G13" s="15">
        <v>1</v>
      </c>
      <c r="H13" s="16">
        <f t="shared" si="0"/>
        <v>13039.082238000001</v>
      </c>
      <c r="I13" s="16">
        <f t="shared" si="3"/>
        <v>0</v>
      </c>
      <c r="J13" s="17">
        <f t="shared" si="1"/>
        <v>13039.082238000001</v>
      </c>
      <c r="K13" s="18">
        <v>0</v>
      </c>
      <c r="L13" s="50">
        <f>J13*0.8*0.11</f>
        <v>1147.4392369440002</v>
      </c>
      <c r="M13" s="14">
        <f t="shared" si="5"/>
        <v>606.31732406700007</v>
      </c>
      <c r="N13" s="44">
        <f t="shared" si="6"/>
        <v>651.95411190000004</v>
      </c>
      <c r="O13" s="50">
        <f t="shared" si="2"/>
        <v>10633.371565088999</v>
      </c>
    </row>
    <row r="14" spans="1:15" s="65" customFormat="1" ht="12.75" customHeight="1" x14ac:dyDescent="0.2">
      <c r="A14" s="45" t="s">
        <v>32</v>
      </c>
      <c r="B14" s="46" t="s">
        <v>33</v>
      </c>
      <c r="C14" s="45" t="s">
        <v>34</v>
      </c>
      <c r="D14" s="24">
        <v>1040</v>
      </c>
      <c r="E14" s="13">
        <v>45910</v>
      </c>
      <c r="F14" s="48">
        <v>23383.759794000001</v>
      </c>
      <c r="G14" s="15">
        <v>1</v>
      </c>
      <c r="H14" s="16">
        <f t="shared" si="0"/>
        <v>23383.759794000001</v>
      </c>
      <c r="I14" s="16">
        <f t="shared" si="3"/>
        <v>0</v>
      </c>
      <c r="J14" s="17">
        <f t="shared" si="1"/>
        <v>23383.759794000001</v>
      </c>
      <c r="K14" s="18">
        <v>0</v>
      </c>
      <c r="L14" s="50">
        <f>J14*0.8*0.11</f>
        <v>2057.7708618720003</v>
      </c>
      <c r="M14" s="14">
        <f t="shared" si="5"/>
        <v>1087.3448304210001</v>
      </c>
      <c r="N14" s="44">
        <f t="shared" si="6"/>
        <v>1169.1879897000001</v>
      </c>
      <c r="O14" s="50">
        <f t="shared" si="2"/>
        <v>19069.456112007003</v>
      </c>
    </row>
    <row r="15" spans="1:15" s="65" customFormat="1" ht="12.75" customHeight="1" x14ac:dyDescent="0.2">
      <c r="A15" s="80" t="s">
        <v>35</v>
      </c>
      <c r="B15" s="81" t="s">
        <v>36</v>
      </c>
      <c r="C15" s="82"/>
      <c r="D15" s="83">
        <v>1041</v>
      </c>
      <c r="E15" s="54">
        <v>45905</v>
      </c>
      <c r="F15" s="84">
        <v>12911.28</v>
      </c>
      <c r="G15" s="56">
        <v>1</v>
      </c>
      <c r="H15" s="57">
        <f t="shared" si="0"/>
        <v>12911.28</v>
      </c>
      <c r="I15" s="16">
        <f t="shared" si="3"/>
        <v>0</v>
      </c>
      <c r="J15" s="58">
        <f t="shared" si="1"/>
        <v>12911.28</v>
      </c>
      <c r="K15" s="59"/>
      <c r="L15" s="60">
        <f>J15*0.6*0.11</f>
        <v>852.14448000000004</v>
      </c>
      <c r="M15" s="14">
        <f t="shared" si="5"/>
        <v>600.37452000000008</v>
      </c>
      <c r="N15" s="62">
        <f t="shared" si="6"/>
        <v>645.56400000000008</v>
      </c>
      <c r="O15" s="61">
        <f t="shared" si="2"/>
        <v>10813.197</v>
      </c>
    </row>
    <row r="16" spans="1:15" ht="12.75" customHeight="1" x14ac:dyDescent="0.2">
      <c r="A16" s="85" t="s">
        <v>35</v>
      </c>
      <c r="B16" s="86" t="s">
        <v>36</v>
      </c>
      <c r="C16" s="87"/>
      <c r="D16" s="88">
        <v>1042</v>
      </c>
      <c r="E16" s="70">
        <v>45905</v>
      </c>
      <c r="F16" s="89">
        <v>6045.09</v>
      </c>
      <c r="G16" s="90">
        <v>1</v>
      </c>
      <c r="H16" s="91">
        <f t="shared" si="0"/>
        <v>6045.09</v>
      </c>
      <c r="I16" s="74">
        <f t="shared" si="3"/>
        <v>0</v>
      </c>
      <c r="J16" s="92">
        <f t="shared" si="1"/>
        <v>6045.09</v>
      </c>
      <c r="K16" s="93"/>
      <c r="L16" s="94">
        <f>J16*0.6*0.11</f>
        <v>398.97594000000004</v>
      </c>
      <c r="M16" s="78">
        <f t="shared" si="5"/>
        <v>281.09668499999998</v>
      </c>
      <c r="N16" s="95">
        <f t="shared" si="6"/>
        <v>302.25450000000001</v>
      </c>
      <c r="O16" s="96">
        <f t="shared" si="2"/>
        <v>5062.7628749999994</v>
      </c>
    </row>
    <row r="17" spans="1:35" ht="12.75" customHeight="1" x14ac:dyDescent="0.2">
      <c r="A17" s="85" t="s">
        <v>35</v>
      </c>
      <c r="B17" s="86" t="s">
        <v>36</v>
      </c>
      <c r="C17" s="87"/>
      <c r="D17" s="88">
        <v>1043</v>
      </c>
      <c r="E17" s="70">
        <v>45905</v>
      </c>
      <c r="F17" s="89">
        <v>21267.5</v>
      </c>
      <c r="G17" s="90">
        <v>1</v>
      </c>
      <c r="H17" s="91">
        <f t="shared" si="0"/>
        <v>21267.5</v>
      </c>
      <c r="I17" s="74">
        <f t="shared" si="3"/>
        <v>0</v>
      </c>
      <c r="J17" s="92">
        <f t="shared" si="1"/>
        <v>21267.5</v>
      </c>
      <c r="K17" s="93"/>
      <c r="L17" s="94">
        <f>J17*0.6*0.11</f>
        <v>1403.655</v>
      </c>
      <c r="M17" s="78">
        <f t="shared" si="5"/>
        <v>988.93875000000003</v>
      </c>
      <c r="N17" s="95">
        <f t="shared" si="6"/>
        <v>1063.375</v>
      </c>
      <c r="O17" s="96">
        <f t="shared" si="2"/>
        <v>17811.53125</v>
      </c>
    </row>
    <row r="18" spans="1:35" s="65" customFormat="1" ht="12.75" customHeight="1" x14ac:dyDescent="0.2">
      <c r="A18" s="45" t="s">
        <v>37</v>
      </c>
      <c r="B18" s="98" t="s">
        <v>38</v>
      </c>
      <c r="C18" s="45" t="s">
        <v>27</v>
      </c>
      <c r="D18" s="83">
        <v>1044</v>
      </c>
      <c r="E18" s="47">
        <v>45908</v>
      </c>
      <c r="F18" s="48">
        <v>38765.283111306097</v>
      </c>
      <c r="G18" s="15">
        <v>1</v>
      </c>
      <c r="H18" s="16">
        <f t="shared" si="0"/>
        <v>38765.283111306097</v>
      </c>
      <c r="I18" s="16">
        <f t="shared" si="3"/>
        <v>0</v>
      </c>
      <c r="J18" s="17">
        <f t="shared" si="1"/>
        <v>38765.283111306097</v>
      </c>
      <c r="K18" s="18">
        <v>0</v>
      </c>
      <c r="L18" s="49">
        <f>J18*0.6*0.11</f>
        <v>2558.5086853462021</v>
      </c>
      <c r="M18" s="14">
        <f t="shared" si="5"/>
        <v>1802.5856646757334</v>
      </c>
      <c r="N18" s="44">
        <f t="shared" si="6"/>
        <v>1938.2641555653049</v>
      </c>
      <c r="O18" s="50">
        <f t="shared" si="2"/>
        <v>32465.924605718854</v>
      </c>
      <c r="P18" s="99"/>
      <c r="Q18" s="99"/>
      <c r="R18" s="99"/>
      <c r="S18" s="99"/>
      <c r="T18" s="99"/>
      <c r="U18" s="99"/>
      <c r="V18" s="99"/>
      <c r="W18" s="99"/>
      <c r="X18" s="99"/>
      <c r="Y18" s="99"/>
      <c r="Z18" s="99"/>
      <c r="AA18" s="99"/>
      <c r="AB18" s="99"/>
      <c r="AC18" s="99"/>
      <c r="AD18" s="99"/>
      <c r="AE18" s="99"/>
      <c r="AF18" s="99"/>
      <c r="AG18" s="99"/>
      <c r="AH18" s="99"/>
      <c r="AI18" s="99"/>
    </row>
    <row r="19" spans="1:35" s="65" customFormat="1" ht="12.75" customHeight="1" x14ac:dyDescent="0.2">
      <c r="A19" s="100" t="s">
        <v>39</v>
      </c>
      <c r="B19" s="101" t="s">
        <v>40</v>
      </c>
      <c r="C19" s="53" t="s">
        <v>34</v>
      </c>
      <c r="D19" s="102">
        <v>1045</v>
      </c>
      <c r="E19" s="13">
        <v>45910</v>
      </c>
      <c r="F19" s="55">
        <v>22943.80992</v>
      </c>
      <c r="G19" s="15">
        <v>1</v>
      </c>
      <c r="H19" s="57">
        <f t="shared" si="0"/>
        <v>22943.80992</v>
      </c>
      <c r="I19" s="16">
        <f t="shared" si="3"/>
        <v>0</v>
      </c>
      <c r="J19" s="58">
        <f t="shared" si="1"/>
        <v>22943.80992</v>
      </c>
      <c r="K19" s="59"/>
      <c r="L19" s="62">
        <f>J19*0.8*0.11</f>
        <v>2019.0552729599999</v>
      </c>
      <c r="M19" s="62"/>
      <c r="N19" s="61">
        <f t="shared" si="6"/>
        <v>1147.1904959999999</v>
      </c>
      <c r="O19" s="61">
        <f t="shared" si="2"/>
        <v>19777.564151040002</v>
      </c>
      <c r="P19" s="99"/>
      <c r="Q19" s="99"/>
      <c r="R19" s="99"/>
      <c r="S19" s="99"/>
      <c r="T19" s="99"/>
      <c r="U19" s="99"/>
      <c r="V19" s="99"/>
      <c r="W19" s="99"/>
      <c r="X19" s="99"/>
      <c r="Y19" s="99"/>
      <c r="Z19" s="99"/>
      <c r="AA19" s="99"/>
      <c r="AB19" s="99"/>
      <c r="AC19" s="99"/>
      <c r="AD19" s="99"/>
      <c r="AE19" s="99"/>
      <c r="AF19" s="99"/>
      <c r="AG19" s="99"/>
      <c r="AH19" s="99"/>
      <c r="AI19" s="99"/>
    </row>
    <row r="20" spans="1:35" s="65" customFormat="1" ht="12.75" customHeight="1" x14ac:dyDescent="0.2">
      <c r="A20" s="100" t="s">
        <v>39</v>
      </c>
      <c r="B20" s="52" t="s">
        <v>41</v>
      </c>
      <c r="C20" s="53"/>
      <c r="D20" s="102">
        <v>1045</v>
      </c>
      <c r="E20" s="13">
        <v>45910</v>
      </c>
      <c r="F20" s="55">
        <v>12873.529536</v>
      </c>
      <c r="G20" s="15">
        <v>1</v>
      </c>
      <c r="H20" s="57">
        <f t="shared" si="0"/>
        <v>12873.529536</v>
      </c>
      <c r="I20" s="16">
        <f t="shared" si="3"/>
        <v>0</v>
      </c>
      <c r="J20" s="58">
        <f t="shared" si="1"/>
        <v>12873.529536</v>
      </c>
      <c r="K20" s="59"/>
      <c r="L20" s="62">
        <f>J20*0.8*0.11</f>
        <v>1132.8705991680001</v>
      </c>
      <c r="M20" s="62"/>
      <c r="N20" s="61">
        <f t="shared" si="6"/>
        <v>643.67647680000005</v>
      </c>
      <c r="O20" s="61">
        <f t="shared" si="2"/>
        <v>11096.982460032001</v>
      </c>
      <c r="P20" s="99"/>
      <c r="Q20" s="99"/>
      <c r="R20" s="99"/>
      <c r="S20" s="99"/>
      <c r="T20" s="99"/>
      <c r="U20" s="99"/>
      <c r="V20" s="99"/>
      <c r="W20" s="99"/>
      <c r="X20" s="99"/>
      <c r="Y20" s="99"/>
      <c r="Z20" s="99"/>
      <c r="AA20" s="99"/>
      <c r="AB20" s="99"/>
      <c r="AC20" s="99"/>
      <c r="AD20" s="99"/>
      <c r="AE20" s="99"/>
      <c r="AF20" s="99"/>
      <c r="AG20" s="99"/>
      <c r="AH20" s="99"/>
      <c r="AI20" s="99"/>
    </row>
    <row r="21" spans="1:35" s="65" customFormat="1" ht="12.75" customHeight="1" x14ac:dyDescent="0.2">
      <c r="A21" s="51" t="s">
        <v>42</v>
      </c>
      <c r="B21" s="52" t="s">
        <v>43</v>
      </c>
      <c r="C21" s="53"/>
      <c r="D21" s="20">
        <v>1046</v>
      </c>
      <c r="E21" s="54">
        <v>45905</v>
      </c>
      <c r="F21" s="55">
        <v>21157.81</v>
      </c>
      <c r="G21" s="56">
        <v>1</v>
      </c>
      <c r="H21" s="57">
        <f t="shared" si="0"/>
        <v>21157.81</v>
      </c>
      <c r="I21" s="16">
        <f t="shared" si="3"/>
        <v>0</v>
      </c>
      <c r="J21" s="58">
        <f t="shared" si="1"/>
        <v>21157.81</v>
      </c>
      <c r="K21" s="59"/>
      <c r="L21" s="60">
        <f>J21*0.6*0.11</f>
        <v>1396.4154599999999</v>
      </c>
      <c r="M21" s="14">
        <f t="shared" ref="M21:M32" si="7">J21*0.0465</f>
        <v>983.838165</v>
      </c>
      <c r="N21" s="61">
        <f t="shared" si="6"/>
        <v>1057.8905000000002</v>
      </c>
      <c r="O21" s="61">
        <f t="shared" si="2"/>
        <v>17719.665874999999</v>
      </c>
    </row>
    <row r="22" spans="1:35" s="41" customFormat="1" ht="12.75" customHeight="1" x14ac:dyDescent="0.2">
      <c r="A22" s="66" t="s">
        <v>42</v>
      </c>
      <c r="B22" s="67" t="s">
        <v>43</v>
      </c>
      <c r="C22" s="68"/>
      <c r="D22" s="69">
        <v>1047</v>
      </c>
      <c r="E22" s="70">
        <v>45905</v>
      </c>
      <c r="F22" s="71">
        <v>1410</v>
      </c>
      <c r="G22" s="72">
        <v>1</v>
      </c>
      <c r="H22" s="73">
        <f t="shared" si="0"/>
        <v>1410</v>
      </c>
      <c r="I22" s="74">
        <f t="shared" si="3"/>
        <v>0</v>
      </c>
      <c r="J22" s="75">
        <f t="shared" si="1"/>
        <v>1410</v>
      </c>
      <c r="K22" s="76"/>
      <c r="L22" s="77">
        <f>J22*0.6*0.11</f>
        <v>93.06</v>
      </c>
      <c r="M22" s="78">
        <f t="shared" si="7"/>
        <v>65.564999999999998</v>
      </c>
      <c r="N22" s="79">
        <f t="shared" si="6"/>
        <v>70.5</v>
      </c>
      <c r="O22" s="79">
        <f t="shared" si="2"/>
        <v>1180.875</v>
      </c>
    </row>
    <row r="23" spans="1:35" ht="12.75" customHeight="1" x14ac:dyDescent="0.2">
      <c r="A23" s="103" t="s">
        <v>44</v>
      </c>
      <c r="B23" s="11" t="s">
        <v>45</v>
      </c>
      <c r="C23" s="10" t="s">
        <v>27</v>
      </c>
      <c r="D23" s="12">
        <v>1048</v>
      </c>
      <c r="E23" s="13">
        <v>45910</v>
      </c>
      <c r="F23" s="14">
        <v>12778.960225953988</v>
      </c>
      <c r="G23" s="15">
        <v>1</v>
      </c>
      <c r="H23" s="16">
        <f t="shared" si="0"/>
        <v>12778.960225953988</v>
      </c>
      <c r="I23" s="16">
        <f t="shared" si="3"/>
        <v>0</v>
      </c>
      <c r="J23" s="17">
        <f>H23+I23</f>
        <v>12778.960225953988</v>
      </c>
      <c r="K23" s="104">
        <v>0</v>
      </c>
      <c r="L23" s="18">
        <f>J23*0.8*0.11</f>
        <v>1124.5484998839509</v>
      </c>
      <c r="M23" s="14">
        <f t="shared" si="7"/>
        <v>594.22165050686044</v>
      </c>
      <c r="N23" s="44">
        <f t="shared" si="6"/>
        <v>638.9480112976994</v>
      </c>
      <c r="O23" s="18">
        <f t="shared" si="2"/>
        <v>10421.242064265476</v>
      </c>
    </row>
    <row r="24" spans="1:35" ht="12.75" customHeight="1" x14ac:dyDescent="0.2">
      <c r="A24" s="103" t="s">
        <v>44</v>
      </c>
      <c r="B24" s="11" t="s">
        <v>45</v>
      </c>
      <c r="C24" s="10" t="s">
        <v>34</v>
      </c>
      <c r="D24" s="12">
        <v>1048</v>
      </c>
      <c r="E24" s="13">
        <v>45910</v>
      </c>
      <c r="F24" s="14">
        <v>18018.271788421269</v>
      </c>
      <c r="G24" s="15">
        <v>1</v>
      </c>
      <c r="H24" s="16">
        <f t="shared" si="0"/>
        <v>18018.271788421269</v>
      </c>
      <c r="I24" s="16">
        <f t="shared" si="3"/>
        <v>0</v>
      </c>
      <c r="J24" s="17">
        <f>H24+I24</f>
        <v>18018.271788421269</v>
      </c>
      <c r="K24" s="104">
        <v>0</v>
      </c>
      <c r="L24" s="18">
        <f>J24*0.8*0.11</f>
        <v>1585.6079173810717</v>
      </c>
      <c r="M24" s="14">
        <f t="shared" si="7"/>
        <v>837.84963816158904</v>
      </c>
      <c r="N24" s="44">
        <f t="shared" si="6"/>
        <v>900.91358942106353</v>
      </c>
      <c r="O24" s="18">
        <f t="shared" si="2"/>
        <v>14693.900643457544</v>
      </c>
    </row>
    <row r="25" spans="1:35" ht="12.75" customHeight="1" x14ac:dyDescent="0.2">
      <c r="A25" s="10" t="s">
        <v>46</v>
      </c>
      <c r="B25" s="105" t="s">
        <v>47</v>
      </c>
      <c r="C25" s="10" t="s">
        <v>48</v>
      </c>
      <c r="D25" s="106">
        <v>1049</v>
      </c>
      <c r="E25" s="107">
        <v>45898</v>
      </c>
      <c r="F25" s="14">
        <v>30926.867970568201</v>
      </c>
      <c r="G25" s="15">
        <v>1</v>
      </c>
      <c r="H25" s="16">
        <f t="shared" si="0"/>
        <v>30926.867970568201</v>
      </c>
      <c r="I25" s="16">
        <f t="shared" si="3"/>
        <v>0</v>
      </c>
      <c r="J25" s="17">
        <f>(H25+I25)</f>
        <v>30926.867970568201</v>
      </c>
      <c r="K25" s="18">
        <v>0</v>
      </c>
      <c r="L25" s="18">
        <f>J25*0.8*0.11</f>
        <v>2721.5643814100017</v>
      </c>
      <c r="M25" s="14">
        <f t="shared" si="7"/>
        <v>1438.0993606314214</v>
      </c>
      <c r="N25" s="44">
        <f t="shared" si="6"/>
        <v>1546.34339852841</v>
      </c>
      <c r="O25" s="18">
        <f t="shared" si="2"/>
        <v>25220.860829998368</v>
      </c>
    </row>
    <row r="26" spans="1:35" ht="12.75" customHeight="1" x14ac:dyDescent="0.2">
      <c r="A26" s="108" t="s">
        <v>46</v>
      </c>
      <c r="B26" s="109" t="s">
        <v>47</v>
      </c>
      <c r="C26" s="108" t="s">
        <v>27</v>
      </c>
      <c r="D26" s="106">
        <v>1050</v>
      </c>
      <c r="E26" s="107">
        <v>45898</v>
      </c>
      <c r="F26" s="14">
        <v>57206.644000852699</v>
      </c>
      <c r="G26" s="15">
        <v>1</v>
      </c>
      <c r="H26" s="16">
        <f t="shared" si="0"/>
        <v>57206.644000852699</v>
      </c>
      <c r="I26" s="16">
        <f t="shared" si="3"/>
        <v>0</v>
      </c>
      <c r="J26" s="17">
        <f>(H26+I26)</f>
        <v>57206.644000852699</v>
      </c>
      <c r="K26" s="18">
        <v>0</v>
      </c>
      <c r="L26" s="18">
        <f>J26*0.8*0.11</f>
        <v>5034.1846720750382</v>
      </c>
      <c r="M26" s="14">
        <f t="shared" si="7"/>
        <v>2660.1089460396506</v>
      </c>
      <c r="N26" s="44">
        <f t="shared" si="6"/>
        <v>2860.3322000426351</v>
      </c>
      <c r="O26" s="18">
        <f t="shared" si="2"/>
        <v>46652.01818269537</v>
      </c>
    </row>
    <row r="27" spans="1:35" ht="12.75" customHeight="1" x14ac:dyDescent="0.2">
      <c r="A27" s="108" t="s">
        <v>46</v>
      </c>
      <c r="B27" s="109" t="s">
        <v>49</v>
      </c>
      <c r="C27" s="108" t="s">
        <v>50</v>
      </c>
      <c r="D27" s="106">
        <v>1051</v>
      </c>
      <c r="E27" s="107">
        <v>45898</v>
      </c>
      <c r="F27" s="14">
        <v>6105.2265086003999</v>
      </c>
      <c r="G27" s="15">
        <v>1</v>
      </c>
      <c r="H27" s="16">
        <f t="shared" si="0"/>
        <v>6105.2265086003999</v>
      </c>
      <c r="I27" s="16">
        <f t="shared" si="3"/>
        <v>0</v>
      </c>
      <c r="J27" s="17">
        <f>(H27+I27)</f>
        <v>6105.2265086003999</v>
      </c>
      <c r="K27" s="18">
        <v>0</v>
      </c>
      <c r="L27" s="18">
        <f>J27*0.8*0.11</f>
        <v>537.25993275683527</v>
      </c>
      <c r="M27" s="14">
        <f t="shared" si="7"/>
        <v>283.89303264991861</v>
      </c>
      <c r="N27" s="44">
        <f t="shared" si="6"/>
        <v>305.26132543002001</v>
      </c>
      <c r="O27" s="18">
        <f t="shared" si="2"/>
        <v>4978.812217763626</v>
      </c>
    </row>
    <row r="28" spans="1:35" ht="12.75" customHeight="1" x14ac:dyDescent="0.2">
      <c r="A28" s="10" t="s">
        <v>51</v>
      </c>
      <c r="B28" s="110" t="s">
        <v>52</v>
      </c>
      <c r="C28" s="10" t="s">
        <v>27</v>
      </c>
      <c r="D28" s="111">
        <v>1052</v>
      </c>
      <c r="E28" s="13">
        <v>45914</v>
      </c>
      <c r="F28" s="14">
        <v>19621.191632000002</v>
      </c>
      <c r="G28" s="15">
        <v>1</v>
      </c>
      <c r="H28" s="16">
        <f t="shared" si="0"/>
        <v>19621.191632000002</v>
      </c>
      <c r="I28" s="16">
        <f t="shared" si="3"/>
        <v>0</v>
      </c>
      <c r="J28" s="17">
        <f>H28+I28</f>
        <v>19621.191632000002</v>
      </c>
      <c r="K28" s="112">
        <v>0</v>
      </c>
      <c r="L28" s="43">
        <f>J28*0.6*0.11</f>
        <v>1294.9986477120001</v>
      </c>
      <c r="M28" s="14">
        <f t="shared" si="7"/>
        <v>912.38541088800002</v>
      </c>
      <c r="N28" s="18">
        <f t="shared" si="6"/>
        <v>981.05958160000012</v>
      </c>
      <c r="O28" s="18">
        <f t="shared" si="2"/>
        <v>16432.747991800003</v>
      </c>
    </row>
    <row r="29" spans="1:35" ht="12.75" customHeight="1" x14ac:dyDescent="0.2">
      <c r="A29" s="10" t="s">
        <v>51</v>
      </c>
      <c r="B29" s="110" t="s">
        <v>52</v>
      </c>
      <c r="C29" s="10" t="s">
        <v>53</v>
      </c>
      <c r="D29" s="111">
        <v>1052</v>
      </c>
      <c r="E29" s="13">
        <v>45914</v>
      </c>
      <c r="F29" s="14">
        <v>753.74712000000011</v>
      </c>
      <c r="G29" s="15">
        <v>1</v>
      </c>
      <c r="H29" s="16">
        <f t="shared" si="0"/>
        <v>753.74712000000011</v>
      </c>
      <c r="I29" s="16">
        <f t="shared" si="3"/>
        <v>0</v>
      </c>
      <c r="J29" s="17">
        <f>(H29+I29)</f>
        <v>753.74712000000011</v>
      </c>
      <c r="K29" s="112">
        <v>0</v>
      </c>
      <c r="L29" s="43">
        <f>J29*0.6*0.11</f>
        <v>49.747309920000006</v>
      </c>
      <c r="M29" s="14">
        <f t="shared" si="7"/>
        <v>35.049241080000002</v>
      </c>
      <c r="N29" s="18">
        <f t="shared" si="6"/>
        <v>37.687356000000008</v>
      </c>
      <c r="O29" s="18">
        <f t="shared" si="2"/>
        <v>631.26321300000006</v>
      </c>
    </row>
    <row r="30" spans="1:35" ht="12.75" customHeight="1" x14ac:dyDescent="0.2">
      <c r="A30" s="10" t="s">
        <v>51</v>
      </c>
      <c r="B30" s="110" t="s">
        <v>52</v>
      </c>
      <c r="C30" s="10" t="s">
        <v>34</v>
      </c>
      <c r="D30" s="111">
        <v>1052</v>
      </c>
      <c r="E30" s="13">
        <v>45914</v>
      </c>
      <c r="F30" s="14">
        <v>26402.434240000006</v>
      </c>
      <c r="G30" s="15">
        <v>1</v>
      </c>
      <c r="H30" s="16">
        <f t="shared" si="0"/>
        <v>26402.434240000006</v>
      </c>
      <c r="I30" s="16">
        <f t="shared" si="3"/>
        <v>0</v>
      </c>
      <c r="J30" s="17">
        <f>H30+I30</f>
        <v>26402.434240000006</v>
      </c>
      <c r="K30" s="112">
        <v>0</v>
      </c>
      <c r="L30" s="43">
        <f>J30*0.6*0.11</f>
        <v>1742.5606598400004</v>
      </c>
      <c r="M30" s="14">
        <f t="shared" si="7"/>
        <v>1227.7131921600003</v>
      </c>
      <c r="N30" s="18">
        <f t="shared" si="6"/>
        <v>1320.1217120000003</v>
      </c>
      <c r="O30" s="18">
        <f t="shared" si="2"/>
        <v>22112.038676000004</v>
      </c>
    </row>
    <row r="31" spans="1:35" ht="12.75" customHeight="1" x14ac:dyDescent="0.2">
      <c r="A31" s="10" t="s">
        <v>54</v>
      </c>
      <c r="B31" s="11" t="s">
        <v>55</v>
      </c>
      <c r="C31" s="10" t="s">
        <v>56</v>
      </c>
      <c r="D31" s="113">
        <v>1053</v>
      </c>
      <c r="E31" s="13">
        <v>45912</v>
      </c>
      <c r="F31" s="14">
        <v>23923.636201050002</v>
      </c>
      <c r="G31" s="15">
        <v>1</v>
      </c>
      <c r="H31" s="16">
        <f t="shared" si="0"/>
        <v>23923.636201050002</v>
      </c>
      <c r="I31" s="16">
        <f>(H31-F31)*0</f>
        <v>0</v>
      </c>
      <c r="J31" s="17">
        <f>H31+I31</f>
        <v>23923.636201050002</v>
      </c>
      <c r="K31" s="112">
        <v>0</v>
      </c>
      <c r="L31" s="43">
        <f>J31*0.6*0.11</f>
        <v>1578.9599892693</v>
      </c>
      <c r="M31" s="14">
        <f t="shared" si="7"/>
        <v>1112.4490833488251</v>
      </c>
      <c r="N31" s="18">
        <f t="shared" si="6"/>
        <v>1196.1818100525002</v>
      </c>
      <c r="O31" s="18">
        <f t="shared" si="2"/>
        <v>20036.045318379376</v>
      </c>
    </row>
    <row r="32" spans="1:35" ht="12.75" customHeight="1" x14ac:dyDescent="0.2">
      <c r="A32" s="114" t="s">
        <v>54</v>
      </c>
      <c r="B32" s="115" t="s">
        <v>55</v>
      </c>
      <c r="C32" s="114" t="s">
        <v>57</v>
      </c>
      <c r="D32" s="113">
        <v>1053</v>
      </c>
      <c r="E32" s="13">
        <v>45912</v>
      </c>
      <c r="F32" s="116">
        <v>19262.9658052548</v>
      </c>
      <c r="G32" s="15">
        <v>1</v>
      </c>
      <c r="H32" s="117">
        <f t="shared" si="0"/>
        <v>19262.9658052548</v>
      </c>
      <c r="I32" s="117">
        <f>(H32-F32)*0</f>
        <v>0</v>
      </c>
      <c r="J32" s="118">
        <f>H32+I32</f>
        <v>19262.9658052548</v>
      </c>
      <c r="K32" s="119"/>
      <c r="L32" s="120">
        <f>J32*0.6*0.11</f>
        <v>1271.3557431468166</v>
      </c>
      <c r="M32" s="14">
        <f t="shared" si="7"/>
        <v>895.7279099443482</v>
      </c>
      <c r="N32" s="61">
        <f t="shared" si="6"/>
        <v>963.14829026274003</v>
      </c>
      <c r="O32" s="119">
        <f t="shared" si="2"/>
        <v>16132.733861900895</v>
      </c>
    </row>
    <row r="33" spans="1:15" ht="12.75" customHeight="1" x14ac:dyDescent="0.2">
      <c r="A33" s="10" t="s">
        <v>58</v>
      </c>
      <c r="B33" s="121" t="s">
        <v>59</v>
      </c>
      <c r="C33" s="29" t="s">
        <v>27</v>
      </c>
      <c r="D33" s="123">
        <v>1054</v>
      </c>
      <c r="E33" s="13">
        <v>45910</v>
      </c>
      <c r="F33" s="26">
        <v>37322.401946687503</v>
      </c>
      <c r="G33" s="15">
        <v>1</v>
      </c>
      <c r="H33" s="16">
        <f t="shared" si="0"/>
        <v>37322.401946687503</v>
      </c>
      <c r="I33" s="16">
        <f>H33-F33</f>
        <v>0</v>
      </c>
      <c r="J33" s="17">
        <f t="shared" ref="J33:J50" si="8">(H33+I33)</f>
        <v>37322.401946687503</v>
      </c>
      <c r="K33" s="124"/>
      <c r="L33" s="21">
        <f t="shared" ref="L33:L42" si="9">J33*0.8*0.11</f>
        <v>3284.3713713085003</v>
      </c>
      <c r="M33" s="21"/>
      <c r="N33" s="18">
        <f t="shared" si="6"/>
        <v>1866.1200973343753</v>
      </c>
      <c r="O33" s="125">
        <f t="shared" si="2"/>
        <v>32171.910478044625</v>
      </c>
    </row>
    <row r="34" spans="1:15" ht="12.75" customHeight="1" x14ac:dyDescent="0.2">
      <c r="A34" s="10" t="s">
        <v>58</v>
      </c>
      <c r="B34" s="11" t="s">
        <v>59</v>
      </c>
      <c r="C34" s="10" t="s">
        <v>34</v>
      </c>
      <c r="D34" s="123">
        <v>1055</v>
      </c>
      <c r="E34" s="13">
        <v>45915</v>
      </c>
      <c r="F34" s="14">
        <v>22492.525623082998</v>
      </c>
      <c r="G34" s="15">
        <v>1</v>
      </c>
      <c r="H34" s="16">
        <f t="shared" ref="H34:H65" si="10">F34*G34</f>
        <v>22492.525623082998</v>
      </c>
      <c r="I34" s="16">
        <f>(H34-F34)</f>
        <v>0</v>
      </c>
      <c r="J34" s="17">
        <f t="shared" si="8"/>
        <v>22492.525623082998</v>
      </c>
      <c r="K34" s="18">
        <v>0</v>
      </c>
      <c r="L34" s="18">
        <f t="shared" si="9"/>
        <v>1979.3422548313038</v>
      </c>
      <c r="M34" s="18"/>
      <c r="N34" s="18">
        <f t="shared" si="6"/>
        <v>1124.6262811541499</v>
      </c>
      <c r="O34" s="18">
        <f t="shared" ref="O34:O65" si="11">J34-K34-L34-M34-N34</f>
        <v>19388.557087097546</v>
      </c>
    </row>
    <row r="35" spans="1:15" ht="12.75" customHeight="1" x14ac:dyDescent="0.2">
      <c r="A35" s="10" t="s">
        <v>62</v>
      </c>
      <c r="B35" s="128" t="s">
        <v>63</v>
      </c>
      <c r="C35" s="129" t="s">
        <v>50</v>
      </c>
      <c r="D35" s="113">
        <v>1056</v>
      </c>
      <c r="E35" s="107">
        <v>45898</v>
      </c>
      <c r="F35" s="14">
        <v>2640.2929664461808</v>
      </c>
      <c r="G35" s="15">
        <v>1</v>
      </c>
      <c r="H35" s="16">
        <f t="shared" si="10"/>
        <v>2640.2929664461808</v>
      </c>
      <c r="I35" s="16">
        <f>(H35-F35)</f>
        <v>0</v>
      </c>
      <c r="J35" s="17">
        <f t="shared" si="8"/>
        <v>2640.2929664461808</v>
      </c>
      <c r="K35" s="18">
        <v>0</v>
      </c>
      <c r="L35" s="18">
        <f t="shared" si="9"/>
        <v>232.34578104726396</v>
      </c>
      <c r="M35" s="14">
        <f>J35*0.0465</f>
        <v>122.77362293974741</v>
      </c>
      <c r="N35" s="18">
        <f t="shared" si="6"/>
        <v>132.01464832230906</v>
      </c>
      <c r="O35" s="18">
        <f t="shared" si="11"/>
        <v>2153.1589141368604</v>
      </c>
    </row>
    <row r="36" spans="1:15" ht="12.75" customHeight="1" x14ac:dyDescent="0.2">
      <c r="A36" s="10" t="s">
        <v>62</v>
      </c>
      <c r="B36" s="130" t="s">
        <v>63</v>
      </c>
      <c r="C36" s="131" t="s">
        <v>27</v>
      </c>
      <c r="D36" s="113">
        <v>1056</v>
      </c>
      <c r="E36" s="107">
        <v>45898</v>
      </c>
      <c r="F36" s="132">
        <v>28023.779650541332</v>
      </c>
      <c r="G36" s="15">
        <v>1</v>
      </c>
      <c r="H36" s="16">
        <f t="shared" si="10"/>
        <v>28023.779650541332</v>
      </c>
      <c r="I36" s="16">
        <f>(H36-F36)</f>
        <v>0</v>
      </c>
      <c r="J36" s="17">
        <f t="shared" si="8"/>
        <v>28023.779650541332</v>
      </c>
      <c r="K36" s="18">
        <v>0</v>
      </c>
      <c r="L36" s="50">
        <f t="shared" si="9"/>
        <v>2466.0926092476375</v>
      </c>
      <c r="M36" s="50">
        <f>J36*0.0465</f>
        <v>1303.105753750172</v>
      </c>
      <c r="N36" s="50">
        <f t="shared" si="6"/>
        <v>1401.1889825270666</v>
      </c>
      <c r="O36" s="50">
        <f t="shared" si="11"/>
        <v>22853.392305016456</v>
      </c>
    </row>
    <row r="37" spans="1:15" s="65" customFormat="1" ht="12.75" customHeight="1" x14ac:dyDescent="0.2">
      <c r="A37" s="10" t="s">
        <v>62</v>
      </c>
      <c r="B37" s="128" t="s">
        <v>63</v>
      </c>
      <c r="C37" s="129" t="s">
        <v>34</v>
      </c>
      <c r="D37" s="106">
        <v>1057</v>
      </c>
      <c r="E37" s="107">
        <v>45898</v>
      </c>
      <c r="F37" s="14">
        <v>24139.030324391999</v>
      </c>
      <c r="G37" s="15">
        <v>1</v>
      </c>
      <c r="H37" s="16">
        <f t="shared" si="10"/>
        <v>24139.030324391999</v>
      </c>
      <c r="I37" s="16">
        <f>(H37-F37)</f>
        <v>0</v>
      </c>
      <c r="J37" s="17">
        <f t="shared" si="8"/>
        <v>24139.030324391999</v>
      </c>
      <c r="K37" s="18">
        <v>0</v>
      </c>
      <c r="L37" s="18">
        <f t="shared" si="9"/>
        <v>2124.2346685464963</v>
      </c>
      <c r="M37" s="14">
        <f>J37*0.0465</f>
        <v>1122.464910084228</v>
      </c>
      <c r="N37" s="18">
        <f t="shared" si="6"/>
        <v>1206.9515162196001</v>
      </c>
      <c r="O37" s="18">
        <f t="shared" si="11"/>
        <v>19685.379229541675</v>
      </c>
    </row>
    <row r="38" spans="1:15" ht="12.75" customHeight="1" x14ac:dyDescent="0.2">
      <c r="A38" s="10" t="s">
        <v>20</v>
      </c>
      <c r="B38" s="98" t="s">
        <v>64</v>
      </c>
      <c r="C38" s="45" t="s">
        <v>65</v>
      </c>
      <c r="D38" s="133">
        <v>1058</v>
      </c>
      <c r="E38" s="25">
        <v>45921</v>
      </c>
      <c r="F38" s="48">
        <v>6238.499965738577</v>
      </c>
      <c r="G38" s="15">
        <v>1</v>
      </c>
      <c r="H38" s="16">
        <f t="shared" si="10"/>
        <v>6238.499965738577</v>
      </c>
      <c r="I38" s="16">
        <f>H38-F38</f>
        <v>0</v>
      </c>
      <c r="J38" s="17">
        <f t="shared" si="8"/>
        <v>6238.499965738577</v>
      </c>
      <c r="K38" s="48"/>
      <c r="L38" s="21">
        <f t="shared" si="9"/>
        <v>548.98799698499488</v>
      </c>
      <c r="M38" s="50"/>
      <c r="N38" s="50"/>
      <c r="O38" s="125">
        <f t="shared" si="11"/>
        <v>5689.5119687535826</v>
      </c>
    </row>
    <row r="39" spans="1:15" ht="12.75" customHeight="1" x14ac:dyDescent="0.2">
      <c r="A39" s="10" t="s">
        <v>20</v>
      </c>
      <c r="B39" s="98" t="s">
        <v>64</v>
      </c>
      <c r="C39" s="45" t="s">
        <v>66</v>
      </c>
      <c r="D39" s="133">
        <v>1058</v>
      </c>
      <c r="E39" s="25">
        <v>45921</v>
      </c>
      <c r="F39" s="48">
        <v>4233.4014608037014</v>
      </c>
      <c r="G39" s="15">
        <v>1</v>
      </c>
      <c r="H39" s="16">
        <f t="shared" si="10"/>
        <v>4233.4014608037014</v>
      </c>
      <c r="I39" s="16">
        <f>H39-F39</f>
        <v>0</v>
      </c>
      <c r="J39" s="17">
        <f t="shared" si="8"/>
        <v>4233.4014608037014</v>
      </c>
      <c r="K39" s="48"/>
      <c r="L39" s="21">
        <f t="shared" si="9"/>
        <v>372.53932855072577</v>
      </c>
      <c r="M39" s="50"/>
      <c r="N39" s="50"/>
      <c r="O39" s="125">
        <f t="shared" si="11"/>
        <v>3860.8621322529757</v>
      </c>
    </row>
    <row r="40" spans="1:15" ht="12.75" customHeight="1" x14ac:dyDescent="0.2">
      <c r="A40" s="10" t="s">
        <v>20</v>
      </c>
      <c r="B40" s="98" t="s">
        <v>64</v>
      </c>
      <c r="C40" s="45" t="s">
        <v>67</v>
      </c>
      <c r="D40" s="133">
        <v>1058</v>
      </c>
      <c r="E40" s="25">
        <v>45921</v>
      </c>
      <c r="F40" s="48">
        <v>5903.2152019497344</v>
      </c>
      <c r="G40" s="15">
        <v>1</v>
      </c>
      <c r="H40" s="16">
        <f t="shared" si="10"/>
        <v>5903.2152019497344</v>
      </c>
      <c r="I40" s="16">
        <f>H40-F40</f>
        <v>0</v>
      </c>
      <c r="J40" s="17">
        <f t="shared" si="8"/>
        <v>5903.2152019497344</v>
      </c>
      <c r="K40" s="48"/>
      <c r="L40" s="21">
        <f t="shared" si="9"/>
        <v>519.48293777157664</v>
      </c>
      <c r="M40" s="50"/>
      <c r="N40" s="50"/>
      <c r="O40" s="125">
        <f t="shared" si="11"/>
        <v>5383.7322641781575</v>
      </c>
    </row>
    <row r="41" spans="1:15" ht="12.75" customHeight="1" x14ac:dyDescent="0.2">
      <c r="A41" s="103" t="s">
        <v>68</v>
      </c>
      <c r="B41" s="11" t="s">
        <v>69</v>
      </c>
      <c r="C41" s="10" t="s">
        <v>27</v>
      </c>
      <c r="D41" s="113">
        <v>1059</v>
      </c>
      <c r="E41" s="13">
        <v>45910</v>
      </c>
      <c r="F41" s="14">
        <v>40609.204490188808</v>
      </c>
      <c r="G41" s="15">
        <v>1</v>
      </c>
      <c r="H41" s="16">
        <f t="shared" si="10"/>
        <v>40609.204490188808</v>
      </c>
      <c r="I41" s="16">
        <v>0</v>
      </c>
      <c r="J41" s="17">
        <f t="shared" si="8"/>
        <v>40609.204490188808</v>
      </c>
      <c r="K41" s="104">
        <v>0</v>
      </c>
      <c r="L41" s="18">
        <f t="shared" si="9"/>
        <v>3573.609995136615</v>
      </c>
      <c r="M41" s="14">
        <f>J41*0.0465</f>
        <v>1888.3280087937796</v>
      </c>
      <c r="N41" s="44">
        <f>J41*5%</f>
        <v>2030.4602245094404</v>
      </c>
      <c r="O41" s="18">
        <f t="shared" si="11"/>
        <v>33116.80626174897</v>
      </c>
    </row>
    <row r="42" spans="1:15" ht="12.75" customHeight="1" x14ac:dyDescent="0.2">
      <c r="A42" s="103" t="s">
        <v>68</v>
      </c>
      <c r="B42" s="11" t="s">
        <v>69</v>
      </c>
      <c r="C42" s="10" t="s">
        <v>34</v>
      </c>
      <c r="D42" s="113">
        <v>1059</v>
      </c>
      <c r="E42" s="13">
        <v>45910</v>
      </c>
      <c r="F42" s="14">
        <v>53392.203516700807</v>
      </c>
      <c r="G42" s="15">
        <v>1</v>
      </c>
      <c r="H42" s="16">
        <f t="shared" si="10"/>
        <v>53392.203516700807</v>
      </c>
      <c r="I42" s="16">
        <v>0</v>
      </c>
      <c r="J42" s="17">
        <f t="shared" si="8"/>
        <v>53392.203516700807</v>
      </c>
      <c r="K42" s="104">
        <v>0</v>
      </c>
      <c r="L42" s="18">
        <f t="shared" si="9"/>
        <v>4698.5139094696715</v>
      </c>
      <c r="M42" s="14">
        <f>J42*0.0465</f>
        <v>2482.7374635265874</v>
      </c>
      <c r="N42" s="44">
        <f>J42*5%</f>
        <v>2669.6101758350405</v>
      </c>
      <c r="O42" s="18">
        <f t="shared" si="11"/>
        <v>43541.341967869506</v>
      </c>
    </row>
    <row r="43" spans="1:15" ht="12.75" customHeight="1" x14ac:dyDescent="0.2">
      <c r="A43" s="108" t="s">
        <v>70</v>
      </c>
      <c r="B43" s="134" t="s">
        <v>71</v>
      </c>
      <c r="C43" s="30"/>
      <c r="D43" s="106">
        <v>1060</v>
      </c>
      <c r="E43" s="13">
        <v>45910</v>
      </c>
      <c r="F43" s="14">
        <v>693.76199999999994</v>
      </c>
      <c r="G43" s="15">
        <v>1</v>
      </c>
      <c r="H43" s="16">
        <f t="shared" si="10"/>
        <v>693.76199999999994</v>
      </c>
      <c r="I43" s="16">
        <f>(H43-F43)</f>
        <v>0</v>
      </c>
      <c r="J43" s="17">
        <f t="shared" si="8"/>
        <v>693.76199999999994</v>
      </c>
      <c r="K43" s="18"/>
      <c r="L43" s="18">
        <f>J43*0.11</f>
        <v>76.313819999999993</v>
      </c>
      <c r="M43" s="14">
        <f>J43*0.0465</f>
        <v>32.259932999999997</v>
      </c>
      <c r="N43" s="18"/>
      <c r="O43" s="18">
        <f t="shared" si="11"/>
        <v>585.18824699999993</v>
      </c>
    </row>
    <row r="44" spans="1:15" ht="12.75" customHeight="1" x14ac:dyDescent="0.2">
      <c r="A44" s="10" t="s">
        <v>20</v>
      </c>
      <c r="B44" s="135" t="s">
        <v>72</v>
      </c>
      <c r="C44" s="136" t="s">
        <v>73</v>
      </c>
      <c r="D44" s="106">
        <v>1061</v>
      </c>
      <c r="E44" s="25">
        <v>45898</v>
      </c>
      <c r="F44" s="26">
        <v>13381.872775796601</v>
      </c>
      <c r="G44" s="15">
        <v>1</v>
      </c>
      <c r="H44" s="16">
        <f t="shared" si="10"/>
        <v>13381.872775796601</v>
      </c>
      <c r="I44" s="16">
        <f>(H44-F44)*1</f>
        <v>0</v>
      </c>
      <c r="J44" s="17">
        <f t="shared" si="8"/>
        <v>13381.872775796601</v>
      </c>
      <c r="K44" s="137"/>
      <c r="L44" s="21">
        <f>J44*0.8*0.11</f>
        <v>1177.6048042701009</v>
      </c>
      <c r="M44" s="21"/>
      <c r="N44" s="21"/>
      <c r="O44" s="125">
        <f t="shared" si="11"/>
        <v>12204.2679715265</v>
      </c>
    </row>
    <row r="45" spans="1:15" ht="12.75" customHeight="1" x14ac:dyDescent="0.2">
      <c r="A45" s="108" t="s">
        <v>70</v>
      </c>
      <c r="B45" s="105" t="s">
        <v>74</v>
      </c>
      <c r="C45" s="10" t="s">
        <v>75</v>
      </c>
      <c r="D45" s="106">
        <v>1062</v>
      </c>
      <c r="E45" s="107">
        <v>45898</v>
      </c>
      <c r="F45" s="14">
        <v>8834.7859973211307</v>
      </c>
      <c r="G45" s="15">
        <v>1</v>
      </c>
      <c r="H45" s="16">
        <f t="shared" si="10"/>
        <v>8834.7859973211307</v>
      </c>
      <c r="I45" s="16">
        <f>(H45-F45)</f>
        <v>0</v>
      </c>
      <c r="J45" s="17">
        <f t="shared" si="8"/>
        <v>8834.7859973211307</v>
      </c>
      <c r="K45" s="18"/>
      <c r="L45" s="18"/>
      <c r="M45" s="138"/>
      <c r="N45" s="19"/>
      <c r="O45" s="18">
        <f t="shared" si="11"/>
        <v>8834.7859973211307</v>
      </c>
    </row>
    <row r="46" spans="1:15" ht="12.75" customHeight="1" x14ac:dyDescent="0.2">
      <c r="A46" s="108" t="s">
        <v>70</v>
      </c>
      <c r="B46" s="105" t="s">
        <v>74</v>
      </c>
      <c r="C46" s="10" t="s">
        <v>76</v>
      </c>
      <c r="D46" s="106">
        <v>1063</v>
      </c>
      <c r="E46" s="107">
        <v>45898</v>
      </c>
      <c r="F46" s="14">
        <v>6976.2812139999996</v>
      </c>
      <c r="G46" s="15">
        <v>1</v>
      </c>
      <c r="H46" s="16">
        <f t="shared" si="10"/>
        <v>6976.2812139999996</v>
      </c>
      <c r="I46" s="16">
        <f>(H46-F46)</f>
        <v>0</v>
      </c>
      <c r="J46" s="17">
        <f t="shared" si="8"/>
        <v>6976.2812139999996</v>
      </c>
      <c r="K46" s="18"/>
      <c r="L46" s="18"/>
      <c r="M46" s="138"/>
      <c r="N46" s="19"/>
      <c r="O46" s="18">
        <f t="shared" si="11"/>
        <v>6976.2812139999996</v>
      </c>
    </row>
    <row r="47" spans="1:15" ht="12.75" customHeight="1" x14ac:dyDescent="0.2">
      <c r="A47" s="30" t="s">
        <v>70</v>
      </c>
      <c r="B47" s="139" t="s">
        <v>74</v>
      </c>
      <c r="C47" s="30" t="s">
        <v>77</v>
      </c>
      <c r="D47" s="140">
        <v>1064</v>
      </c>
      <c r="E47" s="141">
        <v>45898</v>
      </c>
      <c r="F47" s="78">
        <v>7208.82</v>
      </c>
      <c r="G47" s="142">
        <v>1</v>
      </c>
      <c r="H47" s="74">
        <f t="shared" si="10"/>
        <v>7208.82</v>
      </c>
      <c r="I47" s="74">
        <f>(H47-F47)</f>
        <v>0</v>
      </c>
      <c r="J47" s="38">
        <f t="shared" si="8"/>
        <v>7208.82</v>
      </c>
      <c r="K47" s="143"/>
      <c r="L47" s="143"/>
      <c r="M47" s="78"/>
      <c r="N47" s="143"/>
      <c r="O47" s="143">
        <f t="shared" si="11"/>
        <v>7208.82</v>
      </c>
    </row>
    <row r="48" spans="1:15" ht="12.75" customHeight="1" x14ac:dyDescent="0.2">
      <c r="A48" s="108" t="s">
        <v>70</v>
      </c>
      <c r="B48" s="144" t="s">
        <v>78</v>
      </c>
      <c r="C48" s="136"/>
      <c r="D48" s="106">
        <v>1065</v>
      </c>
      <c r="E48" s="107">
        <v>45898</v>
      </c>
      <c r="F48" s="26">
        <v>12563.206830352099</v>
      </c>
      <c r="G48" s="15">
        <v>1</v>
      </c>
      <c r="H48" s="27">
        <f t="shared" si="10"/>
        <v>12563.206830352099</v>
      </c>
      <c r="I48" s="27">
        <f>H48-F48</f>
        <v>0</v>
      </c>
      <c r="J48" s="17">
        <f t="shared" si="8"/>
        <v>12563.206830352099</v>
      </c>
      <c r="K48" s="28"/>
      <c r="L48" s="21">
        <f>J48*0.8*0.11</f>
        <v>1105.5622010709849</v>
      </c>
      <c r="M48" s="14">
        <f>J48*0.0465</f>
        <v>584.18911761137258</v>
      </c>
      <c r="N48" s="18"/>
      <c r="O48" s="21">
        <f t="shared" si="11"/>
        <v>10873.455511669741</v>
      </c>
    </row>
    <row r="49" spans="1:15" s="41" customFormat="1" ht="12.75" customHeight="1" x14ac:dyDescent="0.2">
      <c r="A49" s="30" t="s">
        <v>70</v>
      </c>
      <c r="B49" s="416" t="s">
        <v>78</v>
      </c>
      <c r="C49" s="421" t="s">
        <v>79</v>
      </c>
      <c r="D49" s="140">
        <v>1066</v>
      </c>
      <c r="E49" s="423">
        <v>45884</v>
      </c>
      <c r="F49" s="35">
        <v>470</v>
      </c>
      <c r="G49" s="142">
        <v>1</v>
      </c>
      <c r="H49" s="37">
        <f t="shared" si="10"/>
        <v>470</v>
      </c>
      <c r="I49" s="37">
        <f>H49-F49</f>
        <v>0</v>
      </c>
      <c r="J49" s="38">
        <f t="shared" si="8"/>
        <v>470</v>
      </c>
      <c r="K49" s="39"/>
      <c r="L49" s="40">
        <f>J49*0.8*0.11</f>
        <v>41.36</v>
      </c>
      <c r="M49" s="78">
        <f>J49*0.0465</f>
        <v>21.855</v>
      </c>
      <c r="N49" s="143"/>
      <c r="O49" s="40">
        <f t="shared" si="11"/>
        <v>406.78499999999997</v>
      </c>
    </row>
    <row r="50" spans="1:15" ht="12.75" customHeight="1" x14ac:dyDescent="0.2">
      <c r="A50" s="30" t="s">
        <v>70</v>
      </c>
      <c r="B50" s="416" t="s">
        <v>78</v>
      </c>
      <c r="C50" s="421" t="s">
        <v>80</v>
      </c>
      <c r="D50" s="140">
        <v>1067</v>
      </c>
      <c r="E50" s="423">
        <v>45884</v>
      </c>
      <c r="F50" s="35">
        <v>235</v>
      </c>
      <c r="G50" s="142">
        <v>1</v>
      </c>
      <c r="H50" s="37">
        <f t="shared" si="10"/>
        <v>235</v>
      </c>
      <c r="I50" s="37">
        <f>H50-F50</f>
        <v>0</v>
      </c>
      <c r="J50" s="38">
        <f t="shared" si="8"/>
        <v>235</v>
      </c>
      <c r="K50" s="39"/>
      <c r="L50" s="40">
        <f>J50*0.8*0.11</f>
        <v>20.68</v>
      </c>
      <c r="M50" s="78">
        <f>J50*0.0465</f>
        <v>10.9275</v>
      </c>
      <c r="N50" s="143"/>
      <c r="O50" s="40">
        <f t="shared" si="11"/>
        <v>203.39249999999998</v>
      </c>
    </row>
    <row r="51" spans="1:15" ht="12.75" customHeight="1" x14ac:dyDescent="0.2">
      <c r="A51" s="146" t="s">
        <v>70</v>
      </c>
      <c r="B51" s="417" t="s">
        <v>87</v>
      </c>
      <c r="C51" s="114" t="s">
        <v>88</v>
      </c>
      <c r="D51" s="106">
        <v>1068</v>
      </c>
      <c r="E51" s="63">
        <v>45925</v>
      </c>
      <c r="F51" s="14">
        <v>4315.9478399999998</v>
      </c>
      <c r="G51" s="15">
        <v>1</v>
      </c>
      <c r="H51" s="16">
        <f t="shared" si="10"/>
        <v>4315.9478399999998</v>
      </c>
      <c r="I51" s="16">
        <f>(H51-F51)</f>
        <v>0</v>
      </c>
      <c r="J51" s="17">
        <f>H51+I51</f>
        <v>4315.9478399999998</v>
      </c>
      <c r="K51" s="18">
        <f>J51*0.01</f>
        <v>43.159478399999998</v>
      </c>
      <c r="L51" s="18">
        <f>J51*0.11</f>
        <v>474.75426239999996</v>
      </c>
      <c r="M51" s="14">
        <f>J51*0.0465</f>
        <v>200.69157455999999</v>
      </c>
      <c r="N51" s="18"/>
      <c r="O51" s="18">
        <f t="shared" si="11"/>
        <v>3597.3425246400002</v>
      </c>
    </row>
    <row r="52" spans="1:15" ht="12.75" customHeight="1" x14ac:dyDescent="0.2">
      <c r="A52" s="10" t="s">
        <v>70</v>
      </c>
      <c r="B52" s="419" t="s">
        <v>89</v>
      </c>
      <c r="C52" s="114" t="s">
        <v>90</v>
      </c>
      <c r="D52" s="106">
        <v>1069</v>
      </c>
      <c r="E52" s="63">
        <v>45910</v>
      </c>
      <c r="F52" s="14">
        <v>6897.7064588875901</v>
      </c>
      <c r="G52" s="15">
        <v>1</v>
      </c>
      <c r="H52" s="16">
        <f t="shared" si="10"/>
        <v>6897.7064588875901</v>
      </c>
      <c r="I52" s="16">
        <f>(H52-F52)</f>
        <v>0</v>
      </c>
      <c r="J52" s="17">
        <f>(H52+I52)</f>
        <v>6897.7064588875901</v>
      </c>
      <c r="K52" s="18">
        <v>0</v>
      </c>
      <c r="L52" s="18"/>
      <c r="M52" s="14"/>
      <c r="N52" s="18"/>
      <c r="O52" s="18">
        <f t="shared" si="11"/>
        <v>6897.7064588875901</v>
      </c>
    </row>
    <row r="53" spans="1:15" ht="12.75" customHeight="1" x14ac:dyDescent="0.2">
      <c r="A53" s="108" t="s">
        <v>91</v>
      </c>
      <c r="B53" s="418" t="s">
        <v>92</v>
      </c>
      <c r="C53" s="80" t="s">
        <v>93</v>
      </c>
      <c r="D53" s="12">
        <v>1070</v>
      </c>
      <c r="E53" s="424">
        <v>45898</v>
      </c>
      <c r="F53" s="147">
        <v>14296.4198</v>
      </c>
      <c r="G53" s="15">
        <v>1</v>
      </c>
      <c r="H53" s="27">
        <f t="shared" si="10"/>
        <v>14296.4198</v>
      </c>
      <c r="I53" s="27">
        <f>(H53-F53)*2</f>
        <v>0</v>
      </c>
      <c r="J53" s="17">
        <f>(H53+I53)</f>
        <v>14296.4198</v>
      </c>
      <c r="K53" s="18">
        <v>0</v>
      </c>
      <c r="L53" s="18">
        <f t="shared" ref="L53:L65" si="12">J53*0.8*0.11</f>
        <v>1258.0849424</v>
      </c>
      <c r="M53" s="138"/>
      <c r="N53" s="18"/>
      <c r="O53" s="18">
        <f t="shared" si="11"/>
        <v>13038.334857599999</v>
      </c>
    </row>
    <row r="54" spans="1:15" ht="12.75" customHeight="1" x14ac:dyDescent="0.2">
      <c r="A54" s="108" t="s">
        <v>91</v>
      </c>
      <c r="B54" s="418" t="s">
        <v>92</v>
      </c>
      <c r="C54" s="80" t="s">
        <v>94</v>
      </c>
      <c r="D54" s="12">
        <v>1070</v>
      </c>
      <c r="E54" s="424">
        <v>45898</v>
      </c>
      <c r="F54" s="147">
        <v>16478.813200000001</v>
      </c>
      <c r="G54" s="15">
        <v>1</v>
      </c>
      <c r="H54" s="27">
        <f t="shared" si="10"/>
        <v>16478.813200000001</v>
      </c>
      <c r="I54" s="27">
        <f>(H54-F54)*2</f>
        <v>0</v>
      </c>
      <c r="J54" s="17">
        <f>(H54+I54)</f>
        <v>16478.813200000001</v>
      </c>
      <c r="K54" s="18">
        <v>0</v>
      </c>
      <c r="L54" s="18">
        <f t="shared" si="12"/>
        <v>1450.1355616000001</v>
      </c>
      <c r="M54" s="138"/>
      <c r="N54" s="18"/>
      <c r="O54" s="18">
        <f t="shared" si="11"/>
        <v>15028.6776384</v>
      </c>
    </row>
    <row r="55" spans="1:15" ht="12.75" customHeight="1" x14ac:dyDescent="0.2">
      <c r="A55" s="10" t="s">
        <v>95</v>
      </c>
      <c r="B55" s="420" t="s">
        <v>96</v>
      </c>
      <c r="C55" s="64" t="s">
        <v>27</v>
      </c>
      <c r="D55" s="24">
        <v>1071</v>
      </c>
      <c r="E55" s="63">
        <v>45912</v>
      </c>
      <c r="F55" s="14">
        <v>38741.597000000002</v>
      </c>
      <c r="G55" s="15">
        <v>1</v>
      </c>
      <c r="H55" s="27">
        <f t="shared" si="10"/>
        <v>38741.597000000002</v>
      </c>
      <c r="I55" s="27">
        <f>(H55-F55)*0</f>
        <v>0</v>
      </c>
      <c r="J55" s="17">
        <f>(H55+I55)</f>
        <v>38741.597000000002</v>
      </c>
      <c r="K55" s="18"/>
      <c r="L55" s="18">
        <f t="shared" si="12"/>
        <v>3409.2605360000002</v>
      </c>
      <c r="M55" s="14">
        <f t="shared" ref="M55:M65" si="13">J55*0.0465</f>
        <v>1801.4842605000001</v>
      </c>
      <c r="N55" s="18">
        <f>J55*5%</f>
        <v>1937.0798500000001</v>
      </c>
      <c r="O55" s="18">
        <f t="shared" si="11"/>
        <v>31593.772353499997</v>
      </c>
    </row>
    <row r="56" spans="1:15" ht="12.75" customHeight="1" x14ac:dyDescent="0.2">
      <c r="A56" s="10" t="s">
        <v>95</v>
      </c>
      <c r="B56" s="420" t="s">
        <v>96</v>
      </c>
      <c r="C56" s="64" t="s">
        <v>34</v>
      </c>
      <c r="D56" s="24">
        <v>1071</v>
      </c>
      <c r="E56" s="63">
        <v>45912</v>
      </c>
      <c r="F56" s="14">
        <v>53686.565200000005</v>
      </c>
      <c r="G56" s="15">
        <v>1</v>
      </c>
      <c r="H56" s="27">
        <f t="shared" si="10"/>
        <v>53686.565200000005</v>
      </c>
      <c r="I56" s="27">
        <f>(H56-F56)*0</f>
        <v>0</v>
      </c>
      <c r="J56" s="17">
        <f>(H56+I56)</f>
        <v>53686.565200000005</v>
      </c>
      <c r="K56" s="18"/>
      <c r="L56" s="18">
        <f t="shared" si="12"/>
        <v>4724.4177376000007</v>
      </c>
      <c r="M56" s="14">
        <f t="shared" si="13"/>
        <v>2496.4252818</v>
      </c>
      <c r="N56" s="18">
        <f>J56*5%</f>
        <v>2684.3282600000002</v>
      </c>
      <c r="O56" s="18">
        <f t="shared" si="11"/>
        <v>43781.3939206</v>
      </c>
    </row>
    <row r="57" spans="1:15" ht="12.75" customHeight="1" x14ac:dyDescent="0.2">
      <c r="A57" s="10" t="s">
        <v>70</v>
      </c>
      <c r="B57" s="420" t="s">
        <v>97</v>
      </c>
      <c r="C57" s="64" t="s">
        <v>98</v>
      </c>
      <c r="D57" s="106">
        <v>1072</v>
      </c>
      <c r="E57" s="63">
        <v>45910</v>
      </c>
      <c r="F57" s="14">
        <v>7171.81842475742</v>
      </c>
      <c r="G57" s="15">
        <v>1</v>
      </c>
      <c r="H57" s="16">
        <f t="shared" si="10"/>
        <v>7171.81842475742</v>
      </c>
      <c r="I57" s="16">
        <f>(H57-F57)</f>
        <v>0</v>
      </c>
      <c r="J57" s="17">
        <f>H57+I57</f>
        <v>7171.81842475742</v>
      </c>
      <c r="K57" s="18">
        <f>J57*0.01</f>
        <v>71.7181842475742</v>
      </c>
      <c r="L57" s="18">
        <f t="shared" si="12"/>
        <v>631.12002137865306</v>
      </c>
      <c r="M57" s="14">
        <f t="shared" si="13"/>
        <v>333.48955675122005</v>
      </c>
      <c r="N57" s="18"/>
      <c r="O57" s="18">
        <f t="shared" si="11"/>
        <v>6135.4906623799725</v>
      </c>
    </row>
    <row r="58" spans="1:15" ht="12.75" customHeight="1" x14ac:dyDescent="0.2">
      <c r="A58" s="30" t="s">
        <v>70</v>
      </c>
      <c r="B58" s="145" t="s">
        <v>78</v>
      </c>
      <c r="C58" s="87" t="s">
        <v>81</v>
      </c>
      <c r="D58" s="140">
        <v>1073</v>
      </c>
      <c r="E58" s="97">
        <v>45898</v>
      </c>
      <c r="F58" s="35">
        <v>4465</v>
      </c>
      <c r="G58" s="142">
        <v>1</v>
      </c>
      <c r="H58" s="37">
        <f t="shared" si="10"/>
        <v>4465</v>
      </c>
      <c r="I58" s="37">
        <f>H58-F58</f>
        <v>0</v>
      </c>
      <c r="J58" s="38">
        <f>(H58+I58)</f>
        <v>4465</v>
      </c>
      <c r="K58" s="39"/>
      <c r="L58" s="40">
        <f t="shared" si="12"/>
        <v>392.92</v>
      </c>
      <c r="M58" s="78">
        <f t="shared" si="13"/>
        <v>207.6225</v>
      </c>
      <c r="N58" s="143"/>
      <c r="O58" s="40">
        <f t="shared" si="11"/>
        <v>3864.4575</v>
      </c>
    </row>
    <row r="59" spans="1:15" ht="12.75" customHeight="1" x14ac:dyDescent="0.2">
      <c r="A59" s="30" t="s">
        <v>70</v>
      </c>
      <c r="B59" s="416" t="s">
        <v>78</v>
      </c>
      <c r="C59" s="421" t="s">
        <v>82</v>
      </c>
      <c r="D59" s="140">
        <v>1074</v>
      </c>
      <c r="E59" s="423">
        <v>45898</v>
      </c>
      <c r="F59" s="35">
        <v>940</v>
      </c>
      <c r="G59" s="142">
        <v>1</v>
      </c>
      <c r="H59" s="37">
        <f t="shared" si="10"/>
        <v>940</v>
      </c>
      <c r="I59" s="37">
        <f>H59-F59</f>
        <v>0</v>
      </c>
      <c r="J59" s="38">
        <f>(H59+I59)</f>
        <v>940</v>
      </c>
      <c r="K59" s="39"/>
      <c r="L59" s="40">
        <f t="shared" si="12"/>
        <v>82.72</v>
      </c>
      <c r="M59" s="78">
        <f t="shared" si="13"/>
        <v>43.71</v>
      </c>
      <c r="N59" s="143"/>
      <c r="O59" s="40">
        <f t="shared" si="11"/>
        <v>813.56999999999994</v>
      </c>
    </row>
    <row r="60" spans="1:15" ht="12.75" customHeight="1" x14ac:dyDescent="0.2">
      <c r="A60" s="30" t="s">
        <v>70</v>
      </c>
      <c r="B60" s="416" t="s">
        <v>78</v>
      </c>
      <c r="C60" s="421" t="s">
        <v>83</v>
      </c>
      <c r="D60" s="140">
        <v>1075</v>
      </c>
      <c r="E60" s="423">
        <v>45898</v>
      </c>
      <c r="F60" s="35">
        <v>235</v>
      </c>
      <c r="G60" s="142">
        <v>1</v>
      </c>
      <c r="H60" s="37">
        <f t="shared" si="10"/>
        <v>235</v>
      </c>
      <c r="I60" s="37">
        <f>H60-F60</f>
        <v>0</v>
      </c>
      <c r="J60" s="38">
        <f>(H60+I60)</f>
        <v>235</v>
      </c>
      <c r="K60" s="39"/>
      <c r="L60" s="40">
        <f t="shared" si="12"/>
        <v>20.68</v>
      </c>
      <c r="M60" s="78">
        <f t="shared" si="13"/>
        <v>10.9275</v>
      </c>
      <c r="N60" s="143"/>
      <c r="O60" s="40">
        <f t="shared" si="11"/>
        <v>203.39249999999998</v>
      </c>
    </row>
    <row r="61" spans="1:15" ht="12.75" customHeight="1" x14ac:dyDescent="0.2">
      <c r="A61" s="10" t="s">
        <v>60</v>
      </c>
      <c r="B61" s="127" t="s">
        <v>61</v>
      </c>
      <c r="C61" s="10"/>
      <c r="D61" s="24">
        <v>1076</v>
      </c>
      <c r="E61" s="107">
        <v>45898</v>
      </c>
      <c r="F61" s="14">
        <v>6093.48</v>
      </c>
      <c r="G61" s="15">
        <v>1</v>
      </c>
      <c r="H61" s="16">
        <f t="shared" si="10"/>
        <v>6093.48</v>
      </c>
      <c r="I61" s="16">
        <f>(H61-F61)*0</f>
        <v>0</v>
      </c>
      <c r="J61" s="17">
        <f>(H61+I61)/30*20</f>
        <v>4062.3199999999997</v>
      </c>
      <c r="K61" s="18">
        <f>J61*0.01</f>
        <v>40.623199999999997</v>
      </c>
      <c r="L61" s="18">
        <f t="shared" si="12"/>
        <v>357.48415999999997</v>
      </c>
      <c r="M61" s="14">
        <f t="shared" si="13"/>
        <v>188.89787999999999</v>
      </c>
      <c r="N61" s="21"/>
      <c r="O61" s="18">
        <f t="shared" si="11"/>
        <v>3475.3147599999998</v>
      </c>
    </row>
    <row r="62" spans="1:15" ht="12.75" customHeight="1" x14ac:dyDescent="0.2">
      <c r="A62" s="10" t="s">
        <v>60</v>
      </c>
      <c r="B62" s="127" t="s">
        <v>61</v>
      </c>
      <c r="C62" s="10"/>
      <c r="D62" s="24">
        <v>1076</v>
      </c>
      <c r="E62" s="107">
        <v>45898</v>
      </c>
      <c r="F62" s="14">
        <v>4706.47</v>
      </c>
      <c r="G62" s="15">
        <v>1</v>
      </c>
      <c r="H62" s="16">
        <f t="shared" si="10"/>
        <v>4706.47</v>
      </c>
      <c r="I62" s="16">
        <f>(H62-F62)*0</f>
        <v>0</v>
      </c>
      <c r="J62" s="17">
        <f>(H62+I62)</f>
        <v>4706.47</v>
      </c>
      <c r="K62" s="18">
        <f>J62*0.01</f>
        <v>47.064700000000002</v>
      </c>
      <c r="L62" s="18">
        <f t="shared" si="12"/>
        <v>414.16936000000004</v>
      </c>
      <c r="M62" s="14">
        <f t="shared" si="13"/>
        <v>218.85085500000002</v>
      </c>
      <c r="N62" s="21"/>
      <c r="O62" s="18">
        <f t="shared" si="11"/>
        <v>4026.3850850000003</v>
      </c>
    </row>
    <row r="63" spans="1:15" ht="12.75" customHeight="1" x14ac:dyDescent="0.2">
      <c r="A63" s="30" t="s">
        <v>70</v>
      </c>
      <c r="B63" s="416" t="s">
        <v>78</v>
      </c>
      <c r="C63" s="421" t="s">
        <v>84</v>
      </c>
      <c r="D63" s="140">
        <v>1077</v>
      </c>
      <c r="E63" s="423">
        <v>45915</v>
      </c>
      <c r="F63" s="35">
        <v>470</v>
      </c>
      <c r="G63" s="142">
        <v>1</v>
      </c>
      <c r="H63" s="37">
        <f t="shared" si="10"/>
        <v>470</v>
      </c>
      <c r="I63" s="37">
        <f>H63-F63</f>
        <v>0</v>
      </c>
      <c r="J63" s="38">
        <f>(H63+I63)</f>
        <v>470</v>
      </c>
      <c r="K63" s="39"/>
      <c r="L63" s="40">
        <f t="shared" si="12"/>
        <v>41.36</v>
      </c>
      <c r="M63" s="78">
        <f t="shared" si="13"/>
        <v>21.855</v>
      </c>
      <c r="N63" s="143"/>
      <c r="O63" s="40">
        <f t="shared" si="11"/>
        <v>406.78499999999997</v>
      </c>
    </row>
    <row r="64" spans="1:15" ht="12.75" customHeight="1" x14ac:dyDescent="0.2">
      <c r="A64" s="30" t="s">
        <v>70</v>
      </c>
      <c r="B64" s="416" t="s">
        <v>78</v>
      </c>
      <c r="C64" s="422" t="s">
        <v>85</v>
      </c>
      <c r="D64" s="140">
        <v>1078</v>
      </c>
      <c r="E64" s="423">
        <v>45915</v>
      </c>
      <c r="F64" s="35">
        <v>4465</v>
      </c>
      <c r="G64" s="142">
        <v>1</v>
      </c>
      <c r="H64" s="37">
        <f t="shared" si="10"/>
        <v>4465</v>
      </c>
      <c r="I64" s="37">
        <f>H64-F64</f>
        <v>0</v>
      </c>
      <c r="J64" s="38">
        <f>(H64+I64)</f>
        <v>4465</v>
      </c>
      <c r="K64" s="39"/>
      <c r="L64" s="40">
        <f t="shared" si="12"/>
        <v>392.92</v>
      </c>
      <c r="M64" s="78">
        <f t="shared" si="13"/>
        <v>207.6225</v>
      </c>
      <c r="N64" s="143"/>
      <c r="O64" s="40">
        <f t="shared" si="11"/>
        <v>3864.4575</v>
      </c>
    </row>
    <row r="65" spans="1:15" ht="12.75" customHeight="1" x14ac:dyDescent="0.2">
      <c r="A65" s="30" t="s">
        <v>70</v>
      </c>
      <c r="B65" s="416" t="s">
        <v>78</v>
      </c>
      <c r="C65" s="421" t="s">
        <v>86</v>
      </c>
      <c r="D65" s="140">
        <v>1079</v>
      </c>
      <c r="E65" s="423">
        <v>45915</v>
      </c>
      <c r="F65" s="35">
        <v>705</v>
      </c>
      <c r="G65" s="142">
        <v>1</v>
      </c>
      <c r="H65" s="37">
        <f t="shared" si="10"/>
        <v>705</v>
      </c>
      <c r="I65" s="37">
        <f>H65-F65</f>
        <v>0</v>
      </c>
      <c r="J65" s="38">
        <f>(H65+I65)</f>
        <v>705</v>
      </c>
      <c r="K65" s="39"/>
      <c r="L65" s="40">
        <f t="shared" si="12"/>
        <v>62.04</v>
      </c>
      <c r="M65" s="78">
        <f t="shared" si="13"/>
        <v>32.782499999999999</v>
      </c>
      <c r="N65" s="143"/>
      <c r="O65" s="40">
        <f t="shared" si="11"/>
        <v>610.17750000000001</v>
      </c>
    </row>
    <row r="66" spans="1:15" ht="12.75" customHeight="1" x14ac:dyDescent="0.2">
      <c r="A66" s="10"/>
      <c r="B66" s="127"/>
      <c r="C66" s="10"/>
      <c r="D66" s="20"/>
      <c r="E66" s="107"/>
      <c r="F66" s="14"/>
      <c r="G66" s="15"/>
      <c r="H66" s="16"/>
      <c r="I66" s="16"/>
      <c r="J66" s="17"/>
      <c r="K66" s="18"/>
      <c r="L66" s="18"/>
      <c r="M66" s="14"/>
      <c r="N66" s="18"/>
      <c r="O66" s="18"/>
    </row>
    <row r="67" spans="1:15" ht="12.75" customHeight="1" x14ac:dyDescent="0.2">
      <c r="A67" s="108"/>
      <c r="B67" s="148" t="s">
        <v>99</v>
      </c>
      <c r="C67" s="108"/>
      <c r="D67" s="106"/>
      <c r="E67" s="13"/>
      <c r="F67" s="138"/>
      <c r="G67" s="138"/>
      <c r="H67" s="138"/>
      <c r="I67" s="138"/>
      <c r="J67" s="149"/>
      <c r="K67" s="18"/>
      <c r="L67" s="18"/>
      <c r="M67" s="138"/>
      <c r="N67" s="19"/>
      <c r="O67" s="18"/>
    </row>
    <row r="68" spans="1:15" ht="12.75" customHeight="1" x14ac:dyDescent="0.2">
      <c r="A68" s="150"/>
      <c r="B68" s="151" t="s">
        <v>100</v>
      </c>
      <c r="C68" s="151"/>
      <c r="D68" s="152"/>
      <c r="E68" s="153"/>
      <c r="F68" s="154">
        <f t="shared" ref="F68:O68" si="14">SUBTOTAL(9,F2:F67)</f>
        <v>1026657.3144249754</v>
      </c>
      <c r="G68" s="154">
        <f t="shared" si="14"/>
        <v>64</v>
      </c>
      <c r="H68" s="154">
        <f t="shared" si="14"/>
        <v>1026657.3144249754</v>
      </c>
      <c r="I68" s="154">
        <f t="shared" si="14"/>
        <v>0</v>
      </c>
      <c r="J68" s="154">
        <f t="shared" si="14"/>
        <v>1024626.1544249754</v>
      </c>
      <c r="K68" s="154">
        <f t="shared" si="14"/>
        <v>739.17085106716104</v>
      </c>
      <c r="L68" s="154">
        <f t="shared" si="14"/>
        <v>77316.589950690934</v>
      </c>
      <c r="M68" s="154">
        <f t="shared" si="14"/>
        <v>37766.257996598913</v>
      </c>
      <c r="N68" s="154">
        <f t="shared" si="14"/>
        <v>40432.540220670511</v>
      </c>
      <c r="O68" s="154">
        <f t="shared" si="14"/>
        <v>868371.59540594788</v>
      </c>
    </row>
    <row r="69" spans="1:15" ht="12.75" customHeight="1" thickBot="1" x14ac:dyDescent="0.25">
      <c r="A69" s="155"/>
      <c r="B69" s="156"/>
      <c r="C69" s="156"/>
      <c r="D69" s="157"/>
      <c r="E69" s="158"/>
      <c r="F69" s="159"/>
      <c r="G69" s="159"/>
      <c r="H69" s="159"/>
      <c r="I69" s="159"/>
      <c r="J69" s="159"/>
      <c r="K69" s="159"/>
      <c r="L69" s="159"/>
      <c r="M69" s="159"/>
      <c r="N69" s="159"/>
      <c r="O69" s="159"/>
    </row>
    <row r="70" spans="1:15" ht="12.75" customHeight="1" thickBot="1" x14ac:dyDescent="0.25">
      <c r="A70" s="155"/>
      <c r="B70" s="160" t="s">
        <v>101</v>
      </c>
      <c r="C70" s="161"/>
      <c r="D70" s="157"/>
      <c r="E70" s="158"/>
      <c r="F70" s="159"/>
      <c r="G70" s="159"/>
      <c r="H70" s="159"/>
      <c r="I70" s="159"/>
      <c r="J70" s="159"/>
      <c r="K70" s="159"/>
      <c r="L70" s="159"/>
      <c r="M70" s="159"/>
      <c r="N70" s="159"/>
      <c r="O70" s="159"/>
    </row>
    <row r="71" spans="1:15" ht="12.75" customHeight="1" x14ac:dyDescent="0.2">
      <c r="A71" s="155"/>
      <c r="B71" s="162" t="s">
        <v>102</v>
      </c>
      <c r="C71" s="163"/>
      <c r="D71" s="157"/>
      <c r="E71" s="158"/>
      <c r="F71" s="159"/>
      <c r="G71" s="159"/>
      <c r="H71" s="159"/>
      <c r="I71" s="159"/>
      <c r="J71" s="159"/>
      <c r="K71" s="159"/>
      <c r="L71" s="159"/>
      <c r="M71" s="159"/>
      <c r="N71" s="159"/>
      <c r="O71" s="159"/>
    </row>
    <row r="72" spans="1:15" ht="12.75" customHeight="1" x14ac:dyDescent="0.2">
      <c r="A72" s="155"/>
      <c r="B72" s="162" t="s">
        <v>103</v>
      </c>
      <c r="C72" s="163"/>
      <c r="D72" s="157"/>
      <c r="E72" s="158"/>
      <c r="F72" s="159"/>
      <c r="G72" s="159"/>
      <c r="H72" s="159"/>
      <c r="I72" s="159"/>
      <c r="J72" s="159"/>
      <c r="K72" s="159"/>
      <c r="L72" s="159"/>
      <c r="M72" s="159"/>
      <c r="N72" s="159"/>
      <c r="O72" s="159"/>
    </row>
    <row r="73" spans="1:15" ht="12.75" customHeight="1" x14ac:dyDescent="0.2">
      <c r="A73" s="155"/>
      <c r="B73" s="162" t="s">
        <v>104</v>
      </c>
      <c r="C73" s="163"/>
      <c r="D73" s="157"/>
      <c r="E73" s="158"/>
      <c r="F73" s="159"/>
      <c r="G73" s="164"/>
      <c r="H73" s="159"/>
      <c r="I73" s="159"/>
      <c r="J73" s="159"/>
      <c r="K73" s="159"/>
      <c r="L73" s="159"/>
      <c r="M73" s="159"/>
      <c r="N73" s="159"/>
      <c r="O73" s="159"/>
    </row>
    <row r="74" spans="1:15" ht="12.75" customHeight="1" thickBot="1" x14ac:dyDescent="0.25">
      <c r="A74" s="155"/>
      <c r="B74" s="165" t="s">
        <v>105</v>
      </c>
      <c r="C74" s="166"/>
      <c r="D74" s="157"/>
      <c r="E74" s="158"/>
      <c r="F74" s="159"/>
      <c r="G74" s="159"/>
      <c r="H74" s="159"/>
      <c r="I74" s="159"/>
      <c r="J74" s="159"/>
      <c r="K74" s="159"/>
      <c r="L74" s="159"/>
      <c r="M74" s="159"/>
      <c r="N74" s="159"/>
      <c r="O74" s="159"/>
    </row>
    <row r="75" spans="1:15" ht="12.75" customHeight="1" thickBot="1" x14ac:dyDescent="0.25">
      <c r="A75" s="155"/>
      <c r="B75" s="99"/>
      <c r="C75" s="167"/>
      <c r="D75" s="157"/>
      <c r="E75" s="158"/>
      <c r="F75" s="159"/>
      <c r="G75" s="159"/>
      <c r="H75" s="159"/>
      <c r="I75" s="159"/>
      <c r="J75" s="159"/>
      <c r="K75" s="159"/>
      <c r="L75" s="159"/>
      <c r="M75" s="159"/>
      <c r="N75" s="159"/>
      <c r="O75" s="159"/>
    </row>
    <row r="76" spans="1:15" ht="12.75" customHeight="1" thickBot="1" x14ac:dyDescent="0.25">
      <c r="A76" s="155"/>
      <c r="B76" s="168" t="s">
        <v>106</v>
      </c>
      <c r="C76" s="169"/>
      <c r="D76" s="157"/>
      <c r="E76" s="158"/>
      <c r="F76" s="159"/>
      <c r="G76" s="159"/>
      <c r="H76" s="159"/>
      <c r="I76" s="159"/>
      <c r="J76" s="159"/>
      <c r="K76" s="159"/>
      <c r="L76" s="159"/>
      <c r="M76" s="159"/>
      <c r="N76" s="159"/>
      <c r="O76" s="159"/>
    </row>
    <row r="77" spans="1:15" ht="12.75" customHeight="1" x14ac:dyDescent="0.2">
      <c r="B77" s="99"/>
    </row>
    <row r="78" spans="1:15" ht="12.75" customHeight="1" x14ac:dyDescent="0.2">
      <c r="B78" s="99"/>
    </row>
    <row r="79" spans="1:15" ht="12.75" customHeight="1" x14ac:dyDescent="0.2">
      <c r="B79" s="99"/>
    </row>
    <row r="80" spans="1:15" ht="12.75" customHeight="1" x14ac:dyDescent="0.2">
      <c r="B80" s="99"/>
    </row>
    <row r="81" spans="2:2" ht="12.75" customHeight="1" x14ac:dyDescent="0.2">
      <c r="B81" s="99"/>
    </row>
    <row r="82" spans="2:2" ht="12.75" customHeight="1" x14ac:dyDescent="0.2">
      <c r="B82" s="99"/>
    </row>
    <row r="83" spans="2:2" ht="12.75" customHeight="1" x14ac:dyDescent="0.2">
      <c r="B83" s="99"/>
    </row>
    <row r="84" spans="2:2" ht="12.75" customHeight="1" x14ac:dyDescent="0.2">
      <c r="B84" s="99"/>
    </row>
    <row r="85" spans="2:2" ht="12.75" customHeight="1" x14ac:dyDescent="0.2">
      <c r="B85" s="170" t="s">
        <v>107</v>
      </c>
    </row>
    <row r="86" spans="2:2" ht="12.75" customHeight="1" x14ac:dyDescent="0.2"/>
    <row r="87" spans="2:2" ht="12.75" customHeight="1" x14ac:dyDescent="0.2">
      <c r="B87" s="155"/>
    </row>
    <row r="88" spans="2:2" ht="12.75" customHeight="1" x14ac:dyDescent="0.2"/>
    <row r="89" spans="2:2" ht="12.75" customHeight="1" x14ac:dyDescent="0.2"/>
    <row r="90" spans="2:2" ht="12.75" customHeight="1" x14ac:dyDescent="0.2"/>
    <row r="91" spans="2:2" ht="12.75" customHeight="1" x14ac:dyDescent="0.2"/>
    <row r="92" spans="2:2" ht="12.75" customHeight="1" x14ac:dyDescent="0.2"/>
    <row r="93" spans="2:2" ht="12.75" customHeight="1" x14ac:dyDescent="0.2"/>
    <row r="94" spans="2:2" ht="12.75" customHeight="1" x14ac:dyDescent="0.2"/>
    <row r="95" spans="2:2" ht="12.75" customHeight="1" x14ac:dyDescent="0.2"/>
    <row r="96" spans="2:2"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sheetData>
  <autoFilter ref="A1:O65" xr:uid="{0E438AAB-9D27-4B9A-81A4-1D1F54368CF9}"/>
  <sortState xmlns:xlrd2="http://schemas.microsoft.com/office/spreadsheetml/2017/richdata2" ref="A2:O65">
    <sortCondition ref="D2:D65"/>
  </sortState>
  <printOptions horizontalCentered="1" verticalCentered="1"/>
  <pageMargins left="0.51181102362204722" right="0.51181102362204722" top="0.78740157480314965" bottom="0.78740157480314965" header="0.31496062992125984" footer="0.31496062992125984"/>
  <pageSetup paperSize="9" scale="48" fitToHeight="0" orientation="landscape" r:id="rId1"/>
  <headerFooter alignWithMargins="0">
    <oddHeader>&amp;LL/DF 005&amp;C&amp;A&amp;R&amp;D</oddHeader>
    <oddFooter>&amp;CGabriela/Kátia</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2</vt:i4>
      </vt:variant>
    </vt:vector>
  </HeadingPairs>
  <TitlesOfParts>
    <vt:vector size="5" baseType="lpstr">
      <vt:lpstr>024</vt:lpstr>
      <vt:lpstr>023</vt:lpstr>
      <vt:lpstr>005</vt:lpstr>
      <vt:lpstr>'023'!_FiltrarBancoDados</vt:lpstr>
      <vt:lpstr>'024'!Area_de_impressao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Camila Decavata</dc:creator>
  <cp:lastModifiedBy>Camila Decavata</cp:lastModifiedBy>
  <dcterms:created xsi:type="dcterms:W3CDTF">2025-09-01T12:59:55Z</dcterms:created>
  <dcterms:modified xsi:type="dcterms:W3CDTF">2025-09-05T18:25:35Z</dcterms:modified>
</cp:coreProperties>
</file>